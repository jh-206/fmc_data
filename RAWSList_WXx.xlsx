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schij/Documents/Projects/Wildfire/fmc_data/"/>
    </mc:Choice>
  </mc:AlternateContent>
  <xr:revisionPtr revIDLastSave="0" documentId="8_{FE63E733-B3AB-5545-BFC3-B30C278C335F}" xr6:coauthVersionLast="47" xr6:coauthVersionMax="47" xr10:uidLastSave="{00000000-0000-0000-0000-000000000000}"/>
  <bookViews>
    <workbookView xWindow="0" yWindow="500" windowWidth="28800" windowHeight="16220" xr2:uid="{AF8940DE-8796-4DFF-A2BF-850D8ED2EDE7}"/>
  </bookViews>
  <sheets>
    <sheet name="Search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" i="1" l="1" a="1"/>
  <c r="AV4" i="1" s="1"/>
  <c r="AV5" i="1" a="1"/>
  <c r="AV5" i="1" s="1"/>
  <c r="AV3" i="1" a="1"/>
  <c r="AV3" i="1" s="1"/>
  <c r="AV2" i="1" a="1"/>
  <c r="AV2" i="1" s="1"/>
  <c r="AU4" i="1" a="1"/>
  <c r="AU4" i="1" s="1"/>
  <c r="AU5" i="1" a="1"/>
  <c r="AU5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<sst xmlns="http://schemas.openxmlformats.org/spreadsheetml/2006/main" count="85921" uniqueCount="18878">
  <si>
    <t>Details</t>
  </si>
  <si>
    <t>Name</t>
  </si>
  <si>
    <t>State</t>
  </si>
  <si>
    <t>County</t>
  </si>
  <si>
    <t>NESDIS ID</t>
  </si>
  <si>
    <t>NWS ID (WIMS)</t>
  </si>
  <si>
    <t>Installed Date</t>
  </si>
  <si>
    <t>Annual Maintenance</t>
  </si>
  <si>
    <t>Next Pmduedate</t>
  </si>
  <si>
    <t>Maint Std</t>
  </si>
  <si>
    <t>CS2</t>
  </si>
  <si>
    <t>Tower Type</t>
  </si>
  <si>
    <t>Repair Date</t>
  </si>
  <si>
    <t>Status</t>
  </si>
  <si>
    <t>Category</t>
  </si>
  <si>
    <t>Station Purpose</t>
  </si>
  <si>
    <t>Latitude</t>
  </si>
  <si>
    <t>Longitude</t>
  </si>
  <si>
    <t>Elevation</t>
  </si>
  <si>
    <t>Agency</t>
  </si>
  <si>
    <t>Region</t>
  </si>
  <si>
    <t>Unit</t>
  </si>
  <si>
    <t>DADDS Group</t>
  </si>
  <si>
    <t>Field Maint</t>
  </si>
  <si>
    <t>Maint Cont</t>
  </si>
  <si>
    <t>Station ID</t>
  </si>
  <si>
    <t>Version</t>
  </si>
  <si>
    <t>Channel</t>
  </si>
  <si>
    <t>Point of Contact</t>
  </si>
  <si>
    <t>Point of Contact Email Address</t>
  </si>
  <si>
    <t>Pointofcontactphone</t>
  </si>
  <si>
    <t>Alternate P.O.C.</t>
  </si>
  <si>
    <t>Altpointofcontactemailaddress</t>
  </si>
  <si>
    <t>Altpointofcontactphone</t>
  </si>
  <si>
    <t>Event Email</t>
  </si>
  <si>
    <t>Last Modified (UTC)</t>
  </si>
  <si>
    <t>Modifiedby</t>
  </si>
  <si>
    <t>DCP Info</t>
  </si>
  <si>
    <t>Transmit Time(s)</t>
  </si>
  <si>
    <t>Clients</t>
  </si>
  <si>
    <t>Goes Satellite</t>
  </si>
  <si>
    <t>10K</t>
  </si>
  <si>
    <t>New Mexico</t>
  </si>
  <si>
    <t>Bernalillo</t>
  </si>
  <si>
    <t>32BC4644</t>
  </si>
  <si>
    <t>Yes</t>
  </si>
  <si>
    <t>FTS Tri-Leg</t>
  </si>
  <si>
    <t>Active</t>
  </si>
  <si>
    <t>Permanent</t>
  </si>
  <si>
    <t>FIRE</t>
  </si>
  <si>
    <t>35:12:30.4992 (35.208472) North</t>
  </si>
  <si>
    <t>106:26:09.0996 (-106.435861) West</t>
  </si>
  <si>
    <t>United States Forest Service</t>
  </si>
  <si>
    <t>CIBOLA NF</t>
  </si>
  <si>
    <t>DAFS00 - Forest Service</t>
  </si>
  <si>
    <t>Bureau of Land Management - Phoenix</t>
  </si>
  <si>
    <t>Modified BLM</t>
  </si>
  <si>
    <t>Molly Wright</t>
  </si>
  <si>
    <t>molly.wright@usda.gov</t>
  </si>
  <si>
    <t xml:space="preserve">(505) 220-5980 </t>
  </si>
  <si>
    <t>Melissa Olsen</t>
  </si>
  <si>
    <t>nmabc@firenet.gov</t>
  </si>
  <si>
    <t xml:space="preserve">(505) 346-2660 </t>
  </si>
  <si>
    <t>ahester@blm.gov, jgeer@blm.gov</t>
  </si>
  <si>
    <t>Robert Castro</t>
  </si>
  <si>
    <t>Forest Technology System - F6 (F6)</t>
  </si>
  <si>
    <t>WIMS,WRCC,MESOWEST,NIFC,EGP,FEMS</t>
  </si>
  <si>
    <t>West</t>
  </si>
  <si>
    <t>3 MILE</t>
  </si>
  <si>
    <t>Idaho</t>
  </si>
  <si>
    <t>Clark</t>
  </si>
  <si>
    <t>326F772A</t>
  </si>
  <si>
    <t>UNK</t>
  </si>
  <si>
    <t>44:23:44.9988 (44.395833) North</t>
  </si>
  <si>
    <t>112:06:29.0016 (-112.108056) West</t>
  </si>
  <si>
    <t>CARIBOU/TARGHEE NF</t>
  </si>
  <si>
    <t>Bureau of Land Management - Boise</t>
  </si>
  <si>
    <t>Josh Storrer</t>
  </si>
  <si>
    <t>joshua.storrer@usda.gov</t>
  </si>
  <si>
    <t xml:space="preserve">(208) 558-4223 </t>
  </si>
  <si>
    <t>Arik Jorgensen</t>
  </si>
  <si>
    <t>carl.jorgensen1@usda.gov</t>
  </si>
  <si>
    <t xml:space="preserve">(208) 313-7818 </t>
  </si>
  <si>
    <t>ahester@blm.gov, jarrod.zweigart@usda.gov, joshua.storrer@usda.gov</t>
  </si>
  <si>
    <t>Barbara  Ward</t>
  </si>
  <si>
    <t>5 ALPHA</t>
  </si>
  <si>
    <t>Michigan</t>
  </si>
  <si>
    <t>Kalamazoo</t>
  </si>
  <si>
    <t>A37001F8</t>
  </si>
  <si>
    <t>Deactive</t>
  </si>
  <si>
    <t>42:17:47.0292 (42.296397) North</t>
  </si>
  <si>
    <t>85:19:40.1016 (-85.327806) West</t>
  </si>
  <si>
    <t>State and Private Forestry</t>
  </si>
  <si>
    <t>MICHIGAN</t>
  </si>
  <si>
    <t>MIL/VET AFFAIRS</t>
  </si>
  <si>
    <t>MCHGAN - Michigan Military/Veterans Affairs</t>
  </si>
  <si>
    <t>Warranty</t>
  </si>
  <si>
    <t>Brian Huggett</t>
  </si>
  <si>
    <t>huggettb@michigan.gov</t>
  </si>
  <si>
    <t xml:space="preserve">(209) 769-0953 </t>
  </si>
  <si>
    <t>Justin Dopp</t>
  </si>
  <si>
    <t>East</t>
  </si>
  <si>
    <t>7 MILE RIDGE</t>
  </si>
  <si>
    <t>North Carolina</t>
  </si>
  <si>
    <t>Madison</t>
  </si>
  <si>
    <t>35:48:10.8 (35.803) North</t>
  </si>
  <si>
    <t>82:39:01.44 (-82.6504) West</t>
  </si>
  <si>
    <t>NORTH CAROLINA</t>
  </si>
  <si>
    <t>DIV. OF FOREST RES.</t>
  </si>
  <si>
    <t>NCDOFR - North Carolina</t>
  </si>
  <si>
    <t>Depot BLM</t>
  </si>
  <si>
    <t>Brad Gragg</t>
  </si>
  <si>
    <t>brad.gragg@ncagr.gov</t>
  </si>
  <si>
    <t xml:space="preserve">(704) 616-7633 </t>
  </si>
  <si>
    <t>Chris Sharpton</t>
  </si>
  <si>
    <t>chris.sharpton@ncagr.gov</t>
  </si>
  <si>
    <t xml:space="preserve">(828) 774-8602 </t>
  </si>
  <si>
    <t>A-S PORTABLE #1</t>
  </si>
  <si>
    <t>Arizona</t>
  </si>
  <si>
    <t>Greenlee</t>
  </si>
  <si>
    <t>3331E3C0</t>
  </si>
  <si>
    <t>Portable</t>
  </si>
  <si>
    <t>34:21:50.1984 (34.363944) North</t>
  </si>
  <si>
    <t>111:00:52.9992 (-111.014722) West</t>
  </si>
  <si>
    <t>REGIONAL OFFICE</t>
  </si>
  <si>
    <t>Portable Return BLM</t>
  </si>
  <si>
    <t>Plumb, Ben</t>
  </si>
  <si>
    <t>benjamin.plumb@usda.gov</t>
  </si>
  <si>
    <t xml:space="preserve">(928) 699-4256 </t>
  </si>
  <si>
    <t>Naomi Corkish</t>
  </si>
  <si>
    <t>naomi.corkish@usda.gov</t>
  </si>
  <si>
    <t xml:space="preserve">(928) 333-6381 </t>
  </si>
  <si>
    <t>Tom Maione</t>
  </si>
  <si>
    <t>ABERNATHY MTN.</t>
  </si>
  <si>
    <t>Washington</t>
  </si>
  <si>
    <t>Cowlitz</t>
  </si>
  <si>
    <t>3000B5D0</t>
  </si>
  <si>
    <t>46:20:34.0008 (46.342778) North</t>
  </si>
  <si>
    <t>123:04:59.0016 (-123.083056) West</t>
  </si>
  <si>
    <t>WASHINGTON</t>
  </si>
  <si>
    <t>DEPT. OF NATURAL RES</t>
  </si>
  <si>
    <t>WASDNR - State of Washington Dept. of Natural Resources</t>
  </si>
  <si>
    <t>Tom Herman</t>
  </si>
  <si>
    <t>tom.herman@dnr.wa.gov</t>
  </si>
  <si>
    <t xml:space="preserve">(360) 480-5016 </t>
  </si>
  <si>
    <t>Matthew Dehr</t>
  </si>
  <si>
    <t>matthew.dehr@dnr.wa.gov</t>
  </si>
  <si>
    <t xml:space="preserve">(360) 529-6541 </t>
  </si>
  <si>
    <t>rpraws@dnr.wa.gov</t>
  </si>
  <si>
    <t>Robbie Swofford</t>
  </si>
  <si>
    <t>ACE BASIN</t>
  </si>
  <si>
    <t>South Carolina</t>
  </si>
  <si>
    <t>Charleston</t>
  </si>
  <si>
    <t>328C25D2</t>
  </si>
  <si>
    <t>32:39:29.9988 (32.658333) North</t>
  </si>
  <si>
    <t>80:23:56.0004 (-80.398889) West</t>
  </si>
  <si>
    <t>Fish and Wildlife Service</t>
  </si>
  <si>
    <t>REGION 4</t>
  </si>
  <si>
    <t>ACE BASIN NWR</t>
  </si>
  <si>
    <t>FWSBID - Fish and Wildlife Service</t>
  </si>
  <si>
    <t>Galen Livingston</t>
  </si>
  <si>
    <t>Galen_Livingston@fws.gov</t>
  </si>
  <si>
    <t xml:space="preserve">(816) 419-3810 </t>
  </si>
  <si>
    <t>Adam Mccullough</t>
  </si>
  <si>
    <t>Adam_Mccullough@fws.gov</t>
  </si>
  <si>
    <t xml:space="preserve">(912) 432-8081 </t>
  </si>
  <si>
    <t>ACORN WOMAN PEAK</t>
  </si>
  <si>
    <t>Oregon</t>
  </si>
  <si>
    <t>Jackson</t>
  </si>
  <si>
    <t>3246801C</t>
  </si>
  <si>
    <t>42:04:10.9992 (42.069722) North</t>
  </si>
  <si>
    <t>123:00:42.0012 (-123.011667) West</t>
  </si>
  <si>
    <t>ROGUE RIVER/SISKIYOU</t>
  </si>
  <si>
    <t>Michelle Renfro</t>
  </si>
  <si>
    <t>michelle.renfro@usda.gov</t>
  </si>
  <si>
    <t xml:space="preserve">(541) 618-2106 </t>
  </si>
  <si>
    <t>Kit Colbenson</t>
  </si>
  <si>
    <t>kristofer.colbenson@usda.gov</t>
  </si>
  <si>
    <t xml:space="preserve">(541) 899-3876 </t>
  </si>
  <si>
    <t>ahester@blm.gov</t>
  </si>
  <si>
    <t>Justin Peterson</t>
  </si>
  <si>
    <t>ACTON</t>
  </si>
  <si>
    <t>California</t>
  </si>
  <si>
    <t>Los Angeles</t>
  </si>
  <si>
    <t>CA4A7044</t>
  </si>
  <si>
    <t>34:26:47.0004 (34.446389) North</t>
  </si>
  <si>
    <t>118:11:48.48 (-118.1968) West</t>
  </si>
  <si>
    <t>CALIFORNIA</t>
  </si>
  <si>
    <t>LOS ANGELES COUNTY</t>
  </si>
  <si>
    <t>LAFIRE - LA COUNTY</t>
  </si>
  <si>
    <t>Melissa Valente</t>
  </si>
  <si>
    <t>melissa.valente@fire.lacounty.gov</t>
  </si>
  <si>
    <t xml:space="preserve">(310) 993-0040 </t>
  </si>
  <si>
    <t>Daniel Sheng</t>
  </si>
  <si>
    <t>daniel.sheng@fire.lacounty.gov</t>
  </si>
  <si>
    <t xml:space="preserve">(323) 213-0537 </t>
  </si>
  <si>
    <t>ADEL</t>
  </si>
  <si>
    <t>Georgia</t>
  </si>
  <si>
    <t>Cook</t>
  </si>
  <si>
    <t>3100E40E</t>
  </si>
  <si>
    <t>31:06:34.9992 (31.109722) North</t>
  </si>
  <si>
    <t>83:25:36.9984 (-83.426944) West</t>
  </si>
  <si>
    <t>GEORGIA</t>
  </si>
  <si>
    <t>GEORGIA FORESTRY COM</t>
  </si>
  <si>
    <t>GFDRNC - Georgia Forestry Commission</t>
  </si>
  <si>
    <t>DAN CHAN</t>
  </si>
  <si>
    <t>dchan@gfc.state.ga.us</t>
  </si>
  <si>
    <t xml:space="preserve">(678) 476-6226 </t>
  </si>
  <si>
    <t>Claude A. Edwards</t>
  </si>
  <si>
    <t>caedwards@gfc.state.ga.us</t>
  </si>
  <si>
    <t xml:space="preserve">(229) 891-7120 </t>
  </si>
  <si>
    <t>caedwards@gfc.state.ga.us, dchan@gfc.state.ga.us, tquigley@gfc.state.ga.us</t>
  </si>
  <si>
    <t>Dan Chan</t>
  </si>
  <si>
    <t>AENEAS</t>
  </si>
  <si>
    <t>Okanogan</t>
  </si>
  <si>
    <t>48:44:35.7 (48.74325) North</t>
  </si>
  <si>
    <t>119:37:20.8992 (-119.622472) West</t>
  </si>
  <si>
    <t>Charles Barnes</t>
  </si>
  <si>
    <t>Charles.Barnes@dnr.wa.gov</t>
  </si>
  <si>
    <t xml:space="preserve">(509) 675-0292 </t>
  </si>
  <si>
    <t>AFCFIREWEATHERPORTABLE</t>
  </si>
  <si>
    <t>Alabama</t>
  </si>
  <si>
    <t>Lamar</t>
  </si>
  <si>
    <t>32B4E21A</t>
  </si>
  <si>
    <t>33:45:38.7 (33.76075) North</t>
  </si>
  <si>
    <t>87:47:44.52 (-87.7957) West</t>
  </si>
  <si>
    <t>ALABAMA</t>
  </si>
  <si>
    <t>AL S&amp;PF</t>
  </si>
  <si>
    <t>ALABAM - ALABAMA S&amp;PF</t>
  </si>
  <si>
    <t>Balsie Butler</t>
  </si>
  <si>
    <t>balsie.butler@forestry.alabama.gov</t>
  </si>
  <si>
    <t xml:space="preserve">(334) 322-0849 </t>
  </si>
  <si>
    <t>Ethan Barrett</t>
  </si>
  <si>
    <t>Ethan.Barrett@forestry.alabama. gov</t>
  </si>
  <si>
    <t xml:space="preserve">(205) 292-3708 </t>
  </si>
  <si>
    <t>AGASSIZ</t>
  </si>
  <si>
    <t>Minnesota</t>
  </si>
  <si>
    <t>Marshall</t>
  </si>
  <si>
    <t>8376767C</t>
  </si>
  <si>
    <t>48:18:18 (48.305) North</t>
  </si>
  <si>
    <t>95:52:27.0012 (-95.874167) West</t>
  </si>
  <si>
    <t>REGION 3</t>
  </si>
  <si>
    <t>AGASSIZ NWR</t>
  </si>
  <si>
    <t>Brad Oen</t>
  </si>
  <si>
    <t>bradley_oen@fws.gov</t>
  </si>
  <si>
    <t xml:space="preserve">(509) 221-8467 </t>
  </si>
  <si>
    <t>Cody Okeson</t>
  </si>
  <si>
    <t>cody_okeson@fws.gov</t>
  </si>
  <si>
    <t xml:space="preserve">(218) 461-8970 </t>
  </si>
  <si>
    <t>chad_loreth@fws.gov, chris_mursu@fws.gov, michael_j_hill@fws.gov</t>
  </si>
  <si>
    <t>Bradley  Oen</t>
  </si>
  <si>
    <t>AGATE</t>
  </si>
  <si>
    <t>Nebraska</t>
  </si>
  <si>
    <t>Sioux</t>
  </si>
  <si>
    <t>FA6643F2</t>
  </si>
  <si>
    <t>42:25:30 (42.425) North</t>
  </si>
  <si>
    <t>103:44:08.9988 (-103.735833) West</t>
  </si>
  <si>
    <t>National Park Service</t>
  </si>
  <si>
    <t>MIDWEST</t>
  </si>
  <si>
    <t>AGATE FOSSIL BEDS NM</t>
  </si>
  <si>
    <t>NPS003 - National Park Service</t>
  </si>
  <si>
    <t>Alan Stover</t>
  </si>
  <si>
    <t>Alan_Stover@nps.gov</t>
  </si>
  <si>
    <t xml:space="preserve">(605) 745-1175 </t>
  </si>
  <si>
    <t>Paul Mancuso</t>
  </si>
  <si>
    <t>Paul_Mancuso@nps.gov</t>
  </si>
  <si>
    <t xml:space="preserve">(402) 661-1758 </t>
  </si>
  <si>
    <t>alan_stover@nps.gov, paul_mancuso@nps.gov</t>
  </si>
  <si>
    <t>AGNESS2</t>
  </si>
  <si>
    <t>Curry</t>
  </si>
  <si>
    <t>326202DC</t>
  </si>
  <si>
    <t>42:33:07.9992 (42.552222) North</t>
  </si>
  <si>
    <t>124:03:28.0008 (-124.057778) West</t>
  </si>
  <si>
    <t>Zac Geisler</t>
  </si>
  <si>
    <t>zac.geisler@usda.gov</t>
  </si>
  <si>
    <t xml:space="preserve">(541) 247-3606 </t>
  </si>
  <si>
    <t>Matthew Sherfick</t>
  </si>
  <si>
    <t>AGUA CANYON</t>
  </si>
  <si>
    <t>Utah</t>
  </si>
  <si>
    <t>Garfield</t>
  </si>
  <si>
    <t>FA44220E</t>
  </si>
  <si>
    <t>37:31:19.9992 (37.522222) North</t>
  </si>
  <si>
    <t>112:16:15.9996 (-112.271111) West</t>
  </si>
  <si>
    <t>INTERMOUNTAIN</t>
  </si>
  <si>
    <t>BRYCE CANYON NP</t>
  </si>
  <si>
    <t>Lyndsay Fonger</t>
  </si>
  <si>
    <t>lyndsay_fonger@nps.gov</t>
  </si>
  <si>
    <t xml:space="preserve">(435) 218-1667 </t>
  </si>
  <si>
    <t>Kayla Ronsani</t>
  </si>
  <si>
    <t>Kayla_Ronsani@nps.gov</t>
  </si>
  <si>
    <t xml:space="preserve">(435) 703-5488 </t>
  </si>
  <si>
    <t>AHAKHAV PRESERVE</t>
  </si>
  <si>
    <t>La Paz</t>
  </si>
  <si>
    <t>32B1803C</t>
  </si>
  <si>
    <t>34:07:55.9992 (34.132222) North</t>
  </si>
  <si>
    <t>114:19:45.0012 (-114.329167) West</t>
  </si>
  <si>
    <t>Bureau of Indian Affairs</t>
  </si>
  <si>
    <t>Western</t>
  </si>
  <si>
    <t>Colorado River Agen.</t>
  </si>
  <si>
    <t>BIAPRR - Bureau of Indian Affairs</t>
  </si>
  <si>
    <t>Luis Quiles</t>
  </si>
  <si>
    <t>luis.quiles@bia.gov</t>
  </si>
  <si>
    <t xml:space="preserve">(928) 216-6039 </t>
  </si>
  <si>
    <t>Carlos Nosie</t>
  </si>
  <si>
    <t>carlos.nosie@bia.gov</t>
  </si>
  <si>
    <t xml:space="preserve">(602) 379-6798 </t>
  </si>
  <si>
    <t>ahester@blm.gov, carlos.nosie@bia.gov, cheryl.bright@bia.gov</t>
  </si>
  <si>
    <t>James Geer</t>
  </si>
  <si>
    <t>AHUMOA</t>
  </si>
  <si>
    <t>Hawaii</t>
  </si>
  <si>
    <t>4870D3B2</t>
  </si>
  <si>
    <t>19:50:13.51 (19.837086) North</t>
  </si>
  <si>
    <t>155:36:46.3799 (-155.612883) West</t>
  </si>
  <si>
    <t>HAWAII</t>
  </si>
  <si>
    <t>DEPT OF LAND AND NR</t>
  </si>
  <si>
    <t>DFWLNR - Hawaii Department of Land and Natural Resources</t>
  </si>
  <si>
    <t>Michael Walker</t>
  </si>
  <si>
    <t>michael.j.walker@hawaii.gov</t>
  </si>
  <si>
    <t xml:space="preserve">(808) 348-5834 </t>
  </si>
  <si>
    <t>Don Yokoyama</t>
  </si>
  <si>
    <t>don.s.yokoyama@hawaii.gov</t>
  </si>
  <si>
    <t>michael.j.walker@hawaii.gov, riley.k.demattos@hawaii.gov</t>
  </si>
  <si>
    <t>AKNPSEAST QD</t>
  </si>
  <si>
    <t>Alaska</t>
  </si>
  <si>
    <t>Fairbanks North Star</t>
  </si>
  <si>
    <t>FA64050C</t>
  </si>
  <si>
    <t>No</t>
  </si>
  <si>
    <t>64:50:54.7188 (64.848533) North</t>
  </si>
  <si>
    <t>147:50:10.32 (-147.8362) West</t>
  </si>
  <si>
    <t>ALASKA</t>
  </si>
  <si>
    <t>ALASKA FIRE SERVICE</t>
  </si>
  <si>
    <t>Timothy Kemp</t>
  </si>
  <si>
    <t>timothy_kemp@nps.gov</t>
  </si>
  <si>
    <t xml:space="preserve">(907) 644-3723 </t>
  </si>
  <si>
    <t>Walter Degroat</t>
  </si>
  <si>
    <t>walter_degroat@nps.gov</t>
  </si>
  <si>
    <t xml:space="preserve">(907) 644-3722 </t>
  </si>
  <si>
    <t>jason_devcich@nps.gov</t>
  </si>
  <si>
    <t>AKNPSWEST QD</t>
  </si>
  <si>
    <t>Southeast Fairbanks</t>
  </si>
  <si>
    <t>FA64167A</t>
  </si>
  <si>
    <t>63:20:48.7212 (63.346867) North</t>
  </si>
  <si>
    <t>151:48:55.3788 (-151.815383) West</t>
  </si>
  <si>
    <t>keith_mitchell@nps.gov</t>
  </si>
  <si>
    <t>ALAMOSA</t>
  </si>
  <si>
    <t>Colorado</t>
  </si>
  <si>
    <t>Alamosa</t>
  </si>
  <si>
    <t>32A2635E</t>
  </si>
  <si>
    <t>37:28:47.2692 (37.479797) North</t>
  </si>
  <si>
    <t>105:56:23.3628 (-105.939823) West</t>
  </si>
  <si>
    <t>COLORADO</t>
  </si>
  <si>
    <t>CO DOFP</t>
  </si>
  <si>
    <t>COWFMS - CO Division of Fire Prevention</t>
  </si>
  <si>
    <t>Kirk Will</t>
  </si>
  <si>
    <t>kirk.will@state.co.us</t>
  </si>
  <si>
    <t xml:space="preserve">(720) 556-5100 </t>
  </si>
  <si>
    <t>Rocco Snart</t>
  </si>
  <si>
    <t>rocco.snart@state.co.us</t>
  </si>
  <si>
    <t xml:space="preserve">(720) 347-7234 </t>
  </si>
  <si>
    <t>boyd.lebeda@state.co.us</t>
  </si>
  <si>
    <t>ALASKA PORTABLE #1</t>
  </si>
  <si>
    <t>North Slope</t>
  </si>
  <si>
    <t>324440F6</t>
  </si>
  <si>
    <t>64:59:57.9912 (64.999442) North</t>
  </si>
  <si>
    <t>150:38:19.6512 (-150.638792) West</t>
  </si>
  <si>
    <t>Bureau of Land Management</t>
  </si>
  <si>
    <t>R11 Alaska</t>
  </si>
  <si>
    <t>BLM001 - Bureau of Land Management</t>
  </si>
  <si>
    <t>Ross Atkinson</t>
  </si>
  <si>
    <t>ratkinson@blm.gov</t>
  </si>
  <si>
    <t xml:space="preserve">(907) 356-5800 </t>
  </si>
  <si>
    <t>ALASKA PORTABLE #2</t>
  </si>
  <si>
    <t>Yukon-Koyukuk</t>
  </si>
  <si>
    <t>65:35:50.28 (65.5973) North</t>
  </si>
  <si>
    <t>144:36:57.4812 (-144.615967) West</t>
  </si>
  <si>
    <t>Cindy Sherfick</t>
  </si>
  <si>
    <t>ALASKA PORTABLE #3</t>
  </si>
  <si>
    <t>3244661A</t>
  </si>
  <si>
    <t>64:37:53.7492 (64.631597) North</t>
  </si>
  <si>
    <t>146:03:03.8916 (-146.051081) West</t>
  </si>
  <si>
    <t>ALASKA PORTABLE #4</t>
  </si>
  <si>
    <t>324C142C</t>
  </si>
  <si>
    <t>59:48:32.1588 (59.808933) North</t>
  </si>
  <si>
    <t>151:37:23.5812 (-151.623217) West</t>
  </si>
  <si>
    <t>Eli Barry-Garland</t>
  </si>
  <si>
    <t>ebarrygarland@blm.gov</t>
  </si>
  <si>
    <t xml:space="preserve">(907) 356-5804 </t>
  </si>
  <si>
    <t>ALASKA PORTABLE #5</t>
  </si>
  <si>
    <t>326DA4B6</t>
  </si>
  <si>
    <t>65:04:55.9992 (65.082222) North</t>
  </si>
  <si>
    <t>147:42:37.8 (-147.7105) West</t>
  </si>
  <si>
    <t>ALASKA PORTABLE #6</t>
  </si>
  <si>
    <t>32B120C4</t>
  </si>
  <si>
    <t>65:10:19.0992 (65.171972) North</t>
  </si>
  <si>
    <t>148:05:49.2 (-148.097) West</t>
  </si>
  <si>
    <t>ALASKA PORTABLE #7</t>
  </si>
  <si>
    <t>32B1155E</t>
  </si>
  <si>
    <t>63:54:21.24 (63.9059) North</t>
  </si>
  <si>
    <t>148:59:26.52 (-148.9907) West</t>
  </si>
  <si>
    <t>ALASKA PORTABLE #8</t>
  </si>
  <si>
    <t>32BA301A</t>
  </si>
  <si>
    <t>65:05:26.7288 (65.090758) North</t>
  </si>
  <si>
    <t>148:04:52.5 (-148.08125) West</t>
  </si>
  <si>
    <t>Alan Hester</t>
  </si>
  <si>
    <t>ALASKA TEST</t>
  </si>
  <si>
    <t>AAAE5476</t>
  </si>
  <si>
    <t>RESEARCH</t>
  </si>
  <si>
    <t>64:50:54.9996 (64.848611) North</t>
  </si>
  <si>
    <t>147:34:27.9984 (-147.574444) West</t>
  </si>
  <si>
    <t>BLM002 - BLM - Non-Fire Stations</t>
  </si>
  <si>
    <t>None</t>
  </si>
  <si>
    <t>ALBANY PINE BUSH</t>
  </si>
  <si>
    <t>New York</t>
  </si>
  <si>
    <t>Albany</t>
  </si>
  <si>
    <t>6250C076</t>
  </si>
  <si>
    <t>42:42:05.0004 (42.701389) North</t>
  </si>
  <si>
    <t>73:56:00.9996 (-73.933611) West</t>
  </si>
  <si>
    <t>NEW YORK</t>
  </si>
  <si>
    <t>DEC,FOREST PROT&amp;FIRE</t>
  </si>
  <si>
    <t>NYSFDR - New York State Dept of Environmental Conservation</t>
  </si>
  <si>
    <t>Scott Jackson</t>
  </si>
  <si>
    <t>scott.jackson@dec.ny.gov</t>
  </si>
  <si>
    <t xml:space="preserve">(315) 625-7261 </t>
  </si>
  <si>
    <t>Tyler Briggs</t>
  </si>
  <si>
    <t>TBriggs@albanypinebush.org</t>
  </si>
  <si>
    <t xml:space="preserve">(518) 456-0655 </t>
  </si>
  <si>
    <t>ALBINO CANYON</t>
  </si>
  <si>
    <t>San Juan</t>
  </si>
  <si>
    <t>324BF5EA</t>
  </si>
  <si>
    <t>Vaisala 403</t>
  </si>
  <si>
    <t>36:58:35.7996 (36.976611) North</t>
  </si>
  <si>
    <t>107:37:44.1012 (-107.628917) West</t>
  </si>
  <si>
    <t>R7 Upper CO Basin</t>
  </si>
  <si>
    <t>FARMINGTON</t>
  </si>
  <si>
    <t>Full BLM</t>
  </si>
  <si>
    <t>Reggie Antonio</t>
  </si>
  <si>
    <t>rantonio@blm.gov</t>
  </si>
  <si>
    <t xml:space="preserve">(505) 592-3532 </t>
  </si>
  <si>
    <t>Jake Quintana</t>
  </si>
  <si>
    <t>jjquintana@blm.gov</t>
  </si>
  <si>
    <t xml:space="preserve">(505) 478-1485 </t>
  </si>
  <si>
    <t>ahester@blm.gov, ppacheco@blm.gov</t>
  </si>
  <si>
    <t>ALCALDE</t>
  </si>
  <si>
    <t>Fresno</t>
  </si>
  <si>
    <t>32A16450</t>
  </si>
  <si>
    <t>36:10:59.9916 (36.183331) North</t>
  </si>
  <si>
    <t>120:29:54.9996 (-120.498611) West</t>
  </si>
  <si>
    <t>CDF</t>
  </si>
  <si>
    <t>CALDFP - CALIFORNIA DEPT. OF FORESTRY</t>
  </si>
  <si>
    <t>Cooperator, Contractor, etc.</t>
  </si>
  <si>
    <t>FTS AOM</t>
  </si>
  <si>
    <t>Robert Clark</t>
  </si>
  <si>
    <t>robert.clark@fire.ca.gov</t>
  </si>
  <si>
    <t xml:space="preserve">(760) 218-1397 </t>
  </si>
  <si>
    <t>Geoff Marshall</t>
  </si>
  <si>
    <t>Geoff.marshall@fire.ca.gov</t>
  </si>
  <si>
    <t>Chirag  Banda</t>
  </si>
  <si>
    <t>ALCAN HWY MI-1244</t>
  </si>
  <si>
    <t>62:49:59.7612 (62.833267) North</t>
  </si>
  <si>
    <t>141:24:33.9588 (-141.409433) West</t>
  </si>
  <si>
    <t>REGION 7</t>
  </si>
  <si>
    <t>Robert Redington</t>
  </si>
  <si>
    <t xml:space="preserve">(907) 786-3654 </t>
  </si>
  <si>
    <t>Brian Haugen</t>
  </si>
  <si>
    <t>brian_haugen@fws.gov</t>
  </si>
  <si>
    <t xml:space="preserve">(907) 475-1833 </t>
  </si>
  <si>
    <t>ebarrygarland@blm.gov, lmendoza@blm.gov, zlatham@blm.gov</t>
  </si>
  <si>
    <t>ALDER POINT</t>
  </si>
  <si>
    <t>Humboldt</t>
  </si>
  <si>
    <t>CA459524</t>
  </si>
  <si>
    <t>40:11:09.6612 (40.186017) North</t>
  </si>
  <si>
    <t>123:35:27.8196 (-123.591061) West</t>
  </si>
  <si>
    <t>Robert.Clark@fire.ca.gov</t>
  </si>
  <si>
    <t>geoff.marshall@fire.ca.gov</t>
  </si>
  <si>
    <t xml:space="preserve">(916) 809-1138 </t>
  </si>
  <si>
    <t>Forest Technology System - FWS12S (F12S)</t>
  </si>
  <si>
    <t>ALDER RIDGE</t>
  </si>
  <si>
    <t>3245E2F4</t>
  </si>
  <si>
    <t>46:16:05.9988 (46.268333) North</t>
  </si>
  <si>
    <t>117:29:53.9988 (-117.498333) West</t>
  </si>
  <si>
    <t>UMATILLA NF</t>
  </si>
  <si>
    <t>Andrew Stinchfield</t>
  </si>
  <si>
    <t>andrew.stinchfield@usda.gov</t>
  </si>
  <si>
    <t xml:space="preserve">(541) 975-3002 </t>
  </si>
  <si>
    <t>Terra</t>
  </si>
  <si>
    <t xml:space="preserve">(509) 953-9544 </t>
  </si>
  <si>
    <t>ahester@blm.gov, andrew.stinchfield@usda.gov</t>
  </si>
  <si>
    <t>ALDER SPRINGS</t>
  </si>
  <si>
    <t>Glenn</t>
  </si>
  <si>
    <t>323A4132</t>
  </si>
  <si>
    <t>39:39:05.8212 (39.651617) North</t>
  </si>
  <si>
    <t>122:43:28.3188 (-122.724533) West</t>
  </si>
  <si>
    <t>MENDOCINO NF</t>
  </si>
  <si>
    <t>Bureau of Land Management - Carson City</t>
  </si>
  <si>
    <t>Brad Tovar</t>
  </si>
  <si>
    <t>bradford.tovar@usda.gov</t>
  </si>
  <si>
    <t xml:space="preserve">(530) 934-3316 </t>
  </si>
  <si>
    <t>Stephanie Gleason</t>
  </si>
  <si>
    <t>stephanie.gleason@usda.gov</t>
  </si>
  <si>
    <t xml:space="preserve">(530) 945-1465 </t>
  </si>
  <si>
    <t>ahester@blm.gov, shuckstep@blm.gov</t>
  </si>
  <si>
    <t>Shaun Huckstep</t>
  </si>
  <si>
    <t>ALGER</t>
  </si>
  <si>
    <t>Arenac</t>
  </si>
  <si>
    <t>44:07:45.0012 (44.129167) North</t>
  </si>
  <si>
    <t>84:07:22.0008 (-84.122778) West</t>
  </si>
  <si>
    <t>DEPT OF NATURAL RES.</t>
  </si>
  <si>
    <t>MCHDNR - Michigan Department of Natural Resources</t>
  </si>
  <si>
    <t>Paul Rogers</t>
  </si>
  <si>
    <t>rogersp5@michigan.gov</t>
  </si>
  <si>
    <t xml:space="preserve">(517) 284-5872 </t>
  </si>
  <si>
    <t>Tony Histed</t>
  </si>
  <si>
    <t>histedt@michigan.gov</t>
  </si>
  <si>
    <t xml:space="preserve">(989) 980-8722 </t>
  </si>
  <si>
    <t>histedt@michigan.gov, rogersp5@michigan.gov</t>
  </si>
  <si>
    <t>ALISO LAGUNA</t>
  </si>
  <si>
    <t>Orange</t>
  </si>
  <si>
    <t>CA80539E</t>
  </si>
  <si>
    <t>33:32:09.492 (33.53597) North</t>
  </si>
  <si>
    <t>117:45:12.096 (-117.75336) West</t>
  </si>
  <si>
    <t>SD G&amp;E</t>
  </si>
  <si>
    <t>SANGAE - San Diego Gas and Electric</t>
  </si>
  <si>
    <t>Steve Vanderburg</t>
  </si>
  <si>
    <t>svanderburg@semprautilities.com</t>
  </si>
  <si>
    <t xml:space="preserve">(619) 681-4690 </t>
  </si>
  <si>
    <t>sdgemeteorology@semprautilities.com</t>
  </si>
  <si>
    <t>Jason Piglia</t>
  </si>
  <si>
    <t>ALKALI FLAT</t>
  </si>
  <si>
    <t>Malheur</t>
  </si>
  <si>
    <t>329073AC</t>
  </si>
  <si>
    <t>44:05:14.2008 (44.087278) North</t>
  </si>
  <si>
    <t>117:13:33.7008 (-117.226028) West</t>
  </si>
  <si>
    <t>R9 Columbia Pac NW</t>
  </si>
  <si>
    <t>VALE</t>
  </si>
  <si>
    <t>Marisa Carney</t>
  </si>
  <si>
    <t>mncarney@blm.gov</t>
  </si>
  <si>
    <t xml:space="preserve">(541) 709-8864 </t>
  </si>
  <si>
    <t>Andrew Robertson</t>
  </si>
  <si>
    <t>aroberts@blm.gov</t>
  </si>
  <si>
    <t xml:space="preserve">(541) 473-6263 </t>
  </si>
  <si>
    <t>Mac Hetherington</t>
  </si>
  <si>
    <t>ALLEGHENY</t>
  </si>
  <si>
    <t>Pennsylvania</t>
  </si>
  <si>
    <t>Forest</t>
  </si>
  <si>
    <t>328982EA</t>
  </si>
  <si>
    <t>Single Pole</t>
  </si>
  <si>
    <t>41:32:36.2004 (41.543389) North</t>
  </si>
  <si>
    <t>79:07:36.1992 (-79.126722) West</t>
  </si>
  <si>
    <t>ALLEGHENY NF</t>
  </si>
  <si>
    <t>Zachary Markgraf</t>
  </si>
  <si>
    <t>zachary.markgraf@usda.gov</t>
  </si>
  <si>
    <t xml:space="preserve">(215) 260-5043 </t>
  </si>
  <si>
    <t>Paul Clement</t>
  </si>
  <si>
    <t>paul.clement@usda.gov</t>
  </si>
  <si>
    <t xml:space="preserve">(814) 688-0887 </t>
  </si>
  <si>
    <t>paul.clement@usda.gov, zachary.markgraf@usda.gov</t>
  </si>
  <si>
    <t>Kelly Carter</t>
  </si>
  <si>
    <t>ALLIGATOR RIDGE</t>
  </si>
  <si>
    <t>Nevada</t>
  </si>
  <si>
    <t>White Pine</t>
  </si>
  <si>
    <t>39:44:09.2004 (39.735889) North</t>
  </si>
  <si>
    <t>115:31:06.8988 (-115.518583) West</t>
  </si>
  <si>
    <t>R10 CA Great Basin</t>
  </si>
  <si>
    <t>ELY</t>
  </si>
  <si>
    <t>Jacob Keogh</t>
  </si>
  <si>
    <t>jkeogh@blm.gov</t>
  </si>
  <si>
    <t xml:space="preserve">(775) 289-1919 </t>
  </si>
  <si>
    <t>ahester@blm.gov, rfrisk@blm.gov, shuckstep@blm.gov</t>
  </si>
  <si>
    <t>Brenden Jasper</t>
  </si>
  <si>
    <t>ALLISON</t>
  </si>
  <si>
    <t>Harney</t>
  </si>
  <si>
    <t>326021C4</t>
  </si>
  <si>
    <t>43:55:17.0004 (43.921389) North</t>
  </si>
  <si>
    <t>119:35:47.0004 (-119.596389) West</t>
  </si>
  <si>
    <t>MALHEUR NF</t>
  </si>
  <si>
    <t>Ben Nichols</t>
  </si>
  <si>
    <t>bnichols@blm.gov</t>
  </si>
  <si>
    <t xml:space="preserve">(541) 760-5714 </t>
  </si>
  <si>
    <t>Lisa Davis</t>
  </si>
  <si>
    <t>lisa.m.davis@usda.gov</t>
  </si>
  <si>
    <t xml:space="preserve">(541) 575-1321 </t>
  </si>
  <si>
    <t>ahester@blm.gov, lisa.m.davis@usda.gov</t>
  </si>
  <si>
    <t>ALPINE</t>
  </si>
  <si>
    <t>Kentucky</t>
  </si>
  <si>
    <t>Cumberland</t>
  </si>
  <si>
    <t>403016B2</t>
  </si>
  <si>
    <t>PURPOSE NOT SPECIFIED</t>
  </si>
  <si>
    <t>36:47:44.0016 (36.795556) North</t>
  </si>
  <si>
    <t>85:22:49.0008 (-85.380278) West</t>
  </si>
  <si>
    <t>KENTUCKY</t>
  </si>
  <si>
    <t>DIVISION OF FORESTRY</t>
  </si>
  <si>
    <t>KDFCRA - Kentucky Division of Forestry</t>
  </si>
  <si>
    <t>Michael Froelich</t>
  </si>
  <si>
    <t>michael.froelich@ky.gov</t>
  </si>
  <si>
    <t xml:space="preserve">(502) 682-4449 </t>
  </si>
  <si>
    <t>Seth Dykes</t>
  </si>
  <si>
    <t>seth.dykes@ky.gov</t>
  </si>
  <si>
    <t xml:space="preserve">(270) 498-0212 </t>
  </si>
  <si>
    <t>Apache</t>
  </si>
  <si>
    <t>326F12CC</t>
  </si>
  <si>
    <t>33:50:33.7992 (33.842722) North</t>
  </si>
  <si>
    <t>109:06:41.7996 (-109.111611) West</t>
  </si>
  <si>
    <t>APACHE SITGREAVES NF</t>
  </si>
  <si>
    <t>Christina Brannon</t>
  </si>
  <si>
    <t>christina.brannon@usda.gov</t>
  </si>
  <si>
    <t xml:space="preserve">(480) 221-7690 </t>
  </si>
  <si>
    <t>Heath Barker</t>
  </si>
  <si>
    <t>heath.barker@usda.gov</t>
  </si>
  <si>
    <t xml:space="preserve">(575) 418-7957 </t>
  </si>
  <si>
    <t>Joseph Soeder</t>
  </si>
  <si>
    <t>San Diego</t>
  </si>
  <si>
    <t>327F8030</t>
  </si>
  <si>
    <t>32:50:11.13 (32.836425) North</t>
  </si>
  <si>
    <t>116:40:17.5692 (-116.671547) West</t>
  </si>
  <si>
    <t>CLEVELAND NF</t>
  </si>
  <si>
    <t>Matt LaVoire</t>
  </si>
  <si>
    <t>matthew.lavoire@usda.gov</t>
  </si>
  <si>
    <t xml:space="preserve">(619) 557-5262 </t>
  </si>
  <si>
    <t>Ritchie Vela</t>
  </si>
  <si>
    <t>david.vela@usda.gov</t>
  </si>
  <si>
    <t>ahester@blm.gov, matthew.lavoire@usda.gov, shuckstep@blm.gov</t>
  </si>
  <si>
    <t>ALTAMONT</t>
  </si>
  <si>
    <t>Alameda</t>
  </si>
  <si>
    <t>CA400786</t>
  </si>
  <si>
    <t>37:41:34.9008 (37.693028) North</t>
  </si>
  <si>
    <t>121:36:33.5988 (-121.609333) West</t>
  </si>
  <si>
    <t>AMERICUS/PLAINS</t>
  </si>
  <si>
    <t>Sumter</t>
  </si>
  <si>
    <t>3100929E</t>
  </si>
  <si>
    <t>32:06:38.0016 (32.110556) North</t>
  </si>
  <si>
    <t>84:11:03.0012 (-84.184167) West</t>
  </si>
  <si>
    <t>dchan@gfc.state.ga</t>
  </si>
  <si>
    <t xml:space="preserve">(478) 751-3508 </t>
  </si>
  <si>
    <t>Aaron Edwards</t>
  </si>
  <si>
    <t>dchan@gfc.state.ga.us, dchan@gfc.state.ga.uscaedwards@gfc.state.ga.us, tquigley@gfc.state.ga.us</t>
  </si>
  <si>
    <t>AMME CS</t>
  </si>
  <si>
    <t>Northern Mariana Islands</t>
  </si>
  <si>
    <t>32D633B4</t>
  </si>
  <si>
    <t>15:13:03.99 (15.217775) North</t>
  </si>
  <si>
    <t>145:43:03.7884 (145.717719) East</t>
  </si>
  <si>
    <t>PACIFIC WEST</t>
  </si>
  <si>
    <t>AMERICAN MP</t>
  </si>
  <si>
    <t>Other</t>
  </si>
  <si>
    <t>Mark Wasser</t>
  </si>
  <si>
    <t>mark_wasser@nps.gov</t>
  </si>
  <si>
    <t xml:space="preserve">(808) 985-6184 </t>
  </si>
  <si>
    <t>Eric Johnson</t>
  </si>
  <si>
    <t>eric_johnson@fws.gov</t>
  </si>
  <si>
    <t xml:space="preserve">(808) 209-7702 </t>
  </si>
  <si>
    <t>eric_johnson@fws.gov, gmwrcc@dri.edu</t>
  </si>
  <si>
    <t>Neil Eaton</t>
  </si>
  <si>
    <t>Campbell Scientific - CR1000X (CR1X)</t>
  </si>
  <si>
    <t>ANACAPA ISLAND</t>
  </si>
  <si>
    <t>FA651480</t>
  </si>
  <si>
    <t>34:00:54.2016 (34.015056) North</t>
  </si>
  <si>
    <t>119:21:47.4084 (-119.363169) West</t>
  </si>
  <si>
    <t>CHANNEL ISLAND NP</t>
  </si>
  <si>
    <t>Mike Wilson</t>
  </si>
  <si>
    <t>mike_b_wilson@nps.gov</t>
  </si>
  <si>
    <t xml:space="preserve">(805) 338-4490 </t>
  </si>
  <si>
    <t>Brian Fuller</t>
  </si>
  <si>
    <t>ANAHUAC</t>
  </si>
  <si>
    <t>Texas</t>
  </si>
  <si>
    <t>Chambers</t>
  </si>
  <si>
    <t>8373D144</t>
  </si>
  <si>
    <t>29:40:09.0012 (29.669167) North</t>
  </si>
  <si>
    <t>94:26:17.9988 (-94.438333) West</t>
  </si>
  <si>
    <t>REGION 2</t>
  </si>
  <si>
    <t>ANAHUAC NWR</t>
  </si>
  <si>
    <t>Cathy Peterson</t>
  </si>
  <si>
    <t>cathy_peterson@fws.gov</t>
  </si>
  <si>
    <t xml:space="preserve">(936) 546-3495 </t>
  </si>
  <si>
    <t>Jon King</t>
  </si>
  <si>
    <t>jon_king@fws.gov</t>
  </si>
  <si>
    <t xml:space="preserve">(409) 267-1967 </t>
  </si>
  <si>
    <t>ANCORA HOSPITAL</t>
  </si>
  <si>
    <t>New Jersey</t>
  </si>
  <si>
    <t>Camden</t>
  </si>
  <si>
    <t>FF1011C6</t>
  </si>
  <si>
    <t>39:41:04.6212 (39.684617) North</t>
  </si>
  <si>
    <t>74:51:53.0784 (-74.864744) West</t>
  </si>
  <si>
    <t>NEW JERSEY</t>
  </si>
  <si>
    <t>FOREST FIRE SERVICE</t>
  </si>
  <si>
    <t>FFSDEP - State of New Jersey, Forest Fire Service</t>
  </si>
  <si>
    <t>Stephen Maurer</t>
  </si>
  <si>
    <t>stephen_maurer@firenet.gov</t>
  </si>
  <si>
    <t xml:space="preserve">(609) 203-9065 </t>
  </si>
  <si>
    <t>Robert Gill</t>
  </si>
  <si>
    <t>robert.gill@dep.nj.gov</t>
  </si>
  <si>
    <t xml:space="preserve">(609) 418-0730 </t>
  </si>
  <si>
    <t xml:space="preserve"> robert.gill@dep.nj.gov, stephen_maurer@firenet.gov</t>
  </si>
  <si>
    <t>ANDERSON RIDGE</t>
  </si>
  <si>
    <t>Wyoming</t>
  </si>
  <si>
    <t>Sweetwater</t>
  </si>
  <si>
    <t>42:26:13.9992 (42.437222) North</t>
  </si>
  <si>
    <t>108:56:44.0016 (-108.945556) West</t>
  </si>
  <si>
    <t>ROCK SPRINGS</t>
  </si>
  <si>
    <t>Phil Lockwood</t>
  </si>
  <si>
    <t>Plockwood@blm.gov</t>
  </si>
  <si>
    <t xml:space="preserve">(307) 828-4549 </t>
  </si>
  <si>
    <t>Jonathan Ziegler</t>
  </si>
  <si>
    <t>jziegler@blm.gov</t>
  </si>
  <si>
    <t xml:space="preserve">(307) 352-0211 </t>
  </si>
  <si>
    <t>mwengert@blm.gov, roldenburg@blm.gov, rputnam@blm.gov</t>
  </si>
  <si>
    <t>Rudy Rodriguez</t>
  </si>
  <si>
    <t>ANDREW PICKENS</t>
  </si>
  <si>
    <t>Oconee</t>
  </si>
  <si>
    <t>3333305C</t>
  </si>
  <si>
    <t>34:48:30.4992 (34.808472) North</t>
  </si>
  <si>
    <t>83:07:39.3996 (-83.127611) West</t>
  </si>
  <si>
    <t>FRANCIS MARION&amp;SUMTR</t>
  </si>
  <si>
    <t>Ryan Green</t>
  </si>
  <si>
    <t>ryan.green@usda.gov</t>
  </si>
  <si>
    <t xml:space="preserve">(417) 438-4554 </t>
  </si>
  <si>
    <t>Wes Bentley</t>
  </si>
  <si>
    <t>wesley.bentley@usda.gov</t>
  </si>
  <si>
    <t xml:space="preserve">(864) 638-4471 </t>
  </si>
  <si>
    <t>William James</t>
  </si>
  <si>
    <t>ANGEL CREEK</t>
  </si>
  <si>
    <t>3390E76C</t>
  </si>
  <si>
    <t>65:01:12 (65.02) North</t>
  </si>
  <si>
    <t>146:13:41.0016 (-146.228056) West</t>
  </si>
  <si>
    <t>STATE OF ALASKA</t>
  </si>
  <si>
    <t>ALKDNR - State of Alaska</t>
  </si>
  <si>
    <t>Mike Butteri</t>
  </si>
  <si>
    <t xml:space="preserve"> mike.butteri@alaska.gov</t>
  </si>
  <si>
    <t xml:space="preserve">(907) 356-5858 </t>
  </si>
  <si>
    <t>Lolito  Mendoza</t>
  </si>
  <si>
    <t>ANTELOPE</t>
  </si>
  <si>
    <t>44:02:22.9992 (44.039722) North</t>
  </si>
  <si>
    <t>118:24:59.0004 (-118.416389) West</t>
  </si>
  <si>
    <t>David Maynard</t>
  </si>
  <si>
    <t>david.maynard@usda.gov</t>
  </si>
  <si>
    <t xml:space="preserve">(541) 820-3874 </t>
  </si>
  <si>
    <t>ahester@blm.gov, david.maynard@usda.gov, lisa.m.davis@usda.gov</t>
  </si>
  <si>
    <t>Montana</t>
  </si>
  <si>
    <t>Beaverhead</t>
  </si>
  <si>
    <t>325363B0</t>
  </si>
  <si>
    <t>44:41:12.0012 (44.686667) North</t>
  </si>
  <si>
    <t>112:32:30.0012 (-112.541667) West</t>
  </si>
  <si>
    <t>BEAVERHEAD/DEERLODGE</t>
  </si>
  <si>
    <t>Rich Reneau</t>
  </si>
  <si>
    <t>richard.reneau@usda.gov</t>
  </si>
  <si>
    <t xml:space="preserve">(406) 683-3911 </t>
  </si>
  <si>
    <t>ahester@blm.gov, richard.reneau@usda.gov</t>
  </si>
  <si>
    <t>ANTELOPE LAKE</t>
  </si>
  <si>
    <t>Elko</t>
  </si>
  <si>
    <t>41:41:12.9984 (41.686944) North</t>
  </si>
  <si>
    <t>116:45:57.9996 (-116.766111) West</t>
  </si>
  <si>
    <t>ELKO</t>
  </si>
  <si>
    <t>Matt Murphy</t>
  </si>
  <si>
    <t>mmurphy@blm.gov</t>
  </si>
  <si>
    <t xml:space="preserve">(775) 753-0384 </t>
  </si>
  <si>
    <t>ANTIETAM NB</t>
  </si>
  <si>
    <t>Maryland</t>
  </si>
  <si>
    <t>FA64A5F4</t>
  </si>
  <si>
    <t>39:29:21.9984 (39.489444) North</t>
  </si>
  <si>
    <t>77:45:11.9988 (-77.753333) West</t>
  </si>
  <si>
    <t>NATIONAL CAPITAL</t>
  </si>
  <si>
    <t>Christopher Tawney</t>
  </si>
  <si>
    <t>christopher_tawney@nps.gov</t>
  </si>
  <si>
    <t>(301) 432-2243 7</t>
  </si>
  <si>
    <t>ANTIGO</t>
  </si>
  <si>
    <t>Wisconsin</t>
  </si>
  <si>
    <t>Langlade</t>
  </si>
  <si>
    <t>45:09:32.0004 (45.158889) North</t>
  </si>
  <si>
    <t>89:06:52.9992 (-89.114722) West</t>
  </si>
  <si>
    <t>WISCONSIN</t>
  </si>
  <si>
    <t>DNR</t>
  </si>
  <si>
    <t>WISDNR - Wisconsin DNR</t>
  </si>
  <si>
    <t>FTS FES</t>
  </si>
  <si>
    <t>John Goldschmidt</t>
  </si>
  <si>
    <t>John.Goldschmidt@wisconsin.gov</t>
  </si>
  <si>
    <t xml:space="preserve">(715) 775-0707 </t>
  </si>
  <si>
    <t>Eric Martin</t>
  </si>
  <si>
    <t>eric.martin@wisconsin.gov</t>
  </si>
  <si>
    <t xml:space="preserve">(715) 209-1754 </t>
  </si>
  <si>
    <t xml:space="preserve"> eric.martin@wisconsin.gov,  fts-techsupport@aem.eco, john.goldschmidt@wisconsin.gov</t>
  </si>
  <si>
    <t>ANZA</t>
  </si>
  <si>
    <t>Riverside</t>
  </si>
  <si>
    <t>CA44C7A2</t>
  </si>
  <si>
    <t>33:33:21.1104 (33.555864) North</t>
  </si>
  <si>
    <t>116:40:28.3512 (-116.674542) West</t>
  </si>
  <si>
    <t>Matthew Escandel</t>
  </si>
  <si>
    <t>matthew.escandel@fire.ca.gov</t>
  </si>
  <si>
    <t xml:space="preserve">(951) 238-9373 </t>
  </si>
  <si>
    <t>ken.parker@fire.ca.gov</t>
  </si>
  <si>
    <t>APALACH PORTABLE</t>
  </si>
  <si>
    <t>Florida</t>
  </si>
  <si>
    <t>Liberty</t>
  </si>
  <si>
    <t>329324DE</t>
  </si>
  <si>
    <t>30:17:21.9984 (30.289444) North</t>
  </si>
  <si>
    <t>85:01:05.9988 (-85.018333) West</t>
  </si>
  <si>
    <t>NF'S IN FLORIDA</t>
  </si>
  <si>
    <t>Jacob Summers</t>
  </si>
  <si>
    <t>jacob.summers@usda.gov</t>
  </si>
  <si>
    <t xml:space="preserve">(850) 228-7866 </t>
  </si>
  <si>
    <t>Ernest Chichester</t>
  </si>
  <si>
    <t>Ernest.Chichester@usda.gov</t>
  </si>
  <si>
    <t xml:space="preserve">(850) 523-8611 </t>
  </si>
  <si>
    <t>Gerardo Herrera</t>
  </si>
  <si>
    <t>APOSTLE ISLANDS 1</t>
  </si>
  <si>
    <t>FA63F7BC</t>
  </si>
  <si>
    <t>46:55:46.9992 (46.929722) North</t>
  </si>
  <si>
    <t>90:45:09 (-90.7525) West</t>
  </si>
  <si>
    <t>APOSTLE ISLANDS</t>
  </si>
  <si>
    <t>PEGGY BURKMAN</t>
  </si>
  <si>
    <t>peggy_burkman@nps.gov</t>
  </si>
  <si>
    <t>(715) 779-3398 12</t>
  </si>
  <si>
    <t>WIMS,WRCC,MESOWEST,NIFC,FEMS</t>
  </si>
  <si>
    <t>APPLE VALLEY 2</t>
  </si>
  <si>
    <t>San Bernardino</t>
  </si>
  <si>
    <t>325254D0</t>
  </si>
  <si>
    <t>34:35:33.3096 (34.592586) North</t>
  </si>
  <si>
    <t>117:10:05.8908 (-117.168303) West</t>
  </si>
  <si>
    <t>R8 Lower CO Basin</t>
  </si>
  <si>
    <t>CA DESERT DISTRICT</t>
  </si>
  <si>
    <t>James Gannon</t>
  </si>
  <si>
    <t>jgannon@blm.gov</t>
  </si>
  <si>
    <t xml:space="preserve">(951) 903-4141 </t>
  </si>
  <si>
    <t>James Aragon</t>
  </si>
  <si>
    <t xml:space="preserve">(760) 252-6008 </t>
  </si>
  <si>
    <t>APPLETON</t>
  </si>
  <si>
    <t>Outagamie</t>
  </si>
  <si>
    <t>32A28E7E</t>
  </si>
  <si>
    <t>44:17:14.928 (44.28748) North</t>
  </si>
  <si>
    <t>88:27:33.192 (-88.45922) West</t>
  </si>
  <si>
    <t>john.goldschmidt@wisconsin.gov</t>
  </si>
  <si>
    <t xml:space="preserve">(920) 775-0707 </t>
  </si>
  <si>
    <t>eric.martin@wisconsin.gov, john.goldschmidt@wisconsin.gov</t>
  </si>
  <si>
    <t>APPOMATTOX</t>
  </si>
  <si>
    <t>Virginia</t>
  </si>
  <si>
    <t>Appomattox</t>
  </si>
  <si>
    <t>FA671174</t>
  </si>
  <si>
    <t>37:23:31.4988 (37.392083) North</t>
  </si>
  <si>
    <t>78:47:49.8012 (-78.797167) West</t>
  </si>
  <si>
    <t>NORTHEAST</t>
  </si>
  <si>
    <t>SHENANDOAH NP</t>
  </si>
  <si>
    <t>Derek Casbon</t>
  </si>
  <si>
    <t>derek_casbon@nps.gov</t>
  </si>
  <si>
    <t xml:space="preserve">(540) 622-3907 </t>
  </si>
  <si>
    <t>Andrew Addie</t>
  </si>
  <si>
    <t>andrew_addie@nps.gov</t>
  </si>
  <si>
    <t xml:space="preserve">(540) 742-5915 </t>
  </si>
  <si>
    <t>andrew_addie@nps.gov, derek_casbon@nps.gov</t>
  </si>
  <si>
    <t>AQB SMOKE EBAM T-1</t>
  </si>
  <si>
    <t>Santa Fe</t>
  </si>
  <si>
    <t>32B3F358</t>
  </si>
  <si>
    <t>SMOKE</t>
  </si>
  <si>
    <t>35:07:54.7896 (35.131886) North</t>
  </si>
  <si>
    <t>106:27:33.7284 (-106.459369) West</t>
  </si>
  <si>
    <t>NEW MEXICO</t>
  </si>
  <si>
    <t>NM ED AIR QUALITY</t>
  </si>
  <si>
    <t>AIRQUA - New Mexico Environment Department - Air Quality</t>
  </si>
  <si>
    <t>Project Smoke</t>
  </si>
  <si>
    <t>Roman Szkoda</t>
  </si>
  <si>
    <t>roman.szkoda@state.nm.us</t>
  </si>
  <si>
    <t xml:space="preserve">(505) 476-4316 </t>
  </si>
  <si>
    <t>Donna Intermont</t>
  </si>
  <si>
    <t>donna.intermont1@state.nm.us</t>
  </si>
  <si>
    <t xml:space="preserve">(505) 476-4348 </t>
  </si>
  <si>
    <t>brent.ellington1@state.nm.us, roman.szkoda@state.nm.us</t>
  </si>
  <si>
    <t>Other - GENERIC (OTHR)</t>
  </si>
  <si>
    <t>AQB SMOKE EBAM T-2</t>
  </si>
  <si>
    <t>32B3FD8A</t>
  </si>
  <si>
    <t>AQB SMOKE EBAM T-3</t>
  </si>
  <si>
    <t>32B7A8CC</t>
  </si>
  <si>
    <t>donna.intermont@state.nm.us</t>
  </si>
  <si>
    <t>brent.ellington1@state.nm.us</t>
  </si>
  <si>
    <t>ARAGONITE</t>
  </si>
  <si>
    <t>Tooele</t>
  </si>
  <si>
    <t>3254228E</t>
  </si>
  <si>
    <t>40:35:53.8008 (40.598278) North</t>
  </si>
  <si>
    <t>113:01:19.4988 (-113.022083) West</t>
  </si>
  <si>
    <t>SALT LAKE</t>
  </si>
  <si>
    <t>Herschel (Keith) Olive</t>
  </si>
  <si>
    <t>kolive@blm.gov</t>
  </si>
  <si>
    <t xml:space="preserve">(801) 560-3021 </t>
  </si>
  <si>
    <t>Erik Valdez</t>
  </si>
  <si>
    <t>evaldez@blm.gov</t>
  </si>
  <si>
    <t xml:space="preserve">(801) 977-4335 </t>
  </si>
  <si>
    <t>ARANSAS</t>
  </si>
  <si>
    <t>Aransas</t>
  </si>
  <si>
    <t>837152A4</t>
  </si>
  <si>
    <t>28:18:15.9012 (28.304417) North</t>
  </si>
  <si>
    <t>96:49:24.3984 (-96.823444) West</t>
  </si>
  <si>
    <t>S. TX REFUGE COMPLEX</t>
  </si>
  <si>
    <t>Lety Handy</t>
  </si>
  <si>
    <t>lety_handy@fws.gov</t>
  </si>
  <si>
    <t xml:space="preserve">(956) 784-7520 </t>
  </si>
  <si>
    <t>Scott Affeldt</t>
  </si>
  <si>
    <t>scott_affeldt@fws.gov</t>
  </si>
  <si>
    <t xml:space="preserve">(956) 330-7311 </t>
  </si>
  <si>
    <t>ARB1 PORTABLE</t>
  </si>
  <si>
    <t>Shasta</t>
  </si>
  <si>
    <t>40:27:14.6016 (40.454056) North</t>
  </si>
  <si>
    <t>122:32:45.2004 (-122.545889) West</t>
  </si>
  <si>
    <t>AIR RESOURCE BOARD</t>
  </si>
  <si>
    <t>CARBER - Calif. Air Resouce Board</t>
  </si>
  <si>
    <t>Sau Xu</t>
  </si>
  <si>
    <t>sau.xu@arb.ca.gov</t>
  </si>
  <si>
    <t xml:space="preserve">(916) 895-0311 </t>
  </si>
  <si>
    <t>Joe Restaino</t>
  </si>
  <si>
    <t>Joe.Restaino@fire.ca.gov</t>
  </si>
  <si>
    <t xml:space="preserve">(530) 573-2324 </t>
  </si>
  <si>
    <t>ARB2 PORTABLE</t>
  </si>
  <si>
    <t>9160037C</t>
  </si>
  <si>
    <t xml:space="preserve">SOIL, WATER, AIR [Except SMOKE] </t>
  </si>
  <si>
    <t>40:38:17.5992 (40.638222) North</t>
  </si>
  <si>
    <t>122:06:10.0008 (-122.102778) West</t>
  </si>
  <si>
    <t xml:space="preserve">(916) 445-3606 </t>
  </si>
  <si>
    <t>Brian Saephanh</t>
  </si>
  <si>
    <t>brian.saephanh@arb.ca.gov</t>
  </si>
  <si>
    <t xml:space="preserve">(916) 445-4912 </t>
  </si>
  <si>
    <t>ARB3 PORTABLE</t>
  </si>
  <si>
    <t>Sacramento</t>
  </si>
  <si>
    <t>40:38:47.184 (40.64644) North</t>
  </si>
  <si>
    <t>121:43:39 (-121.7275) West</t>
  </si>
  <si>
    <t>ARB4 PORTABLE</t>
  </si>
  <si>
    <t>9160100A</t>
  </si>
  <si>
    <t>38:21:08.6868 (38.352413) North</t>
  </si>
  <si>
    <t>120:47:13.02 (-120.78695) West</t>
  </si>
  <si>
    <t>ARBUCKLE BASIN</t>
  </si>
  <si>
    <t>CA2AF462</t>
  </si>
  <si>
    <t>40:26:16.2096 (40.437836) North</t>
  </si>
  <si>
    <t>122:49:51.3588 (-122.830933) West</t>
  </si>
  <si>
    <t>ARCADIA ORCHARDS</t>
  </si>
  <si>
    <t>Spokane</t>
  </si>
  <si>
    <t>32B2F1A2</t>
  </si>
  <si>
    <t>47:54:27 (47.9075) North</t>
  </si>
  <si>
    <t>117:23:48.0012 (-117.396667) West</t>
  </si>
  <si>
    <t>ARCO</t>
  </si>
  <si>
    <t>Butte</t>
  </si>
  <si>
    <t>325CD6AC</t>
  </si>
  <si>
    <t>43:37:18.3 (43.62175) North</t>
  </si>
  <si>
    <t>113:23:20.1012 (-113.388917) West</t>
  </si>
  <si>
    <t>IDAHO FALLS</t>
  </si>
  <si>
    <t>Richie Wilson</t>
  </si>
  <si>
    <t>rwilson@blm.gov</t>
  </si>
  <si>
    <t xml:space="preserve">(208) 524-7615 </t>
  </si>
  <si>
    <t>ARF1 PORTABLE</t>
  </si>
  <si>
    <t>Boulder</t>
  </si>
  <si>
    <t>328DB24A</t>
  </si>
  <si>
    <t>39:56:55.7988 (39.948833) North</t>
  </si>
  <si>
    <t>105:24:48.42 (-105.41345) West</t>
  </si>
  <si>
    <t>ARAPAHO/ROOSEVELT NF</t>
  </si>
  <si>
    <t>Scott Headrick</t>
  </si>
  <si>
    <t>scott.e.headrick@usda.gov</t>
  </si>
  <si>
    <t xml:space="preserve">(720) 209-2303 </t>
  </si>
  <si>
    <t>ARF2 PORTABLE</t>
  </si>
  <si>
    <t>Grand</t>
  </si>
  <si>
    <t>328BD762</t>
  </si>
  <si>
    <t>40:01:46.3188 (40.029533) North</t>
  </si>
  <si>
    <t>106:01:10.02 (-106.01945) West</t>
  </si>
  <si>
    <t>ARIZONA STRIP PORTABLE</t>
  </si>
  <si>
    <t>328FA4C8</t>
  </si>
  <si>
    <t>36:57:39.2004 (36.960889) North</t>
  </si>
  <si>
    <t>112:07:30.3996 (-112.125111) West</t>
  </si>
  <si>
    <t>ARIZONA STRIP</t>
  </si>
  <si>
    <t>CRIS MADRIGAL</t>
  </si>
  <si>
    <t>cmadriga@blm.gov</t>
  </si>
  <si>
    <t xml:space="preserve">(435) 688-3292 </t>
  </si>
  <si>
    <t>Cody Goff</t>
  </si>
  <si>
    <t>crgoff@blm.gov</t>
  </si>
  <si>
    <t xml:space="preserve">(435) 688-3369 </t>
  </si>
  <si>
    <t>ARMELLS CREEK</t>
  </si>
  <si>
    <t>Fergus</t>
  </si>
  <si>
    <t>47:35:19.5 (47.58875) North</t>
  </si>
  <si>
    <t>108:52:05.0988 (-108.868083) West</t>
  </si>
  <si>
    <t>R5 Missouri Basin</t>
  </si>
  <si>
    <t>LEWISTOWN</t>
  </si>
  <si>
    <t>Jay Peterman</t>
  </si>
  <si>
    <t>jpeterman@blm.gov</t>
  </si>
  <si>
    <t xml:space="preserve">(406) 538-1959 </t>
  </si>
  <si>
    <t>Case Parker</t>
  </si>
  <si>
    <t>cparker@blm.gov</t>
  </si>
  <si>
    <t xml:space="preserve">(406) 538-1908 </t>
  </si>
  <si>
    <t>cparker@blm.gov, jpeterman@blm.gov</t>
  </si>
  <si>
    <t>ARMSTEAD MOUNTAIN</t>
  </si>
  <si>
    <t>Arkansas</t>
  </si>
  <si>
    <t>Pope</t>
  </si>
  <si>
    <t>328C5342</t>
  </si>
  <si>
    <t>35:34:23.0016 (35.573056) North</t>
  </si>
  <si>
    <t>92:49:09.0012 (-92.819167) West</t>
  </si>
  <si>
    <t>OZARK-ST. FRANCIS NF</t>
  </si>
  <si>
    <t>Dustin Kingwell</t>
  </si>
  <si>
    <t>dustin.kingwell@usda.gov</t>
  </si>
  <si>
    <t xml:space="preserve">(501) 321-5232 </t>
  </si>
  <si>
    <t>araoc@firenet.gov, dustin.kingwell@usda.gov</t>
  </si>
  <si>
    <t>ARMUCHEE</t>
  </si>
  <si>
    <t>Walker</t>
  </si>
  <si>
    <t>34:41:58.92 (34.6997) North</t>
  </si>
  <si>
    <t>85:09:23.5116 (-85.156531) West</t>
  </si>
  <si>
    <t>CHATTAHOOCHEE&amp;OCONEE</t>
  </si>
  <si>
    <t>Jeff Schardt</t>
  </si>
  <si>
    <t>jeffrey.schardt@usda.gov</t>
  </si>
  <si>
    <t xml:space="preserve">(706) 280-5498 </t>
  </si>
  <si>
    <t>(706) 695-6736 16</t>
  </si>
  <si>
    <t>jeffrey.schardt@usda.gov, michael.davis1@usda.gov</t>
  </si>
  <si>
    <t>ARNOLD AIR FORCE BASE</t>
  </si>
  <si>
    <t>Tennessee</t>
  </si>
  <si>
    <t>Franklin</t>
  </si>
  <si>
    <t>32A1D90C</t>
  </si>
  <si>
    <t>35:19:16.8 (35.321333) North</t>
  </si>
  <si>
    <t>86:02:01.8 (-86.033833) West</t>
  </si>
  <si>
    <t>TENNESSEE</t>
  </si>
  <si>
    <t>EACDOA - State of Tennessee Dept of Ag, Div of Forestry</t>
  </si>
  <si>
    <t>Jim Dale</t>
  </si>
  <si>
    <t>james.dale@tn.gov</t>
  </si>
  <si>
    <t xml:space="preserve">(931) 526-9502 </t>
  </si>
  <si>
    <t>edholt1@bellsouth.net</t>
  </si>
  <si>
    <t>Ed Holt</t>
  </si>
  <si>
    <t>ARROWWOOD 2</t>
  </si>
  <si>
    <t>North Dakota</t>
  </si>
  <si>
    <t>Stutsman</t>
  </si>
  <si>
    <t>837686F8</t>
  </si>
  <si>
    <t>47:16:00.0012 (47.266667) North</t>
  </si>
  <si>
    <t>98:52:00.0012 (-98.866667) West</t>
  </si>
  <si>
    <t>REGION 6</t>
  </si>
  <si>
    <t>ARROWWOOD NWR</t>
  </si>
  <si>
    <t>Jeff Dion</t>
  </si>
  <si>
    <t>jeff_dion@fws.gov</t>
  </si>
  <si>
    <t>(701) 285-3341 05</t>
  </si>
  <si>
    <t xml:space="preserve"> candvik@usda.gov,  jeff_dion@fws.gov,  tate_fischer@fws.gov, jason_wagner@fws.gov</t>
  </si>
  <si>
    <t>Tate Fischer</t>
  </si>
  <si>
    <t>ARROYO SECO</t>
  </si>
  <si>
    <t>Monterey</t>
  </si>
  <si>
    <t>3247E700</t>
  </si>
  <si>
    <t>36:14:07.7316 (36.235481) North</t>
  </si>
  <si>
    <t>121:28:47.5716 (-121.479881) West</t>
  </si>
  <si>
    <t>LOS PADRES NF</t>
  </si>
  <si>
    <t>David Elizondo (Cell)</t>
  </si>
  <si>
    <t>david.elizondo@usda.gov</t>
  </si>
  <si>
    <t xml:space="preserve">(831) 235-6030 </t>
  </si>
  <si>
    <t>Cassandra Buckley</t>
  </si>
  <si>
    <t>cassandra.buckley@usda.gov</t>
  </si>
  <si>
    <t xml:space="preserve">(805) 338-0915 </t>
  </si>
  <si>
    <t>Andrew Way</t>
  </si>
  <si>
    <t>ARSENAL</t>
  </si>
  <si>
    <t>Adams</t>
  </si>
  <si>
    <t>39:49:27.3 (39.82425) North</t>
  </si>
  <si>
    <t>104:51:20.5992 (-104.855722) West</t>
  </si>
  <si>
    <t>Cody Miler</t>
  </si>
  <si>
    <t>cody_miller@fws.gov</t>
  </si>
  <si>
    <t xml:space="preserve">(308) 440-6562 </t>
  </si>
  <si>
    <t>Scott Whiteaker</t>
  </si>
  <si>
    <t>scott_whiteaker@fws.gov</t>
  </si>
  <si>
    <t xml:space="preserve">(303) 289-0995 </t>
  </si>
  <si>
    <t xml:space="preserve"> scott_whiteaker@fws.gov, deon_steinle@fws.gov, tate_fischer@fws.gov</t>
  </si>
  <si>
    <t>ARVADA</t>
  </si>
  <si>
    <t>Jefferson</t>
  </si>
  <si>
    <t>AC0003F8</t>
  </si>
  <si>
    <t>39:50:31.5492 (39.842097) North</t>
  </si>
  <si>
    <t>105:13:18.1884 (-105.221719) West</t>
  </si>
  <si>
    <t>ARVADA FIRE MARSHALL</t>
  </si>
  <si>
    <t>ARVADA - Arvada Fire Protection District</t>
  </si>
  <si>
    <t>Scott Plumer</t>
  </si>
  <si>
    <t>scott.plumer@arvadafireco.gov</t>
  </si>
  <si>
    <t xml:space="preserve">(720) 660-9435 </t>
  </si>
  <si>
    <t>Steven Parker</t>
  </si>
  <si>
    <t>steven.parke@arvadafireco.gov</t>
  </si>
  <si>
    <t xml:space="preserve">(303) 424-3012 </t>
  </si>
  <si>
    <t>09:05, 24:05, 39:05, 54:05</t>
  </si>
  <si>
    <t>ASH CREEK</t>
  </si>
  <si>
    <t>Siskiyou</t>
  </si>
  <si>
    <t>323AC726</t>
  </si>
  <si>
    <t>41:16:36.5088 (41.276808) North</t>
  </si>
  <si>
    <t>121:58:50.0484 (-121.980569) West</t>
  </si>
  <si>
    <t>SHASTA TRINITY NF</t>
  </si>
  <si>
    <t>Joni Olson</t>
  </si>
  <si>
    <t>joni.olson@usda.gov</t>
  </si>
  <si>
    <t xml:space="preserve">(530) 226-2400 </t>
  </si>
  <si>
    <t>Ryan Wheeler</t>
  </si>
  <si>
    <t>ryan.wheeler@usda.gov</t>
  </si>
  <si>
    <t>ahester@blm.gov, hanne.meyers@usda.gov, jethompson21@peoplepc.com, shuckstep@blm.gov</t>
  </si>
  <si>
    <t>ASH MEADOWS</t>
  </si>
  <si>
    <t>Nye</t>
  </si>
  <si>
    <t>36:24:31.8096 (36.408836) North</t>
  </si>
  <si>
    <t>116:20:17.8908 (-116.338303) West</t>
  </si>
  <si>
    <t>REGION 8</t>
  </si>
  <si>
    <t>ASH MEADOWS NWR</t>
  </si>
  <si>
    <t>Erik Olson</t>
  </si>
  <si>
    <t>erik_j_olson@fws.gov</t>
  </si>
  <si>
    <t xml:space="preserve">(725) 309-1280 </t>
  </si>
  <si>
    <t>james_roberts@fws.gov, ryan_aeby@fws.gov</t>
  </si>
  <si>
    <t>ASH MOUNTAIN</t>
  </si>
  <si>
    <t>Tulare</t>
  </si>
  <si>
    <t>FA66F07C</t>
  </si>
  <si>
    <t>36:29:29.0004 (36.491389) North</t>
  </si>
  <si>
    <t>118:49:31.0008 (-118.825278) West</t>
  </si>
  <si>
    <t>SEQUOIA NP</t>
  </si>
  <si>
    <t>Steff Willmon</t>
  </si>
  <si>
    <t>steff_willmon@nps.gov</t>
  </si>
  <si>
    <t xml:space="preserve">(559) 565-3771 </t>
  </si>
  <si>
    <t>Leif Mathiesen</t>
  </si>
  <si>
    <t>leif_mathiesen@nps.gov</t>
  </si>
  <si>
    <t xml:space="preserve">(559) 702-3019 </t>
  </si>
  <si>
    <t>Steff  Willmon</t>
  </si>
  <si>
    <t>ASHFORD</t>
  </si>
  <si>
    <t>Pierce</t>
  </si>
  <si>
    <t>FA6184D8</t>
  </si>
  <si>
    <t>46:45:18.792 (46.75522) North</t>
  </si>
  <si>
    <t>122:06:35.1 (-122.10975) West</t>
  </si>
  <si>
    <t>Bryan Torian</t>
  </si>
  <si>
    <t>bryan.torian@dnr.wa.gov</t>
  </si>
  <si>
    <t xml:space="preserve">(253) 312-9108 </t>
  </si>
  <si>
    <t>ASHLAND</t>
  </si>
  <si>
    <t>Missouri</t>
  </si>
  <si>
    <t>Boone</t>
  </si>
  <si>
    <t>38:48:43 (38.811944) North</t>
  </si>
  <si>
    <t>92:15:25 (-92.256944) West</t>
  </si>
  <si>
    <t>MISSOURI</t>
  </si>
  <si>
    <t>DEPT OF CONSERVATION</t>
  </si>
  <si>
    <t>MOFDRN - Missouri Department of Conservation</t>
  </si>
  <si>
    <t>Ben Webster</t>
  </si>
  <si>
    <t>Ben.Webster@MDC.MO.GOV</t>
  </si>
  <si>
    <t>(573) 522-4115 113</t>
  </si>
  <si>
    <t>ASHLAND PORTABLE</t>
  </si>
  <si>
    <t>Powder River</t>
  </si>
  <si>
    <t>3292652E</t>
  </si>
  <si>
    <t>45:38:33.18 (45.64255) North</t>
  </si>
  <si>
    <t>105:58:34.3812 (-105.976217) West</t>
  </si>
  <si>
    <t>CUSTER GALLATIN NF</t>
  </si>
  <si>
    <t>Spencer King</t>
  </si>
  <si>
    <t>spencer.king@usda.gov</t>
  </si>
  <si>
    <t xml:space="preserve">(406) 784-2344 </t>
  </si>
  <si>
    <t>Spencer King (Cell)</t>
  </si>
  <si>
    <t xml:space="preserve">(406) 876-8317 </t>
  </si>
  <si>
    <t>ASHLEY</t>
  </si>
  <si>
    <t>Luzerne</t>
  </si>
  <si>
    <t>32B13D60</t>
  </si>
  <si>
    <t>41:12:00.2016 (41.200056) North</t>
  </si>
  <si>
    <t>75:53:19.2012 (-75.888667) West</t>
  </si>
  <si>
    <t>PENNSYLVANIA</t>
  </si>
  <si>
    <t>DCNR</t>
  </si>
  <si>
    <t>PADCNR - State (Pa)</t>
  </si>
  <si>
    <t>Brian Pfister</t>
  </si>
  <si>
    <t>bpfister@pa.gov</t>
  </si>
  <si>
    <t xml:space="preserve">(717) 713-7232 </t>
  </si>
  <si>
    <t>ASHLEY #1 PORTABLE</t>
  </si>
  <si>
    <t>Duchesne</t>
  </si>
  <si>
    <t>40:03:12.3984 (40.053444) North</t>
  </si>
  <si>
    <t>111:01:41.4984 (-111.028194) West</t>
  </si>
  <si>
    <t>ASHLEY NF</t>
  </si>
  <si>
    <t>Zack Farmer</t>
  </si>
  <si>
    <t>zachary.farmer@usda.gov</t>
  </si>
  <si>
    <t xml:space="preserve">(435) 299-2578 </t>
  </si>
  <si>
    <t>Spencer Proffit</t>
  </si>
  <si>
    <t>spencer.proffit@usda.gov</t>
  </si>
  <si>
    <t xml:space="preserve">(435) 630-5116 </t>
  </si>
  <si>
    <t>ASHLEY #2 PORTABLE</t>
  </si>
  <si>
    <t>Daggett</t>
  </si>
  <si>
    <t>3233F4E0</t>
  </si>
  <si>
    <t>40:52:19.0812 (40.871967) North</t>
  </si>
  <si>
    <t>109:32:47.1012 (-109.546417) West</t>
  </si>
  <si>
    <t>ASHLEY #3 PORTABLE</t>
  </si>
  <si>
    <t>3333F542</t>
  </si>
  <si>
    <t>40:52:35.5008 (40.876528) North</t>
  </si>
  <si>
    <t>109:27:54.6984 (-109.465194) West</t>
  </si>
  <si>
    <t>ASIK</t>
  </si>
  <si>
    <t>3961A40E</t>
  </si>
  <si>
    <t>67:28:29.58 (67.474883) North</t>
  </si>
  <si>
    <t>162:15:59.1599 (-162.266433) West</t>
  </si>
  <si>
    <t>NOATAK NP</t>
  </si>
  <si>
    <t>Pam Sousanes</t>
  </si>
  <si>
    <t>pam_sousanes@nps.gov</t>
  </si>
  <si>
    <t xml:space="preserve">(907) 455-0677 </t>
  </si>
  <si>
    <t>Bryan Geiger</t>
  </si>
  <si>
    <t>Campbell Scientific - CR1000 (CR1K)</t>
  </si>
  <si>
    <t>ASSATEAGUE ISLAND</t>
  </si>
  <si>
    <t>Worcester</t>
  </si>
  <si>
    <t>FA6141C6</t>
  </si>
  <si>
    <t>38:04:54.0012 (38.081667) North</t>
  </si>
  <si>
    <t>75:12:15.9984 (-75.204444) West</t>
  </si>
  <si>
    <t>ASSATEAGUE ISLAND NP</t>
  </si>
  <si>
    <t>Lauren Kramer</t>
  </si>
  <si>
    <t>Lauren_Kramer@nps.gov</t>
  </si>
  <si>
    <t xml:space="preserve">(410) 629-6042 </t>
  </si>
  <si>
    <t>Bill Hulslander</t>
  </si>
  <si>
    <t>bill_hulslander@nps.gov</t>
  </si>
  <si>
    <t xml:space="preserve">(410) 629-6061 </t>
  </si>
  <si>
    <t>bill_hulslander@nps.gov, lauren_kramer@nps.gov</t>
  </si>
  <si>
    <t>ASSAY</t>
  </si>
  <si>
    <t>37:32:51.9684 (37.547769) North</t>
  </si>
  <si>
    <t>112:33:54.5292 (-112.565147) West</t>
  </si>
  <si>
    <t>DIXIE NF</t>
  </si>
  <si>
    <t>Scott Tobler</t>
  </si>
  <si>
    <t>leo.tobler@usda.gov</t>
  </si>
  <si>
    <t xml:space="preserve">(435) 865-3775 </t>
  </si>
  <si>
    <t>Keith Adams</t>
  </si>
  <si>
    <t>keith.r.adams@usda.gov</t>
  </si>
  <si>
    <t xml:space="preserve">(435) 865-3776 </t>
  </si>
  <si>
    <t>ahester@blm.gov, scott.tobler@usda.gov</t>
  </si>
  <si>
    <t>ATHENS</t>
  </si>
  <si>
    <t>Henderson</t>
  </si>
  <si>
    <t>32:13:15.9996 (32.221111) North</t>
  </si>
  <si>
    <t>95:45:57.9996 (-95.766111) West</t>
  </si>
  <si>
    <t>TEXAS</t>
  </si>
  <si>
    <t>TEXAS FOREST SERVICE</t>
  </si>
  <si>
    <t>TXFSRA - Texas Forest Service</t>
  </si>
  <si>
    <t>Travis Sagebiel</t>
  </si>
  <si>
    <t>tsagebiel@tfs.tamu.edu</t>
  </si>
  <si>
    <t xml:space="preserve">(940) 452-6409 </t>
  </si>
  <si>
    <t>Brian Aldredge</t>
  </si>
  <si>
    <t>baldredge@tfs.tamu.edu</t>
  </si>
  <si>
    <t xml:space="preserve">(936) 639-8115 </t>
  </si>
  <si>
    <t>ATLANTA</t>
  </si>
  <si>
    <t>Montmorency</t>
  </si>
  <si>
    <t>0800C6DC</t>
  </si>
  <si>
    <t>45:08:58.632 (45.14962) North</t>
  </si>
  <si>
    <t>84:11:08.556 (-84.18571) West</t>
  </si>
  <si>
    <t>Jennifer Hansen</t>
  </si>
  <si>
    <t>hansenj4@michigan.gov</t>
  </si>
  <si>
    <t xml:space="preserve">(989) 745-2727 </t>
  </si>
  <si>
    <t>hansenj4@michigan.gov, rogersp5@michigan.gov</t>
  </si>
  <si>
    <t>ATLANTA MO</t>
  </si>
  <si>
    <t>Macon</t>
  </si>
  <si>
    <t>573033B4</t>
  </si>
  <si>
    <t>39:52:10 (39.869444) North</t>
  </si>
  <si>
    <t>92:31:14 (-92.520556) West</t>
  </si>
  <si>
    <t>Danny Hartwig</t>
  </si>
  <si>
    <t>danny.hartwig@mdc.mo.gov</t>
  </si>
  <si>
    <t xml:space="preserve">(660) 216-7806 </t>
  </si>
  <si>
    <t>ATLAS PEAK</t>
  </si>
  <si>
    <t>Napa</t>
  </si>
  <si>
    <t>3200051A</t>
  </si>
  <si>
    <t>38:28:29.4492 (38.474847) North</t>
  </si>
  <si>
    <t>122:15:53.28 (-122.2648) West</t>
  </si>
  <si>
    <t>FIRECA - CALFIRE/NAPA VALLEY FIRE</t>
  </si>
  <si>
    <t>Scott Melendy</t>
  </si>
  <si>
    <t>scott.melendy@fire.ca.gov</t>
  </si>
  <si>
    <t xml:space="preserve">(707) 967-1409 </t>
  </si>
  <si>
    <t>ATTWATER NWR</t>
  </si>
  <si>
    <t>8373E4DE</t>
  </si>
  <si>
    <t>29:40:13.5012 (29.670417) North</t>
  </si>
  <si>
    <t>96:16:05.4012 (-96.268167) West</t>
  </si>
  <si>
    <t>ATTWATER PRAIRIE NWR</t>
  </si>
  <si>
    <t>Carl Schwope</t>
  </si>
  <si>
    <t>carl_schwope@fws.gov</t>
  </si>
  <si>
    <t xml:space="preserve">(512) 234-1999 </t>
  </si>
  <si>
    <t>Simon Vickers</t>
  </si>
  <si>
    <t>simon_vickers@fws.gov</t>
  </si>
  <si>
    <t xml:space="preserve">(214) 205-3385 </t>
  </si>
  <si>
    <t>AUGUSTA</t>
  </si>
  <si>
    <t>West Virginia</t>
  </si>
  <si>
    <t>Hampshire</t>
  </si>
  <si>
    <t>9000A014</t>
  </si>
  <si>
    <t>39:17:57.0012 (39.299167) North</t>
  </si>
  <si>
    <t>78:38:57.9984 (-78.649444) West</t>
  </si>
  <si>
    <t>WEST VIRGINIA</t>
  </si>
  <si>
    <t>DOF</t>
  </si>
  <si>
    <t>WVADOC - West Virginia Division of Forestry</t>
  </si>
  <si>
    <t>Jeremy Jones</t>
  </si>
  <si>
    <t>jeremy.c.jones@wv.gov</t>
  </si>
  <si>
    <t xml:space="preserve">(304) 558-2788 </t>
  </si>
  <si>
    <t>Rodger Ozburn</t>
  </si>
  <si>
    <t>m.rodger.ozburn@wv.gov</t>
  </si>
  <si>
    <t xml:space="preserve">(304) 282-1203 </t>
  </si>
  <si>
    <t>jeremy.c.jones@wv.gov, m.rodger.ozburn@wv.gov</t>
  </si>
  <si>
    <t>Eau Claire</t>
  </si>
  <si>
    <t>5370A382</t>
  </si>
  <si>
    <t>44:41:44.64 (44.695733) North</t>
  </si>
  <si>
    <t>91:08:04.07 (-91.134464) West</t>
  </si>
  <si>
    <t>Rachel Hauser</t>
  </si>
  <si>
    <t>rachel.hauser@wisconsin.gov</t>
  </si>
  <si>
    <t xml:space="preserve">(715) 896-0108 </t>
  </si>
  <si>
    <t>eric.martin@wisconsin.gov, rachel.hauser@wisconsin.gov</t>
  </si>
  <si>
    <t>AUSTIN</t>
  </si>
  <si>
    <t>Lander</t>
  </si>
  <si>
    <t>39:30:11.0016 (39.503056) North</t>
  </si>
  <si>
    <t>117:04:53.0004 (-117.081389) West</t>
  </si>
  <si>
    <t>HUMBOLDT/TOIYABE NF</t>
  </si>
  <si>
    <t>Bill Panagopoulos</t>
  </si>
  <si>
    <t>william.panagopoulos@usda.gov</t>
  </si>
  <si>
    <t xml:space="preserve">(775) 289-5131 </t>
  </si>
  <si>
    <t>ahester@blm.gov, jeremy.kiesling@usda.gov</t>
  </si>
  <si>
    <t>AUSTIN NORTH</t>
  </si>
  <si>
    <t>Travis</t>
  </si>
  <si>
    <t>32BAA578</t>
  </si>
  <si>
    <t>30:27:31.6008 (30.458778) North</t>
  </si>
  <si>
    <t>97:42:09.5004 (-97.702639) West</t>
  </si>
  <si>
    <t>CITY OF AUSTIN</t>
  </si>
  <si>
    <t>AUSTIN - City of Austin Fire Department</t>
  </si>
  <si>
    <t>Steven Gibbon</t>
  </si>
  <si>
    <t>steven.gibbon@austintexas.gov</t>
  </si>
  <si>
    <t xml:space="preserve">(512) 974-0130 </t>
  </si>
  <si>
    <t>AUSTIN QUICK DEPLOY 1</t>
  </si>
  <si>
    <t>32BAB8DC</t>
  </si>
  <si>
    <t>30:09:24.4008 (30.156778) North</t>
  </si>
  <si>
    <t>97:51:37.8 (-97.8605) West</t>
  </si>
  <si>
    <t>AUSTIN QUICK DEPLOY 2</t>
  </si>
  <si>
    <t>32BAC09E</t>
  </si>
  <si>
    <t>30:19:49.8 (30.3305) North</t>
  </si>
  <si>
    <t>97:46:12.9 (-97.77025) West</t>
  </si>
  <si>
    <t>AUSTIN SOUTH EAST</t>
  </si>
  <si>
    <t>32BAB60E</t>
  </si>
  <si>
    <t>30:06:02.3004 (30.100639) North</t>
  </si>
  <si>
    <t>97:44:37.2012 (-97.743667) West</t>
  </si>
  <si>
    <t>AUSTIN SOUTH WEST</t>
  </si>
  <si>
    <t>32BAABAA</t>
  </si>
  <si>
    <t>30:17:51.9 (30.29775) North</t>
  </si>
  <si>
    <t>97:59:14.3988 (-97.987333) West</t>
  </si>
  <si>
    <t>AUSTIN WATER QD</t>
  </si>
  <si>
    <t>324403FC</t>
  </si>
  <si>
    <t>30:05:35.0016 (30.093056) North</t>
  </si>
  <si>
    <t>97:56:02.0004 (-97.933889) West</t>
  </si>
  <si>
    <t>FTS RTF</t>
  </si>
  <si>
    <t>Matthew Lore</t>
  </si>
  <si>
    <t>matthew.lore@austintexas.gov</t>
  </si>
  <si>
    <t xml:space="preserve">(347) 276-3117 </t>
  </si>
  <si>
    <t>Christian Guzman</t>
  </si>
  <si>
    <t>chris.guzman@austintexas.gov</t>
  </si>
  <si>
    <t xml:space="preserve">(512) 539-6032 </t>
  </si>
  <si>
    <t>Warren Davis</t>
  </si>
  <si>
    <t>AVA</t>
  </si>
  <si>
    <t>Douglas</t>
  </si>
  <si>
    <t>36:38:57.8004 (36.649389) North</t>
  </si>
  <si>
    <t>92:52:07.3992 (-92.868722) West</t>
  </si>
  <si>
    <t>MARK TWAIN NF</t>
  </si>
  <si>
    <t>Bennie Terrell</t>
  </si>
  <si>
    <t>bterrell@fs.fed.us</t>
  </si>
  <si>
    <t xml:space="preserve">(573) 341-7420 </t>
  </si>
  <si>
    <t>bennie.terrell@usda.gov</t>
  </si>
  <si>
    <t>AVON PARK AF RANGE 1</t>
  </si>
  <si>
    <t>Highlands</t>
  </si>
  <si>
    <t>325B1186</t>
  </si>
  <si>
    <t>27:35:43.1988 (27.595333) North</t>
  </si>
  <si>
    <t>81:12:46.9008 (-81.213028) West</t>
  </si>
  <si>
    <t>Department of Defense</t>
  </si>
  <si>
    <t>USAF</t>
  </si>
  <si>
    <t>AVON PARK</t>
  </si>
  <si>
    <t>HQAFSC - DOD</t>
  </si>
  <si>
    <t>Brent Bonner</t>
  </si>
  <si>
    <t>brent.bonner@us.af.mil</t>
  </si>
  <si>
    <t xml:space="preserve">(863) 452-4256 </t>
  </si>
  <si>
    <t>AVON PARK AFR NORTH</t>
  </si>
  <si>
    <t>Polk</t>
  </si>
  <si>
    <t>AAF00420</t>
  </si>
  <si>
    <t>27:41:22.9992 (27.689722) North</t>
  </si>
  <si>
    <t>81:19:37.0992 (-81.326972) West</t>
  </si>
  <si>
    <t>Joseph Bruner</t>
  </si>
  <si>
    <t>joseph.bruner@us.af.mil</t>
  </si>
  <si>
    <t xml:space="preserve">(813) 347-7914 </t>
  </si>
  <si>
    <t>AZ 1 TRES RIOS</t>
  </si>
  <si>
    <t>32BB5706</t>
  </si>
  <si>
    <t>ARIZONA</t>
  </si>
  <si>
    <t>FORESTRY AND FIRE</t>
  </si>
  <si>
    <t>AZDFFM - Arizona Department of Forestry and Fire Management</t>
  </si>
  <si>
    <t>Ryan Truett</t>
  </si>
  <si>
    <t>rtruett@dffm.az.gov</t>
  </si>
  <si>
    <t xml:space="preserve">(602) 619-4894 </t>
  </si>
  <si>
    <t>Jeff Gallivan</t>
  </si>
  <si>
    <t>jgallivan@dffm.az.gov</t>
  </si>
  <si>
    <t xml:space="preserve">(602) 619-4298 </t>
  </si>
  <si>
    <t>AZ 2 BABOCOMARI</t>
  </si>
  <si>
    <t>32E12486</t>
  </si>
  <si>
    <t>AZ RAWS 4</t>
  </si>
  <si>
    <t>32E137F0</t>
  </si>
  <si>
    <t>AZ RAWS 5</t>
  </si>
  <si>
    <t>32E13922</t>
  </si>
  <si>
    <t>AZ RAWS 6</t>
  </si>
  <si>
    <t>32E14160</t>
  </si>
  <si>
    <t>AZ01 QD</t>
  </si>
  <si>
    <t>Maricopa</t>
  </si>
  <si>
    <t>32D18CDC</t>
  </si>
  <si>
    <t>33:51:51.1884 (33.864219) North</t>
  </si>
  <si>
    <t>111:28:05.3112 (-111.468142) West</t>
  </si>
  <si>
    <t>AZ02 QD</t>
  </si>
  <si>
    <t>32D19FAA</t>
  </si>
  <si>
    <t>33:23:45.8016 (33.396056) North</t>
  </si>
  <si>
    <t>112:15:19.0584 (-112.255294) West</t>
  </si>
  <si>
    <t>Jeffrey Gallivan</t>
  </si>
  <si>
    <t>AZ03 QD</t>
  </si>
  <si>
    <t>32D1AA30</t>
  </si>
  <si>
    <t>AZ04 QD</t>
  </si>
  <si>
    <t>32D1B946</t>
  </si>
  <si>
    <t>AZFTA_PORT1</t>
  </si>
  <si>
    <t>33:32:42.1008 (33.545028) North</t>
  </si>
  <si>
    <t>110:20:35.1996 (-110.343111) West</t>
  </si>
  <si>
    <t>Fort Apache Agency</t>
  </si>
  <si>
    <t>Carlton Goseyun</t>
  </si>
  <si>
    <t>Carlton.Goseyun@bia.gov</t>
  </si>
  <si>
    <t xml:space="preserve">(928) 207-8027 </t>
  </si>
  <si>
    <t>Butch Gregg</t>
  </si>
  <si>
    <t>butch.gregg@bia.gov</t>
  </si>
  <si>
    <t xml:space="preserve">(928) 338-5495 </t>
  </si>
  <si>
    <t>AZNAA_PORT2</t>
  </si>
  <si>
    <t>35:44:50.2908 (35.747303) North</t>
  </si>
  <si>
    <t>109:03:10.2384 (-109.052844) West</t>
  </si>
  <si>
    <t>Navajo</t>
  </si>
  <si>
    <t>Navajo Region Office</t>
  </si>
  <si>
    <t>LEAROYD BEGAY</t>
  </si>
  <si>
    <t>LEAROYD.BEGAY@bia.gov</t>
  </si>
  <si>
    <t xml:space="preserve">(928) 729-7269 </t>
  </si>
  <si>
    <t>ahester@blm.gov, cheryl.bright@bia.gov, dale.glenmore@bia.gov</t>
  </si>
  <si>
    <t>AZSCA_PORT1</t>
  </si>
  <si>
    <t>Gila</t>
  </si>
  <si>
    <t>5212D376</t>
  </si>
  <si>
    <t>33:22:21.4212 (33.372617) North</t>
  </si>
  <si>
    <t>110:27:26.3088 (-110.457308) West</t>
  </si>
  <si>
    <t>San Carlos Agency</t>
  </si>
  <si>
    <t>Christine Thompson</t>
  </si>
  <si>
    <t>cthompson@forestry.scat-nsn.gov</t>
  </si>
  <si>
    <t xml:space="preserve">(928) 812-0744 </t>
  </si>
  <si>
    <t>ahester@blm.gov, cheryl.bright@bia.gov</t>
  </si>
  <si>
    <t>AZSCA_PORT2</t>
  </si>
  <si>
    <t>327E17A8</t>
  </si>
  <si>
    <t>33:41:25.1016 (33.690306) North</t>
  </si>
  <si>
    <t>110:29:11.4 (-110.4865) West</t>
  </si>
  <si>
    <t>AZTCA_PORT1</t>
  </si>
  <si>
    <t>Coconino</t>
  </si>
  <si>
    <t>521416A6</t>
  </si>
  <si>
    <t>35:37:36.0012 (35.626667) North</t>
  </si>
  <si>
    <t>113:15:12.9996 (-113.253611) West</t>
  </si>
  <si>
    <t>Truxton Canyon Agen.</t>
  </si>
  <si>
    <t>Melvin Hunter Sr</t>
  </si>
  <si>
    <t>melvin.huntersr2@hualapai-nsn.gov</t>
  </si>
  <si>
    <t xml:space="preserve">(928) 769-2312 </t>
  </si>
  <si>
    <t>B-T PORT #2</t>
  </si>
  <si>
    <t>Teton</t>
  </si>
  <si>
    <t>328A1086</t>
  </si>
  <si>
    <t>43:36:59.2812 (43.616467) North</t>
  </si>
  <si>
    <t>110:24:26.8812 (-110.407467) West</t>
  </si>
  <si>
    <t>BRIDGER-TETON NF</t>
  </si>
  <si>
    <t>Eric Neiswanger (Cell)</t>
  </si>
  <si>
    <t>eric.neiswanger@usda.gov</t>
  </si>
  <si>
    <t xml:space="preserve">(307) 231-0029 </t>
  </si>
  <si>
    <t>Paul Swenson</t>
  </si>
  <si>
    <t>paul.swenson@usda.gov</t>
  </si>
  <si>
    <t>(307) 367-4326 711</t>
  </si>
  <si>
    <t>B-T PORT #4</t>
  </si>
  <si>
    <t>328FF4B4</t>
  </si>
  <si>
    <t>43:45:59.6016 (43.766556) North</t>
  </si>
  <si>
    <t>110:06:24.1308 (-110.106703) West</t>
  </si>
  <si>
    <t>B-T PORTABLE #1</t>
  </si>
  <si>
    <t>3293A2CA</t>
  </si>
  <si>
    <t>43:33:59.8212 (43.566617) North</t>
  </si>
  <si>
    <t>110:42:32.2812 (-110.708967) West</t>
  </si>
  <si>
    <t>B-T PORTABLE #3</t>
  </si>
  <si>
    <t>3292D6A0</t>
  </si>
  <si>
    <t>43:22:33.6396 (43.376011) North</t>
  </si>
  <si>
    <t>110:45:19.9404 (-110.755539) West</t>
  </si>
  <si>
    <t>BACK BAY</t>
  </si>
  <si>
    <t>8377B198</t>
  </si>
  <si>
    <t>36:40:19.14 (36.671983) North</t>
  </si>
  <si>
    <t>75:54:58.51 (-75.916253) West</t>
  </si>
  <si>
    <t>REGION 5</t>
  </si>
  <si>
    <t>BACK BAY NWR</t>
  </si>
  <si>
    <t>Gene Nawrot</t>
  </si>
  <si>
    <t>gene_nawrot@fws.gov</t>
  </si>
  <si>
    <t xml:space="preserve">(757) 617-4970 </t>
  </si>
  <si>
    <t>Lauren Mowbray</t>
  </si>
  <si>
    <t>Lauren_Mowbray@fws.gov</t>
  </si>
  <si>
    <t xml:space="preserve">(703) 919-1728 </t>
  </si>
  <si>
    <t>michael_pagoaga@fws.gov</t>
  </si>
  <si>
    <t>Frank Simmons</t>
  </si>
  <si>
    <t>BACK ISLAND</t>
  </si>
  <si>
    <t>Pender</t>
  </si>
  <si>
    <t>4071A41A</t>
  </si>
  <si>
    <t>34:31:58.08 (34.5328) North</t>
  </si>
  <si>
    <t>77:43:18.84 (-77.7219) West</t>
  </si>
  <si>
    <t>Jeremy Strickland</t>
  </si>
  <si>
    <t>jeremy.strickland@ncagr.gov</t>
  </si>
  <si>
    <t xml:space="preserve">(910) 770-0326 </t>
  </si>
  <si>
    <t>Jamie Dunbar</t>
  </si>
  <si>
    <t xml:space="preserve">(252) 481-1699 </t>
  </si>
  <si>
    <t>BACKBONE</t>
  </si>
  <si>
    <t>Trinity</t>
  </si>
  <si>
    <t>324080D2</t>
  </si>
  <si>
    <t>40:53:21.4296 (40.889286) North</t>
  </si>
  <si>
    <t>123:08:33.0504 (-123.142514) West</t>
  </si>
  <si>
    <t>ahester@blm.gov, jethompson21@peoplepc.com, joel.dugger@usda.gov, shuckstep@blm.gov</t>
  </si>
  <si>
    <t>Brandon Michaels</t>
  </si>
  <si>
    <t>BADGER CREEK</t>
  </si>
  <si>
    <t>Crook</t>
  </si>
  <si>
    <t>44:02:01.8996 (44.033861) North</t>
  </si>
  <si>
    <t>120:24:25.9992 (-120.407222) West</t>
  </si>
  <si>
    <t>DESCHUTES/OCHOCO NF</t>
  </si>
  <si>
    <t>Matthew Walch</t>
  </si>
  <si>
    <t>matthew.walch@usda.gov</t>
  </si>
  <si>
    <t xml:space="preserve">(541) 416-6429 </t>
  </si>
  <si>
    <t>ahester@blm.gov, matthew.walch@usda.gov, orcoc@firenet.gov</t>
  </si>
  <si>
    <t>BADGER PEAK</t>
  </si>
  <si>
    <t>Rosebud</t>
  </si>
  <si>
    <t>5210F06E</t>
  </si>
  <si>
    <t>45:38:53.2716 (45.648131) North</t>
  </si>
  <si>
    <t>106:30:09.8604 (-106.502739) West</t>
  </si>
  <si>
    <t>Rocky Mountain</t>
  </si>
  <si>
    <t>N. Cheyenne Agency</t>
  </si>
  <si>
    <t>Mario Prettyboy</t>
  </si>
  <si>
    <t>mario.prettyboy@bia.gov</t>
  </si>
  <si>
    <t xml:space="preserve">(406) 477-8267 </t>
  </si>
  <si>
    <t>Travis Limpy</t>
  </si>
  <si>
    <t>travis.limpy@bia.gov</t>
  </si>
  <si>
    <t>ahester@blm.gov, bryce.rogers@bia.gov, cheryl.bright@bia.gov, robert.jones@bia.gov</t>
  </si>
  <si>
    <t>BADGER SPRING</t>
  </si>
  <si>
    <t>325431F8</t>
  </si>
  <si>
    <t>37:09:02.4012 (37.150667) North</t>
  </si>
  <si>
    <t>113:57:14.4 (-113.954) West</t>
  </si>
  <si>
    <t>CEDER CITY</t>
  </si>
  <si>
    <t>Dameon Julander</t>
  </si>
  <si>
    <t>djulande@blm.gov</t>
  </si>
  <si>
    <t xml:space="preserve">(435) 865-3029 </t>
  </si>
  <si>
    <t>BRANDON DAVIS</t>
  </si>
  <si>
    <t xml:space="preserve">(435) 864-7478 </t>
  </si>
  <si>
    <t>BADOURA</t>
  </si>
  <si>
    <t>Hubbard</t>
  </si>
  <si>
    <t>46:51:41.6988 (46.861583) North</t>
  </si>
  <si>
    <t>94:43:45.6996 (-94.729361) West</t>
  </si>
  <si>
    <t>MINNESOTA</t>
  </si>
  <si>
    <t>MSFDRN - Minnesota Department of Natural Resources</t>
  </si>
  <si>
    <t>Travis Verdegan</t>
  </si>
  <si>
    <t>travis.verdegan@state.mn.us</t>
  </si>
  <si>
    <t xml:space="preserve">(218) 322-2682 </t>
  </si>
  <si>
    <t>Justin Bellefeuille</t>
  </si>
  <si>
    <t>justin.bellefeuille@state.mn.us, jolene.soltis@state.mn.us</t>
  </si>
  <si>
    <t xml:space="preserve">(218) 401-0543 </t>
  </si>
  <si>
    <t>jolene.soltis@state.mn.us, justin.bellefeuille@state.mn.us, travis.verdegan@state.mn.us</t>
  </si>
  <si>
    <t>BAILEY</t>
  </si>
  <si>
    <t>3240E534</t>
  </si>
  <si>
    <t>39:22:45.9984 (39.379444) North</t>
  </si>
  <si>
    <t>105:20:17.9988 (-105.338333) West</t>
  </si>
  <si>
    <t>PIKE/SAN ISABE NF</t>
  </si>
  <si>
    <t>James Pilsmaker</t>
  </si>
  <si>
    <t>james.pilsmaker@usda.gov</t>
  </si>
  <si>
    <t xml:space="preserve">(617) 510-2744 </t>
  </si>
  <si>
    <t>Jeffrey Bade</t>
  </si>
  <si>
    <t>jeffrey.bade@usda.gov</t>
  </si>
  <si>
    <t xml:space="preserve">(719) 659-0026 </t>
  </si>
  <si>
    <t>ahester@blm.gov, james.pilsmaker@usda.gov, jeffrey.bade@usda.gov</t>
  </si>
  <si>
    <t>BAILLY</t>
  </si>
  <si>
    <t>Indiana</t>
  </si>
  <si>
    <t>Porter</t>
  </si>
  <si>
    <t>FA66B376</t>
  </si>
  <si>
    <t>41:37:54.0012 (41.631667) North</t>
  </si>
  <si>
    <t>87:05:16.0008 (-87.087778) West</t>
  </si>
  <si>
    <t>INDIANA DUNES N.LAKE</t>
  </si>
  <si>
    <t>Micah Bell</t>
  </si>
  <si>
    <t>micah_bell@nps.gov</t>
  </si>
  <si>
    <t xml:space="preserve">(219) 395-8150 </t>
  </si>
  <si>
    <t>paul_mancuso@nps.gov</t>
  </si>
  <si>
    <t>BAINBRIDGE</t>
  </si>
  <si>
    <t>Decatur</t>
  </si>
  <si>
    <t>32B4892E</t>
  </si>
  <si>
    <t>30:58:14.2392 (30.970622) North</t>
  </si>
  <si>
    <t>84:38:03.6708 (-84.634353) West</t>
  </si>
  <si>
    <t>Daniel Chan</t>
  </si>
  <si>
    <t xml:space="preserve">(478) 342-0150 </t>
  </si>
  <si>
    <t>Claude Aaron Edwards</t>
  </si>
  <si>
    <t>cedwards@gfc.state.ga.us</t>
  </si>
  <si>
    <t xml:space="preserve">(229) 289-2966 </t>
  </si>
  <si>
    <t>BAINBRIDGE ISLAND</t>
  </si>
  <si>
    <t>Kitsap</t>
  </si>
  <si>
    <t>32B7A61E</t>
  </si>
  <si>
    <t>47:42:08.1 (47.70225) North</t>
  </si>
  <si>
    <t>122:32:54.6 (-122.5485) West</t>
  </si>
  <si>
    <t>BI FIRE DEPARTMENT</t>
  </si>
  <si>
    <t>BIFD01 - Bainbridge Island Fire Department</t>
  </si>
  <si>
    <t>Jason Livdahl</t>
  </si>
  <si>
    <t>jlivdahl@bifd.org</t>
  </si>
  <si>
    <t xml:space="preserve">(206) 842-7686 </t>
  </si>
  <si>
    <t>Battalion 21</t>
  </si>
  <si>
    <t>bn21@bifd.org</t>
  </si>
  <si>
    <t xml:space="preserve">(206) 793-7122 </t>
  </si>
  <si>
    <t>BAKER PARK</t>
  </si>
  <si>
    <t>South Dakota</t>
  </si>
  <si>
    <t>Pennington</t>
  </si>
  <si>
    <t>43:58:45.0012 (43.979167) North</t>
  </si>
  <si>
    <t>103:25:30 (-103.425) West</t>
  </si>
  <si>
    <t>BLACK HILLS NF</t>
  </si>
  <si>
    <t>Josh Morgan</t>
  </si>
  <si>
    <t>joshua.t.morgan@usda.gov</t>
  </si>
  <si>
    <t xml:space="preserve">(605) 673-7958 </t>
  </si>
  <si>
    <t>Shea Koch</t>
  </si>
  <si>
    <t>shea.koch@usda.gov</t>
  </si>
  <si>
    <t xml:space="preserve">(605) 716-2011 </t>
  </si>
  <si>
    <t>ahester@blm.gov, joshua.t.morgan@usda.gov</t>
  </si>
  <si>
    <t>Joshua Morgan</t>
  </si>
  <si>
    <t>BAKERS TANK</t>
  </si>
  <si>
    <t>Yuma</t>
  </si>
  <si>
    <t>32B5F396</t>
  </si>
  <si>
    <t>32:36:55.0008 (32.615278) North</t>
  </si>
  <si>
    <t>114:00:30.0996 (-114.008361) West</t>
  </si>
  <si>
    <t>USMC</t>
  </si>
  <si>
    <t>DOD MCAS YUMA</t>
  </si>
  <si>
    <t>DODMCF - DOD</t>
  </si>
  <si>
    <t>Blake Hash</t>
  </si>
  <si>
    <t>blake.hash@usmc.mil</t>
  </si>
  <si>
    <t xml:space="preserve">(928) 269-3115 </t>
  </si>
  <si>
    <t>BALCONES</t>
  </si>
  <si>
    <t>3265958A</t>
  </si>
  <si>
    <t>30:33:57.9996 (30.566111) North</t>
  </si>
  <si>
    <t>98:02:20.0004 (-98.038889) West</t>
  </si>
  <si>
    <t>BALCONES CANYON NWR</t>
  </si>
  <si>
    <t>Caleb Thyer</t>
  </si>
  <si>
    <t>Caleb_thyer@fws.gov</t>
  </si>
  <si>
    <t xml:space="preserve">(830) 220-2457 </t>
  </si>
  <si>
    <t>BALCONES FLYING X</t>
  </si>
  <si>
    <t>Burnet</t>
  </si>
  <si>
    <t>3292A030</t>
  </si>
  <si>
    <t>30:37:47.5212 (30.629867) North</t>
  </si>
  <si>
    <t>98:04:55.2 (-98.082) West</t>
  </si>
  <si>
    <t>BALD KNOB</t>
  </si>
  <si>
    <t>Coos</t>
  </si>
  <si>
    <t>3245349C</t>
  </si>
  <si>
    <t>42:41:36.9996 (42.693611) North</t>
  </si>
  <si>
    <t>124:02:21.9984 (-124.039444) West</t>
  </si>
  <si>
    <t>BALD MTN</t>
  </si>
  <si>
    <t>325282B8</t>
  </si>
  <si>
    <t>43:33:26.7012 (43.557417) North</t>
  </si>
  <si>
    <t>118:24:25.4988 (-118.407083) West</t>
  </si>
  <si>
    <t>BURNS</t>
  </si>
  <si>
    <t>Charity Wensenk</t>
  </si>
  <si>
    <t>cwensenk@blm.gov</t>
  </si>
  <si>
    <t xml:space="preserve">(541) 573-4395 </t>
  </si>
  <si>
    <t>BALD MTN LOC</t>
  </si>
  <si>
    <t>El Dorado</t>
  </si>
  <si>
    <t>38:54:15.0012 (38.904167) North</t>
  </si>
  <si>
    <t>120:42:18.7992 (-120.705222) West</t>
  </si>
  <si>
    <t>ELDORADO NF</t>
  </si>
  <si>
    <t>Anthony Sigona</t>
  </si>
  <si>
    <t>anthony.sigona@usda.gov</t>
  </si>
  <si>
    <t xml:space="preserve">(530) 492-4452 </t>
  </si>
  <si>
    <t xml:space="preserve">Mark Johnson </t>
  </si>
  <si>
    <t>Mark.a.johnson@usda.gov</t>
  </si>
  <si>
    <t xml:space="preserve">(530) 333-5571 </t>
  </si>
  <si>
    <t>ahester@blm.gov, jecobie.waters@usda.gov, shuckstep@blm.gov</t>
  </si>
  <si>
    <t>BALDWIN</t>
  </si>
  <si>
    <t>Lake</t>
  </si>
  <si>
    <t>43:52:35.0004 (43.876389) North</t>
  </si>
  <si>
    <t>85:51:05.0004 (-85.851389) West</t>
  </si>
  <si>
    <t>HURON-MANISTEE NF</t>
  </si>
  <si>
    <t>Brian Stearns (Cell)</t>
  </si>
  <si>
    <t>brian.stearns@usda.gov</t>
  </si>
  <si>
    <t xml:space="preserve">(989) 305-1230 </t>
  </si>
  <si>
    <t>Matt Way</t>
  </si>
  <si>
    <t>matthew.way@usda.gov</t>
  </si>
  <si>
    <t xml:space="preserve">(231) 775-8732 </t>
  </si>
  <si>
    <t>midc@usda.gov</t>
  </si>
  <si>
    <t>BANGOR</t>
  </si>
  <si>
    <t>CA2162A8</t>
  </si>
  <si>
    <t>39:22:50.6892 (39.380747) North</t>
  </si>
  <si>
    <t>121:23:10.4208 (-121.386228) West</t>
  </si>
  <si>
    <t>BANKHEAD</t>
  </si>
  <si>
    <t>Lawrence</t>
  </si>
  <si>
    <t>327ED2B6</t>
  </si>
  <si>
    <t>34:20:39.0012 (34.344167) North</t>
  </si>
  <si>
    <t>87:20:15 (-87.3375) West</t>
  </si>
  <si>
    <t>NF'S IN ALABAMA</t>
  </si>
  <si>
    <t>Craig Moore</t>
  </si>
  <si>
    <t>gcmoore@fs.fed.us</t>
  </si>
  <si>
    <t xml:space="preserve">(205) 489-5111 </t>
  </si>
  <si>
    <t>Scott Turner</t>
  </si>
  <si>
    <t>scott.turner2@usda.gov</t>
  </si>
  <si>
    <t xml:space="preserve">(256) 493-6243 </t>
  </si>
  <si>
    <t>BANNER ROAD</t>
  </si>
  <si>
    <t>Calaveras</t>
  </si>
  <si>
    <t>CA21F7CA</t>
  </si>
  <si>
    <t>38:17:03.9012 (38.284417) North</t>
  </si>
  <si>
    <t>120:29:23.1 (-120.48975) West</t>
  </si>
  <si>
    <t>ca, gov, robert.clark@fire</t>
  </si>
  <si>
    <t>BANNING</t>
  </si>
  <si>
    <t>32A101B6</t>
  </si>
  <si>
    <t>33:58:24.3084 (33.973419) North</t>
  </si>
  <si>
    <t>116:54:45.0504 (-116.912514) West</t>
  </si>
  <si>
    <t>SAN BERNARDINO NF</t>
  </si>
  <si>
    <t>Lauren Blake</t>
  </si>
  <si>
    <t>lauren.blake@usda.gov</t>
  </si>
  <si>
    <t xml:space="preserve">(909) 573-6065 </t>
  </si>
  <si>
    <t>Bryan Vergne</t>
  </si>
  <si>
    <t>bryan.vergne@usda.gov</t>
  </si>
  <si>
    <t xml:space="preserve">(909) 659-6346 </t>
  </si>
  <si>
    <t>ahester@blm.gov, bryan.vergne@usda.gov, shuckstep@blm.gov</t>
  </si>
  <si>
    <t>BARAGA PLAINS</t>
  </si>
  <si>
    <t>Baraga</t>
  </si>
  <si>
    <t>324C32C0</t>
  </si>
  <si>
    <t>46:35:51.3996 (46.597611) North</t>
  </si>
  <si>
    <t>88:37:32.4984 (-88.625694) West</t>
  </si>
  <si>
    <t>HIAWATHA &amp; OTTAWA NF</t>
  </si>
  <si>
    <t>William Meginley</t>
  </si>
  <si>
    <t>william.meginley@usda.gov</t>
  </si>
  <si>
    <t xml:space="preserve">(906) 287-5628 </t>
  </si>
  <si>
    <t>Kyle Goll</t>
  </si>
  <si>
    <t>kyle.goll@usda.gov</t>
  </si>
  <si>
    <t xml:space="preserve">(406) 407-3548 </t>
  </si>
  <si>
    <t>francis.paukert@usda.gov, kyle.goll@usda.gov, william.meginley@usda.gov</t>
  </si>
  <si>
    <t>BARATARIA VC FTS</t>
  </si>
  <si>
    <t>Louisiana</t>
  </si>
  <si>
    <t>32BCFB18</t>
  </si>
  <si>
    <t>29:47:02.4 (29.784) North</t>
  </si>
  <si>
    <t>90:06:54 (-90.115) West</t>
  </si>
  <si>
    <t>SOUTHEAST</t>
  </si>
  <si>
    <t>JEAN LAFITTE NHP&amp;P</t>
  </si>
  <si>
    <t>Julie Whitbeck</t>
  </si>
  <si>
    <t>julie_whitbeck@nps.gov</t>
  </si>
  <si>
    <t xml:space="preserve">(504) 717-9811 </t>
  </si>
  <si>
    <t>BARATARIA VISITOR CENTER</t>
  </si>
  <si>
    <t>837290B4</t>
  </si>
  <si>
    <t>Gayan DeSilva</t>
  </si>
  <si>
    <t xml:space="preserve">gayan_desilva@nps,gov </t>
  </si>
  <si>
    <t xml:space="preserve">(504) 301-8029 </t>
  </si>
  <si>
    <t>BARNABY</t>
  </si>
  <si>
    <t>Marin</t>
  </si>
  <si>
    <t>FA5033DC</t>
  </si>
  <si>
    <t>38:01:41.0016 (38.028056) North</t>
  </si>
  <si>
    <t>122:42:07.9992 (-122.702222) West</t>
  </si>
  <si>
    <t>POINT REYES N.SEASH.</t>
  </si>
  <si>
    <t>Tom Edwards</t>
  </si>
  <si>
    <t>thomas_edwards@nps.gov</t>
  </si>
  <si>
    <t xml:space="preserve">(415) 419-1133 </t>
  </si>
  <si>
    <t>Tony Sandrini</t>
  </si>
  <si>
    <t>anthony_sandrini@nps.gov</t>
  </si>
  <si>
    <t xml:space="preserve">(951) 663-0196 </t>
  </si>
  <si>
    <t>BARNES</t>
  </si>
  <si>
    <t>Bayfield</t>
  </si>
  <si>
    <t>46:20:39.0012 (46.344167) North</t>
  </si>
  <si>
    <t>91:32:35.9988 (-91.543333) West</t>
  </si>
  <si>
    <t>Dan Jones</t>
  </si>
  <si>
    <t>Daniel.Jones@wisconsin.gov</t>
  </si>
  <si>
    <t xml:space="preserve">(715) 816-0874 </t>
  </si>
  <si>
    <t>daniel.jones@wisconsin.gov, eric.martin@wisconsin.gov</t>
  </si>
  <si>
    <t>John Kelto</t>
  </si>
  <si>
    <t>BARNHART</t>
  </si>
  <si>
    <t>Crockett</t>
  </si>
  <si>
    <t>8841731C</t>
  </si>
  <si>
    <t>30:59:08.0016 (30.985556) North</t>
  </si>
  <si>
    <t>101:09:28.0008 (-101.157778) West</t>
  </si>
  <si>
    <t>Jacob Petrie</t>
  </si>
  <si>
    <t>jacob.petrie@tfs.tamu.edu</t>
  </si>
  <si>
    <t xml:space="preserve">(325) 280-4348 </t>
  </si>
  <si>
    <t>BARON</t>
  </si>
  <si>
    <t>AA102746</t>
  </si>
  <si>
    <t>38:51:16.0308 (38.854453) North</t>
  </si>
  <si>
    <t>120:01:27.4188 (-120.024283) West</t>
  </si>
  <si>
    <t>LAKE TAHOE BASIN MU</t>
  </si>
  <si>
    <t>Tod Flowers</t>
  </si>
  <si>
    <t>tod.flowers@usda.gov</t>
  </si>
  <si>
    <t xml:space="preserve">(530) 543-2744 </t>
  </si>
  <si>
    <t>Kenneth Heald</t>
  </si>
  <si>
    <t>kenneth.heald@usda.gov</t>
  </si>
  <si>
    <t>Steven  Smith</t>
  </si>
  <si>
    <t>02:30, 17:30, 32:30, 47:30</t>
  </si>
  <si>
    <t>BARREL SPRINGS</t>
  </si>
  <si>
    <t>Washoe</t>
  </si>
  <si>
    <t>41:54:38.5992 (41.910722) North</t>
  </si>
  <si>
    <t>119:56:21.5988 (-119.939333) West</t>
  </si>
  <si>
    <t>SUSANVILLE</t>
  </si>
  <si>
    <t>Sadie Wilson</t>
  </si>
  <si>
    <t>SWilson@blm.gov</t>
  </si>
  <si>
    <t xml:space="preserve">(530) 252-5324 </t>
  </si>
  <si>
    <t>BARRETT</t>
  </si>
  <si>
    <t>CA8003E2</t>
  </si>
  <si>
    <t>RESOURCE</t>
  </si>
  <si>
    <t>32:40:03 (32.6675) North</t>
  </si>
  <si>
    <t>116:41:57.9984 (-116.699444) West</t>
  </si>
  <si>
    <t>BARTLEY</t>
  </si>
  <si>
    <t>Mora</t>
  </si>
  <si>
    <t>35:54:31.5 (35.90875) North</t>
  </si>
  <si>
    <t>105:23:15.6984 (-105.387694) West</t>
  </si>
  <si>
    <t>SANTA FE NF</t>
  </si>
  <si>
    <t>Arnold J. Lopez</t>
  </si>
  <si>
    <t>arnold.j.lopez@usda.gov</t>
  </si>
  <si>
    <t xml:space="preserve">(505) 438-5600 </t>
  </si>
  <si>
    <t>Rich Sack</t>
  </si>
  <si>
    <t>richard.sack@usda.gov</t>
  </si>
  <si>
    <t xml:space="preserve">(505) 423-5109 </t>
  </si>
  <si>
    <t>fabian.montano@usda.gov, richard_naden@nps.gov</t>
  </si>
  <si>
    <t>BARTON CITY</t>
  </si>
  <si>
    <t>Alcona</t>
  </si>
  <si>
    <t>32B0223E</t>
  </si>
  <si>
    <t>44:39:53.424 (44.66484) North</t>
  </si>
  <si>
    <t>83:35:15.432 (-83.58762) West</t>
  </si>
  <si>
    <t>Roger MacNeill</t>
  </si>
  <si>
    <t>macneillr@michigan.gov</t>
  </si>
  <si>
    <t xml:space="preserve">(989) 736-8336 </t>
  </si>
  <si>
    <t>macneillr@michigan.gov, rogersp5@michigan.gov</t>
  </si>
  <si>
    <t>BASQUE HILLS</t>
  </si>
  <si>
    <t>3250A1A0</t>
  </si>
  <si>
    <t>42:15:16.9992 (42.254722) North</t>
  </si>
  <si>
    <t>118:58:04.0008 (-118.967778) West</t>
  </si>
  <si>
    <t xml:space="preserve">Ben Nichols </t>
  </si>
  <si>
    <t>BASTROP</t>
  </si>
  <si>
    <t>Bastrop</t>
  </si>
  <si>
    <t>8840D11E</t>
  </si>
  <si>
    <t>30:12:05.0004 (30.201389) North</t>
  </si>
  <si>
    <t>97:18:12.9996 (-97.303611) West</t>
  </si>
  <si>
    <t>Andy Larson</t>
  </si>
  <si>
    <t>alarson@tfs.tamu.edu</t>
  </si>
  <si>
    <t xml:space="preserve">(979) 220-1368 </t>
  </si>
  <si>
    <t>BASTROP PORTABLE</t>
  </si>
  <si>
    <t>32D0DE5A</t>
  </si>
  <si>
    <t>BASTROP CO EM</t>
  </si>
  <si>
    <t>BASTRP - Bastrop County TX Emergency Management</t>
  </si>
  <si>
    <t>Steven Long</t>
  </si>
  <si>
    <t>steven.long@co.bastrop.tx.us</t>
  </si>
  <si>
    <t xml:space="preserve">(512) 303-4302 </t>
  </si>
  <si>
    <t>James Allen</t>
  </si>
  <si>
    <t>james.allen@co.bastrop.tx.us</t>
  </si>
  <si>
    <t xml:space="preserve">(512) 845-4185 </t>
  </si>
  <si>
    <t>BATDRAW</t>
  </si>
  <si>
    <t>Eddy</t>
  </si>
  <si>
    <t>FA623058</t>
  </si>
  <si>
    <t>32:10:42.9996 (32.178611) North</t>
  </si>
  <si>
    <t>104:26:26.0016 (-104.440556) West</t>
  </si>
  <si>
    <t>CARLSBAD CAVERN NP</t>
  </si>
  <si>
    <t>Jay Yancick</t>
  </si>
  <si>
    <t>jay_yancick@nps.gov</t>
  </si>
  <si>
    <t xml:space="preserve">(432) 940-1641 </t>
  </si>
  <si>
    <t>Richard Naden</t>
  </si>
  <si>
    <t>richard_naden@nps.gov</t>
  </si>
  <si>
    <t xml:space="preserve">(505) 842-3415 </t>
  </si>
  <si>
    <t>Jack Yancick</t>
  </si>
  <si>
    <t>BATTERSON</t>
  </si>
  <si>
    <t>Madera</t>
  </si>
  <si>
    <t>326FB234</t>
  </si>
  <si>
    <t>37:22:42.3192 (37.378422) North</t>
  </si>
  <si>
    <t>119:37:46.3116 (-119.629531) West</t>
  </si>
  <si>
    <t>SIERRA NF</t>
  </si>
  <si>
    <t>Hannah Haley</t>
  </si>
  <si>
    <t>hannah.haley1@usda.gov</t>
  </si>
  <si>
    <t xml:space="preserve">(559) 676-8272 </t>
  </si>
  <si>
    <t>Rafael Sanchez</t>
  </si>
  <si>
    <t>rafael.sanchez@usda.gov</t>
  </si>
  <si>
    <t xml:space="preserve">(559) 760-5554 </t>
  </si>
  <si>
    <t>BATTLE RIDGE</t>
  </si>
  <si>
    <t>Gallatin</t>
  </si>
  <si>
    <t>32B74B3E</t>
  </si>
  <si>
    <t>45:52:59.4012 (45.883167) North</t>
  </si>
  <si>
    <t>110:53:42.3996 (-110.895111) West</t>
  </si>
  <si>
    <t>James Ray</t>
  </si>
  <si>
    <t>james.m.ray@usda.gov</t>
  </si>
  <si>
    <t xml:space="preserve">(406) 522-2564 </t>
  </si>
  <si>
    <t>Todd Erdody</t>
  </si>
  <si>
    <t>todd.erdody@usda.gov</t>
  </si>
  <si>
    <t xml:space="preserve">(406) 600-0298 </t>
  </si>
  <si>
    <t>BAUDETTE</t>
  </si>
  <si>
    <t>Lake of the Woods</t>
  </si>
  <si>
    <t>48:40:13.0008 (48.670278) North</t>
  </si>
  <si>
    <t>94:37:01.9992 (-94.617222) West</t>
  </si>
  <si>
    <t>Mark McDonald</t>
  </si>
  <si>
    <t>david.dragon@state.mn.us, jolene.soltis@state.mn.us</t>
  </si>
  <si>
    <t xml:space="preserve">(218) 395-6039 </t>
  </si>
  <si>
    <t xml:space="preserve"> travis.verdegan@state.mn.us, david.dragon@state.mn.us, jolene.soltis@state.mn.us</t>
  </si>
  <si>
    <t>BAXLEY</t>
  </si>
  <si>
    <t>Appling</t>
  </si>
  <si>
    <t>3100D194</t>
  </si>
  <si>
    <t>31:42:48.9996 (31.713611) North</t>
  </si>
  <si>
    <t>82:23:16.0008 (-82.387778) West</t>
  </si>
  <si>
    <t>BC BALDY</t>
  </si>
  <si>
    <t>Lincoln</t>
  </si>
  <si>
    <t>3275447C</t>
  </si>
  <si>
    <t>48:37:29.8308 (48.624953) North</t>
  </si>
  <si>
    <t>115:34:51.6684 (-115.581019) West</t>
  </si>
  <si>
    <t>KOOTENAI NF</t>
  </si>
  <si>
    <t>Erich Tallmadge</t>
  </si>
  <si>
    <t>erich.tallmadge@usda.gov</t>
  </si>
  <si>
    <t xml:space="preserve">(406) 334-7500 </t>
  </si>
  <si>
    <t>Cory Farmer</t>
  </si>
  <si>
    <t>cory.farmer@usda.gov</t>
  </si>
  <si>
    <t xml:space="preserve">(406) 293-1018 </t>
  </si>
  <si>
    <t>ahester@blm.gov, erich.tallmadge@usda.gov</t>
  </si>
  <si>
    <t>BDF02 PORTABLE</t>
  </si>
  <si>
    <t>333355BA</t>
  </si>
  <si>
    <t>34:09:02.6388 (34.150733) North</t>
  </si>
  <si>
    <t>116:59:00.1788 (-116.983383) West</t>
  </si>
  <si>
    <t>bryan.vergne@usda.gov, shuckstep@blm.gov</t>
  </si>
  <si>
    <t>BDF03 PORTABLE</t>
  </si>
  <si>
    <t>328A85E4</t>
  </si>
  <si>
    <t>33:36:40.9284 (33.611369) North</t>
  </si>
  <si>
    <t>116:39:37.4004 (-116.660389) West</t>
  </si>
  <si>
    <t xml:space="preserve"> shuckstep@blm.gov, nicholas.gillott@usda.gov, samuel.jerman@usda.gov</t>
  </si>
  <si>
    <t>Lauren  Blake</t>
  </si>
  <si>
    <t>BDF04 PORTABLE</t>
  </si>
  <si>
    <t>32B77EA4</t>
  </si>
  <si>
    <t>33:37:41.88 (33.6283) North</t>
  </si>
  <si>
    <t>116:41:28.9212 (-116.691367) West</t>
  </si>
  <si>
    <t>lauren.blake@usda.gov, shuckstep@blm.gov</t>
  </si>
  <si>
    <t>BEACON LIGHT</t>
  </si>
  <si>
    <t>3250874C</t>
  </si>
  <si>
    <t>40:33:58.7988 (40.566333) North</t>
  </si>
  <si>
    <t>116:45:27.6984 (-116.757694) West</t>
  </si>
  <si>
    <t>BATTLE MOUNTAIN</t>
  </si>
  <si>
    <t>Lisa Walker</t>
  </si>
  <si>
    <t>l2walker@blm.gov</t>
  </si>
  <si>
    <t xml:space="preserve">(775) 623-1748 </t>
  </si>
  <si>
    <t>ahester@blm.gov, bluhig@blm.gov, d1walker@blm.gov, dmessmer@blm.gov, shuckstep@blm.gov</t>
  </si>
  <si>
    <t>BEAN RIDGE</t>
  </si>
  <si>
    <t>Illinois</t>
  </si>
  <si>
    <t>Alexander</t>
  </si>
  <si>
    <t>3282D13E</t>
  </si>
  <si>
    <t>37:14:54.9996 (37.248611) North</t>
  </si>
  <si>
    <t>89:22:42.9996 (-89.378611) West</t>
  </si>
  <si>
    <t>SHAWNEE NF</t>
  </si>
  <si>
    <t>Matthew Brickner</t>
  </si>
  <si>
    <t>matthew.brickner@usda.gov</t>
  </si>
  <si>
    <t>(618) 687-1731 09</t>
  </si>
  <si>
    <t>Whitney Jiter</t>
  </si>
  <si>
    <t>whitney.jiter@usda.gov</t>
  </si>
  <si>
    <t xml:space="preserve">(217) 254-0214 </t>
  </si>
  <si>
    <t>jerald.naugle@usda.gov, tyson.taylor@usda.gov, whitney.jiter@usda.gov</t>
  </si>
  <si>
    <t>BEAR</t>
  </si>
  <si>
    <t>Leelanau</t>
  </si>
  <si>
    <t>FA41B0AC</t>
  </si>
  <si>
    <t>44:45:40.1508 (44.761153) North</t>
  </si>
  <si>
    <t>86:03:31.1112 (-86.058642) West</t>
  </si>
  <si>
    <t>SLEEPING BEAR DUNES</t>
  </si>
  <si>
    <t>Paul Chalup</t>
  </si>
  <si>
    <t>Paul_Chalup@nps.gov</t>
  </si>
  <si>
    <t xml:space="preserve">(231) 342-2069 </t>
  </si>
  <si>
    <t>paul_chalup@nps.gov, paul_mancuso@nps.gov</t>
  </si>
  <si>
    <t>BEAR BROOK</t>
  </si>
  <si>
    <t>New Hampshire</t>
  </si>
  <si>
    <t>Merrimack</t>
  </si>
  <si>
    <t>AAC00250</t>
  </si>
  <si>
    <t>43:09:24.3612 (43.156767) North</t>
  </si>
  <si>
    <t>71:22:36.6384 (-71.376844) West</t>
  </si>
  <si>
    <t>NEW HAMPSHIRE</t>
  </si>
  <si>
    <t>DONCR</t>
  </si>
  <si>
    <t>NHDNCR - New Hampshire Dept of Natural &amp; Cultural Resources</t>
  </si>
  <si>
    <t>Adrian Reyes</t>
  </si>
  <si>
    <t>Adrian.reyes@dncr.nh.gov</t>
  </si>
  <si>
    <t xml:space="preserve">(603) 244-3218 </t>
  </si>
  <si>
    <t>Nathan Blanchard</t>
  </si>
  <si>
    <t>Nathan.a.blanchard@dncr.nh.gov</t>
  </si>
  <si>
    <t xml:space="preserve">(603) 227-8783 </t>
  </si>
  <si>
    <t>adrian.reyes@dncr.nh.gov</t>
  </si>
  <si>
    <t>BEAR CREEK</t>
  </si>
  <si>
    <t>Fremont</t>
  </si>
  <si>
    <t>FA50B5C8</t>
  </si>
  <si>
    <t>38:26:54.8988 (38.448583) North</t>
  </si>
  <si>
    <t>105:56:54.0996 (-105.948361) West</t>
  </si>
  <si>
    <t>Ed Clark</t>
  </si>
  <si>
    <t>edwin.clark@usda.gov</t>
  </si>
  <si>
    <t xml:space="preserve">(719) 207-1829 </t>
  </si>
  <si>
    <t>Chris Naccarato</t>
  </si>
  <si>
    <t>christopher.naccarato@usda.gov</t>
  </si>
  <si>
    <t xml:space="preserve">(719) 221-0562 </t>
  </si>
  <si>
    <t>ahester@blm.gov, christopher.naccarato@usda.gov, edwin.clark@usda.gov, jeffery.bade@usda.gov</t>
  </si>
  <si>
    <t>Dewey</t>
  </si>
  <si>
    <t>45:03:25.0488 (45.056958) North</t>
  </si>
  <si>
    <t>101:28:03.7596 (-101.467711) West</t>
  </si>
  <si>
    <t>Great Plains</t>
  </si>
  <si>
    <t>Cheyenne River Agen.</t>
  </si>
  <si>
    <t>Tony Kennedy</t>
  </si>
  <si>
    <t>anthony.kennedy@bia.gov</t>
  </si>
  <si>
    <t xml:space="preserve">(605) 964-2112 </t>
  </si>
  <si>
    <t>ahester@blm.gov, cheryl.bright@bia.gov, mark.browning@bia.gov</t>
  </si>
  <si>
    <t>BEAR FLAT</t>
  </si>
  <si>
    <t>Modoc</t>
  </si>
  <si>
    <t>41:17:43.1412 (41.295317) North</t>
  </si>
  <si>
    <t>120:18:50.4792 (-120.314022) West</t>
  </si>
  <si>
    <t>MODOC NF</t>
  </si>
  <si>
    <t>Amanda Shoaf</t>
  </si>
  <si>
    <t>amanda.shoaf@usda.gov</t>
  </si>
  <si>
    <t xml:space="preserve">(530) 708-1739 </t>
  </si>
  <si>
    <t>Jason Bunker</t>
  </si>
  <si>
    <t>jason.bunker@usda.gov</t>
  </si>
  <si>
    <t xml:space="preserve">(530) 233-8820 </t>
  </si>
  <si>
    <t>ahester@blm.gov, jeffrey.gouveia@usda.gov, shuckstep@blm.gov</t>
  </si>
  <si>
    <t>BEAR GAP</t>
  </si>
  <si>
    <t>Northumberland</t>
  </si>
  <si>
    <t>D680125A</t>
  </si>
  <si>
    <t>40:50:09.4164 (40.835949) North</t>
  </si>
  <si>
    <t>76:32:40.8948 (-76.544693) West</t>
  </si>
  <si>
    <t xml:space="preserve">(717) 787-2925 </t>
  </si>
  <si>
    <t xml:space="preserve">(717) 783-7955 </t>
  </si>
  <si>
    <t>BEAR KNOB</t>
  </si>
  <si>
    <t>Centre</t>
  </si>
  <si>
    <t>32B0AAF8</t>
  </si>
  <si>
    <t>40:55:53.6988 (40.931583) North</t>
  </si>
  <si>
    <t>77:56:47.6016 (-77.946556) West</t>
  </si>
  <si>
    <t>BEAR LODGE</t>
  </si>
  <si>
    <t>44:35:49.9992 (44.597222) North</t>
  </si>
  <si>
    <t>104:25:41.0016 (-104.428056) West</t>
  </si>
  <si>
    <t>Josh Hoffmann</t>
  </si>
  <si>
    <t>joshua.l.hoffmann@usda.gov</t>
  </si>
  <si>
    <t xml:space="preserve">(605) 530-3275 </t>
  </si>
  <si>
    <t>BEAR PEAK</t>
  </si>
  <si>
    <t>35:52:54.9984 (35.881944) North</t>
  </si>
  <si>
    <t>118:04:32.0016 (-118.075556) West</t>
  </si>
  <si>
    <t>BAKERSFIELD</t>
  </si>
  <si>
    <t>Burns Brimhall</t>
  </si>
  <si>
    <t>bbrimhall@blm.gov</t>
  </si>
  <si>
    <t xml:space="preserve">(916) 941-3118 </t>
  </si>
  <si>
    <t>Dave Princeton (spelling?)</t>
  </si>
  <si>
    <t xml:space="preserve">(661) 332-1751 </t>
  </si>
  <si>
    <t>BEAR RIVER</t>
  </si>
  <si>
    <t>Summit</t>
  </si>
  <si>
    <t>3242D55A</t>
  </si>
  <si>
    <t>40:53:03.9984 (40.884444) North</t>
  </si>
  <si>
    <t>110:49:45.0012 (-110.829167) West</t>
  </si>
  <si>
    <t>WASATCH NF</t>
  </si>
  <si>
    <t>GARY RAVENBERG</t>
  </si>
  <si>
    <t>gary.ravenberg@usda.gov</t>
  </si>
  <si>
    <t xml:space="preserve">(801) 560-8195 </t>
  </si>
  <si>
    <t>Carrie Moore</t>
  </si>
  <si>
    <t>carrie.moore1@usda.gov</t>
  </si>
  <si>
    <t xml:space="preserve">(801) 495-7600 </t>
  </si>
  <si>
    <t>ahester@blm.gov, gary.ravenberg@usda.gov</t>
  </si>
  <si>
    <t>Michael Shroll</t>
  </si>
  <si>
    <t>BEARS HEAD</t>
  </si>
  <si>
    <t>Schuylkill</t>
  </si>
  <si>
    <t>D68027C0</t>
  </si>
  <si>
    <t>40:48:33.9012 (40.809417) North</t>
  </si>
  <si>
    <t>76:00:39.6 (-76.011) West</t>
  </si>
  <si>
    <t>BEARSKIN CREEK</t>
  </si>
  <si>
    <t>Valley</t>
  </si>
  <si>
    <t>3241D254</t>
  </si>
  <si>
    <t>44:23:08.0016 (44.385556) North</t>
  </si>
  <si>
    <t>115:33:01.8 (-115.5505) West</t>
  </si>
  <si>
    <t>BOISE NF</t>
  </si>
  <si>
    <t>Guy Blom</t>
  </si>
  <si>
    <t>guy.blom@usda.gov</t>
  </si>
  <si>
    <t xml:space="preserve">(208) 259-3361 </t>
  </si>
  <si>
    <t>Hiram Rooper</t>
  </si>
  <si>
    <t>hiram.rooper@blm.gov</t>
  </si>
  <si>
    <t>ahester@blm.gov, christopher.knight@usda.gov, guy.blom@usda.gov, tim.dulhanty@usda.gov</t>
  </si>
  <si>
    <t>BEAUFORT</t>
  </si>
  <si>
    <t>Beaufort</t>
  </si>
  <si>
    <t>4071E710</t>
  </si>
  <si>
    <t>35:31:14.9016 (35.520806) North</t>
  </si>
  <si>
    <t>76:55:54.5988 (-76.931833) West</t>
  </si>
  <si>
    <t>Jimmy Meadows</t>
  </si>
  <si>
    <t>jimmy.meadows@ncagr.gov</t>
  </si>
  <si>
    <t xml:space="preserve">(252) 229-7307 </t>
  </si>
  <si>
    <t>Josh Bell</t>
  </si>
  <si>
    <t>josh.bell@ncagr.gov</t>
  </si>
  <si>
    <t xml:space="preserve">(252) 229-0160 </t>
  </si>
  <si>
    <t xml:space="preserve"> josh.bell@ncagr.gov, jimmy.meadows@ncagr.gov</t>
  </si>
  <si>
    <t>BEAUMONT</t>
  </si>
  <si>
    <t>CA264670</t>
  </si>
  <si>
    <t>33:57:48.6612 (33.963517) North</t>
  </si>
  <si>
    <t>117:00:24.66 (-117.00685) West</t>
  </si>
  <si>
    <t>BEAVER</t>
  </si>
  <si>
    <t>Amador</t>
  </si>
  <si>
    <t>323973A6</t>
  </si>
  <si>
    <t>38:28:54.8508 (38.481903) North</t>
  </si>
  <si>
    <t>120:18:56.9412 (-120.315817) West</t>
  </si>
  <si>
    <t>Jecobie Waters</t>
  </si>
  <si>
    <t>jecobie.waters@usda.gov</t>
  </si>
  <si>
    <t xml:space="preserve">(530) 414-3470 </t>
  </si>
  <si>
    <t>James Thornock</t>
  </si>
  <si>
    <t>james.thornock@usda.gov</t>
  </si>
  <si>
    <t xml:space="preserve">(209) 459-0682 </t>
  </si>
  <si>
    <t xml:space="preserve"> jecobie.waters@usda.gov, ahester@blm.gov, james.thornock@usda.gov, shuckstep@blm.gov</t>
  </si>
  <si>
    <t>BEAVER (WBQ)</t>
  </si>
  <si>
    <t>66:15:42.4008 (66.261778) North</t>
  </si>
  <si>
    <t>146:31:54.3 (-146.53175) West</t>
  </si>
  <si>
    <t>ebarrygarland@blm.gov, zlatham@blm.gov</t>
  </si>
  <si>
    <t>BEAVERHEAD</t>
  </si>
  <si>
    <t>Catron</t>
  </si>
  <si>
    <t>3276130E</t>
  </si>
  <si>
    <t>33:25:24.9996 (33.423611) North</t>
  </si>
  <si>
    <t>108:06:36 (-108.11) West</t>
  </si>
  <si>
    <t>GILA NF</t>
  </si>
  <si>
    <t>Anthony James (Cell)</t>
  </si>
  <si>
    <t>anthony.james@usda.gov</t>
  </si>
  <si>
    <t xml:space="preserve">(575) 740-5202 </t>
  </si>
  <si>
    <t>Javier Kirker</t>
  </si>
  <si>
    <t>javier.kirker@usda.gov</t>
  </si>
  <si>
    <t xml:space="preserve">(575) 388-5611 </t>
  </si>
  <si>
    <t>BEAVERHEAD DEERLODGE QD#1</t>
  </si>
  <si>
    <t>46:15:24.12 (46.2567) North</t>
  </si>
  <si>
    <t>112:26:13.38 (-112.43705) West</t>
  </si>
  <si>
    <t>Scott Drake</t>
  </si>
  <si>
    <t>scott.drake@usda.gov</t>
  </si>
  <si>
    <t xml:space="preserve">(406) 494-0252 </t>
  </si>
  <si>
    <t>richard.reneau@usda.gov, scott.drake@usda.gov</t>
  </si>
  <si>
    <t>Paul Cote</t>
  </si>
  <si>
    <t>BEAVERHEAD DEERLODGE QD#2</t>
  </si>
  <si>
    <t>45:06:27.2916 (45.107581) North</t>
  </si>
  <si>
    <t>112:02:04.2 (-112.0345) West</t>
  </si>
  <si>
    <t>Richard Reneau</t>
  </si>
  <si>
    <t xml:space="preserve">(406) 493-5799 </t>
  </si>
  <si>
    <t>BEAVERHEAD DEERLODGE QD#3</t>
  </si>
  <si>
    <t>Powell</t>
  </si>
  <si>
    <t>32BC902C</t>
  </si>
  <si>
    <t>46:12:43.02 (46.21195) North</t>
  </si>
  <si>
    <t>112:37:26.22 (-112.62395) West</t>
  </si>
  <si>
    <t>Richard Reneau (Cell)</t>
  </si>
  <si>
    <t>BECHLER</t>
  </si>
  <si>
    <t>FA627352</t>
  </si>
  <si>
    <t>44:08:57.804 (44.14939) North</t>
  </si>
  <si>
    <t>111:02:41.244 (-111.04479) West</t>
  </si>
  <si>
    <t>YELLOWSTONE NP</t>
  </si>
  <si>
    <t>Jessica Page</t>
  </si>
  <si>
    <t>jessica_page@nps.gov</t>
  </si>
  <si>
    <t xml:space="preserve">(307) 344-2478 </t>
  </si>
  <si>
    <t>Keith Krause</t>
  </si>
  <si>
    <t>keith_krause@nps.gov</t>
  </si>
  <si>
    <t>BEE MOUNTAIN</t>
  </si>
  <si>
    <t>Kanawha</t>
  </si>
  <si>
    <t>38:12:01.0008 (38.200278) North</t>
  </si>
  <si>
    <t>81:37:12 (-81.62) West</t>
  </si>
  <si>
    <t>BEECH FORK</t>
  </si>
  <si>
    <t>Wayne</t>
  </si>
  <si>
    <t>38:18:02.0016 (38.300556) North</t>
  </si>
  <si>
    <t>82:25:01.9992 (-82.417222) West</t>
  </si>
  <si>
    <t>BEEHIVE</t>
  </si>
  <si>
    <t>32BBBA26</t>
  </si>
  <si>
    <t>39:50:32.3988 (39.842333) North</t>
  </si>
  <si>
    <t>111:22:51.6 (-111.381) West</t>
  </si>
  <si>
    <t>MANTI LA SAL NF</t>
  </si>
  <si>
    <t>Dea Funka</t>
  </si>
  <si>
    <t>dea.funka@usda.gov</t>
  </si>
  <si>
    <t xml:space="preserve">(435) 210-4300 </t>
  </si>
  <si>
    <t>Nels Rasmussen</t>
  </si>
  <si>
    <t>nels.rasmussen@usda.gov</t>
  </si>
  <si>
    <t xml:space="preserve">(435) 979-7188 </t>
  </si>
  <si>
    <t>BELL CANYON</t>
  </si>
  <si>
    <t>CA4A93B6</t>
  </si>
  <si>
    <t>33:33:06.5988 (33.551833) North</t>
  </si>
  <si>
    <t>117:34:22.5984 (-117.572944) West</t>
  </si>
  <si>
    <t>ORANGE COUNTY FIRE</t>
  </si>
  <si>
    <t>Scott Hatch</t>
  </si>
  <si>
    <t>scotthatch@ocfa.org</t>
  </si>
  <si>
    <t xml:space="preserve">(949) 308-3426 </t>
  </si>
  <si>
    <t>CRAIG NOWAK</t>
  </si>
  <si>
    <t>craignowak@ocfa.org</t>
  </si>
  <si>
    <t xml:space="preserve">(714) 573-6410 </t>
  </si>
  <si>
    <t>ahester@blm.gov, daviderickson@ocfa.org</t>
  </si>
  <si>
    <t>BELMONT</t>
  </si>
  <si>
    <t>33:40:26.7996 (33.674111) North</t>
  </si>
  <si>
    <t>112:55:22.1016 (-112.922806) West</t>
  </si>
  <si>
    <t>PHOENIX</t>
  </si>
  <si>
    <t>Dan Philbin</t>
  </si>
  <si>
    <t>dphilbin@blm.gov</t>
  </si>
  <si>
    <t xml:space="preserve">(602) 316-5073 </t>
  </si>
  <si>
    <t>Derrick Youngerman</t>
  </si>
  <si>
    <t>dyoungerman@blm.gov</t>
  </si>
  <si>
    <t xml:space="preserve">(623) 580-5624 </t>
  </si>
  <si>
    <t>ahester@blm.gov, wreaves@blm.gov</t>
  </si>
  <si>
    <t>BEMIDJI</t>
  </si>
  <si>
    <t>Beltrami</t>
  </si>
  <si>
    <t>707026AA</t>
  </si>
  <si>
    <t>47:30:06.2604 (47.501739) North</t>
  </si>
  <si>
    <t>94:55:30.3888 (-94.925108) West</t>
  </si>
  <si>
    <t>Ben Lang</t>
  </si>
  <si>
    <t>ben.lang@state.mn.us,jolene.soltis@state.mn.us</t>
  </si>
  <si>
    <t xml:space="preserve">(218) 308-2067 </t>
  </si>
  <si>
    <t>ben.lang@state.mn.us, jolene.soltis@state.mn.us, travis.verdegan@state.mn.us</t>
  </si>
  <si>
    <t>BEN BOLT</t>
  </si>
  <si>
    <t>CA21B4C0</t>
  </si>
  <si>
    <t>38:35:27.0096 (38.590836) North</t>
  </si>
  <si>
    <t>120:56:01.0392 (-120.933622) West</t>
  </si>
  <si>
    <t>robert.clark</t>
  </si>
  <si>
    <t>BEN CREEK</t>
  </si>
  <si>
    <t>FA6026DA</t>
  </si>
  <si>
    <t>65:17:47.1984 (65.296444) North</t>
  </si>
  <si>
    <t>143:04:20.4996 (-143.072361) West</t>
  </si>
  <si>
    <t>YUKON CHARLIE NP</t>
  </si>
  <si>
    <t xml:space="preserve"> ebarrygarland@blm.gov, jason_devcich@nps.gov</t>
  </si>
  <si>
    <t>BEN LOMOND</t>
  </si>
  <si>
    <t>Santa Cruz</t>
  </si>
  <si>
    <t>CA22C55E</t>
  </si>
  <si>
    <t>37:07:51.3696 (37.130936) North</t>
  </si>
  <si>
    <t>122:10:21.3816 (-122.172606) West</t>
  </si>
  <si>
    <t>BENCHMARK</t>
  </si>
  <si>
    <t>Lewis and Clark</t>
  </si>
  <si>
    <t>323331FE</t>
  </si>
  <si>
    <t>47:29:42.9216 (47.495256) North</t>
  </si>
  <si>
    <t>112:53:04.3008 (-112.884528) West</t>
  </si>
  <si>
    <t>LEWIS &amp; CLARK NF</t>
  </si>
  <si>
    <t>Kyle Inabnit</t>
  </si>
  <si>
    <t>kyle.inabnit@usda.gov</t>
  </si>
  <si>
    <t xml:space="preserve">(406) 431-4310 </t>
  </si>
  <si>
    <t>Anthony Emacio</t>
  </si>
  <si>
    <t>anthony.emacio@usda.gov</t>
  </si>
  <si>
    <t xml:space="preserve">(406) 899-5343 </t>
  </si>
  <si>
    <t>ahester@blm.gov, anthony.emacio@usda.gov, casey.hamilton@usda.gov, kyle.inabnit@usda.gov</t>
  </si>
  <si>
    <t>BENTALIT</t>
  </si>
  <si>
    <t>Matanuska-Susitna</t>
  </si>
  <si>
    <t>15DEC222</t>
  </si>
  <si>
    <t>61:56:08.9988 (61.935833) North</t>
  </si>
  <si>
    <t>150:59:08.9988 (-150.985833) West</t>
  </si>
  <si>
    <t>Norm Mcdonald</t>
  </si>
  <si>
    <t>norm.Mcdonald@Alaska.gov</t>
  </si>
  <si>
    <t xml:space="preserve">(907) 761-6302 </t>
  </si>
  <si>
    <t>BENTON</t>
  </si>
  <si>
    <t>Mono</t>
  </si>
  <si>
    <t>3254B7EC</t>
  </si>
  <si>
    <t>37:50:35.9988 (37.843333) North</t>
  </si>
  <si>
    <t>118:28:42.7008 (-118.478528) West</t>
  </si>
  <si>
    <t>lance Rosen</t>
  </si>
  <si>
    <t>lrosen@blm.gov</t>
  </si>
  <si>
    <t xml:space="preserve">(760) 872-5007 </t>
  </si>
  <si>
    <t>Robert Sommer</t>
  </si>
  <si>
    <t>BERNERS BAY</t>
  </si>
  <si>
    <t>Juneau</t>
  </si>
  <si>
    <t>32B63F54</t>
  </si>
  <si>
    <t>58:46:30 (58.775) North</t>
  </si>
  <si>
    <t>135:01:58.4976 (-135.032916) West</t>
  </si>
  <si>
    <t>TONGASS NF</t>
  </si>
  <si>
    <t>Matthew Thompson</t>
  </si>
  <si>
    <t>matthew.thompson@usda.gov</t>
  </si>
  <si>
    <t xml:space="preserve">(907) 209-9785 </t>
  </si>
  <si>
    <t>Jared</t>
  </si>
  <si>
    <t>jared.grams@usda.gov</t>
  </si>
  <si>
    <t xml:space="preserve">(907) 209-5096 </t>
  </si>
  <si>
    <t>ahester@blm.gov, matthew.thompson@usda.gov</t>
  </si>
  <si>
    <t>BESSEY</t>
  </si>
  <si>
    <t>Thomas</t>
  </si>
  <si>
    <t>41:53:49.9992 (41.897222) North</t>
  </si>
  <si>
    <t>100:18:38.0016 (-100.310556) West</t>
  </si>
  <si>
    <t>NEBRASKA NF</t>
  </si>
  <si>
    <t>Nathan Hanson</t>
  </si>
  <si>
    <t>nathan.hanson@usda.gov</t>
  </si>
  <si>
    <t xml:space="preserve">(308) 533-8125 </t>
  </si>
  <si>
    <t>ahester@blm.gov, benjamin.j.jech@usda.gov, brian.daunt@usda.gov</t>
  </si>
  <si>
    <t>BETWEEN THE CREEKS</t>
  </si>
  <si>
    <t>Kane</t>
  </si>
  <si>
    <t>32B5C60C</t>
  </si>
  <si>
    <t>37:27:51.5844 (37.464329) North</t>
  </si>
  <si>
    <t>112:02:59.1612 (-112.049767) West</t>
  </si>
  <si>
    <t>KANAB</t>
  </si>
  <si>
    <t>James Miller</t>
  </si>
  <si>
    <t>j3miller@blm.gov</t>
  </si>
  <si>
    <t xml:space="preserve">(801) 539-4076 </t>
  </si>
  <si>
    <t>BEULAH</t>
  </si>
  <si>
    <t>Pueblo</t>
  </si>
  <si>
    <t>32B71B42</t>
  </si>
  <si>
    <t>38:04:37.9992 (38.077222) North</t>
  </si>
  <si>
    <t>104:58:28.9992 (-104.974722) West</t>
  </si>
  <si>
    <t>PUEBLO COUNTY</t>
  </si>
  <si>
    <t>PCEMMC - Pueblo County Department of Emergency Management</t>
  </si>
  <si>
    <t>Robert (Jeff) Reynolds</t>
  </si>
  <si>
    <t>reynoldsr@pueblocounty.us</t>
  </si>
  <si>
    <t xml:space="preserve">(719) 583-6237 </t>
  </si>
  <si>
    <t xml:space="preserve">(719) 821-5748 </t>
  </si>
  <si>
    <t>Robert Reynolds</t>
  </si>
  <si>
    <t>BEUS CANYON</t>
  </si>
  <si>
    <t>324131A6</t>
  </si>
  <si>
    <t>41:10:35.9004 (41.176639) North</t>
  </si>
  <si>
    <t>111:55:45.3 (-111.92925) West</t>
  </si>
  <si>
    <t>BEVERLY HILLS</t>
  </si>
  <si>
    <t>CA41E68E</t>
  </si>
  <si>
    <t>34:07:29.4996 (34.124861) North</t>
  </si>
  <si>
    <t>118:24:45.2484 (-118.412569) West</t>
  </si>
  <si>
    <t>GREG BARTON</t>
  </si>
  <si>
    <t>gbarton@beverlyhills.org</t>
  </si>
  <si>
    <t xml:space="preserve">(310) 281-2715 </t>
  </si>
  <si>
    <t>Brad Weisshaupt</t>
  </si>
  <si>
    <t>Brad.Weisshaupt@fire.lacount</t>
  </si>
  <si>
    <t xml:space="preserve">(323) 333-3124 </t>
  </si>
  <si>
    <t>BHF1 PORTABLE</t>
  </si>
  <si>
    <t>Big Horn</t>
  </si>
  <si>
    <t>44:40:50.9988 (44.680833) North</t>
  </si>
  <si>
    <t>107:39:48.9996 (-107.663611) West</t>
  </si>
  <si>
    <t>BIG HORN NF</t>
  </si>
  <si>
    <t>Jon Warder</t>
  </si>
  <si>
    <t>jon.warder@usda.gov</t>
  </si>
  <si>
    <t xml:space="preserve">(307) 674-2631 </t>
  </si>
  <si>
    <t>Michael Ortner</t>
  </si>
  <si>
    <t>Michael.ortner@usda.gov</t>
  </si>
  <si>
    <t xml:space="preserve">(307) 250-7550 </t>
  </si>
  <si>
    <t>BHF2 PORTABLE</t>
  </si>
  <si>
    <t>Johnson</t>
  </si>
  <si>
    <t>32BB4470</t>
  </si>
  <si>
    <t>44:19:06.2004 (44.318389) North</t>
  </si>
  <si>
    <t>106:52:14.1996 (-106.870611) West</t>
  </si>
  <si>
    <t xml:space="preserve">Jon Warder </t>
  </si>
  <si>
    <t>jonathan.warder@usda.gov</t>
  </si>
  <si>
    <t>Michael.Ortner@usda.gov</t>
  </si>
  <si>
    <t>BIA UMATILLA QD</t>
  </si>
  <si>
    <t>Umatilla</t>
  </si>
  <si>
    <t>46:08:12.3 (46.13675) North</t>
  </si>
  <si>
    <t>117:55:36.0984 (-117.926694) West</t>
  </si>
  <si>
    <t>Northwest</t>
  </si>
  <si>
    <t>Tristan Spencer</t>
  </si>
  <si>
    <t>tristan.spencer@bia.gov</t>
  </si>
  <si>
    <t xml:space="preserve">(509) 834-5034 </t>
  </si>
  <si>
    <t>Jeffrey Casey</t>
  </si>
  <si>
    <t>jeffrey.casey@bia.gov</t>
  </si>
  <si>
    <t xml:space="preserve">(541) 278-3788 </t>
  </si>
  <si>
    <t>ahester@blm.gov, cheryl.bright@bia.gov, kim.kelly@bia.gov, vernon.stearns@bia.gov</t>
  </si>
  <si>
    <t>BIBE RGV</t>
  </si>
  <si>
    <t>3237015E</t>
  </si>
  <si>
    <t>29:11:08.9988 (29.185833) North</t>
  </si>
  <si>
    <t>102:57:47.0988 (-102.963083) West</t>
  </si>
  <si>
    <t>BIG BEND NP</t>
  </si>
  <si>
    <t>mdunivan@tfs.tamu.edu</t>
  </si>
  <si>
    <t>BICY PORTABLE</t>
  </si>
  <si>
    <t>Collier</t>
  </si>
  <si>
    <t>AA11D538</t>
  </si>
  <si>
    <t>26:02:20.8788 (26.039133) North</t>
  </si>
  <si>
    <t>81:03:50.8788 (-81.064133) West</t>
  </si>
  <si>
    <t>BIG CYPRESS NP</t>
  </si>
  <si>
    <t>Megan Hurrell</t>
  </si>
  <si>
    <t>megan_hurrell@nps.gov</t>
  </si>
  <si>
    <t xml:space="preserve">(520) 954-8359 </t>
  </si>
  <si>
    <t>Josh Moore</t>
  </si>
  <si>
    <t>joshua_g_moore@nps.gov</t>
  </si>
  <si>
    <t xml:space="preserve">(910) 547-1524 </t>
  </si>
  <si>
    <t>elmer_sauceda@nps.gov</t>
  </si>
  <si>
    <t>BIEBER RAWS</t>
  </si>
  <si>
    <t>Lassen</t>
  </si>
  <si>
    <t>32BB8FBC</t>
  </si>
  <si>
    <t>BIENVILLE</t>
  </si>
  <si>
    <t>Mississippi</t>
  </si>
  <si>
    <t>Scott</t>
  </si>
  <si>
    <t>32:18:54 (32.315) North</t>
  </si>
  <si>
    <t>89:29:21.9984 (-89.489444) West</t>
  </si>
  <si>
    <t>NF'S IN MISSISSIPPI</t>
  </si>
  <si>
    <t>Cody Evans</t>
  </si>
  <si>
    <t>cody.l.evans@usda.gov</t>
  </si>
  <si>
    <t xml:space="preserve">(601) 420-6005 </t>
  </si>
  <si>
    <t>BIENVILLE PORTABLE</t>
  </si>
  <si>
    <t>3265C5F6</t>
  </si>
  <si>
    <t>32:21:13.3992 (32.353722) North</t>
  </si>
  <si>
    <t>89:28:09.9984 (-89.469444) West</t>
  </si>
  <si>
    <t xml:space="preserve">Chris Nothstine </t>
  </si>
  <si>
    <t>christopher.nothstine@usda.gov</t>
  </si>
  <si>
    <t>BIG BAR</t>
  </si>
  <si>
    <t>323AB1B6</t>
  </si>
  <si>
    <t>40:44:31.7904 (40.742164) North</t>
  </si>
  <si>
    <t>123:14:57.0408 (-123.249178) West</t>
  </si>
  <si>
    <t>BIG BEAR</t>
  </si>
  <si>
    <t>32A14C6E</t>
  </si>
  <si>
    <t>36:13:26.3 (36.223972) North</t>
  </si>
  <si>
    <t>118:39:58.7 (-118.666306) West</t>
  </si>
  <si>
    <t>BIG BEAR PARK</t>
  </si>
  <si>
    <t>La Plata</t>
  </si>
  <si>
    <t>3276A080</t>
  </si>
  <si>
    <t>37:29:45.9996 (37.496111) North</t>
  </si>
  <si>
    <t>107:43:45.9984 (-107.729444) West</t>
  </si>
  <si>
    <t>SAN JUAN NF</t>
  </si>
  <si>
    <t>Kevin Lindner</t>
  </si>
  <si>
    <t>kevin.lindner@usda.gov</t>
  </si>
  <si>
    <t xml:space="preserve">(970) 880-0982 </t>
  </si>
  <si>
    <t>Dennis Woods</t>
  </si>
  <si>
    <t>dennis.woods@usda.gov</t>
  </si>
  <si>
    <t xml:space="preserve">(970) 385-1338 </t>
  </si>
  <si>
    <t>ahester@blm.gov, dennis.woods@usda.gov, kevin.lindner@usda.gov</t>
  </si>
  <si>
    <t>BIG BEND QD #1</t>
  </si>
  <si>
    <t>3291325C</t>
  </si>
  <si>
    <t>29:35:35.82 (29.593283) North</t>
  </si>
  <si>
    <t>103:15:44.9399 (-103.262483) West</t>
  </si>
  <si>
    <t>Richard Gatewood</t>
  </si>
  <si>
    <t>Richard_gatewood@nps.gov</t>
  </si>
  <si>
    <t xml:space="preserve">(432) 770-8785 </t>
  </si>
  <si>
    <t>BIG BLUE</t>
  </si>
  <si>
    <t>Stevens</t>
  </si>
  <si>
    <t>32A18970</t>
  </si>
  <si>
    <t>48:00:21.5388 (48.005983) North</t>
  </si>
  <si>
    <t>118:00:58.2012 (-118.016167) West</t>
  </si>
  <si>
    <t>BIG BRANCH NWR</t>
  </si>
  <si>
    <t>St. Tammany</t>
  </si>
  <si>
    <t>30:19:18.0012 (30.321667) North</t>
  </si>
  <si>
    <t>89:56:07.0008 (-89.935278) West</t>
  </si>
  <si>
    <t>Grant Lovato</t>
  </si>
  <si>
    <t>grant_lovato@fws.gov</t>
  </si>
  <si>
    <t xml:space="preserve">(985) 373-6304 </t>
  </si>
  <si>
    <t>Matt Sieja</t>
  </si>
  <si>
    <t>Matthew_Sieja@FWS.GOV</t>
  </si>
  <si>
    <t xml:space="preserve">(985) 517-9333 </t>
  </si>
  <si>
    <t>chris_lerouge@fws.gov</t>
  </si>
  <si>
    <t>BIG CUT</t>
  </si>
  <si>
    <t>Presque Isle</t>
  </si>
  <si>
    <t>32E0AEBA</t>
  </si>
  <si>
    <t>45:20:29.13 (45.341425) North</t>
  </si>
  <si>
    <t>84:00:52.5312 (-84.014592) West</t>
  </si>
  <si>
    <t xml:space="preserve">(616) 260-8406 </t>
  </si>
  <si>
    <t>BIG HILL</t>
  </si>
  <si>
    <t>5212E6EC</t>
  </si>
  <si>
    <t>41:05:50.8992 (41.097472) North</t>
  </si>
  <si>
    <t>123:38:09.2004 (-123.635889) West</t>
  </si>
  <si>
    <t>Pacific</t>
  </si>
  <si>
    <t>Hoopa Valley Tribe</t>
  </si>
  <si>
    <t>Rod Mendes</t>
  </si>
  <si>
    <t>oes@hoopa-nsn.gov</t>
  </si>
  <si>
    <t xml:space="preserve">(530) 625-4366 </t>
  </si>
  <si>
    <t>Raldon Brown</t>
  </si>
  <si>
    <t>rbrown@hoopa-nsn.gov</t>
  </si>
  <si>
    <t>(530) 625-4366 30</t>
  </si>
  <si>
    <t>ahester@blm.gov, cheryl.bright@bia.gov, greg.perry@bia.gov</t>
  </si>
  <si>
    <t>BIG HORN</t>
  </si>
  <si>
    <t>Conejos</t>
  </si>
  <si>
    <t>37:01:14.9988 (37.020833) North</t>
  </si>
  <si>
    <t>106:12:03.9996 (-106.201111) West</t>
  </si>
  <si>
    <t>RIO GRANDE NF</t>
  </si>
  <si>
    <t>Christipher Clark</t>
  </si>
  <si>
    <t>christipher.clark@usda.gov</t>
  </si>
  <si>
    <t xml:space="preserve">(218) 244-7877 </t>
  </si>
  <si>
    <t>Flavio Jaramillo</t>
  </si>
  <si>
    <t>flavio.jaramillo@usda.gov</t>
  </si>
  <si>
    <t xml:space="preserve">(719) 429-1770 </t>
  </si>
  <si>
    <t>ahester@blm.gov, christipher.clark@usda.gov</t>
  </si>
  <si>
    <t>BIG INDIAN VALLEY</t>
  </si>
  <si>
    <t>325E0530</t>
  </si>
  <si>
    <t>38:13:28.5996 (38.224611) North</t>
  </si>
  <si>
    <t>109:16:43.2984 (-109.278694) West</t>
  </si>
  <si>
    <t>MOAB</t>
  </si>
  <si>
    <t>CHRIS DEETS</t>
  </si>
  <si>
    <t>cadeets@blm.gov</t>
  </si>
  <si>
    <t xml:space="preserve">(435) 781-4444 </t>
  </si>
  <si>
    <t xml:space="preserve">(435) 630-5929 </t>
  </si>
  <si>
    <t>ahester@blm.gov, cmaughan@blm.gov</t>
  </si>
  <si>
    <t>BIG KNOB</t>
  </si>
  <si>
    <t>Perry</t>
  </si>
  <si>
    <t>D680012C</t>
  </si>
  <si>
    <t>40:18:11.736 (40.30326) North</t>
  </si>
  <si>
    <t>77:35:23.3304 (-77.589814) West</t>
  </si>
  <si>
    <t>BIG LAKE</t>
  </si>
  <si>
    <t>3390C180</t>
  </si>
  <si>
    <t>61:31:05.7 (61.51825) North</t>
  </si>
  <si>
    <t>149:54:30.42 (-149.90845) West</t>
  </si>
  <si>
    <t>Tim Kemp</t>
  </si>
  <si>
    <t>Norm McDonald</t>
  </si>
  <si>
    <t>norm.mcdonald@alaska.gov</t>
  </si>
  <si>
    <t>mike.butteri@alaska.gov</t>
  </si>
  <si>
    <t>BIG OAKS</t>
  </si>
  <si>
    <t>Ripley</t>
  </si>
  <si>
    <t>8375E410</t>
  </si>
  <si>
    <t>38:55:31.0008 (38.925278) North</t>
  </si>
  <si>
    <t>85:21:45 (-85.3625) West</t>
  </si>
  <si>
    <t>BIG OAKS NWR</t>
  </si>
  <si>
    <t>Casey Mefford</t>
  </si>
  <si>
    <t>casey_mefford@fws.gov</t>
  </si>
  <si>
    <t xml:space="preserve">(812) 273-0783 </t>
  </si>
  <si>
    <t>chad_loreth@fws.gov, chris_mursu@fws.gov</t>
  </si>
  <si>
    <t>BIG PINE FLAT</t>
  </si>
  <si>
    <t>3275C268</t>
  </si>
  <si>
    <t>34:19:07.5108 (34.318753) North</t>
  </si>
  <si>
    <t>117:00:50.0112 (-117.013892) West</t>
  </si>
  <si>
    <t>Estuardo Bojorquez</t>
  </si>
  <si>
    <t>estuardo.bojorquez@usda.gov</t>
  </si>
  <si>
    <t xml:space="preserve">(951) 678-2944 </t>
  </si>
  <si>
    <t>ahester@blm.gov, brian.grant3@usda.gov, estuardo.bojorquez@usda.gov, shuckstep@blm.gov</t>
  </si>
  <si>
    <t>BIG PINES</t>
  </si>
  <si>
    <t>3332E4CE</t>
  </si>
  <si>
    <t>34:22:44.94 (34.37915) North</t>
  </si>
  <si>
    <t>117:41:15.7704 (-117.687714) West</t>
  </si>
  <si>
    <t>ANGELES NF</t>
  </si>
  <si>
    <t>CHRIS FRY</t>
  </si>
  <si>
    <t>Christopher.d.fry@usda.gov</t>
  </si>
  <si>
    <t xml:space="preserve">(626) 574-5339 </t>
  </si>
  <si>
    <t>Allan Bigham</t>
  </si>
  <si>
    <t>allan.bigham@usda.gov</t>
  </si>
  <si>
    <t>(661) 944-2188 44</t>
  </si>
  <si>
    <t>BIG PRAIRIE QD</t>
  </si>
  <si>
    <t>326E66A6</t>
  </si>
  <si>
    <t>47:30:25.4988 (47.507083) North</t>
  </si>
  <si>
    <t>113:14:13.2 (-113.237) West</t>
  </si>
  <si>
    <t>FLATHEAD NF</t>
  </si>
  <si>
    <t>Jason Monroe</t>
  </si>
  <si>
    <t>jason.monroe@usda.gov</t>
  </si>
  <si>
    <t xml:space="preserve">(406) 387-3832 </t>
  </si>
  <si>
    <t>Jim Flint</t>
  </si>
  <si>
    <t>jim.flint@usda.gov</t>
  </si>
  <si>
    <t xml:space="preserve">(406) 758-6471 </t>
  </si>
  <si>
    <t>BIG ROCK</t>
  </si>
  <si>
    <t>CA28F196</t>
  </si>
  <si>
    <t>38:02:21.9984 (38.039444) North</t>
  </si>
  <si>
    <t>122:34:12 (-122.57) West</t>
  </si>
  <si>
    <t>City of San Rafael</t>
  </si>
  <si>
    <t>NOVATO - Novato Fire District</t>
  </si>
  <si>
    <t>Gerald McCarthy</t>
  </si>
  <si>
    <t>gmccarthy@novatofire.org</t>
  </si>
  <si>
    <t xml:space="preserve">(415) 878-2690 </t>
  </si>
  <si>
    <t>Scott Freedman</t>
  </si>
  <si>
    <t>sfreedmany@novatofire.org</t>
  </si>
  <si>
    <t xml:space="preserve">(415) 878-2290 </t>
  </si>
  <si>
    <t>BIG SANDY</t>
  </si>
  <si>
    <t>37:44:55.7988 (37.748833) North</t>
  </si>
  <si>
    <t>82:38:28.3992 (-82.641222) West</t>
  </si>
  <si>
    <t>Kevin Radschweit</t>
  </si>
  <si>
    <t>kevin.radschweit@ky.gov</t>
  </si>
  <si>
    <t xml:space="preserve">(606) 594-4671 </t>
  </si>
  <si>
    <t>BIG SHEEP MOUNTAIN</t>
  </si>
  <si>
    <t>Prairie</t>
  </si>
  <si>
    <t>3256B218</t>
  </si>
  <si>
    <t>47:01:41.4984 (47.028194) North</t>
  </si>
  <si>
    <t>105:48:16.9992 (-105.804722) West</t>
  </si>
  <si>
    <t>MILES CITY</t>
  </si>
  <si>
    <t>Donovan Birch</t>
  </si>
  <si>
    <t>dbirch@blm.gov</t>
  </si>
  <si>
    <t xml:space="preserve">(208) 766-3627 </t>
  </si>
  <si>
    <t xml:space="preserve">(406) 233-3142 </t>
  </si>
  <si>
    <t>BIG SPRING</t>
  </si>
  <si>
    <t>Carter</t>
  </si>
  <si>
    <t>FA64B682</t>
  </si>
  <si>
    <t>36:58:32.4984 (36.975694) North</t>
  </si>
  <si>
    <t>90:59:52.8 (-90.998) West</t>
  </si>
  <si>
    <t>OZARK N.SCENIC RIVER</t>
  </si>
  <si>
    <t>Scott Bressler</t>
  </si>
  <si>
    <t>Scott_Bressler@nps.gov</t>
  </si>
  <si>
    <t xml:space="preserve">(573) 323-8031 </t>
  </si>
  <si>
    <t>paul_mancuso@nps.gov, scott_bressler@nps.gov</t>
  </si>
  <si>
    <t>BIG STONE NWR</t>
  </si>
  <si>
    <t>Big Stone</t>
  </si>
  <si>
    <t>8378F400</t>
  </si>
  <si>
    <t>45:15:39.9996 (45.261111) North</t>
  </si>
  <si>
    <t>96:20:30.0012 (-96.341667) West</t>
  </si>
  <si>
    <t>PHIL MILLETTE</t>
  </si>
  <si>
    <t>phil_millette@fws.gov</t>
  </si>
  <si>
    <t xml:space="preserve">(612) 360-3999 </t>
  </si>
  <si>
    <t>Chris Mursu</t>
  </si>
  <si>
    <t>chris_mursu@fws.gov</t>
  </si>
  <si>
    <t xml:space="preserve">(320) 273-2505 </t>
  </si>
  <si>
    <t>Phil Millette</t>
  </si>
  <si>
    <t>BIG SUR</t>
  </si>
  <si>
    <t>327F20C8</t>
  </si>
  <si>
    <t>36:14:43.2816 (36.245356) North</t>
  </si>
  <si>
    <t>121:46:48.54 (-121.78015) West</t>
  </si>
  <si>
    <t>Ivan Lamboo</t>
  </si>
  <si>
    <t>ivan.lamboo@usda.gov</t>
  </si>
  <si>
    <t xml:space="preserve">(831) 385-5434 </t>
  </si>
  <si>
    <t>BIGHORN MOUNTAIN</t>
  </si>
  <si>
    <t>45:04:23.97 (45.073325) North</t>
  </si>
  <si>
    <t>107:53:19.3992 (-107.888722) West</t>
  </si>
  <si>
    <t>Crow Agency</t>
  </si>
  <si>
    <t>Randy PrettyOnTop</t>
  </si>
  <si>
    <t>randy.prettyontop@bia.gov</t>
  </si>
  <si>
    <t xml:space="preserve">(406) 636-1811 </t>
  </si>
  <si>
    <t>Lee OldBear</t>
  </si>
  <si>
    <t>Lee.OldBear@bia.gov</t>
  </si>
  <si>
    <t xml:space="preserve">(406) 638-2247 </t>
  </si>
  <si>
    <t>Justin Carey</t>
  </si>
  <si>
    <t>BILLINGS QD #1</t>
  </si>
  <si>
    <t>Yellowstone</t>
  </si>
  <si>
    <t>3267E6EE</t>
  </si>
  <si>
    <t>45:59:37.2084 (45.993669) North</t>
  </si>
  <si>
    <t>107:59:57.3 (-107.99925) West</t>
  </si>
  <si>
    <t>MONTANA STATE OFFICE</t>
  </si>
  <si>
    <t>David day</t>
  </si>
  <si>
    <t>dday@blm.gov</t>
  </si>
  <si>
    <t xml:space="preserve">(406) 896-2855 </t>
  </si>
  <si>
    <t>BILLINGS QD #2</t>
  </si>
  <si>
    <t>Musselshell</t>
  </si>
  <si>
    <t>327E2232</t>
  </si>
  <si>
    <t>46:27:23.6988 (46.456583) North</t>
  </si>
  <si>
    <t>108:41:53.8188 (-108.698283) West</t>
  </si>
  <si>
    <t>David Day</t>
  </si>
  <si>
    <t>BIRCH CREEK</t>
  </si>
  <si>
    <t>324C5726</t>
  </si>
  <si>
    <t>65:35:04.4988 (65.584583) North</t>
  </si>
  <si>
    <t>144:21:48.7008 (-144.363528) West</t>
  </si>
  <si>
    <t>BIRD</t>
  </si>
  <si>
    <t>Gillespie</t>
  </si>
  <si>
    <t>8840570A</t>
  </si>
  <si>
    <t>30:15:45 (30.2625) North</t>
  </si>
  <si>
    <t>98:37:44.0004 (-98.628889) West</t>
  </si>
  <si>
    <t>BIRD SPRINGS PASS</t>
  </si>
  <si>
    <t>3277C79C</t>
  </si>
  <si>
    <t>35:32:09.0996 (35.535861) North</t>
  </si>
  <si>
    <t>118:08:25.1988 (-118.140333) West</t>
  </si>
  <si>
    <t>ahester@blm.gov, mlystad@blm.gov</t>
  </si>
  <si>
    <t>BISO-NP</t>
  </si>
  <si>
    <t>FA6321D4</t>
  </si>
  <si>
    <t>36:28:30 (36.475) North</t>
  </si>
  <si>
    <t>84:39:15.0012 (-84.654167) West</t>
  </si>
  <si>
    <t>BIG SOUTH FORK NRRA</t>
  </si>
  <si>
    <t>Anthony Garner</t>
  </si>
  <si>
    <t>anthony_garner@nps.gov</t>
  </si>
  <si>
    <t xml:space="preserve">(423) 569-7305 </t>
  </si>
  <si>
    <t>Gary Shreffler</t>
  </si>
  <si>
    <t>gary_shreffler@nps.gov</t>
  </si>
  <si>
    <t xml:space="preserve">(423) 569-7313 </t>
  </si>
  <si>
    <t>BITTERROOT QD#1 - PORT</t>
  </si>
  <si>
    <t>Ravalli</t>
  </si>
  <si>
    <t>326D044E</t>
  </si>
  <si>
    <t>46:35:22.4988 (46.589583) North</t>
  </si>
  <si>
    <t>114:10:08.8212 (-114.169117) West</t>
  </si>
  <si>
    <t>BITTERROOT NF</t>
  </si>
  <si>
    <t>BRET LEWIS</t>
  </si>
  <si>
    <t>bret.lewis@usda.gov</t>
  </si>
  <si>
    <t xml:space="preserve">(406) 821-1247 </t>
  </si>
  <si>
    <t>David Renton</t>
  </si>
  <si>
    <t>david.renton@usda.gov</t>
  </si>
  <si>
    <t xml:space="preserve">(406) 777-7440 </t>
  </si>
  <si>
    <t>mtbrc@firenet.gov</t>
  </si>
  <si>
    <t>BITTERROOT QD#2 - PORT</t>
  </si>
  <si>
    <t>45:55:40.9188 (45.928033) North</t>
  </si>
  <si>
    <t>114:13:23.7 (-114.22325) West</t>
  </si>
  <si>
    <t>Kyle Cole</t>
  </si>
  <si>
    <t>kyle.cole@usda.gov</t>
  </si>
  <si>
    <t xml:space="preserve">(406) 529-3374 </t>
  </si>
  <si>
    <t>BITTERROOT QD#4 - PORT</t>
  </si>
  <si>
    <t>32BA7310</t>
  </si>
  <si>
    <t>45:51:37.1016 (45.860306) North</t>
  </si>
  <si>
    <t>114:12:11.1996 (-114.203111) West</t>
  </si>
  <si>
    <t>Bret Lewis</t>
  </si>
  <si>
    <t>Scott Woodin</t>
  </si>
  <si>
    <t>scott.woodin@usda.gov</t>
  </si>
  <si>
    <t xml:space="preserve">(406) 821-1228 </t>
  </si>
  <si>
    <t>BKF1 PORTABLE</t>
  </si>
  <si>
    <t>327FE5D6</t>
  </si>
  <si>
    <t>44:09:14.58 (44.15405) North</t>
  </si>
  <si>
    <t>103:38:24.6084 (-103.640169) West</t>
  </si>
  <si>
    <t>Jason Virtue</t>
  </si>
  <si>
    <t>jason.virtue@usda.gov</t>
  </si>
  <si>
    <t xml:space="preserve">(605) 673-9261 </t>
  </si>
  <si>
    <t>BKF2 PORTABLE</t>
  </si>
  <si>
    <t>328A9692</t>
  </si>
  <si>
    <t>43:45:58.6404 (43.766289) North</t>
  </si>
  <si>
    <t>103:55:33.6 (-103.926) West</t>
  </si>
  <si>
    <t>BKF3 PORTABLE</t>
  </si>
  <si>
    <t>328AA308</t>
  </si>
  <si>
    <t>44:16:40.5984 (44.277944) North</t>
  </si>
  <si>
    <t>104:06:47.4984 (-104.113194) West</t>
  </si>
  <si>
    <t>BKF4 PORTABLE</t>
  </si>
  <si>
    <t>32B1F6AC</t>
  </si>
  <si>
    <t>103:38:24.6012 (-103.640167) West</t>
  </si>
  <si>
    <t>ROCKY MTN. RESEARCH</t>
  </si>
  <si>
    <t xml:space="preserve">(605) 673-9280 </t>
  </si>
  <si>
    <t>joshua.T.morgan@usda.gov</t>
  </si>
  <si>
    <t>BLACK CANYON</t>
  </si>
  <si>
    <t>Montrose</t>
  </si>
  <si>
    <t>325A5076</t>
  </si>
  <si>
    <t>38:32:33.1008 (38.542528) North</t>
  </si>
  <si>
    <t>107:41:09.4992 (-107.685972) West</t>
  </si>
  <si>
    <t>MONTROSE</t>
  </si>
  <si>
    <t>Russell Stark</t>
  </si>
  <si>
    <t>rmstark@blm.gov</t>
  </si>
  <si>
    <t xml:space="preserve">(970) 309-4089 </t>
  </si>
  <si>
    <t>Dispatch</t>
  </si>
  <si>
    <t xml:space="preserve">(970) 249-1010 </t>
  </si>
  <si>
    <t>BLACK CEDAR</t>
  </si>
  <si>
    <t>Millard</t>
  </si>
  <si>
    <t>323517DC</t>
  </si>
  <si>
    <t>38:58:45.2712 (38.979242) North</t>
  </si>
  <si>
    <t>112:14:19.9104 (-112.238864) West</t>
  </si>
  <si>
    <t>FISHLAKE NF</t>
  </si>
  <si>
    <t>Ryan McCollin</t>
  </si>
  <si>
    <t>ryan.mccollin@usda.gov</t>
  </si>
  <si>
    <t xml:space="preserve">(435) 896-3776 </t>
  </si>
  <si>
    <t>ahester@blm.gov, keith.r.adams@usda.gov, scott.tobler@usda.gov</t>
  </si>
  <si>
    <t>BLACK CREEK</t>
  </si>
  <si>
    <t>Stone</t>
  </si>
  <si>
    <t>333305C6</t>
  </si>
  <si>
    <t>30:50:56.148 (30.84893) North</t>
  </si>
  <si>
    <t>89:02:02.1192 (-89.033922) West</t>
  </si>
  <si>
    <t>Clifton Willis</t>
  </si>
  <si>
    <t>cliff.willis@usda.gov</t>
  </si>
  <si>
    <t xml:space="preserve">(601) 528-6186 </t>
  </si>
  <si>
    <t>BLACK DIAMOND</t>
  </si>
  <si>
    <t>Contra Costa</t>
  </si>
  <si>
    <t>CA4130E6</t>
  </si>
  <si>
    <t>37:57:00 (37.95) North</t>
  </si>
  <si>
    <t>121:53:03.9984 (-121.884444) West</t>
  </si>
  <si>
    <t>E.BAY REGIONAL PARKS</t>
  </si>
  <si>
    <t>Kent Simpson</t>
  </si>
  <si>
    <t>ksimpson@ebparks.org</t>
  </si>
  <si>
    <t xml:space="preserve">(510) 512-8487 </t>
  </si>
  <si>
    <t>BLACK HILLS</t>
  </si>
  <si>
    <t>Graham</t>
  </si>
  <si>
    <t>327D40DA</t>
  </si>
  <si>
    <t>33:04:55.3008 (33.082028) North</t>
  </si>
  <si>
    <t>109:57:04.2984 (-109.951194) West</t>
  </si>
  <si>
    <t>GILA</t>
  </si>
  <si>
    <t>DAMON MC RAE</t>
  </si>
  <si>
    <t>dmcrae@blm.gov</t>
  </si>
  <si>
    <t xml:space="preserve">(928) 348-4508 </t>
  </si>
  <si>
    <t>Dan Quintana</t>
  </si>
  <si>
    <t>dquintan@blm.gov</t>
  </si>
  <si>
    <t xml:space="preserve">(928) 348-4525 </t>
  </si>
  <si>
    <t>BLACK KNOB</t>
  </si>
  <si>
    <t>Grays Harbor</t>
  </si>
  <si>
    <t>521483C4</t>
  </si>
  <si>
    <t>47:24:49.4784 (47.413744) North</t>
  </si>
  <si>
    <t>124:06:11.1492 (-124.103097) West</t>
  </si>
  <si>
    <t>Taholah Agency</t>
  </si>
  <si>
    <t>Chet Jensen</t>
  </si>
  <si>
    <t>cjensen@quinault.org</t>
  </si>
  <si>
    <t xml:space="preserve">(360) 590-1634 </t>
  </si>
  <si>
    <t>Travis Peak</t>
  </si>
  <si>
    <t>travis.peak@quinault.org</t>
  </si>
  <si>
    <t xml:space="preserve">(360) 276-8211 </t>
  </si>
  <si>
    <t>Jerald Mayhugh</t>
  </si>
  <si>
    <t>BLACK MESA</t>
  </si>
  <si>
    <t>Rio Arriba</t>
  </si>
  <si>
    <t>5213D18C</t>
  </si>
  <si>
    <t>36:02:13.4988 (36.037083) North</t>
  </si>
  <si>
    <t>106:02:58.7004 (-106.049639) West</t>
  </si>
  <si>
    <t>Southwest</t>
  </si>
  <si>
    <t>North. Pueblos Agen.</t>
  </si>
  <si>
    <t>Valentin Vasquez</t>
  </si>
  <si>
    <t>valentin.vasquez@bia.gov</t>
  </si>
  <si>
    <t xml:space="preserve">(505) 927-0952 </t>
  </si>
  <si>
    <t>Valdis Neha</t>
  </si>
  <si>
    <t>valdis.neha@bia.gov</t>
  </si>
  <si>
    <t xml:space="preserve">(505) 563-3357 </t>
  </si>
  <si>
    <t>ahester@blm.gov, brian.tonihka@bia.gov, cheryl.bright@bia.gov, valdis.neha@bia.gov</t>
  </si>
  <si>
    <t>BLACK MOUNTAIN</t>
  </si>
  <si>
    <t>Huerfano</t>
  </si>
  <si>
    <t>3230101C</t>
  </si>
  <si>
    <t>37:51:41.5008 (37.861528) North</t>
  </si>
  <si>
    <t>105:17:02.7996 (-105.284111) West</t>
  </si>
  <si>
    <t>Dennis Page</t>
  </si>
  <si>
    <t>dennis.page@usda.gov</t>
  </si>
  <si>
    <t xml:space="preserve">(719) 429-2510 </t>
  </si>
  <si>
    <t>ahester@blm.gov, dennis.page@usda.gov, jeffrey.bade@usda.gov</t>
  </si>
  <si>
    <t>BLACK MTN RIDGE</t>
  </si>
  <si>
    <t>327F70B4</t>
  </si>
  <si>
    <t>45:34:24.9996 (45.573611) North</t>
  </si>
  <si>
    <t>118:14:18.9996 (-118.238611) West</t>
  </si>
  <si>
    <t xml:space="preserve">(541) 278-3704 </t>
  </si>
  <si>
    <t>ahester@blm.gov, mike.moore2@usda.gov</t>
  </si>
  <si>
    <t>BLACK RIVER FALLS</t>
  </si>
  <si>
    <t>44:17:47.87 (44.296631) North</t>
  </si>
  <si>
    <t>90:43:36.41 (-90.726781) West</t>
  </si>
  <si>
    <t>BLACK ROCK</t>
  </si>
  <si>
    <t>Klamath</t>
  </si>
  <si>
    <t>3260145E</t>
  </si>
  <si>
    <t>43:31:41.0016 (43.528056) North</t>
  </si>
  <si>
    <t>121:48:56.9988 (-121.815833) West</t>
  </si>
  <si>
    <t>Max Leidenfrost</t>
  </si>
  <si>
    <t>max.leidenfrost@usda.gov</t>
  </si>
  <si>
    <t xml:space="preserve">(541) 433-3251 </t>
  </si>
  <si>
    <t>Magen Dufurrena</t>
  </si>
  <si>
    <t>magen.dufurrena@usda.gov</t>
  </si>
  <si>
    <t xml:space="preserve">(541) 433-3257 </t>
  </si>
  <si>
    <t>ahester@blm.gov, orcoc@firenet.gov</t>
  </si>
  <si>
    <t>Mohave</t>
  </si>
  <si>
    <t>3257E09E</t>
  </si>
  <si>
    <t>36:47:39.6996 (36.794361) North</t>
  </si>
  <si>
    <t>113:45:02.0016 (-113.750556) West</t>
  </si>
  <si>
    <t>Luke Seelhoff</t>
  </si>
  <si>
    <t>lseelhoff@blm.gov</t>
  </si>
  <si>
    <t xml:space="preserve">(435) 572-5500 </t>
  </si>
  <si>
    <t>Goff, Cody R</t>
  </si>
  <si>
    <t xml:space="preserve">(435) 359-3169 </t>
  </si>
  <si>
    <t>BLACKBIRD</t>
  </si>
  <si>
    <t>323A842C</t>
  </si>
  <si>
    <t>38:23:50.9208 (38.397478) North</t>
  </si>
  <si>
    <t>119:31:30.4608 (-119.525128) West</t>
  </si>
  <si>
    <t>MWTC BRIDGEPORT</t>
  </si>
  <si>
    <t>USMCNR - USMC Natural Resources</t>
  </si>
  <si>
    <t>Andrew Irvin</t>
  </si>
  <si>
    <t>andrew.irvin@usmc.mil</t>
  </si>
  <si>
    <t xml:space="preserve">(760) 932-1564 </t>
  </si>
  <si>
    <t>Martin Husung</t>
  </si>
  <si>
    <t>martin.husung@usmc.mil</t>
  </si>
  <si>
    <t xml:space="preserve">(760) 932-1457 </t>
  </si>
  <si>
    <t>Delaware</t>
  </si>
  <si>
    <t>New Castle</t>
  </si>
  <si>
    <t>DF10101C</t>
  </si>
  <si>
    <t>AVALANCHE CONTROL</t>
  </si>
  <si>
    <t>39:19:32.9988 (39.325833) North</t>
  </si>
  <si>
    <t>75:43:50.9988 (-75.730833) West</t>
  </si>
  <si>
    <t>DELAWARE</t>
  </si>
  <si>
    <t>DFS</t>
  </si>
  <si>
    <t>DEFOSV - Delaware Forest Service</t>
  </si>
  <si>
    <t>Sam Topper</t>
  </si>
  <si>
    <t>sam.topper@delaware.gov</t>
  </si>
  <si>
    <t xml:space="preserve">(302) 745-6403 </t>
  </si>
  <si>
    <t>BLACKHAWK</t>
  </si>
  <si>
    <t>32BDA74C</t>
  </si>
  <si>
    <t>37:51:00 (37.85) North</t>
  </si>
  <si>
    <t>121:54:06.2712 (-121.901742) West</t>
  </si>
  <si>
    <t>CALIF. STATE PARKS</t>
  </si>
  <si>
    <t>SJSUED - San Jose State University</t>
  </si>
  <si>
    <t>Craig Clements</t>
  </si>
  <si>
    <t>craig.clements@sjsu.edu</t>
  </si>
  <si>
    <t xml:space="preserve">(408) 924-1677 </t>
  </si>
  <si>
    <t>Mike Voss</t>
  </si>
  <si>
    <t>mike.voss@sjsu.edu</t>
  </si>
  <si>
    <t xml:space="preserve">(408) 924-5249 </t>
  </si>
  <si>
    <t>Nick Perlaky</t>
  </si>
  <si>
    <t>BLACKROCK</t>
  </si>
  <si>
    <t>3231C48E</t>
  </si>
  <si>
    <t>36:05:36.4308 (36.093453) North</t>
  </si>
  <si>
    <t>118:15:39.8916 (-118.261081) West</t>
  </si>
  <si>
    <t>SEQUOIA NF</t>
  </si>
  <si>
    <t>Daniel Wild</t>
  </si>
  <si>
    <t>daniel.wild@usda.gov</t>
  </si>
  <si>
    <t xml:space="preserve">(661) 889-7246 </t>
  </si>
  <si>
    <t>BLACKS MOUNTAIN</t>
  </si>
  <si>
    <t>AAC360B8</t>
  </si>
  <si>
    <t>40:43:28.4412 (40.724567) North</t>
  </si>
  <si>
    <t>121:10:44.2308 (-121.178953) West</t>
  </si>
  <si>
    <t>LASSEN NF</t>
  </si>
  <si>
    <t>Kaelyn Finley</t>
  </si>
  <si>
    <t>kaelyn.a.finley@usda.gov</t>
  </si>
  <si>
    <t xml:space="preserve">(530) 226-2552 </t>
  </si>
  <si>
    <t>Michael DeBlois</t>
  </si>
  <si>
    <t>michael.deblois@usda.gov</t>
  </si>
  <si>
    <t xml:space="preserve">(530) 252-5830 </t>
  </si>
  <si>
    <t>ahester@blm.gov, daniel.varney@usda.gov, donald.r.lee@usda.gov, eric.e.knapp@usda.gov, shuckstep@blm.gov</t>
  </si>
  <si>
    <t>BLACKTAIL</t>
  </si>
  <si>
    <t>521490B2</t>
  </si>
  <si>
    <t>40:16:34.6008 (40.276278) North</t>
  </si>
  <si>
    <t>110:33:43.8984 (-110.562194) West</t>
  </si>
  <si>
    <t>Uintah Ouray Agency</t>
  </si>
  <si>
    <t>Douglas Bryce</t>
  </si>
  <si>
    <t>douglas.bryce@bia.gov</t>
  </si>
  <si>
    <t xml:space="preserve">(435) 722-4361 </t>
  </si>
  <si>
    <t>Don Mitchell</t>
  </si>
  <si>
    <t>donald.mitchell@bia.gov</t>
  </si>
  <si>
    <t xml:space="preserve">(435) 401-0827 </t>
  </si>
  <si>
    <t>Flathead</t>
  </si>
  <si>
    <t>32B86592</t>
  </si>
  <si>
    <t>47:58:57.72 (47.9827) North</t>
  </si>
  <si>
    <t>114:21:22.32 (-114.3562) West</t>
  </si>
  <si>
    <t>Brett Pargman</t>
  </si>
  <si>
    <t>brett.pargman@usda.gov</t>
  </si>
  <si>
    <t xml:space="preserve">(406) 837-7549 </t>
  </si>
  <si>
    <t>Jason Keister</t>
  </si>
  <si>
    <t>jason.keister@usda.gov</t>
  </si>
  <si>
    <t xml:space="preserve">(406) 837-7513 </t>
  </si>
  <si>
    <t xml:space="preserve"> jason.keister@usda.gov, ahester@blm.gov, brett.pargman@usda.gov</t>
  </si>
  <si>
    <t>BLACKWATER</t>
  </si>
  <si>
    <t>Dorchester</t>
  </si>
  <si>
    <t>8377526A</t>
  </si>
  <si>
    <t>38:26:44.8404 (38.445789) North</t>
  </si>
  <si>
    <t>76:05:35.3292 (-76.093147) West</t>
  </si>
  <si>
    <t>BLACKWATER NWR</t>
  </si>
  <si>
    <t>John Ashcraft (Cell)</t>
  </si>
  <si>
    <t>john_ashcraft@fws.gov</t>
  </si>
  <si>
    <t xml:space="preserve">(443) 521-3921 </t>
  </si>
  <si>
    <t>BLACKWATER FORESTRY CNTR</t>
  </si>
  <si>
    <t>Santa Rosa</t>
  </si>
  <si>
    <t>32B4D780</t>
  </si>
  <si>
    <t>30:51:29.9016 (30.858306) North</t>
  </si>
  <si>
    <t>86:51:56.3004 (-86.865639) West</t>
  </si>
  <si>
    <t>FLORIDA</t>
  </si>
  <si>
    <t>FDACS</t>
  </si>
  <si>
    <t>FDOACS - FLORDIA DEPARTMENT OF FORESTRY</t>
  </si>
  <si>
    <t>Mike Hudson</t>
  </si>
  <si>
    <t>john.hudson@fdacs.gov</t>
  </si>
  <si>
    <t xml:space="preserve">(850) 957-5722 </t>
  </si>
  <si>
    <t>Bryan Williams</t>
  </si>
  <si>
    <t>bryan.williams@fdacs.gov</t>
  </si>
  <si>
    <t xml:space="preserve">(850) 681-5924 </t>
  </si>
  <si>
    <t>BLAIR HELIBASE</t>
  </si>
  <si>
    <t>Blair</t>
  </si>
  <si>
    <t>32A0962E</t>
  </si>
  <si>
    <t>40:26:22.9416 (40.439706) North</t>
  </si>
  <si>
    <t>78:25:06.1896 (-78.418386) West</t>
  </si>
  <si>
    <t>BLAIR LAKES</t>
  </si>
  <si>
    <t>64:23:08.9988 (64.385833) North</t>
  </si>
  <si>
    <t>147:41:43.0008 (-147.695278) West</t>
  </si>
  <si>
    <t>EIELSON AFB</t>
  </si>
  <si>
    <t>Luke Butcher</t>
  </si>
  <si>
    <t>luke.a.butcher.civ@mail.mil</t>
  </si>
  <si>
    <t xml:space="preserve">(907) 347-5174 </t>
  </si>
  <si>
    <t>BLANCHARD SPRINGS</t>
  </si>
  <si>
    <t>326183C6</t>
  </si>
  <si>
    <t>35:58:27.9984 (35.974444) North</t>
  </si>
  <si>
    <t>92:11:39.0012 (-92.194167) West</t>
  </si>
  <si>
    <t>BLEDSOE SF</t>
  </si>
  <si>
    <t>Bledsoe</t>
  </si>
  <si>
    <t>0260427C</t>
  </si>
  <si>
    <t>35:40:54.9984 (35.681944) North</t>
  </si>
  <si>
    <t>85:16:23.9988 (-85.273333) West</t>
  </si>
  <si>
    <t>James Dale</t>
  </si>
  <si>
    <t>Joseph Troxel</t>
  </si>
  <si>
    <t>Joseph.Troxel@tn.gov</t>
  </si>
  <si>
    <t xml:space="preserve">(615) 961-1997 </t>
  </si>
  <si>
    <t>BLM UPGRADE TEST</t>
  </si>
  <si>
    <t>325064BE</t>
  </si>
  <si>
    <t>43:33:54 (43.565) North</t>
  </si>
  <si>
    <t>116:12:30.9996 (-116.208611) West</t>
  </si>
  <si>
    <t>BLM/NIFC</t>
  </si>
  <si>
    <t>Kip Watson</t>
  </si>
  <si>
    <t>kwatson@blm.gov</t>
  </si>
  <si>
    <t xml:space="preserve">(208) 387-5476 </t>
  </si>
  <si>
    <t>NIFC,FEMS</t>
  </si>
  <si>
    <t>BLOXHAM</t>
  </si>
  <si>
    <t>Leon</t>
  </si>
  <si>
    <t>3287F012</t>
  </si>
  <si>
    <t>30:21:29.9988 (30.358333) North</t>
  </si>
  <si>
    <t>84:36:41.0004 (-84.611389) West</t>
  </si>
  <si>
    <t>Ernest Chichester (Cell)</t>
  </si>
  <si>
    <t>ernest.chichester@usda.gov</t>
  </si>
  <si>
    <t xml:space="preserve">(850) 404-4482 </t>
  </si>
  <si>
    <t>Andrew Lambert</t>
  </si>
  <si>
    <t>Andrew.Lambert2@usda.gov</t>
  </si>
  <si>
    <t xml:space="preserve">(850) 508-2582 </t>
  </si>
  <si>
    <t>john.c.sullivan@usda.gov</t>
  </si>
  <si>
    <t>BLUE CANYON</t>
  </si>
  <si>
    <t>Baker</t>
  </si>
  <si>
    <t>325DA2C6</t>
  </si>
  <si>
    <t>44:40:12 (44.67) North</t>
  </si>
  <si>
    <t>117:56:00.9996 (-117.933611) West</t>
  </si>
  <si>
    <t>WALLOWA-WHITMAN NF</t>
  </si>
  <si>
    <t>Josh Hewitt</t>
  </si>
  <si>
    <t>joshua.hewitt@usda.gov</t>
  </si>
  <si>
    <t xml:space="preserve">(541) 975-5414 </t>
  </si>
  <si>
    <t>Hunter Petrucci</t>
  </si>
  <si>
    <t>hunter.petrucci@usda.gov</t>
  </si>
  <si>
    <t xml:space="preserve">(541) 975-5428 </t>
  </si>
  <si>
    <t>ahester@blm.gov, joshua.hewitt@usda.gov</t>
  </si>
  <si>
    <t>BLUE DOOR</t>
  </si>
  <si>
    <t>3255F61C</t>
  </si>
  <si>
    <t>41:03:14.6988 (41.054083) North</t>
  </si>
  <si>
    <t>120:20:15.1008 (-120.337528) West</t>
  </si>
  <si>
    <t>swilson@blm.gov</t>
  </si>
  <si>
    <t>BLUE HILLS</t>
  </si>
  <si>
    <t>Massachusetts</t>
  </si>
  <si>
    <t>Norfolk</t>
  </si>
  <si>
    <t>32B277B6</t>
  </si>
  <si>
    <t>42:12:27.576 (42.20766) North</t>
  </si>
  <si>
    <t>71:06:37.8396 (-71.110511) West</t>
  </si>
  <si>
    <t>MASSACHUSETTS</t>
  </si>
  <si>
    <t>MA FFC</t>
  </si>
  <si>
    <t>MASSCR - Massachussetts Forest Fire Control</t>
  </si>
  <si>
    <t>Karyn Lothrop</t>
  </si>
  <si>
    <t>karyn.lothrop@mass.gov</t>
  </si>
  <si>
    <t xml:space="preserve">(857) 366-0511 </t>
  </si>
  <si>
    <t>BLUE MAX</t>
  </si>
  <si>
    <t>Kern</t>
  </si>
  <si>
    <t>324CF7DE</t>
  </si>
  <si>
    <t>35:42:35.1 (35.70975) North</t>
  </si>
  <si>
    <t>117:58:19.4016 (-117.972056) West</t>
  </si>
  <si>
    <t>BLUE MOUNTAIN</t>
  </si>
  <si>
    <t>326CF630</t>
  </si>
  <si>
    <t>41:49:47.6688 (41.829908) North</t>
  </si>
  <si>
    <t>120:51:48.1716 (-120.863381) West</t>
  </si>
  <si>
    <t>BLUE MOUNTAIN LAKES</t>
  </si>
  <si>
    <t>Sussex</t>
  </si>
  <si>
    <t>3291C2D8</t>
  </si>
  <si>
    <t>41:05:20.0004 (41.088889) North</t>
  </si>
  <si>
    <t>74:54:46.0008 (-74.912778) West</t>
  </si>
  <si>
    <t>DELAWARE WATER GAP</t>
  </si>
  <si>
    <t>Michael Grismer</t>
  </si>
  <si>
    <t>michael_grismer@nps.gov</t>
  </si>
  <si>
    <t xml:space="preserve">(570) 588-1845 </t>
  </si>
  <si>
    <t>Matt Boss</t>
  </si>
  <si>
    <t>matt_boss@nps.gov</t>
  </si>
  <si>
    <t xml:space="preserve"> matt_boss@nps.gov, michael_grismer@nps.gov</t>
  </si>
  <si>
    <t>BLUE MTN</t>
  </si>
  <si>
    <t>Missoula</t>
  </si>
  <si>
    <t>326EC65E</t>
  </si>
  <si>
    <t>46:49:14.61 (46.820725) North</t>
  </si>
  <si>
    <t>114:06:03.2004 (-114.100889) West</t>
  </si>
  <si>
    <t>LOLO NF</t>
  </si>
  <si>
    <t>Travis Pfister</t>
  </si>
  <si>
    <t>travis.pfister@usda.gov</t>
  </si>
  <si>
    <t xml:space="preserve">(406) 250-0365 </t>
  </si>
  <si>
    <t>Andy Bidwell</t>
  </si>
  <si>
    <t>andrew.bidwell@usda.gov</t>
  </si>
  <si>
    <t xml:space="preserve">(406) 329-3963 </t>
  </si>
  <si>
    <t>ahester@blm.gov, andrew.bidwell@usda.gov, dani.johnson@usda.gov, geoffrey.farinholt@usda.gov, martin.jacob@usda.gov</t>
  </si>
  <si>
    <t>BLUE MTN LOOKOUT</t>
  </si>
  <si>
    <t>32B5385A</t>
  </si>
  <si>
    <t>38:20:32.3988 (38.342333) North</t>
  </si>
  <si>
    <t>120:21:52.8984 (-120.364694) West</t>
  </si>
  <si>
    <t>BLUE PARK</t>
  </si>
  <si>
    <t>Mineral</t>
  </si>
  <si>
    <t>3234F6D4</t>
  </si>
  <si>
    <t>37:47:35.0016 (37.793056) North</t>
  </si>
  <si>
    <t>106:46:42.9996 (-106.778611) West</t>
  </si>
  <si>
    <t>BLUE RIDGE (KNF)</t>
  </si>
  <si>
    <t>3272B6CC</t>
  </si>
  <si>
    <t>41:16:08.7384 (41.269094) North</t>
  </si>
  <si>
    <t>123:11:20.2884 (-123.188969) West</t>
  </si>
  <si>
    <t>KLAMATH NF</t>
  </si>
  <si>
    <t>Ashley Dooley</t>
  </si>
  <si>
    <t>ashley.dooley@usda.gov</t>
  </si>
  <si>
    <t xml:space="preserve">(530) 842-3380 </t>
  </si>
  <si>
    <t xml:space="preserve"> </t>
  </si>
  <si>
    <t>BLUE RIDGE QD</t>
  </si>
  <si>
    <t>Rabun</t>
  </si>
  <si>
    <t>32E028AE</t>
  </si>
  <si>
    <t>Nick Peters</t>
  </si>
  <si>
    <t>nicholas.peters@usda.gov</t>
  </si>
  <si>
    <t xml:space="preserve">(706) 745-6928 </t>
  </si>
  <si>
    <t>Charles Gray</t>
  </si>
  <si>
    <t>charles.o.gray@usda.gov</t>
  </si>
  <si>
    <t xml:space="preserve">(706) 473-2190 </t>
  </si>
  <si>
    <t>BLUE ROCK</t>
  </si>
  <si>
    <t>Ohio</t>
  </si>
  <si>
    <t>Muskingum</t>
  </si>
  <si>
    <t>6140358A</t>
  </si>
  <si>
    <t>40:00:35.4996 (40.009861) North</t>
  </si>
  <si>
    <t>82:06:11.7 (-82.10325) West</t>
  </si>
  <si>
    <t>OHIO</t>
  </si>
  <si>
    <t>OHIO DIV.OF FORESTRY</t>
  </si>
  <si>
    <t>SOFDRN - Ohio Division of Forestry</t>
  </si>
  <si>
    <t>Thomas Shuman</t>
  </si>
  <si>
    <t>tom.shuman@dnr.state.oh.us</t>
  </si>
  <si>
    <t xml:space="preserve">(740) 672-2677 </t>
  </si>
  <si>
    <t>Aaron Kloss</t>
  </si>
  <si>
    <t>aaron.kloss@dnr.state.oh.us</t>
  </si>
  <si>
    <t xml:space="preserve">(614) 265-6896 </t>
  </si>
  <si>
    <t>ahester@blm.gov, tom.shuman@dnr.state.oh.us</t>
  </si>
  <si>
    <t>BLUEWATER RIDGE</t>
  </si>
  <si>
    <t>Cibola</t>
  </si>
  <si>
    <t>3333B648</t>
  </si>
  <si>
    <t>35:11:39.0012 (35.194167) North</t>
  </si>
  <si>
    <t>108:09:47.0016 (-108.163056) West</t>
  </si>
  <si>
    <t>Molly Wright (Cell)</t>
  </si>
  <si>
    <t>BLUEWING MOUNTAIN</t>
  </si>
  <si>
    <t>325BF274</t>
  </si>
  <si>
    <t>40:30:05.2992 (40.501472) North</t>
  </si>
  <si>
    <t>119:07:17.7996 (-119.121611) West</t>
  </si>
  <si>
    <t>WINNEMUCCA</t>
  </si>
  <si>
    <t xml:space="preserve">(775) 623-1540 </t>
  </si>
  <si>
    <t>Austin Lee</t>
  </si>
  <si>
    <t>amlee@blm.gov</t>
  </si>
  <si>
    <t xml:space="preserve">(775) 455-6345 </t>
  </si>
  <si>
    <t>ahester@blm.gov, bluhig@blm.gov, d1walker@blm.gov, dmessmer@blm.gov, l2walker@blm.gov, shuckstep@blm.gov</t>
  </si>
  <si>
    <t>BLUFF CITY</t>
  </si>
  <si>
    <t>33:41:31.9992 (33.692222) North</t>
  </si>
  <si>
    <t>93:09:45 (-93.1625) West</t>
  </si>
  <si>
    <t>ARKANSAS</t>
  </si>
  <si>
    <t>ARKANSAS FORESTRY</t>
  </si>
  <si>
    <t>ARFDRN - Arkansas Forestry Commission</t>
  </si>
  <si>
    <t>Stewart Norris</t>
  </si>
  <si>
    <t>stewart.norris@agriculture.arkansas.gov</t>
  </si>
  <si>
    <t xml:space="preserve">(501) 772-6292 </t>
  </si>
  <si>
    <t>Danial Craine</t>
  </si>
  <si>
    <t>daniel.craine@agriculture.arkansas.gov</t>
  </si>
  <si>
    <t xml:space="preserve">(501) 517-5545 </t>
  </si>
  <si>
    <t>BLUFF CREEK</t>
  </si>
  <si>
    <t>48:52:05.9988 (48.868333) North</t>
  </si>
  <si>
    <t>106:56:53.3004 (-106.948139) West</t>
  </si>
  <si>
    <t xml:space="preserve"> jpeterman@blm.gov, ahester@blm.gov, cparker@blm.gov</t>
  </si>
  <si>
    <t>BLY FIRE PORTABLE</t>
  </si>
  <si>
    <t>32B3EEFC</t>
  </si>
  <si>
    <t>42:23:58.1604 (42.399489) North</t>
  </si>
  <si>
    <t>121:08:13.11 (-121.136975) West</t>
  </si>
  <si>
    <t>Fremont-Winema NF</t>
  </si>
  <si>
    <t>Adam Brooks</t>
  </si>
  <si>
    <t>adam.brooks@usda.gov</t>
  </si>
  <si>
    <t xml:space="preserve">(541) 353-2703 </t>
  </si>
  <si>
    <t>BOARD CREEK</t>
  </si>
  <si>
    <t>Grant</t>
  </si>
  <si>
    <t>325D4134</t>
  </si>
  <si>
    <t>44:35:53.178 (44.598105) North</t>
  </si>
  <si>
    <t>119:18:27.5472 (-119.307652) West</t>
  </si>
  <si>
    <t>Aaron Kienzle</t>
  </si>
  <si>
    <t>aaron.kienzle@usda.gov</t>
  </si>
  <si>
    <t xml:space="preserve">(541) 620-4435 </t>
  </si>
  <si>
    <t>aaron.kienzle@usda.gov, ahester@blm.gov, lisa.m.davis@usda.gov</t>
  </si>
  <si>
    <t>BOARD HOLLOW</t>
  </si>
  <si>
    <t>6000B1E0</t>
  </si>
  <si>
    <t>44:36:14.0004 (44.603889) North</t>
  </si>
  <si>
    <t>120:41:04.9992 (-120.684722) West</t>
  </si>
  <si>
    <t>OREGON</t>
  </si>
  <si>
    <t>DEPT OF FORESTRY</t>
  </si>
  <si>
    <t>OREDOF - Oregon Department of Forestry</t>
  </si>
  <si>
    <t>Carrie Capp (Cell)</t>
  </si>
  <si>
    <t>carrie.a.capp@odf.oregon.gov</t>
  </si>
  <si>
    <t xml:space="preserve">(541) 233-6266 </t>
  </si>
  <si>
    <t>Frank Jones</t>
  </si>
  <si>
    <t>frank.b.jones@odf.oregon.gov</t>
  </si>
  <si>
    <t xml:space="preserve">(541) 447-5658 </t>
  </si>
  <si>
    <t>Ben Duda</t>
  </si>
  <si>
    <t>BOGARD R.S.</t>
  </si>
  <si>
    <t>3237A1A6</t>
  </si>
  <si>
    <t>40:35:31.47 (40.592075) North</t>
  </si>
  <si>
    <t>121:04:40.6092 (-121.077947) West</t>
  </si>
  <si>
    <t>Dan Varney</t>
  </si>
  <si>
    <t>daniel.varney@usda.gov</t>
  </si>
  <si>
    <t xml:space="preserve">(530) 252-5819 </t>
  </si>
  <si>
    <t>ahester@blm.gov, donald.r.lee@usda.gov, shuckstep@blm.gov</t>
  </si>
  <si>
    <t>BOGUE CHITTO</t>
  </si>
  <si>
    <t>Pearl River</t>
  </si>
  <si>
    <t>32B108FA</t>
  </si>
  <si>
    <t>30:39:42.9984 (30.661944) North</t>
  </si>
  <si>
    <t>89:47:44.0016 (-89.795556) West</t>
  </si>
  <si>
    <t>BOISE FD PORTABLE #1</t>
  </si>
  <si>
    <t>Boise</t>
  </si>
  <si>
    <t>32B15654</t>
  </si>
  <si>
    <t>43:37:26.58 (43.62405) North</t>
  </si>
  <si>
    <t>116:24:28.2384 (-116.407844) West</t>
  </si>
  <si>
    <t>IDAHO</t>
  </si>
  <si>
    <t>CITY OF BOISE</t>
  </si>
  <si>
    <t>BOISE1 - City of Boise Communications Division</t>
  </si>
  <si>
    <t>Buddy Jacob</t>
  </si>
  <si>
    <t>bjacob@cityofboise.org</t>
  </si>
  <si>
    <t xml:space="preserve">(208) 570-6819 </t>
  </si>
  <si>
    <t>Brian Klemann</t>
  </si>
  <si>
    <t>bklemann@cityofboise.org</t>
  </si>
  <si>
    <t xml:space="preserve">(208) 570-6817 </t>
  </si>
  <si>
    <t>glwalter@cityofboise.org</t>
  </si>
  <si>
    <t>BOISE PORTABLE 2</t>
  </si>
  <si>
    <t>3271B1C2</t>
  </si>
  <si>
    <t>44:05:04.3008 (44.084528) North</t>
  </si>
  <si>
    <t>115:35:05.6004 (-115.584889) West</t>
  </si>
  <si>
    <t>(208) 259-3361 563</t>
  </si>
  <si>
    <t>Tim Dulhanty</t>
  </si>
  <si>
    <t>tim.dulhanty@usda.gov</t>
  </si>
  <si>
    <t xml:space="preserve">(208) 384-7445 </t>
  </si>
  <si>
    <t>BOISE PORTABLE 4</t>
  </si>
  <si>
    <t>324FA0AC</t>
  </si>
  <si>
    <t>43:41:41.7012 (43.694917) North</t>
  </si>
  <si>
    <t>115:52:02.46 (-115.86735) West</t>
  </si>
  <si>
    <t>BOISE TEST</t>
  </si>
  <si>
    <t>Ada</t>
  </si>
  <si>
    <t>3277B10C</t>
  </si>
  <si>
    <t>116:12:29.9988 (-116.208333) West</t>
  </si>
  <si>
    <t>BOISE TEST BACK LEFT</t>
  </si>
  <si>
    <t>324D6046</t>
  </si>
  <si>
    <t>BOISE TEST BACK MIDDLE</t>
  </si>
  <si>
    <t>Brian FUller</t>
  </si>
  <si>
    <t>bfuller@blm.gov</t>
  </si>
  <si>
    <t>jdopp@blm.gov</t>
  </si>
  <si>
    <t xml:space="preserve">(208) 387-2476 </t>
  </si>
  <si>
    <t>BOISE TEST BACK RIGHT</t>
  </si>
  <si>
    <t>3290C022</t>
  </si>
  <si>
    <t xml:space="preserve">(208) 387-5362 </t>
  </si>
  <si>
    <t>BOISE WFO</t>
  </si>
  <si>
    <t>32B163CE</t>
  </si>
  <si>
    <t>43:34:03.0864 (43.567524) North</t>
  </si>
  <si>
    <t>116:12:40.68 (-116.2113) West</t>
  </si>
  <si>
    <t>National Weather Service</t>
  </si>
  <si>
    <t>NWSWRH - National Weather Service Western Region</t>
  </si>
  <si>
    <t>eric.d.johnson@noaa.gov</t>
  </si>
  <si>
    <t xml:space="preserve">(208) 334-9847 </t>
  </si>
  <si>
    <t>Travis Mayer</t>
  </si>
  <si>
    <t>travis.mayer@noaa.gov</t>
  </si>
  <si>
    <t>joshua.garrow@noaa.gov</t>
  </si>
  <si>
    <t>Vaisala - 555 (H555)</t>
  </si>
  <si>
    <t>BOLAM</t>
  </si>
  <si>
    <t>326AB5F4</t>
  </si>
  <si>
    <t>41:32:02.85 (41.534125) North</t>
  </si>
  <si>
    <t>122:12:34.974 (-122.209715) West</t>
  </si>
  <si>
    <t>BOLIO</t>
  </si>
  <si>
    <t>D0D000A2</t>
  </si>
  <si>
    <t>63:52:18.2388 (63.871733) North</t>
  </si>
  <si>
    <t>145:51:07.3188 (-145.852033) West</t>
  </si>
  <si>
    <t>USA</t>
  </si>
  <si>
    <t>FORT WAINWRITE</t>
  </si>
  <si>
    <t>DODARM - DOD</t>
  </si>
  <si>
    <t>BOLTER CREEK</t>
  </si>
  <si>
    <t>Schuyler</t>
  </si>
  <si>
    <t>32B0E720</t>
  </si>
  <si>
    <t>42:31:41.9988 (42.528333) North</t>
  </si>
  <si>
    <t>76:46:35.9004 (-76.776639) West</t>
  </si>
  <si>
    <t>GRN MTN &amp; FINGER LKS</t>
  </si>
  <si>
    <t>Kevin Boness</t>
  </si>
  <si>
    <t>kevinmboness@fs.fed.us</t>
  </si>
  <si>
    <t xml:space="preserve">(802) 747-6740 </t>
  </si>
  <si>
    <t>Lindsay Silvia</t>
  </si>
  <si>
    <t xml:space="preserve"> lindsay.r.silvia@usda.gov</t>
  </si>
  <si>
    <t>(802) 767-4261 535</t>
  </si>
  <si>
    <t>robert.goulding@usda.gov</t>
  </si>
  <si>
    <t>BONANZA</t>
  </si>
  <si>
    <t>Custer</t>
  </si>
  <si>
    <t>3241F4B8</t>
  </si>
  <si>
    <t>44:22:19.4484 (44.372069) North</t>
  </si>
  <si>
    <t>114:43:44.7708 (-114.729103) West</t>
  </si>
  <si>
    <t>SALMON/CHALLIS NF</t>
  </si>
  <si>
    <t>Riley Rhoades</t>
  </si>
  <si>
    <t>riley.rhoades@usda.gov</t>
  </si>
  <si>
    <t xml:space="preserve">(208) 879-4132 </t>
  </si>
  <si>
    <t>Jace James</t>
  </si>
  <si>
    <t>jace.james@usda.gov</t>
  </si>
  <si>
    <t xml:space="preserve">(208) 879-4139 </t>
  </si>
  <si>
    <t>ahester@blm.gov, jace.james@usda.gov, jessica.l.martin@usda.gov, maegan.maughan@usda.gov, riley.rhoades@usda.gov, timothy.bradley@usda.gov</t>
  </si>
  <si>
    <t>BONNERS FERRY</t>
  </si>
  <si>
    <t>Boundary</t>
  </si>
  <si>
    <t>3274058C</t>
  </si>
  <si>
    <t>48:43:34.7988 (48.726333) North</t>
  </si>
  <si>
    <t>116:17:31.1712 (-116.291992) West</t>
  </si>
  <si>
    <t>IDAHO PANHANDLE NF</t>
  </si>
  <si>
    <t>Dan Muir</t>
  </si>
  <si>
    <t>Daniel.Muir@usda.gov</t>
  </si>
  <si>
    <t xml:space="preserve">(208) 651-9001 </t>
  </si>
  <si>
    <t>BONSECOUR</t>
  </si>
  <si>
    <t>Baldwin</t>
  </si>
  <si>
    <t>837970EE</t>
  </si>
  <si>
    <t>30:15:10.0008 (30.252778) North</t>
  </si>
  <si>
    <t>87:48:45 (-87.8125) West</t>
  </si>
  <si>
    <t>SANDHILL CRANE NWR</t>
  </si>
  <si>
    <t>Melanie Dolan</t>
  </si>
  <si>
    <t>melanie_dolan@fws.gov</t>
  </si>
  <si>
    <t xml:space="preserve">(228) 281-0181 </t>
  </si>
  <si>
    <t>Sami Gray</t>
  </si>
  <si>
    <t>SAMI_GRAY@FWS.GOV</t>
  </si>
  <si>
    <t>(228) 497-5780 1</t>
  </si>
  <si>
    <t>BOOM BOOM QD</t>
  </si>
  <si>
    <t>Juab</t>
  </si>
  <si>
    <t>3280D4CA</t>
  </si>
  <si>
    <t>39:23:38.0004 (39.393889) North</t>
  </si>
  <si>
    <t>112:47:27.9996 (-112.791111) West</t>
  </si>
  <si>
    <t>Trevor Memmott</t>
  </si>
  <si>
    <t>tfmemmot@blm.gov</t>
  </si>
  <si>
    <t xml:space="preserve">(435) 979-3680 </t>
  </si>
  <si>
    <t>Eric Valdez</t>
  </si>
  <si>
    <t>BOONEVILLE</t>
  </si>
  <si>
    <t>Logan</t>
  </si>
  <si>
    <t>3334B47C</t>
  </si>
  <si>
    <t>35:08:34.0008 (35.142778) North</t>
  </si>
  <si>
    <t>93:53:42 (-93.895) West</t>
  </si>
  <si>
    <t>OUACHITA NF</t>
  </si>
  <si>
    <t>BOONVILLE</t>
  </si>
  <si>
    <t>Mendocino</t>
  </si>
  <si>
    <t>CA4576D6</t>
  </si>
  <si>
    <t>38:59:14.4816 (38.987356) North</t>
  </si>
  <si>
    <t>123:20:54.4704 (-123.348464) West</t>
  </si>
  <si>
    <t>Anna Jones (Cell)</t>
  </si>
  <si>
    <t>anna.jones@fire.ca.gov</t>
  </si>
  <si>
    <t xml:space="preserve">(707) 972-4949 </t>
  </si>
  <si>
    <t xml:space="preserve"> robert.clark@fire.ca.gov</t>
  </si>
  <si>
    <t>BOORMAN</t>
  </si>
  <si>
    <t>3236C6BA</t>
  </si>
  <si>
    <t>48:08:38 (48.143889) North</t>
  </si>
  <si>
    <t>114:43:05 (-114.718056) West</t>
  </si>
  <si>
    <t>MONTANA</t>
  </si>
  <si>
    <t>DEPT OF NR &amp; CONSERV</t>
  </si>
  <si>
    <t>MDNRCF - Montana Division of Natural Resources &amp; Conservatn</t>
  </si>
  <si>
    <t>JESSE BEST</t>
  </si>
  <si>
    <t>jbest@mt.gov</t>
  </si>
  <si>
    <t xml:space="preserve">(406) 751-2243 </t>
  </si>
  <si>
    <t>Roy Robinson</t>
  </si>
  <si>
    <t>rorobinson@mt.gov</t>
  </si>
  <si>
    <t xml:space="preserve">(406) 329-4881 </t>
  </si>
  <si>
    <t>BOOTLEG</t>
  </si>
  <si>
    <t>Deaf Smith</t>
  </si>
  <si>
    <t>8841F508</t>
  </si>
  <si>
    <t>34:49:42.9996 (34.828611) North</t>
  </si>
  <si>
    <t>102:48:33.9984 (-102.809444) West</t>
  </si>
  <si>
    <t>BOSCOBEL</t>
  </si>
  <si>
    <t>5370F3FE</t>
  </si>
  <si>
    <t>43:08:57.0012 (43.149167) North</t>
  </si>
  <si>
    <t>90:41:03.0012 (-90.684167) West</t>
  </si>
  <si>
    <t>Scott Wilhorn</t>
  </si>
  <si>
    <t>Scott.Wilhorn@wisconsin.gov</t>
  </si>
  <si>
    <t xml:space="preserve">(608) 547-2167 </t>
  </si>
  <si>
    <t>eric.martin@wisconsin.gov, scott.wilhorn@wisconsin.gov</t>
  </si>
  <si>
    <t>Scott  Wilhorn</t>
  </si>
  <si>
    <t>BOSQUE</t>
  </si>
  <si>
    <t>325D1148</t>
  </si>
  <si>
    <t>37:05:30.8004 (37.091889) North</t>
  </si>
  <si>
    <t>104:55:10.5996 (-104.919611) West</t>
  </si>
  <si>
    <t>Socorro</t>
  </si>
  <si>
    <t>837141D2</t>
  </si>
  <si>
    <t>33:49:15.6 (33.821) North</t>
  </si>
  <si>
    <t>106:52:54.8004 (-106.881889) West</t>
  </si>
  <si>
    <t>BOSQUE DEL APACHE</t>
  </si>
  <si>
    <t>Clyde Burris</t>
  </si>
  <si>
    <t>clyde_burris@fws.gov</t>
  </si>
  <si>
    <t xml:space="preserve">(505) 506-0719 </t>
  </si>
  <si>
    <t>BOULDER COUNTY EAST</t>
  </si>
  <si>
    <t>32BADD3A</t>
  </si>
  <si>
    <t>40:04:38.3988 (40.077333) North</t>
  </si>
  <si>
    <t>105:06:06.5016 (-105.101806) West</t>
  </si>
  <si>
    <t>BOULDER COUNTY FIRE</t>
  </si>
  <si>
    <t>BOLDER - Boulder County Fire</t>
  </si>
  <si>
    <t>Kyle Holsinger</t>
  </si>
  <si>
    <t>kholsinger@bouldercounty.gov</t>
  </si>
  <si>
    <t xml:space="preserve">(303) 817-6981 </t>
  </si>
  <si>
    <t>Sam Wajeeh</t>
  </si>
  <si>
    <t>swajeeh@bouldercounty.gov</t>
  </si>
  <si>
    <t xml:space="preserve">(586) 482-2011 </t>
  </si>
  <si>
    <t>BOULDER COUNTY FIRE QD1</t>
  </si>
  <si>
    <t>32A1BCEA</t>
  </si>
  <si>
    <t>40:13:12.6984 (40.220194) North</t>
  </si>
  <si>
    <t>105:19:51.6 (-105.331) West</t>
  </si>
  <si>
    <t xml:space="preserve">Kyle Holsinger </t>
  </si>
  <si>
    <t>kholsinger@bouldercounty.org</t>
  </si>
  <si>
    <t xml:space="preserve">(303) 441-1494 </t>
  </si>
  <si>
    <t>Seth McKinney</t>
  </si>
  <si>
    <t>smckinney@bouldercounty.org</t>
  </si>
  <si>
    <t xml:space="preserve">(303) 441-1485 </t>
  </si>
  <si>
    <t>BOULDER CREEK</t>
  </si>
  <si>
    <t>Marion</t>
  </si>
  <si>
    <t>44:43:18.9984 (44.721944) North</t>
  </si>
  <si>
    <t>122:00:11.0016 (-122.003056) West</t>
  </si>
  <si>
    <t>WILLAMETTE NF</t>
  </si>
  <si>
    <t>Chris Mushrush</t>
  </si>
  <si>
    <t>christopher.mushrush@usda.gov</t>
  </si>
  <si>
    <t xml:space="preserve">(541) 393-7572 </t>
  </si>
  <si>
    <t>Eugene Interagency Com. Cntr.</t>
  </si>
  <si>
    <t>oreic@firenet.gov</t>
  </si>
  <si>
    <t xml:space="preserve">(541) 225-6400 </t>
  </si>
  <si>
    <t>ahester@blm.gov, katherine.reed@usda.gov, oreic@firenet.gov</t>
  </si>
  <si>
    <t>BOULDER FLATIRON</t>
  </si>
  <si>
    <t>32BAD3E8</t>
  </si>
  <si>
    <t>39:57:52.0992 (39.964472) North</t>
  </si>
  <si>
    <t>105:16:09.0012 (-105.269167) West</t>
  </si>
  <si>
    <t xml:space="preserve">Kerry Webster </t>
  </si>
  <si>
    <t>websterk@bouldercolorado.gov</t>
  </si>
  <si>
    <t xml:space="preserve">(720) 705-9498 </t>
  </si>
  <si>
    <t>Brian Oliver</t>
  </si>
  <si>
    <t>oliverb@bouldercolorado.gov</t>
  </si>
  <si>
    <t xml:space="preserve">(303) 877-5412 </t>
  </si>
  <si>
    <t>Kerry  Webster</t>
  </si>
  <si>
    <t>BOX RIVER</t>
  </si>
  <si>
    <t>Nome</t>
  </si>
  <si>
    <t>32D577B0</t>
  </si>
  <si>
    <t>65:17:46.3992 (65.296222) North</t>
  </si>
  <si>
    <t>158:54:10.4004 (-158.902889) West</t>
  </si>
  <si>
    <t>BRACE FLAT</t>
  </si>
  <si>
    <t>Owyhee</t>
  </si>
  <si>
    <t>325034C2</t>
  </si>
  <si>
    <t>42:21:06.0012 (42.351667) North</t>
  </si>
  <si>
    <t>116:41:30.9984 (-116.691944) West</t>
  </si>
  <si>
    <t>BOISE</t>
  </si>
  <si>
    <t>LANCE OKESON</t>
  </si>
  <si>
    <t>lokeson@blm.gov</t>
  </si>
  <si>
    <t xml:space="preserve">(208) 384-3486 </t>
  </si>
  <si>
    <t>LANCE (CELL #)</t>
  </si>
  <si>
    <t xml:space="preserve">(208) 871-1829 </t>
  </si>
  <si>
    <t>BRADLEY</t>
  </si>
  <si>
    <t>CA25A28C</t>
  </si>
  <si>
    <t>35:51:51.84 (35.8644) North</t>
  </si>
  <si>
    <t>120:48:10.7316 (-120.802981) West</t>
  </si>
  <si>
    <t>robert.c;lark@fire.ca.gov</t>
  </si>
  <si>
    <t>BRADSHAW CREEK</t>
  </si>
  <si>
    <t>3255E56A</t>
  </si>
  <si>
    <t>45:03:17.4996 (45.054861) North</t>
  </si>
  <si>
    <t>105:56:54.3012 (-105.948417) West</t>
  </si>
  <si>
    <t>BRADY ICEFIELD</t>
  </si>
  <si>
    <t>Yakutat</t>
  </si>
  <si>
    <t>39601BA8</t>
  </si>
  <si>
    <t>58:39:45.5184 (58.662644) North</t>
  </si>
  <si>
    <t>136:49:58.6704 (-136.832964) West</t>
  </si>
  <si>
    <t>SEAN Southeast AK Nt</t>
  </si>
  <si>
    <t>ALKDNP - NPS</t>
  </si>
  <si>
    <t>Andrew Bliss</t>
  </si>
  <si>
    <t>andrew_bliss@nps.gov</t>
  </si>
  <si>
    <t xml:space="preserve">(907) 364-1591 </t>
  </si>
  <si>
    <t>Tom Ziomek</t>
  </si>
  <si>
    <t>thomas_ziomek@nps.gov</t>
  </si>
  <si>
    <t xml:space="preserve">(907) 364-2607 </t>
  </si>
  <si>
    <t>BRAINERD</t>
  </si>
  <si>
    <t>Crow Wing</t>
  </si>
  <si>
    <t>707035DC</t>
  </si>
  <si>
    <t>46:23:50 (46.397222) North</t>
  </si>
  <si>
    <t>94:07:49 (-94.130278) West</t>
  </si>
  <si>
    <t>Craig Schultz</t>
  </si>
  <si>
    <t xml:space="preserve">craig.schultz@state.mn.us, jolene.soltis@state.mn.us </t>
  </si>
  <si>
    <t xml:space="preserve">(218) 203-4432 </t>
  </si>
  <si>
    <t>craig.schultz@state.mn.us, jolene.soltis@state.mn.us, travis.verdegan@state.mn.us</t>
  </si>
  <si>
    <t>BRANCH MOUNTAIN</t>
  </si>
  <si>
    <t>San Luis Obispo</t>
  </si>
  <si>
    <t>3247F476</t>
  </si>
  <si>
    <t>35:11:06.8388 (35.185233) North</t>
  </si>
  <si>
    <t>120:05:05.9604 (-120.084989) West</t>
  </si>
  <si>
    <t>Joshua Alonzo</t>
  </si>
  <si>
    <t>joshua.alonzo@usda.gov</t>
  </si>
  <si>
    <t xml:space="preserve">(805) 705-0998 </t>
  </si>
  <si>
    <t>BRASHER FALLS</t>
  </si>
  <si>
    <t>St. Lawrence</t>
  </si>
  <si>
    <t>44:49:06.4992 (44.818472) North</t>
  </si>
  <si>
    <t>74:45:48.2004 (-74.763389) West</t>
  </si>
  <si>
    <t>Nathaniel Shea</t>
  </si>
  <si>
    <t>nathaniel.shea@dec.ny.gov</t>
  </si>
  <si>
    <t xml:space="preserve">(315) 212-3959 </t>
  </si>
  <si>
    <t>BRASSTOWN</t>
  </si>
  <si>
    <t>Towns</t>
  </si>
  <si>
    <t>327357C4</t>
  </si>
  <si>
    <t>34:48:20.6604 (34.805739) North</t>
  </si>
  <si>
    <t>83:42:45.3816 (-83.712606) West</t>
  </si>
  <si>
    <t>Greg Cohen</t>
  </si>
  <si>
    <t>gregory.cohen@usda.gov</t>
  </si>
  <si>
    <t>(706) 745-6928 34</t>
  </si>
  <si>
    <t>Corey Prescott</t>
  </si>
  <si>
    <t>BRASSTOWN BALD</t>
  </si>
  <si>
    <t>Union</t>
  </si>
  <si>
    <t>32B06FE6</t>
  </si>
  <si>
    <t>34:52:27.3288 (34.874258) North</t>
  </si>
  <si>
    <t>83:48:38.1888 (-83.810608) West</t>
  </si>
  <si>
    <t>Charlie Gray</t>
  </si>
  <si>
    <t>charles.o.gray@usda.gov, michael.davis1@usda.gov</t>
  </si>
  <si>
    <t>BRAZIE RANCH</t>
  </si>
  <si>
    <t>CA2046BE</t>
  </si>
  <si>
    <t>41:40:32.7216 (41.675756) North</t>
  </si>
  <si>
    <t>122:35:59.6508 (-122.599903) West</t>
  </si>
  <si>
    <t>robert clark</t>
  </si>
  <si>
    <t>BRAZORIA NWR</t>
  </si>
  <si>
    <t>Brazoria</t>
  </si>
  <si>
    <t>8370A0DA</t>
  </si>
  <si>
    <t>29:08:43.1016 (29.145306) North</t>
  </si>
  <si>
    <t>95:17:30.6996 (-95.291861) West</t>
  </si>
  <si>
    <t>Ryan Vice</t>
  </si>
  <si>
    <t>ryan_vice@fws.gov</t>
  </si>
  <si>
    <t xml:space="preserve">(979) 215-1936 </t>
  </si>
  <si>
    <t>BRECKENRIDGE</t>
  </si>
  <si>
    <t>3284E46A</t>
  </si>
  <si>
    <t>35:27:02.0016 (35.450556) North</t>
  </si>
  <si>
    <t>118:35:03.0012 (-118.584167) West</t>
  </si>
  <si>
    <t xml:space="preserve">(661) 867-2753 </t>
  </si>
  <si>
    <t>BRENDER</t>
  </si>
  <si>
    <t>Jones</t>
  </si>
  <si>
    <t>3100621A</t>
  </si>
  <si>
    <t>33:03:02.0016 (33.050556) North</t>
  </si>
  <si>
    <t>83:42:59.0004 (-83.716389) West</t>
  </si>
  <si>
    <t>Clayton Jones</t>
  </si>
  <si>
    <t>chjones@gfc.state.ga.us</t>
  </si>
  <si>
    <t xml:space="preserve">(404) 867-9183 </t>
  </si>
  <si>
    <t>BRENNER</t>
  </si>
  <si>
    <t>325AA0F2</t>
  </si>
  <si>
    <t>44:56:11.6016 (44.936556) North</t>
  </si>
  <si>
    <t>113:15:08.6004 (-113.252389) West</t>
  </si>
  <si>
    <t>BRER RABBIT</t>
  </si>
  <si>
    <t>Wheeler</t>
  </si>
  <si>
    <t>326062CE</t>
  </si>
  <si>
    <t>44:19:26.6988 (44.324083) North</t>
  </si>
  <si>
    <t>119:46:09.0984 (-119.769194) West</t>
  </si>
  <si>
    <t>BRIDGEPORT</t>
  </si>
  <si>
    <t>3285551E</t>
  </si>
  <si>
    <t>38:16:18.9984 (38.271944) North</t>
  </si>
  <si>
    <t>119:17:21.0012 (-119.289167) West</t>
  </si>
  <si>
    <t>Richard (Duke) Piper</t>
  </si>
  <si>
    <t>richard.piper@usda.gov</t>
  </si>
  <si>
    <t xml:space="preserve">(760) 965-6933 </t>
  </si>
  <si>
    <t>ahester@blm.gov, dylan.todd@usda.gov</t>
  </si>
  <si>
    <t>BRIGADIER</t>
  </si>
  <si>
    <t>32B65AB2</t>
  </si>
  <si>
    <t>64:38:40.236 (64.64451) North</t>
  </si>
  <si>
    <t>146:26:43.44 (-146.4454) West</t>
  </si>
  <si>
    <t>BRIGHT ANGEL</t>
  </si>
  <si>
    <t>FA4520F4</t>
  </si>
  <si>
    <t>36:12:16.9992 (36.204722) North</t>
  </si>
  <si>
    <t>112:03:43.9992 (-112.062222) West</t>
  </si>
  <si>
    <t>GRAND CANYON NP</t>
  </si>
  <si>
    <t>Jimmy Flanagan</t>
  </si>
  <si>
    <t>jimmy.flanagan@usda.gov</t>
  </si>
  <si>
    <t xml:space="preserve">(928) 643-8138 </t>
  </si>
  <si>
    <t>BRIGHTON</t>
  </si>
  <si>
    <t>Glades</t>
  </si>
  <si>
    <t>327E6138</t>
  </si>
  <si>
    <t>27:07:10.4304 (27.119564) North</t>
  </si>
  <si>
    <t>81:04:57.8496 (-81.082736) West</t>
  </si>
  <si>
    <t>Eastern</t>
  </si>
  <si>
    <t>Seminole Agency</t>
  </si>
  <si>
    <t>Chris Kemp</t>
  </si>
  <si>
    <t>leekemp@semtribe.com</t>
  </si>
  <si>
    <t xml:space="preserve">(863) 228-5304 </t>
  </si>
  <si>
    <t>Reese Kerbow</t>
  </si>
  <si>
    <t>reese.kerbow@bia.gov</t>
  </si>
  <si>
    <t xml:space="preserve">(828) 736-0952 </t>
  </si>
  <si>
    <t>ahester@blm.gov, cheryl.bright@bia.gov, reese.kerbow@bia.gov</t>
  </si>
  <si>
    <t>BRIMSTONE RESERVOIR</t>
  </si>
  <si>
    <t>Beaver</t>
  </si>
  <si>
    <t>325DD456</t>
  </si>
  <si>
    <t>38:18:26.3988 (38.307333) North</t>
  </si>
  <si>
    <t>113:23:10.2984 (-113.386194) West</t>
  </si>
  <si>
    <t>BRIONES</t>
  </si>
  <si>
    <t>CA414676</t>
  </si>
  <si>
    <t>37:56:03.0012 (37.934167) North</t>
  </si>
  <si>
    <t>122:07:04.0008 (-122.117778) West</t>
  </si>
  <si>
    <t>BROADVIEW</t>
  </si>
  <si>
    <t>Kenai Peninsula</t>
  </si>
  <si>
    <t>60:29:36.78 (60.49355) North</t>
  </si>
  <si>
    <t>149:45:24.4188 (-149.756783) West</t>
  </si>
  <si>
    <t>CHUGACH NF</t>
  </si>
  <si>
    <t>Ian Hlavin</t>
  </si>
  <si>
    <t>ian.hlavin@usda.gov</t>
  </si>
  <si>
    <t xml:space="preserve">(907) 288-7738 </t>
  </si>
  <si>
    <t>Phil Ingersoll</t>
  </si>
  <si>
    <t>phillip.ingersoll@usda.gov</t>
  </si>
  <si>
    <t xml:space="preserve">(907) 288-7737 </t>
  </si>
  <si>
    <t>ahester@blm.gov, lisa.slepetski@usda.gov, zachary.freiwald@usda.gov</t>
  </si>
  <si>
    <t>BROKEN BOW</t>
  </si>
  <si>
    <t>Oklahoma</t>
  </si>
  <si>
    <t>McCurtain</t>
  </si>
  <si>
    <t>3334C2EC</t>
  </si>
  <si>
    <t>34:02:58.9992 (34.049722) North</t>
  </si>
  <si>
    <t>94:44:13.9992 (-94.737222) West</t>
  </si>
  <si>
    <t xml:space="preserve">(501) 321-5231 </t>
  </si>
  <si>
    <t>BROOKLYN</t>
  </si>
  <si>
    <t>Dane</t>
  </si>
  <si>
    <t>32B03F9A</t>
  </si>
  <si>
    <t>42:52:12 (42.87) North</t>
  </si>
  <si>
    <t>89:29:54.9996 (-89.498611) West</t>
  </si>
  <si>
    <t>Eric.Martin@wisconsin.gov</t>
  </si>
  <si>
    <t>BROOKS</t>
  </si>
  <si>
    <t>Yolo</t>
  </si>
  <si>
    <t>CA45503A</t>
  </si>
  <si>
    <t>38:44:18.1104 (38.738364) North</t>
  </si>
  <si>
    <t>122:08:40.8696 (-122.144686) West</t>
  </si>
  <si>
    <t>BROWN MTN. ORCHARD</t>
  </si>
  <si>
    <t>Ferry</t>
  </si>
  <si>
    <t>326297BE</t>
  </si>
  <si>
    <t>48:32:14.4996 (48.537361) North</t>
  </si>
  <si>
    <t>118:41:39.1992 (-118.694222) West</t>
  </si>
  <si>
    <t>COLVILLE NF</t>
  </si>
  <si>
    <t>Ed Wall</t>
  </si>
  <si>
    <t>Edwin.wall@usda.gov</t>
  </si>
  <si>
    <t>(509) 685-6900 909</t>
  </si>
  <si>
    <t>Scott Smith</t>
  </si>
  <si>
    <t>scott.s.smith@usda.gov</t>
  </si>
  <si>
    <t xml:space="preserve">(509) 684-7223 </t>
  </si>
  <si>
    <t>ahester@blm.gov, ben.m.cooper@usda.gov, jared.reber@usda.gov, mackenzie.wilson@usda.gov, matthew.dauenhauer@usda.gov</t>
  </si>
  <si>
    <t>BROWNING</t>
  </si>
  <si>
    <t>Glacier</t>
  </si>
  <si>
    <t>327C9448</t>
  </si>
  <si>
    <t>48:33:41.1012 (48.561417) North</t>
  </si>
  <si>
    <t>113:00:47.8008 (-113.013278) West</t>
  </si>
  <si>
    <t>Blackfeet Agency</t>
  </si>
  <si>
    <t>Bruce RunningCrane</t>
  </si>
  <si>
    <t>bruce@blackfeetnation.com</t>
  </si>
  <si>
    <t xml:space="preserve">(406) 338-2946 </t>
  </si>
  <si>
    <t>BROWNS WELL</t>
  </si>
  <si>
    <t>43:33:46.1016 (43.562806) North</t>
  </si>
  <si>
    <t>120:14:10.2012 (-120.236167) West</t>
  </si>
  <si>
    <t>PRINEVILLE</t>
  </si>
  <si>
    <t>Sheldon Rhoden</t>
  </si>
  <si>
    <t>srhoden@blm.gov</t>
  </si>
  <si>
    <t xml:space="preserve">(541) 416-6780 </t>
  </si>
  <si>
    <t>Rory Hiett</t>
  </si>
  <si>
    <t>rhiett@blm.gov</t>
  </si>
  <si>
    <t xml:space="preserve">(541) 416-6869 </t>
  </si>
  <si>
    <t>BROWNSBORO</t>
  </si>
  <si>
    <t>32B3BE80</t>
  </si>
  <si>
    <t>34:44:26.4012 (34.740667) North</t>
  </si>
  <si>
    <t>86:26:06.1008 (-86.435028) West</t>
  </si>
  <si>
    <t>BRUIN POINT</t>
  </si>
  <si>
    <t>Carbon</t>
  </si>
  <si>
    <t>39:36:33.5988 (39.609333) North</t>
  </si>
  <si>
    <t>110:17:23.8992 (-110.289972) West</t>
  </si>
  <si>
    <t>Chris Deets</t>
  </si>
  <si>
    <t xml:space="preserve"> cadeets@blm.gov</t>
  </si>
  <si>
    <t>Jason Porter</t>
  </si>
  <si>
    <t>jsporter@blm.gov</t>
  </si>
  <si>
    <t xml:space="preserve">(435) 776-6693 </t>
  </si>
  <si>
    <t>BRUSH CREEK</t>
  </si>
  <si>
    <t>Lane</t>
  </si>
  <si>
    <t>324A2178</t>
  </si>
  <si>
    <t>44:17:03.4008 (44.284278) North</t>
  </si>
  <si>
    <t>122:50:57.9012 (-122.849417) West</t>
  </si>
  <si>
    <t>EUGENE</t>
  </si>
  <si>
    <t>BRUSH MOUNTAIN</t>
  </si>
  <si>
    <t>3266210A</t>
  </si>
  <si>
    <t>40:54:50.1588 (40.913933) North</t>
  </si>
  <si>
    <t>123:40:07.6116 (-123.668781) West</t>
  </si>
  <si>
    <t>SIX RIVERS NF</t>
  </si>
  <si>
    <t>Jaime Quintanilla</t>
  </si>
  <si>
    <t>jaime.granadosquintanilla@usda.gov</t>
  </si>
  <si>
    <t xml:space="preserve">(707) 572-6208 </t>
  </si>
  <si>
    <t>Joel Berg</t>
  </si>
  <si>
    <t>joel.berg@usda.gov</t>
  </si>
  <si>
    <t xml:space="preserve">(707) 718-3610 </t>
  </si>
  <si>
    <t>ahester@blm.gov, jaime.granadosquintanilla@usda.gov, kaily.fineran@usda.gov, shuckstep@blm.gov</t>
  </si>
  <si>
    <t>Kaily Fineran</t>
  </si>
  <si>
    <t>BRUSHY MOUNTAIN</t>
  </si>
  <si>
    <t>Valencia</t>
  </si>
  <si>
    <t>5210D682</t>
  </si>
  <si>
    <t>34:43:12.0108 (34.720003) North</t>
  </si>
  <si>
    <t>107:50:54.24 (-107.8484) West</t>
  </si>
  <si>
    <t>South. Pueblos Agen.</t>
  </si>
  <si>
    <t>Anthony Thompson</t>
  </si>
  <si>
    <t>Anthony.Thompson@bia.gov</t>
  </si>
  <si>
    <t xml:space="preserve">(505) 235-3543 </t>
  </si>
  <si>
    <t>BRYCE CANYON</t>
  </si>
  <si>
    <t>FA63C226</t>
  </si>
  <si>
    <t>37:38:30.0012 (37.641667) North</t>
  </si>
  <si>
    <t>112:10:19.9992 (-112.172222) West</t>
  </si>
  <si>
    <t>Kayla_Ronsani@NPS.gov</t>
  </si>
  <si>
    <t>BRYSON CANYON</t>
  </si>
  <si>
    <t>325F622C</t>
  </si>
  <si>
    <t>39:16:44.0004 (39.278889) North</t>
  </si>
  <si>
    <t>109:13:15.9996 (-109.221111) West</t>
  </si>
  <si>
    <t>Christopher Deets</t>
  </si>
  <si>
    <t xml:space="preserve">(435) 781-3434 </t>
  </si>
  <si>
    <t>BUCK CREEK</t>
  </si>
  <si>
    <t>Skamania</t>
  </si>
  <si>
    <t>3261A52A</t>
  </si>
  <si>
    <t>46:03:24.0012 (46.056667) North</t>
  </si>
  <si>
    <t>121:32:18.9996 (-121.538611) West</t>
  </si>
  <si>
    <t>GIFFORD PINCHOT NF</t>
  </si>
  <si>
    <t>Justin Sharpe (Cell)</t>
  </si>
  <si>
    <t>justin.ashton-sharpe@usda.gov</t>
  </si>
  <si>
    <t xml:space="preserve">(503) 866-3975 </t>
  </si>
  <si>
    <t>Dustin Fisher</t>
  </si>
  <si>
    <t xml:space="preserve"> dustin.fisher@usda.gov</t>
  </si>
  <si>
    <t xml:space="preserve">(360) 891-5152 </t>
  </si>
  <si>
    <t>Justin Ashton-Sharpe</t>
  </si>
  <si>
    <t>BUCK FLAT</t>
  </si>
  <si>
    <t>3240F642</t>
  </si>
  <si>
    <t>37:54:12.2688 (37.903408) North</t>
  </si>
  <si>
    <t>111:41:32.4996 (-111.692361) West</t>
  </si>
  <si>
    <t>BUCK KNOLL</t>
  </si>
  <si>
    <t>Clallam</t>
  </si>
  <si>
    <t>3008C7E6</t>
  </si>
  <si>
    <t>48:01:41.9988 (48.028333) North</t>
  </si>
  <si>
    <t>123:18:38.9988 (-123.310833) West</t>
  </si>
  <si>
    <t>Conner Amaya</t>
  </si>
  <si>
    <t>conner.amaya@dnr.wa.gov</t>
  </si>
  <si>
    <t xml:space="preserve">(360) 374-2811 </t>
  </si>
  <si>
    <t>BUCKEYE</t>
  </si>
  <si>
    <t>326105D2</t>
  </si>
  <si>
    <t>43:02:11.0004 (43.036389) North</t>
  </si>
  <si>
    <t>122:39:19.2996 (-122.655361) West</t>
  </si>
  <si>
    <t>UMPQUA NF</t>
  </si>
  <si>
    <t>Stacy Ainslie</t>
  </si>
  <si>
    <t>stacy.ainslie@usda.gov</t>
  </si>
  <si>
    <t xml:space="preserve">(541) 530-3097 </t>
  </si>
  <si>
    <t>Sara Billings</t>
  </si>
  <si>
    <t>sara.billings@usda.gov</t>
  </si>
  <si>
    <t xml:space="preserve">(541) 957-3437 </t>
  </si>
  <si>
    <t>ahester@blm.gov, stacy.ainslie@usda.gov</t>
  </si>
  <si>
    <t>Larimer</t>
  </si>
  <si>
    <t>32B5A3EA</t>
  </si>
  <si>
    <t>40:48:41.472 (40.81152) North</t>
  </si>
  <si>
    <t>105:02:12.12 (-105.0367) West</t>
  </si>
  <si>
    <t>LARIMER CO SD</t>
  </si>
  <si>
    <t>LARIME - Larimer County Sheriff's Office</t>
  </si>
  <si>
    <t>Dakota Webb</t>
  </si>
  <si>
    <t>webbds@larimer.gov</t>
  </si>
  <si>
    <t xml:space="preserve">(970) 290-0066 </t>
  </si>
  <si>
    <t>Justin Whitesell</t>
  </si>
  <si>
    <t>whitesjl@co.larimer.co.us</t>
  </si>
  <si>
    <t xml:space="preserve">(970) 498-5310 </t>
  </si>
  <si>
    <t>BUCKHORN SPRINGS</t>
  </si>
  <si>
    <t>325F92A8</t>
  </si>
  <si>
    <t>42:07:14.1996 (42.120611) North</t>
  </si>
  <si>
    <t>122:33:50.1984 (-122.563944) West</t>
  </si>
  <si>
    <t>MEDFORD</t>
  </si>
  <si>
    <t>Dominic Lopez</t>
  </si>
  <si>
    <t>dlopez@blm.gov</t>
  </si>
  <si>
    <t xml:space="preserve">(541) 618-2510 </t>
  </si>
  <si>
    <t>George Trosi</t>
  </si>
  <si>
    <t>gtrosi@blm.gov</t>
  </si>
  <si>
    <t xml:space="preserve">(541) 618-2297 </t>
  </si>
  <si>
    <t>BUCKLAND UPLANDS</t>
  </si>
  <si>
    <t>Northwest Arctic</t>
  </si>
  <si>
    <t>32D564C6</t>
  </si>
  <si>
    <t>65:54:22.2588 (65.906183) North</t>
  </si>
  <si>
    <t>160:52:11.0388 (-160.869733) West</t>
  </si>
  <si>
    <t>BUCKLES</t>
  </si>
  <si>
    <t>Archuleta</t>
  </si>
  <si>
    <t>AAB72324</t>
  </si>
  <si>
    <t>37:07:11.6004 (37.119889) North</t>
  </si>
  <si>
    <t>106:49:08.4 (-106.819) West</t>
  </si>
  <si>
    <t>Mark Roper</t>
  </si>
  <si>
    <t>mark.roper@usda.gov</t>
  </si>
  <si>
    <t xml:space="preserve">(970) 385-1253 </t>
  </si>
  <si>
    <t>ahester@blm.gov, kevin.lindner@usda.gov, mark.roper@usda.gov</t>
  </si>
  <si>
    <t>BUCKLEY</t>
  </si>
  <si>
    <t>Wexford</t>
  </si>
  <si>
    <t>32E0B31E</t>
  </si>
  <si>
    <t>44:29:55.3596 (44.498711) North</t>
  </si>
  <si>
    <t>85:41:06 (-85.685) West</t>
  </si>
  <si>
    <t>rogerp5@michigan.gov</t>
  </si>
  <si>
    <t>Bret Baker</t>
  </si>
  <si>
    <t>bakerb7@michigan.gov</t>
  </si>
  <si>
    <t xml:space="preserve">(989) 329-9944 </t>
  </si>
  <si>
    <t>BUCKSKIN</t>
  </si>
  <si>
    <t>32B6A4E4</t>
  </si>
  <si>
    <t>37:04:38.532 (37.07737) North</t>
  </si>
  <si>
    <t>112:02:49.7652 (-112.047157) West</t>
  </si>
  <si>
    <t xml:space="preserve">(435) 865-4663 </t>
  </si>
  <si>
    <t>Box Elder</t>
  </si>
  <si>
    <t>32B82698</t>
  </si>
  <si>
    <t>41:52:18.8472 (41.871902) North</t>
  </si>
  <si>
    <t>112:17:29.4288 (-112.291508) West</t>
  </si>
  <si>
    <t>UTAH</t>
  </si>
  <si>
    <t>BOX ELDER CO</t>
  </si>
  <si>
    <t>BOXELD - BOX ELDER COUNTY FIRE</t>
  </si>
  <si>
    <t>Corey Barton</t>
  </si>
  <si>
    <t>cbarton@boxeldercounty.org</t>
  </si>
  <si>
    <t xml:space="preserve">(435) 734-3333 </t>
  </si>
  <si>
    <t>BUCKSKIN MTN</t>
  </si>
  <si>
    <t>36:55:05.0988 (36.918083) North</t>
  </si>
  <si>
    <t>112:11:59.3016 (-112.199806) West</t>
  </si>
  <si>
    <t xml:space="preserve">(435) 539-3169 </t>
  </si>
  <si>
    <t>BUDDY ADAMS</t>
  </si>
  <si>
    <t>329023D0</t>
  </si>
  <si>
    <t>37:01:17.1012 (37.021417) North</t>
  </si>
  <si>
    <t>116:36:32.4 (-116.609) West</t>
  </si>
  <si>
    <t>ahester@blm.gov, bluhig@blm.gov, d1walker@blm.gov, dmessmer@blm.gov, mfettic@blm.gov, shuckstep@blm.gov</t>
  </si>
  <si>
    <t>BUDE</t>
  </si>
  <si>
    <t>3332A7C4</t>
  </si>
  <si>
    <t>31:24:38.0016 (31.410556) North</t>
  </si>
  <si>
    <t>90:50:48.0012 (-90.846667) West</t>
  </si>
  <si>
    <t xml:space="preserve">Cody Evans </t>
  </si>
  <si>
    <t>BUFFALO CREEK</t>
  </si>
  <si>
    <t>3254A49A</t>
  </si>
  <si>
    <t>40:34:50.0988 (40.580583) North</t>
  </si>
  <si>
    <t>119:47:19.7016 (-119.788806) West</t>
  </si>
  <si>
    <t xml:space="preserve">(530) 250-9168 </t>
  </si>
  <si>
    <t>BUFFALO GAP</t>
  </si>
  <si>
    <t>Taylor</t>
  </si>
  <si>
    <t>8841D3E4</t>
  </si>
  <si>
    <t>32:13:48.6012 (32.230167) North</t>
  </si>
  <si>
    <t>99:53:15.2988 (-99.887583) West</t>
  </si>
  <si>
    <t>BUFFALO PORTABLE</t>
  </si>
  <si>
    <t>32BA0B52</t>
  </si>
  <si>
    <t>44:43:54.48 (44.7318) North</t>
  </si>
  <si>
    <t>105:32:08.52 (-105.5357) West</t>
  </si>
  <si>
    <t>CASPER</t>
  </si>
  <si>
    <t>Casey Cheesbrough</t>
  </si>
  <si>
    <t>ccheesbrough@blm.gov</t>
  </si>
  <si>
    <t xml:space="preserve">(307) 261-7586 </t>
  </si>
  <si>
    <t>Jacob McClure</t>
  </si>
  <si>
    <t>jmcclure@blm.gov</t>
  </si>
  <si>
    <t xml:space="preserve">(307) 684-1064 </t>
  </si>
  <si>
    <t>BULL CANYON</t>
  </si>
  <si>
    <t>Power</t>
  </si>
  <si>
    <t>325204AC</t>
  </si>
  <si>
    <t>42:22:01.0992 (42.366972) North</t>
  </si>
  <si>
    <t>112:42:22.7016 (-112.706306) West</t>
  </si>
  <si>
    <t>BULL FLAT</t>
  </si>
  <si>
    <t>3255808C</t>
  </si>
  <si>
    <t>40:28:53.2992 (40.481472) North</t>
  </si>
  <si>
    <t>120:06:54.2988 (-120.115083) West</t>
  </si>
  <si>
    <t>BULL SPRING</t>
  </si>
  <si>
    <t>Twin Falls</t>
  </si>
  <si>
    <t>3253E5A4</t>
  </si>
  <si>
    <t>42:04:46.4016 (42.079556) North</t>
  </si>
  <si>
    <t>114:29:09.6 (-114.486) West</t>
  </si>
  <si>
    <t>SHOSHONE</t>
  </si>
  <si>
    <t>Stacy Tyler</t>
  </si>
  <si>
    <t>stacy.tyler@usda.gov</t>
  </si>
  <si>
    <t xml:space="preserve">(208) 650-3039 </t>
  </si>
  <si>
    <t>ROB HADOCK</t>
  </si>
  <si>
    <t>blm_id_tf_sciidc@blm.gov</t>
  </si>
  <si>
    <t xml:space="preserve">(208) 308-4195 </t>
  </si>
  <si>
    <t>BURGESS</t>
  </si>
  <si>
    <t>Sheridan</t>
  </si>
  <si>
    <t>44:47:06.3276 (44.785091) North</t>
  </si>
  <si>
    <t>107:32:05.406 (-107.534835) West</t>
  </si>
  <si>
    <t>Jon Stonelake</t>
  </si>
  <si>
    <t>jonathan.stonelake@usda.gov</t>
  </si>
  <si>
    <t xml:space="preserve">(307) 674-2652 </t>
  </si>
  <si>
    <t>ahester@blm.gov, jon.warder@usda.gov, kevin.hillard@usda.gov, michael.ortner@usda.gov</t>
  </si>
  <si>
    <t>Dickson</t>
  </si>
  <si>
    <t>0260A18E</t>
  </si>
  <si>
    <t>36:03:54 (36.065) North</t>
  </si>
  <si>
    <t>87:16:59.0016 (-87.283056) West</t>
  </si>
  <si>
    <t>Michael Holder</t>
  </si>
  <si>
    <t>michael.holder@tn.gov</t>
  </si>
  <si>
    <t xml:space="preserve">(615) 797-3117 </t>
  </si>
  <si>
    <t xml:space="preserve">(423) 263-7528 </t>
  </si>
  <si>
    <t>BURNS CANYON</t>
  </si>
  <si>
    <t>325775FC</t>
  </si>
  <si>
    <t>34:12:30.3012 (34.208417) North</t>
  </si>
  <si>
    <t>116:37:17.7996 (-116.621611) West</t>
  </si>
  <si>
    <t>BURNT CREEK</t>
  </si>
  <si>
    <t>AAA216E0</t>
  </si>
  <si>
    <t>44:56:51 (44.9475) North</t>
  </si>
  <si>
    <t>111:57:39.9996 (-111.961111) West</t>
  </si>
  <si>
    <t>Jeff Barnes</t>
  </si>
  <si>
    <t>jeffrey.k.barnes@usda.gov</t>
  </si>
  <si>
    <t xml:space="preserve">(406) 417-1352 </t>
  </si>
  <si>
    <t xml:space="preserve"> james.king@usda.gov,  richard.reneau@usda.gov, ahester@blm.gov</t>
  </si>
  <si>
    <t>James King</t>
  </si>
  <si>
    <t>BURNT RIDGE</t>
  </si>
  <si>
    <t>3263432C</t>
  </si>
  <si>
    <t>43:12:10.0008 (43.202778) North</t>
  </si>
  <si>
    <t>123:43:03 (-123.7175) West</t>
  </si>
  <si>
    <t>COOS BAY</t>
  </si>
  <si>
    <t>Krisann Kosel</t>
  </si>
  <si>
    <t>KKOSEL@blm.gov</t>
  </si>
  <si>
    <t xml:space="preserve">(541) 464-3332 </t>
  </si>
  <si>
    <t>BURR OAK</t>
  </si>
  <si>
    <t>Morgan</t>
  </si>
  <si>
    <t>32B939C6</t>
  </si>
  <si>
    <t>39:35:16.0008 (39.587778) North</t>
  </si>
  <si>
    <t>81:57:30.8016 (-81.958556) West</t>
  </si>
  <si>
    <t>Dean Fernandez</t>
  </si>
  <si>
    <t>BURRO HILL</t>
  </si>
  <si>
    <t>325F3250</t>
  </si>
  <si>
    <t>43:50:20.76 (43.8391) North</t>
  </si>
  <si>
    <t>110:22:07.3704 (-110.368714) West</t>
  </si>
  <si>
    <t>Eric Neiswanger</t>
  </si>
  <si>
    <t xml:space="preserve">(307) 543-3908 </t>
  </si>
  <si>
    <t>ahester@blm.gov, andy.norman@usda.gov, eric.neiswanger@usda.gov</t>
  </si>
  <si>
    <t>BURRO MOUNTAIN</t>
  </si>
  <si>
    <t>333165D4</t>
  </si>
  <si>
    <t>32:40:19.3008 (32.672028) North</t>
  </si>
  <si>
    <t>108:32:22.8984 (-108.539694) West</t>
  </si>
  <si>
    <t xml:space="preserve">(575) 388-8450 </t>
  </si>
  <si>
    <t>Daniel London</t>
  </si>
  <si>
    <t>daniel.london@usda.gov</t>
  </si>
  <si>
    <t xml:space="preserve">(575) 388-8201 </t>
  </si>
  <si>
    <t>BUSICK</t>
  </si>
  <si>
    <t>Yancey</t>
  </si>
  <si>
    <t>326D22A2</t>
  </si>
  <si>
    <t>35:44:41.2296 (35.744786) North</t>
  </si>
  <si>
    <t>82:12:54.0108 (-82.215003) West</t>
  </si>
  <si>
    <t>NF'S IN N. CAROLINA</t>
  </si>
  <si>
    <t>Fred Mascher (Cell)</t>
  </si>
  <si>
    <t>fgmascher@fs.fed.us</t>
  </si>
  <si>
    <t xml:space="preserve">(828) 777-2075 </t>
  </si>
  <si>
    <t>BUTTE PORTABLE #1</t>
  </si>
  <si>
    <t>Silver Bow</t>
  </si>
  <si>
    <t>46:43:52.2012 (46.731167) North</t>
  </si>
  <si>
    <t>112:19:09.0012 (-112.319167) West</t>
  </si>
  <si>
    <t>BUTTE</t>
  </si>
  <si>
    <t>Greg Campbell - Work</t>
  </si>
  <si>
    <t>gcampbel@blm.gov</t>
  </si>
  <si>
    <t xml:space="preserve">(406) 533-7608 </t>
  </si>
  <si>
    <t>GREG CAMPBELL - Cell</t>
  </si>
  <si>
    <t>charles_tuss@blm.gov</t>
  </si>
  <si>
    <t>BUTTE PORTABLE #2</t>
  </si>
  <si>
    <t>45:22:38.82 (45.37745) North</t>
  </si>
  <si>
    <t>111:57:53.5212 (-111.964867) West</t>
  </si>
  <si>
    <t>GREG CAMPBELL</t>
  </si>
  <si>
    <t xml:space="preserve">(406) 490-0548 </t>
  </si>
  <si>
    <t>BUTTERCUP</t>
  </si>
  <si>
    <t>Imperial</t>
  </si>
  <si>
    <t>325C355E</t>
  </si>
  <si>
    <t>32:44:23.2008 (32.739778) North</t>
  </si>
  <si>
    <t>114:53:02.7996 (-114.884111) West</t>
  </si>
  <si>
    <t>JAIME NEWLANDS</t>
  </si>
  <si>
    <t>jnewlands@blm.gov</t>
  </si>
  <si>
    <t xml:space="preserve">(760) 337-4440 </t>
  </si>
  <si>
    <t>BUXTON</t>
  </si>
  <si>
    <t>Dare</t>
  </si>
  <si>
    <t>32B83B3C</t>
  </si>
  <si>
    <t>35:14:45.9888 (35.246108) North</t>
  </si>
  <si>
    <t>75:32:02.4684 (-75.534019) West</t>
  </si>
  <si>
    <t>GREAT SMOKEY MTNS NP</t>
  </si>
  <si>
    <t>Chad Dunehew</t>
  </si>
  <si>
    <t>chad_dunehew@nps.gov</t>
  </si>
  <si>
    <t xml:space="preserve">(865) 415-7884 </t>
  </si>
  <si>
    <t>Matt Wood</t>
  </si>
  <si>
    <t>john_m_wood@nps.gov</t>
  </si>
  <si>
    <t xml:space="preserve">(865) 809-9096 </t>
  </si>
  <si>
    <t>BYROMVILLE</t>
  </si>
  <si>
    <t>Dooly</t>
  </si>
  <si>
    <t>310123EA</t>
  </si>
  <si>
    <t>32:10:05.0016 (32.168056) North</t>
  </si>
  <si>
    <t>83:58:28.9992 (-83.974722) West</t>
  </si>
  <si>
    <t>C-T PORTABLE 1</t>
  </si>
  <si>
    <t>Bear Lake</t>
  </si>
  <si>
    <t>32B40F3A</t>
  </si>
  <si>
    <t>42:19:46.2 (42.3295) North</t>
  </si>
  <si>
    <t>111:36:44.82 (-111.61245) West</t>
  </si>
  <si>
    <t>Rebecca Phelps</t>
  </si>
  <si>
    <t>rebecca.phelps@usda.gov</t>
  </si>
  <si>
    <t xml:space="preserve">(208) 847-0375 </t>
  </si>
  <si>
    <t>Adam James</t>
  </si>
  <si>
    <t>adam.james@usda.gov</t>
  </si>
  <si>
    <t xml:space="preserve">(218) 256-1061 </t>
  </si>
  <si>
    <t>C-T PORTABLE 2</t>
  </si>
  <si>
    <t>Caribou</t>
  </si>
  <si>
    <t>32B4129E</t>
  </si>
  <si>
    <t>42:07:18.1812 (42.121717) North</t>
  </si>
  <si>
    <t>112:41:53.88 (-112.6983) West</t>
  </si>
  <si>
    <t>Arik Jorgansen</t>
  </si>
  <si>
    <t>Dan Bartel</t>
  </si>
  <si>
    <t>daniel.bartel@usda.gov</t>
  </si>
  <si>
    <t xml:space="preserve">(208) 993-1751 </t>
  </si>
  <si>
    <t>C-T PORTABLE 3</t>
  </si>
  <si>
    <t>Bonneville</t>
  </si>
  <si>
    <t>32B41C4C</t>
  </si>
  <si>
    <t>43:17:31.38 (43.29205) North</t>
  </si>
  <si>
    <t>111:29:34.62 (-111.49295) West</t>
  </si>
  <si>
    <t>Nicolas Miller</t>
  </si>
  <si>
    <t>nicolas.miller@usda.gov</t>
  </si>
  <si>
    <t xml:space="preserve">(651) 216-1587 </t>
  </si>
  <si>
    <t>C-T PORTABLE 4</t>
  </si>
  <si>
    <t>32B42704</t>
  </si>
  <si>
    <t>44:34:09.9012 (44.569417) North</t>
  </si>
  <si>
    <t>111:20:09.1212 (-111.335867) West</t>
  </si>
  <si>
    <t>Jarrod Zweigart</t>
  </si>
  <si>
    <t>jarrod.zweigart@usda.gov</t>
  </si>
  <si>
    <t xml:space="preserve">(208) 558-4220 </t>
  </si>
  <si>
    <t>jarrod.zweigart@usda.gov, joshua.storrer@usda.gov</t>
  </si>
  <si>
    <t>CABAZON</t>
  </si>
  <si>
    <t>33:55:54.5988 (33.931833) North</t>
  </si>
  <si>
    <t>116:48:19.0008 (-116.805278) West</t>
  </si>
  <si>
    <t>SCOTT WILSON</t>
  </si>
  <si>
    <t xml:space="preserve">(949) 300-1206 </t>
  </si>
  <si>
    <t>CABIN CREEK</t>
  </si>
  <si>
    <t>Park</t>
  </si>
  <si>
    <t>FA45D070</t>
  </si>
  <si>
    <t>44:18:40.896 (44.31136) North</t>
  </si>
  <si>
    <t>110:09:00.756 (-110.15021) West</t>
  </si>
  <si>
    <t>CABIN LAKE</t>
  </si>
  <si>
    <t>3240202A</t>
  </si>
  <si>
    <t>43:29:57.5016 (43.499306) North</t>
  </si>
  <si>
    <t>121:03:30.2004 (-121.058389) West</t>
  </si>
  <si>
    <t>Jessie Creech</t>
  </si>
  <si>
    <t>jessie.creech@usda.gov</t>
  </si>
  <si>
    <t xml:space="preserve">(541) 383-4026 </t>
  </si>
  <si>
    <t>Dan Leonard</t>
  </si>
  <si>
    <t>daniel.leonard@usda.gov</t>
  </si>
  <si>
    <t xml:space="preserve">(541) 383-4044 </t>
  </si>
  <si>
    <t>ahester@blm.gov, daniel.leonard@usda.gov, jessie.creech@usda.gov</t>
  </si>
  <si>
    <t>CABINET (TROUT CREEK)</t>
  </si>
  <si>
    <t>Sanders</t>
  </si>
  <si>
    <t>327307B8</t>
  </si>
  <si>
    <t>47:52:00.6996 (47.866861) North</t>
  </si>
  <si>
    <t>115:37:40.2096 (-115.627836) West</t>
  </si>
  <si>
    <t>RJ McDole</t>
  </si>
  <si>
    <t>ronald.mcdole@usda.gov</t>
  </si>
  <si>
    <t xml:space="preserve">(406) 296-2536 </t>
  </si>
  <si>
    <t>Brian Krick</t>
  </si>
  <si>
    <t>brian.krick@usda.gov</t>
  </si>
  <si>
    <t xml:space="preserve">(406) 827-0752 </t>
  </si>
  <si>
    <t>ahester@blm.gov, ronald.mcdole@usda.gov</t>
  </si>
  <si>
    <t>CABINET PORTABLE 1</t>
  </si>
  <si>
    <t>3269C46A</t>
  </si>
  <si>
    <t>47:41:41.5788 (47.694883) North</t>
  </si>
  <si>
    <t>115:35:01.9788 (-115.583883) West</t>
  </si>
  <si>
    <t xml:space="preserve">(406) 296-7176 </t>
  </si>
  <si>
    <t>CABO ROJO</t>
  </si>
  <si>
    <t>Puerto Rico</t>
  </si>
  <si>
    <t>837A1206</t>
  </si>
  <si>
    <t>17:58:23.0016 (17.973056) North</t>
  </si>
  <si>
    <t>67:09:46.0008 (-67.162778) West</t>
  </si>
  <si>
    <t>James Padilla</t>
  </si>
  <si>
    <t>james_padilla@fws.gov</t>
  </si>
  <si>
    <t>(787) 851-7258 27</t>
  </si>
  <si>
    <t>CACHE</t>
  </si>
  <si>
    <t>Miami-Dade</t>
  </si>
  <si>
    <t>FA6332A2</t>
  </si>
  <si>
    <t>25:23:25.4112 (25.390392) North</t>
  </si>
  <si>
    <t>80:40:47.8416 (-80.679956) West</t>
  </si>
  <si>
    <t>EVERGLADES NP</t>
  </si>
  <si>
    <t>Pat Edwards</t>
  </si>
  <si>
    <t>patrick_edwards@nps.gov</t>
  </si>
  <si>
    <t xml:space="preserve">(305) 242-7857 </t>
  </si>
  <si>
    <t>dylan_scott@nps.gov</t>
  </si>
  <si>
    <t>Dylan Scott</t>
  </si>
  <si>
    <t>CACO</t>
  </si>
  <si>
    <t>Barnstable</t>
  </si>
  <si>
    <t>FA65C2E8</t>
  </si>
  <si>
    <t>41:58:32.0016 (41.975556) North</t>
  </si>
  <si>
    <t>70:01:27.0012 (-70.024167) West</t>
  </si>
  <si>
    <t>CAPE COD N.SEASHORE</t>
  </si>
  <si>
    <t>T Parker Schuerman</t>
  </si>
  <si>
    <t>tschuerman@nps.gov</t>
  </si>
  <si>
    <t xml:space="preserve">(570) 350-0445 </t>
  </si>
  <si>
    <t>Sasha Ernst</t>
  </si>
  <si>
    <t>sasha_ernst@nps.gov</t>
  </si>
  <si>
    <t xml:space="preserve">(850) 445-4074 </t>
  </si>
  <si>
    <t xml:space="preserve"> sasha_ernst@nps.gov, lucas_dixon@nps.gov</t>
  </si>
  <si>
    <t>Todd Schuerman</t>
  </si>
  <si>
    <t>CADDO</t>
  </si>
  <si>
    <t>Fannin</t>
  </si>
  <si>
    <t>33:44:27.1968 (33.740888) North</t>
  </si>
  <si>
    <t>95:55:20.4888 (-95.922358) West</t>
  </si>
  <si>
    <t>NF'S IN TEXAS</t>
  </si>
  <si>
    <t>Chris Adamicik</t>
  </si>
  <si>
    <t>chris.adamcik@usda.gov</t>
  </si>
  <si>
    <t xml:space="preserve">(936) 875-4803 </t>
  </si>
  <si>
    <t>CADDO LAKE</t>
  </si>
  <si>
    <t>Harrison</t>
  </si>
  <si>
    <t>Rohn</t>
  </si>
  <si>
    <t>94:06:59.0004 (-94.116389) West</t>
  </si>
  <si>
    <t>CADDO LAKE NWR</t>
  </si>
  <si>
    <t>CAHUILLA</t>
  </si>
  <si>
    <t>325C7654</t>
  </si>
  <si>
    <t>32:58:25.1004 (32.973639) North</t>
  </si>
  <si>
    <t>115:10:24.6 (-115.1735) West</t>
  </si>
  <si>
    <t>CAL FIRE PORTABLE 11</t>
  </si>
  <si>
    <t>32BC9EFE</t>
  </si>
  <si>
    <t>CAL FIRE PORTABLE 111</t>
  </si>
  <si>
    <t>32B9BFD2</t>
  </si>
  <si>
    <t>CAL FIRE PORTABLE 112</t>
  </si>
  <si>
    <t>32B9C790</t>
  </si>
  <si>
    <t>CAL FIRE PORTABLE 16</t>
  </si>
  <si>
    <t>Santa Clara</t>
  </si>
  <si>
    <t>32BCA5B6</t>
  </si>
  <si>
    <t>CAL FIRE PORTABLE 17B</t>
  </si>
  <si>
    <t>San Mateo</t>
  </si>
  <si>
    <t>32BB4AA2</t>
  </si>
  <si>
    <t>37:02:54.7404 (37.048539) North</t>
  </si>
  <si>
    <t>122:04:25.6116 (-122.073781) West</t>
  </si>
  <si>
    <t>Sarah Collamer</t>
  </si>
  <si>
    <t>sarah.collamer@fire.ca.gov</t>
  </si>
  <si>
    <t xml:space="preserve">(831) 254-1792 </t>
  </si>
  <si>
    <t>CAL FIRE PORTABLE 21</t>
  </si>
  <si>
    <t>32B1EB08</t>
  </si>
  <si>
    <t>rober.clark@fire.ca.gov</t>
  </si>
  <si>
    <t>CAL FIRE PORTABLE 211</t>
  </si>
  <si>
    <t>32B9D4E6</t>
  </si>
  <si>
    <t>CAL FIRE PORTABLE 212</t>
  </si>
  <si>
    <t>32B9F20A</t>
  </si>
  <si>
    <t>CAL FIRE PORTABLE 23B</t>
  </si>
  <si>
    <t>32B54ECA</t>
  </si>
  <si>
    <t>CAL FIRE PORTABLE 24B</t>
  </si>
  <si>
    <t>32B5D57A</t>
  </si>
  <si>
    <t>CAL FIRE PORTABLE 25</t>
  </si>
  <si>
    <t>Tehama</t>
  </si>
  <si>
    <t>32B5DBA8</t>
  </si>
  <si>
    <t>CAL FIRE PORTABLE 26</t>
  </si>
  <si>
    <t>32B5E0E0</t>
  </si>
  <si>
    <t>41:44:05.28 (41.7348) North</t>
  </si>
  <si>
    <t>122:37:05.2788 (-122.618133) West</t>
  </si>
  <si>
    <t>CAL FIRE PORTABLE 27B</t>
  </si>
  <si>
    <t>32B5EE32</t>
  </si>
  <si>
    <t>CAL FIRE PORTABLE 311</t>
  </si>
  <si>
    <t>32BA55FC</t>
  </si>
  <si>
    <t>34:01:20.8884 (34.022469) North</t>
  </si>
  <si>
    <t>118:49:55.4916 (-118.832081) West</t>
  </si>
  <si>
    <t>CAL FIRE PORTABLE 312</t>
  </si>
  <si>
    <t>32BB6C4E</t>
  </si>
  <si>
    <t>CAL FIRE PORTABLE 31B</t>
  </si>
  <si>
    <t>32B8437E</t>
  </si>
  <si>
    <t>CAL FIRE PORTABLE 33A</t>
  </si>
  <si>
    <t>32B84DAC</t>
  </si>
  <si>
    <t>CAL FIRE PORTABLE 33B</t>
  </si>
  <si>
    <t>32B997EC</t>
  </si>
  <si>
    <t>CAL FIRE PORTABLE 411</t>
  </si>
  <si>
    <t>32BB71EA</t>
  </si>
  <si>
    <t>CAL FIRE PORTABLE 412</t>
  </si>
  <si>
    <t>32BB7F38</t>
  </si>
  <si>
    <t>CAL FIRE PORTABLE 42</t>
  </si>
  <si>
    <t>32B9ACA4</t>
  </si>
  <si>
    <t>CAL FIRE PORTABLE 44B</t>
  </si>
  <si>
    <t>Tuolumne</t>
  </si>
  <si>
    <t>32B9B100</t>
  </si>
  <si>
    <t>CAL FIRE PORTABLE 512</t>
  </si>
  <si>
    <t>32BB816E</t>
  </si>
  <si>
    <t>CAL FIRE SPARE 1</t>
  </si>
  <si>
    <t>32BBA782</t>
  </si>
  <si>
    <t>CAL FIRE SPARE 2</t>
  </si>
  <si>
    <t>32BBA950</t>
  </si>
  <si>
    <t>CAL FIRE SPARE 3</t>
  </si>
  <si>
    <t>32BBB4F4</t>
  </si>
  <si>
    <t>CALAVERAS ROAD</t>
  </si>
  <si>
    <t>CA41D314</t>
  </si>
  <si>
    <t>37:33:11.0016 (37.553056) North</t>
  </si>
  <si>
    <t>121:50:38.0004 (-121.843889) West</t>
  </si>
  <si>
    <t>SF WATER DEPT.</t>
  </si>
  <si>
    <t>John Fournet</t>
  </si>
  <si>
    <t>jfournet@sfwater.org</t>
  </si>
  <si>
    <t xml:space="preserve">(650) 652-3207 </t>
  </si>
  <si>
    <t>Kathleen Swanson</t>
  </si>
  <si>
    <t>kswanson@sfwater.org</t>
  </si>
  <si>
    <t xml:space="preserve">(650) 652-3208 </t>
  </si>
  <si>
    <t>jnaras@sfwater.org</t>
  </si>
  <si>
    <t>CALERO</t>
  </si>
  <si>
    <t>32BA9E30</t>
  </si>
  <si>
    <t>37:11:19.8204 (37.188839) North</t>
  </si>
  <si>
    <t>121:46:16.8888 (-121.771358) West</t>
  </si>
  <si>
    <t>SANTA CLARA COUNTY</t>
  </si>
  <si>
    <t xml:space="preserve">CALFIRE  PORTABLE 511 </t>
  </si>
  <si>
    <t>AAB61444</t>
  </si>
  <si>
    <t>39:18:54 (39.315) North</t>
  </si>
  <si>
    <t>123:44:43.08 (-123.7453) West</t>
  </si>
  <si>
    <t>Tiffany Jarvis</t>
  </si>
  <si>
    <t>tiffany.jarvis@fire.ca.gov</t>
  </si>
  <si>
    <t xml:space="preserve">(530) 538-7717 </t>
  </si>
  <si>
    <t>CALFIRE 34B (1000 HILLS)</t>
  </si>
  <si>
    <t>32BA16F6</t>
  </si>
  <si>
    <t>35:10:19.8012 (35.172167) North</t>
  </si>
  <si>
    <t>120:39:38.16 (-120.6606) West</t>
  </si>
  <si>
    <t>Morgan Partridge</t>
  </si>
  <si>
    <t>morgan.partridge@fire.ca.gov</t>
  </si>
  <si>
    <t xml:space="preserve">(805) 903-3426 </t>
  </si>
  <si>
    <t>david.fowler@fire.ca.gov</t>
  </si>
  <si>
    <t>CALFIRE PORT 34 SUNSTORM</t>
  </si>
  <si>
    <t>32A1275A</t>
  </si>
  <si>
    <t>35:26:14.82 (35.43745) North</t>
  </si>
  <si>
    <t>120:29:24.9612 (-120.490267) West</t>
  </si>
  <si>
    <t>Jason Potts</t>
  </si>
  <si>
    <t>jason.potts@fire.ca.gov</t>
  </si>
  <si>
    <t>david.fowler@fire.ca.gov, morgan.partridge@fire.ca.gov</t>
  </si>
  <si>
    <t>CALFIRE PORTABLE 12</t>
  </si>
  <si>
    <t>CA49643C</t>
  </si>
  <si>
    <t>41:17:04.2 (41.2845) North</t>
  </si>
  <si>
    <t>122:21:27.3996 (-122.357611) West</t>
  </si>
  <si>
    <t>Chris Ramey</t>
  </si>
  <si>
    <t>chris.ramey@fire.ca.gov</t>
  </si>
  <si>
    <t xml:space="preserve">(707) 599-6442 </t>
  </si>
  <si>
    <t>CALFIRE PORTABLE 14</t>
  </si>
  <si>
    <t>CA48F3A4</t>
  </si>
  <si>
    <t>38:33:47.8008 (38.563278) North</t>
  </si>
  <si>
    <t>122:25:02.6004 (-122.417389) West</t>
  </si>
  <si>
    <t>CALFIRE PORTABLE 17</t>
  </si>
  <si>
    <t>32A142BC</t>
  </si>
  <si>
    <t>37:13:22.5588 (37.222933) North</t>
  </si>
  <si>
    <t>122:05:37.2912 (-122.093692) West</t>
  </si>
  <si>
    <t>Robert.clark@fire.ca.gov</t>
  </si>
  <si>
    <t>CALFIRE PORTABLE 22</t>
  </si>
  <si>
    <t>CA48C63E</t>
  </si>
  <si>
    <t>40:21:05.4612 (40.351517) North</t>
  </si>
  <si>
    <t>120:18:13.7412 (-120.303817) West</t>
  </si>
  <si>
    <t>sadie.wilson@fire.ca.gov</t>
  </si>
  <si>
    <t>dustin.osbourn@fire.ca.gov, sadie.wilson@fire.ca.gov</t>
  </si>
  <si>
    <t>CALFIRE PORTABLE 24</t>
  </si>
  <si>
    <t>CA49A122</t>
  </si>
  <si>
    <t>40:31:18.1992 (40.521722) North</t>
  </si>
  <si>
    <t>122:24:54 (-122.415) West</t>
  </si>
  <si>
    <t>Sean Johnson</t>
  </si>
  <si>
    <t>Sean.johnson@fire.ca.gov</t>
  </si>
  <si>
    <t>CALFIRE PORTABLE 27</t>
  </si>
  <si>
    <t>CA49774A</t>
  </si>
  <si>
    <t>40:12:27.0612 (40.207517) North</t>
  </si>
  <si>
    <t>121:35:31.6788 (-121.592133) West</t>
  </si>
  <si>
    <t>Erin Duprey</t>
  </si>
  <si>
    <t>erin.duprey@fire.ca.gov</t>
  </si>
  <si>
    <t xml:space="preserve">(530) 647-5293 </t>
  </si>
  <si>
    <t>CALFIRE PORTABLE 31</t>
  </si>
  <si>
    <t>CA48D548</t>
  </si>
  <si>
    <t>33:57:44.8992 (33.962472) North</t>
  </si>
  <si>
    <t>117:29:51.3996 (-117.497611) West</t>
  </si>
  <si>
    <t>Steve Volmer</t>
  </si>
  <si>
    <t>steve.volmer@fire.ca.gov</t>
  </si>
  <si>
    <t>CALFIRE PORTABLE 35</t>
  </si>
  <si>
    <t>Inyo</t>
  </si>
  <si>
    <t>32BA0580</t>
  </si>
  <si>
    <t>36:49:23.9196 (36.823311) North</t>
  </si>
  <si>
    <t>118:11:24.4212 (-118.190117) West</t>
  </si>
  <si>
    <t>CALFIRE PORTABLE 43</t>
  </si>
  <si>
    <t>CA283488</t>
  </si>
  <si>
    <t>36:14:29.4 (36.2415) North</t>
  </si>
  <si>
    <t>120:37:53.94 (-120.63165) West</t>
  </si>
  <si>
    <t>CALFIRE PORTABLE 44</t>
  </si>
  <si>
    <t>Mariposa</t>
  </si>
  <si>
    <t>32A12988</t>
  </si>
  <si>
    <t>37:27:51.48 (37.4643) North</t>
  </si>
  <si>
    <t>119:56:50.64 (-119.9474) West</t>
  </si>
  <si>
    <t>Chris Waters</t>
  </si>
  <si>
    <t>chris.waters@fire.ca.gov</t>
  </si>
  <si>
    <t>CALFIRE PORTABLE 46A</t>
  </si>
  <si>
    <t>328A251C</t>
  </si>
  <si>
    <t>Brice Munzer</t>
  </si>
  <si>
    <t>brice.munzer@fire.ca.gov</t>
  </si>
  <si>
    <t xml:space="preserve">(831) 601-0078 </t>
  </si>
  <si>
    <t>CALFIRE PORTABLE 46B</t>
  </si>
  <si>
    <t>326723F0</t>
  </si>
  <si>
    <t>CALFIRE PORTABLE 55</t>
  </si>
  <si>
    <t>32A11C12</t>
  </si>
  <si>
    <t>39:30:16.4988 (39.504583) North</t>
  </si>
  <si>
    <t>121:39:01.0008 (-121.650278) West</t>
  </si>
  <si>
    <t>Mark Steele</t>
  </si>
  <si>
    <t>mark.steele@fire.ca.gov</t>
  </si>
  <si>
    <t>CALICO</t>
  </si>
  <si>
    <t>Moffat</t>
  </si>
  <si>
    <t>329157BA</t>
  </si>
  <si>
    <t>40:22:36.5988 (40.376833) North</t>
  </si>
  <si>
    <t>108:31:19.0992 (-108.521972) West</t>
  </si>
  <si>
    <t>CRAIG</t>
  </si>
  <si>
    <t>St Martin, Michael W</t>
  </si>
  <si>
    <t>mstmarti@blm.gov</t>
  </si>
  <si>
    <t xml:space="preserve">(970) 291-8180 </t>
  </si>
  <si>
    <t>Smith, Landon W</t>
  </si>
  <si>
    <t>lwsmith@blm.gov</t>
  </si>
  <si>
    <t xml:space="preserve">(970) 326-7653 </t>
  </si>
  <si>
    <t>CALIMUS</t>
  </si>
  <si>
    <t>42:37:53.0004 (42.631389) North</t>
  </si>
  <si>
    <t>121:33:34.9992 (-121.559722) West</t>
  </si>
  <si>
    <t>Justin Phillips</t>
  </si>
  <si>
    <t>charles.j.phillips@usda.gov</t>
  </si>
  <si>
    <t xml:space="preserve">(541) 947-6315 </t>
  </si>
  <si>
    <t>Brett Smith</t>
  </si>
  <si>
    <t>brett.smith@usda.gov</t>
  </si>
  <si>
    <t xml:space="preserve">(541) 420-9575 </t>
  </si>
  <si>
    <t>CALLAHAN #2</t>
  </si>
  <si>
    <t>323857B0</t>
  </si>
  <si>
    <t>41:17:59.0604 (41.299739) North</t>
  </si>
  <si>
    <t>122:49:31.89 (-122.825525) West</t>
  </si>
  <si>
    <t>ahester@blm.gov, ezekiel.jones@usda.gov, jobe.pratt@usda.gov, kevin.case2@usda.gov, shuckstep@blm.gov, terry.williamson@usda.gov</t>
  </si>
  <si>
    <t>CALVERT PEAK</t>
  </si>
  <si>
    <t>42:46:44.6988 (42.779083) North</t>
  </si>
  <si>
    <t>123:44:04.7004 (-123.734639) West</t>
  </si>
  <si>
    <t>CAMDEN TOWER</t>
  </si>
  <si>
    <t>Benton</t>
  </si>
  <si>
    <t>0260C468</t>
  </si>
  <si>
    <t>36:03:57.9996 (36.066111) North</t>
  </si>
  <si>
    <t>88:10:06.9996 (-88.168611) West</t>
  </si>
  <si>
    <t>Ryan Morris</t>
  </si>
  <si>
    <t>ryan.j.morris@tn.gov</t>
  </si>
  <si>
    <t xml:space="preserve">(865) 414-6462 </t>
  </si>
  <si>
    <t>CAMDENTON</t>
  </si>
  <si>
    <t>5730062E</t>
  </si>
  <si>
    <t>37:58:28 (37.974444) North</t>
  </si>
  <si>
    <t>92:41:24 (-92.69) West</t>
  </si>
  <si>
    <t>Ben.Webster@mdc.mo.gov</t>
  </si>
  <si>
    <t>CAMERON FIRE STATION</t>
  </si>
  <si>
    <t>326C332E</t>
  </si>
  <si>
    <t>32:43:16.2804 (32.721189) North</t>
  </si>
  <si>
    <t>116:27:52.8084 (-116.464669) West</t>
  </si>
  <si>
    <t>David Vela</t>
  </si>
  <si>
    <t>CAMILLA</t>
  </si>
  <si>
    <t>Mitchell</t>
  </si>
  <si>
    <t>31:12:51.0012 (31.214167) North</t>
  </si>
  <si>
    <t>84:14:09.9996 (-84.236111) West</t>
  </si>
  <si>
    <t>CAMP 4</t>
  </si>
  <si>
    <t>Chelan</t>
  </si>
  <si>
    <t>3245A1FE</t>
  </si>
  <si>
    <t>48:01:30 (48.025) North</t>
  </si>
  <si>
    <t>120:14:29.0004 (-120.241389) West</t>
  </si>
  <si>
    <t>OKANOGAN/WENATCHEE</t>
  </si>
  <si>
    <t>Joshua James</t>
  </si>
  <si>
    <t>joshua.james@usda.gov</t>
  </si>
  <si>
    <t xml:space="preserve">(509) 668-3090 </t>
  </si>
  <si>
    <t>Tom Hall</t>
  </si>
  <si>
    <t>thomas.m.hall@usda.gov</t>
  </si>
  <si>
    <t xml:space="preserve">(509) 682-4950 </t>
  </si>
  <si>
    <t>aaron.m.bruning@usda.gov, ahester@blm.gov</t>
  </si>
  <si>
    <t>CAMP 9</t>
  </si>
  <si>
    <t>CA41A584</t>
  </si>
  <si>
    <t>34:21:11.7 (34.35325) North</t>
  </si>
  <si>
    <t>118:25:06.8808 (-118.418578) West</t>
  </si>
  <si>
    <t>Michael Fleisher</t>
  </si>
  <si>
    <t>Michael.fleisher@fire.lacounty.gov</t>
  </si>
  <si>
    <t xml:space="preserve">(818) 890-5752 </t>
  </si>
  <si>
    <t>CAMP ADAIR OREGON</t>
  </si>
  <si>
    <t>E8D00BEC</t>
  </si>
  <si>
    <t>44:43:04.0296 (44.717786) North</t>
  </si>
  <si>
    <t>123:15:47.2716 (-123.263131) West</t>
  </si>
  <si>
    <t>ORARNG</t>
  </si>
  <si>
    <t>OREMIL - Oregon Military Department</t>
  </si>
  <si>
    <t>Morgan Davis</t>
  </si>
  <si>
    <t>morgan.j.davis13.nfg@army.mil</t>
  </si>
  <si>
    <t xml:space="preserve">(971) 707-0057 </t>
  </si>
  <si>
    <t>Janet Johnson</t>
  </si>
  <si>
    <t>janet.c.johnson30.nfg@army.mil</t>
  </si>
  <si>
    <t xml:space="preserve">(971) 374-3814 </t>
  </si>
  <si>
    <t>02:35, 32:35</t>
  </si>
  <si>
    <t>CAMP CREEK</t>
  </si>
  <si>
    <t>3278546C</t>
  </si>
  <si>
    <t>42:20:25.0008 (42.340278) North</t>
  </si>
  <si>
    <t>107:34:22.0008 (-107.572778) West</t>
  </si>
  <si>
    <t>WORLAND</t>
  </si>
  <si>
    <t>Shawn Phillips</t>
  </si>
  <si>
    <t>smphillips@blm.gov</t>
  </si>
  <si>
    <t xml:space="preserve">(307) 855-6166 </t>
  </si>
  <si>
    <t>Sam Coffin</t>
  </si>
  <si>
    <t>scoffin@blm.gov</t>
  </si>
  <si>
    <t xml:space="preserve">(208) 768-7013 </t>
  </si>
  <si>
    <t xml:space="preserve"> smphillips@blm.gov, jellington@blm.gov, rneighbo@blm.gov, roldenburg@blm.gov, scoffin@blm.gov</t>
  </si>
  <si>
    <t>CAMP EDWARDS QD</t>
  </si>
  <si>
    <t>ADB00392</t>
  </si>
  <si>
    <t>42:17:28.8996 (42.291361) North</t>
  </si>
  <si>
    <t>71:37:47.4204 (-71.629839) West</t>
  </si>
  <si>
    <t>CAMP EDWARDS</t>
  </si>
  <si>
    <t>Caren Caljouw (Office)</t>
  </si>
  <si>
    <t>caren.caljouw@state.ma.us</t>
  </si>
  <si>
    <t xml:space="preserve">(508) 389-6395 </t>
  </si>
  <si>
    <t>Caren Caljouw (Cell)</t>
  </si>
  <si>
    <t xml:space="preserve">(508) 439-1070 </t>
  </si>
  <si>
    <t>CAMP EDWARDS RAWS</t>
  </si>
  <si>
    <t>ADB00D40</t>
  </si>
  <si>
    <t>41:42:25.8984 (41.707194) North</t>
  </si>
  <si>
    <t>70:33:50.9004 (-70.564139) West</t>
  </si>
  <si>
    <t>MAARMY - MA ARMY NG</t>
  </si>
  <si>
    <t>Joel Carlson</t>
  </si>
  <si>
    <t>joel.r.carlson.nfg@army.mil</t>
  </si>
  <si>
    <t xml:space="preserve">(339) 202-9345 </t>
  </si>
  <si>
    <t>Jacob McCumber</t>
  </si>
  <si>
    <t>jacob.c.mccumber.nfg@army.mil</t>
  </si>
  <si>
    <t xml:space="preserve">(339) 202-9343 </t>
  </si>
  <si>
    <t xml:space="preserve"> jacob.c.mccumber.nfg@army.mil, joel.r.carlson.nfg@army.mil</t>
  </si>
  <si>
    <t>CAMP ELLIOTT</t>
  </si>
  <si>
    <t>32:51:33.0012 (32.859167) North</t>
  </si>
  <si>
    <t>117:06:20.0016 (-117.105556) West</t>
  </si>
  <si>
    <t>MCAS MIRAMAR</t>
  </si>
  <si>
    <t>Doug Bouck</t>
  </si>
  <si>
    <t>doug.bouck@usmc.mil</t>
  </si>
  <si>
    <t xml:space="preserve">(858) 307-6136 </t>
  </si>
  <si>
    <t>Tony Hernandez</t>
  </si>
  <si>
    <t>anthony.m.hernandez2@usmc.mil</t>
  </si>
  <si>
    <t xml:space="preserve">(619) 977-4570 </t>
  </si>
  <si>
    <t>CAMP KELLER</t>
  </si>
  <si>
    <t>323930AC</t>
  </si>
  <si>
    <t>30:31:27.2388 (30.524233) North</t>
  </si>
  <si>
    <t>88:58:55.3188 (-88.982033) West</t>
  </si>
  <si>
    <t>Clifton W. Willis</t>
  </si>
  <si>
    <t>cliffton.willis@usda.gov</t>
  </si>
  <si>
    <t>CAMP MERRILL</t>
  </si>
  <si>
    <t>Lumpkin</t>
  </si>
  <si>
    <t>327314CE</t>
  </si>
  <si>
    <t>34:36:31.1616 (34.608656) North</t>
  </si>
  <si>
    <t>84:07:51.0816 (-84.130856) West</t>
  </si>
  <si>
    <t>charles.o.gray@usda.gov, gregory.cohen@usda.gov, michael.davis1@usda.gov</t>
  </si>
  <si>
    <t>CAMP RILEA OREGON</t>
  </si>
  <si>
    <t>Clatsop</t>
  </si>
  <si>
    <t>E8D01648</t>
  </si>
  <si>
    <t>46:07:07.8312 (46.118842) North</t>
  </si>
  <si>
    <t>123:56:13.5888 (-123.937108) West</t>
  </si>
  <si>
    <t>janet.c.johnson30.nfg@arny.mil</t>
  </si>
  <si>
    <t>02:45, 32:45</t>
  </si>
  <si>
    <t>CAMP SANTIAGO</t>
  </si>
  <si>
    <t>Salinas</t>
  </si>
  <si>
    <t>78A0007E</t>
  </si>
  <si>
    <t>18:00:40.6008 (18.011278) North</t>
  </si>
  <si>
    <t>66:17:29.6988 (-66.291583) West</t>
  </si>
  <si>
    <t>NF'S IN PUERTO RICO</t>
  </si>
  <si>
    <t>Aixa Mojica-Lopez</t>
  </si>
  <si>
    <t>aixa.mojica-lopez@usda.gov</t>
  </si>
  <si>
    <t xml:space="preserve">(787) 764-7725 </t>
  </si>
  <si>
    <t>LTL. (JOE) ORTEGA</t>
  </si>
  <si>
    <t xml:space="preserve">(787) 824-7432 </t>
  </si>
  <si>
    <t>CAMP SIX</t>
  </si>
  <si>
    <t>Del Norte</t>
  </si>
  <si>
    <t>333135A8</t>
  </si>
  <si>
    <t>41:49:51.42 (41.83095) North</t>
  </si>
  <si>
    <t>123:52:35.4108 (-123.876503) West</t>
  </si>
  <si>
    <t>James Scott</t>
  </si>
  <si>
    <t>james.m.scott@usda.gov</t>
  </si>
  <si>
    <t xml:space="preserve">(707) 465-7735 </t>
  </si>
  <si>
    <t>ahester@blm.gov, shuckstep@blm.gov, wayne.escobar@usda.gov</t>
  </si>
  <si>
    <t>CAMP WILLIAM PENN</t>
  </si>
  <si>
    <t>Pike</t>
  </si>
  <si>
    <t>32B14BF0</t>
  </si>
  <si>
    <t>41:09:07.4988 (41.152083) North</t>
  </si>
  <si>
    <t>75:09:03.8988 (-75.151083) West</t>
  </si>
  <si>
    <t>CAMPBELL CREEK</t>
  </si>
  <si>
    <t>Anchorage</t>
  </si>
  <si>
    <t>9A70232A</t>
  </si>
  <si>
    <t>61:09:30.1716 (61.158381) North</t>
  </si>
  <si>
    <t>149:47:48.2496 (-149.796736) West</t>
  </si>
  <si>
    <t>Mike butteri</t>
  </si>
  <si>
    <t>CAMPO SECO</t>
  </si>
  <si>
    <t>CA2C31B2</t>
  </si>
  <si>
    <t>38:13:24.9996 (38.223611) North</t>
  </si>
  <si>
    <t>120:51:59.0004 (-120.866389) West</t>
  </si>
  <si>
    <t>EAST BAY M.U.D.</t>
  </si>
  <si>
    <t>Dave Hansen</t>
  </si>
  <si>
    <t>dhansen221@gmail.com</t>
  </si>
  <si>
    <t xml:space="preserve">(510) 287-7004 </t>
  </si>
  <si>
    <t>Tim Cox</t>
  </si>
  <si>
    <t>Tcox@ebmud.com</t>
  </si>
  <si>
    <t xml:space="preserve">(209) 772-8256 </t>
  </si>
  <si>
    <t>dhansen@ebmud.com, gfrancek@ebmud.com</t>
  </si>
  <si>
    <t>CANELO</t>
  </si>
  <si>
    <t>Cochise</t>
  </si>
  <si>
    <t>AAC113DC</t>
  </si>
  <si>
    <t>31:32:58.9992 (31.549722) North</t>
  </si>
  <si>
    <t>110:31:09.0012 (-110.519167) West</t>
  </si>
  <si>
    <t>CORONADO NF</t>
  </si>
  <si>
    <t>MIKE WILKE</t>
  </si>
  <si>
    <t>michael.wilke@usda.gov</t>
  </si>
  <si>
    <t xml:space="preserve">(520) 202-2709 </t>
  </si>
  <si>
    <t>Chris Massingill</t>
  </si>
  <si>
    <t>christopher.massingill@usda.gov</t>
  </si>
  <si>
    <t xml:space="preserve">(520) 269-8422 </t>
  </si>
  <si>
    <t>CANEY</t>
  </si>
  <si>
    <t>Claiborne</t>
  </si>
  <si>
    <t>Other (see notes)</t>
  </si>
  <si>
    <t>32:48:15.0012 (32.804167) North</t>
  </si>
  <si>
    <t>93:04:00.0012 (-93.066667) West</t>
  </si>
  <si>
    <t>KISATCHIE NF</t>
  </si>
  <si>
    <t>Dustin Dill</t>
  </si>
  <si>
    <t>dustin.dill@usda.gov</t>
  </si>
  <si>
    <t xml:space="preserve">(318) 628-4664 </t>
  </si>
  <si>
    <t>John Higginbotham</t>
  </si>
  <si>
    <t>john.higginbotham@usda.gov</t>
  </si>
  <si>
    <t xml:space="preserve">(318) 628-6441 </t>
  </si>
  <si>
    <t>CANNIBAL MOUNTAIN</t>
  </si>
  <si>
    <t>3260C236</t>
  </si>
  <si>
    <t>44:20:56.0004 (44.348889) North</t>
  </si>
  <si>
    <t>123:53:12.0012 (-123.886667) West</t>
  </si>
  <si>
    <t>SIUSLAW NF</t>
  </si>
  <si>
    <t>CANNONBALL CREEK</t>
  </si>
  <si>
    <t>Fallon</t>
  </si>
  <si>
    <t>3276C566</t>
  </si>
  <si>
    <t>46:29:01.2984 (46.483694) North</t>
  </si>
  <si>
    <t>104:04:00.8004 (-104.066889) West</t>
  </si>
  <si>
    <t>CANYON CREEK</t>
  </si>
  <si>
    <t>326190B0</t>
  </si>
  <si>
    <t>45:55:45.9984 (45.929444) North</t>
  </si>
  <si>
    <t>122:12:10.0008 (-122.202778) West</t>
  </si>
  <si>
    <t xml:space="preserve">Dustin Fisher </t>
  </si>
  <si>
    <t>CAPROCK</t>
  </si>
  <si>
    <t>325B241C</t>
  </si>
  <si>
    <t>32:55:38.2008 (32.927278) North</t>
  </si>
  <si>
    <t>103:51:24.8004 (-103.856889) West</t>
  </si>
  <si>
    <t>CARLSBAD</t>
  </si>
  <si>
    <t>Dominic Bell</t>
  </si>
  <si>
    <t>dlbell@blm.gov</t>
  </si>
  <si>
    <t xml:space="preserve">(575) 244-4745 </t>
  </si>
  <si>
    <t>Nathan Curnett</t>
  </si>
  <si>
    <t>ncurnutt@blm.gov</t>
  </si>
  <si>
    <t xml:space="preserve">(575) 802-5262 </t>
  </si>
  <si>
    <t>ahester@blm.gov, rnaden@fs.fed.us</t>
  </si>
  <si>
    <t>Briscoe</t>
  </si>
  <si>
    <t>8841E67E</t>
  </si>
  <si>
    <t>34:24:38.0016 (34.410556) North</t>
  </si>
  <si>
    <t>101:02:57.0012 (-101.049167) West</t>
  </si>
  <si>
    <t>CARB EBAM QD1</t>
  </si>
  <si>
    <t>32B38B1A</t>
  </si>
  <si>
    <t>38:33:39.0384 (38.560844) North</t>
  </si>
  <si>
    <t>121:30:25.2684 (-121.507019) West</t>
  </si>
  <si>
    <t>Joseph McCormack</t>
  </si>
  <si>
    <t>joseph.mccormack@arb.ca.gov</t>
  </si>
  <si>
    <t xml:space="preserve">(916) 445-3621 </t>
  </si>
  <si>
    <t>CARB EBAM QD2</t>
  </si>
  <si>
    <t>32B3DB66</t>
  </si>
  <si>
    <t>39:23:47.5512 (39.396542) North</t>
  </si>
  <si>
    <t>121:08:36.96 (-121.1436) West</t>
  </si>
  <si>
    <t>CARIBOU PEAK</t>
  </si>
  <si>
    <t>325E1646</t>
  </si>
  <si>
    <t>65:11:30.5988 (65.191833) North</t>
  </si>
  <si>
    <t>147:30:00.6012 (-147.500167) West</t>
  </si>
  <si>
    <t>CARLOS AVERY</t>
  </si>
  <si>
    <t>Anoka</t>
  </si>
  <si>
    <t>7070434C</t>
  </si>
  <si>
    <t>45:18:10 (45.302778) North</t>
  </si>
  <si>
    <t>93:06:04 (-93.101111) West</t>
  </si>
  <si>
    <t>Lisa Mueller</t>
  </si>
  <si>
    <t xml:space="preserve">lisa.mueller@state.mn.us, jolene.soltis@state.mn.us </t>
  </si>
  <si>
    <t xml:space="preserve">(763) 284-7206 </t>
  </si>
  <si>
    <t xml:space="preserve"> jolene.soltis@state.mn.us, lisa.mueller@state.mn.us, travis.verdegan@state.mn.us</t>
  </si>
  <si>
    <t>CARLSBAD PORTABLE</t>
  </si>
  <si>
    <t>327A347E</t>
  </si>
  <si>
    <t>32:34:50.9988 (32.580833) North</t>
  </si>
  <si>
    <t>104:41:26.9988 (-104.690833) West</t>
  </si>
  <si>
    <t>James Faust</t>
  </si>
  <si>
    <t>jfaust@blm.gov</t>
  </si>
  <si>
    <t xml:space="preserve">(575) 302-8468 </t>
  </si>
  <si>
    <t>Nathan Curnutt</t>
  </si>
  <si>
    <t>CARLSBAD PORTABLE #2</t>
  </si>
  <si>
    <t>Otero</t>
  </si>
  <si>
    <t>3333C0D8</t>
  </si>
  <si>
    <t>32:25:35.04 (32.4264) North</t>
  </si>
  <si>
    <t>104:53:37.0788 (-104.893633) West</t>
  </si>
  <si>
    <t>CARMAN SADDLE</t>
  </si>
  <si>
    <t>Plumas</t>
  </si>
  <si>
    <t>32BA236C</t>
  </si>
  <si>
    <t>39:44:49.8012 (39.747167) North</t>
  </si>
  <si>
    <t>120:29:44.1996 (-120.495611) West</t>
  </si>
  <si>
    <t>TAHOE NF</t>
  </si>
  <si>
    <t>Frank Bojorquez</t>
  </si>
  <si>
    <t>frank.bojorquez@usda.gov</t>
  </si>
  <si>
    <t xml:space="preserve">(530) 562-7832 </t>
  </si>
  <si>
    <t>Nolan Bussey</t>
  </si>
  <si>
    <t>nolan.bussey@usda.gov</t>
  </si>
  <si>
    <t xml:space="preserve">(530) 802-6256 </t>
  </si>
  <si>
    <t>shuckstep@blm.gov</t>
  </si>
  <si>
    <t>CAROLINA SANDHILLS</t>
  </si>
  <si>
    <t>Chesterfield</t>
  </si>
  <si>
    <t>8376C5F2</t>
  </si>
  <si>
    <t>34:39:43 (34.661944) North</t>
  </si>
  <si>
    <t>80:16:27 (-80.274167) West</t>
  </si>
  <si>
    <t>Mark Parker</t>
  </si>
  <si>
    <t>mark_parker@fws.gov</t>
  </si>
  <si>
    <t xml:space="preserve">(843) 335-8401 </t>
  </si>
  <si>
    <t>MARK PARKER</t>
  </si>
  <si>
    <t>CARPENTER PEAK</t>
  </si>
  <si>
    <t>328262B0</t>
  </si>
  <si>
    <t>39:25:08.6988 (39.419083) North</t>
  </si>
  <si>
    <t>105:05:02.6016 (-105.084056) West</t>
  </si>
  <si>
    <t>CARPENTER RIDGE</t>
  </si>
  <si>
    <t>323C241A</t>
  </si>
  <si>
    <t>38:27:34.7004 (38.459639) North</t>
  </si>
  <si>
    <t>109:02:50.3016 (-109.047306) West</t>
  </si>
  <si>
    <t>Russ Bigelow</t>
  </si>
  <si>
    <t>russell.bigelow@usda.gov</t>
  </si>
  <si>
    <t xml:space="preserve">(435) 636-3313 </t>
  </si>
  <si>
    <t>CA2132D4</t>
  </si>
  <si>
    <t>40:04:07.1616 (40.068656) North</t>
  </si>
  <si>
    <t>121:35:02.4 (-121.584) West</t>
  </si>
  <si>
    <t>CARPINTERIA</t>
  </si>
  <si>
    <t>Santa Barbara</t>
  </si>
  <si>
    <t>32A1AF9C</t>
  </si>
  <si>
    <t>34:26:40.3116 (34.444531) North</t>
  </si>
  <si>
    <t>119:30:47.1816 (-119.513106) West</t>
  </si>
  <si>
    <t>SANTA BARBARA COUNTY</t>
  </si>
  <si>
    <t>SBFIRE - Santa Barbara County Fire</t>
  </si>
  <si>
    <t>Jason Sweet</t>
  </si>
  <si>
    <t>jsweet@countyofsb.org</t>
  </si>
  <si>
    <t xml:space="preserve">(805) 451-0161 </t>
  </si>
  <si>
    <t>JOHN HEIDUK</t>
  </si>
  <si>
    <t>jheiduk@countyofsb.org</t>
  </si>
  <si>
    <t xml:space="preserve">(805) 699-8106 </t>
  </si>
  <si>
    <t>ftan@countyofsb.org, jsweet@countyofsb.org, mmarsh@countyofsb.org, rhazard@countyofsb.org</t>
  </si>
  <si>
    <t>CARR</t>
  </si>
  <si>
    <t>3238F748</t>
  </si>
  <si>
    <t>31:26:27.9996 (31.441111) North</t>
  </si>
  <si>
    <t>110:17:09.9996 (-110.286111) West</t>
  </si>
  <si>
    <t>Mike Wilke</t>
  </si>
  <si>
    <t>CARR CREEK</t>
  </si>
  <si>
    <t>3233E796</t>
  </si>
  <si>
    <t>37:10:50.0016 (37.180556) North</t>
  </si>
  <si>
    <t>91:07:05.0016 (-91.118056) West</t>
  </si>
  <si>
    <t>Texas Nall</t>
  </si>
  <si>
    <t>texas.nall@usda.gov</t>
  </si>
  <si>
    <t>(573) 729-6656 114</t>
  </si>
  <si>
    <t>CARRIZO</t>
  </si>
  <si>
    <t>325472F2</t>
  </si>
  <si>
    <t>35:05:47.5008 (35.096528) North</t>
  </si>
  <si>
    <t>119:46:23.5992 (-119.773222) West</t>
  </si>
  <si>
    <t>BURNS BRIMHALL</t>
  </si>
  <si>
    <t>BBRIMHALL@BLM.GOV</t>
  </si>
  <si>
    <t xml:space="preserve">(831) 915-5096 </t>
  </si>
  <si>
    <t>CARSON PORTABLE #1</t>
  </si>
  <si>
    <t>Taos</t>
  </si>
  <si>
    <t>32B4C4F6</t>
  </si>
  <si>
    <t>36:49:55.2 (36.832) North</t>
  </si>
  <si>
    <t>105:14:51.3996 (-105.247611) West</t>
  </si>
  <si>
    <t>CARSON NF</t>
  </si>
  <si>
    <t>Chris  Farrar</t>
  </si>
  <si>
    <t>Christopher.farrar@usda.gov</t>
  </si>
  <si>
    <t xml:space="preserve">(575) 927-5618 </t>
  </si>
  <si>
    <t>Maura Cassel</t>
  </si>
  <si>
    <t>Maura.cassel@usda.gov</t>
  </si>
  <si>
    <t xml:space="preserve">(575) 377-5516 </t>
  </si>
  <si>
    <t>christopher.farrar@usda.gov, maura.cassel@usda.gov</t>
  </si>
  <si>
    <t>CART CREEK</t>
  </si>
  <si>
    <t>3241043C</t>
  </si>
  <si>
    <t>40:53:04.9992 (40.884722) North</t>
  </si>
  <si>
    <t>109:25:00.9984 (-109.416944) West</t>
  </si>
  <si>
    <t>ahester@blm.gov, zachary.farmer@usda.gov michael.bertagnolli@usda.gov</t>
  </si>
  <si>
    <t>Robert Gray</t>
  </si>
  <si>
    <t>CASA GRANDE</t>
  </si>
  <si>
    <t>Pinal</t>
  </si>
  <si>
    <t>5214304A</t>
  </si>
  <si>
    <t>32:59:30.3792 (32.991772) North</t>
  </si>
  <si>
    <t>111:31:57.5112 (-111.532642) West</t>
  </si>
  <si>
    <t>Pima Agency</t>
  </si>
  <si>
    <t>Justin Wedo</t>
  </si>
  <si>
    <t>justin.wedo@bia.gov</t>
  </si>
  <si>
    <t xml:space="preserve">(520) 517-2668 </t>
  </si>
  <si>
    <t>CASE</t>
  </si>
  <si>
    <t>3245F182</t>
  </si>
  <si>
    <t>44:58:15.9996 (44.971111) North</t>
  </si>
  <si>
    <t>118:55:46.9992 (-118.929722) West</t>
  </si>
  <si>
    <t>Adam Collin</t>
  </si>
  <si>
    <t>adam.collin@usda.gov</t>
  </si>
  <si>
    <t xml:space="preserve">(541) 561-0869 </t>
  </si>
  <si>
    <t>CASE MOUNTAIN</t>
  </si>
  <si>
    <t>3268751E</t>
  </si>
  <si>
    <t>36:24:38.4012 (36.410667) North</t>
  </si>
  <si>
    <t>118:48:33.1992 (-118.809222) West</t>
  </si>
  <si>
    <t>Rob Hedlund</t>
  </si>
  <si>
    <t>rhedlund@blm.gov</t>
  </si>
  <si>
    <t xml:space="preserve">(661) 747-7432 </t>
  </si>
  <si>
    <t>CASE SPRINGS</t>
  </si>
  <si>
    <t>33:26:45.1572 (33.445877) North</t>
  </si>
  <si>
    <t>117:25:08.8248 (-117.419118) West</t>
  </si>
  <si>
    <t>CAMP PENDLETON</t>
  </si>
  <si>
    <t>USMCCP - MCB Pendleton</t>
  </si>
  <si>
    <t>Juan Cervera</t>
  </si>
  <si>
    <t>juan.cervera@usmc.mil</t>
  </si>
  <si>
    <t xml:space="preserve">(786) 897-5149 </t>
  </si>
  <si>
    <t>Jim Asmus</t>
  </si>
  <si>
    <t>james.asmus@usmc.mil</t>
  </si>
  <si>
    <t xml:space="preserve">(760) 763-8544 </t>
  </si>
  <si>
    <t>CASHMAN</t>
  </si>
  <si>
    <t>40:00:06.9984 (40.001944) North</t>
  </si>
  <si>
    <t>120:54:54 (-120.915) West</t>
  </si>
  <si>
    <t>PLUMAS NF</t>
  </si>
  <si>
    <t>Lucas Pascucci</t>
  </si>
  <si>
    <t>lucas.pascucci@usda.gov</t>
  </si>
  <si>
    <t xml:space="preserve">(530) 927-9760 </t>
  </si>
  <si>
    <t>Edward Badalamenti</t>
  </si>
  <si>
    <t>edward.badalamenti@usda.gov</t>
  </si>
  <si>
    <t xml:space="preserve">(530) 283-7677 </t>
  </si>
  <si>
    <t>CASITAS</t>
  </si>
  <si>
    <t>Ventura</t>
  </si>
  <si>
    <t>34:24:29.43 (34.408175) North</t>
  </si>
  <si>
    <t>119:22:16.4784 (-119.371244) West</t>
  </si>
  <si>
    <t xml:space="preserve">Luis Orellana </t>
  </si>
  <si>
    <t>luis.orellana@usda.gov</t>
  </si>
  <si>
    <t xml:space="preserve">(661) 481-8666 </t>
  </si>
  <si>
    <t>CASPER MOUNTAIN</t>
  </si>
  <si>
    <t>Natrona</t>
  </si>
  <si>
    <t>3264B19C</t>
  </si>
  <si>
    <t>42:42:39.9996 (42.711111) North</t>
  </si>
  <si>
    <t>106:20:49.9992 (-106.347222) West</t>
  </si>
  <si>
    <t>Chase Lane</t>
  </si>
  <si>
    <t>clane@blm.gov</t>
  </si>
  <si>
    <t xml:space="preserve">(307) 261-7677 </t>
  </si>
  <si>
    <t>echapman@blm.gov, roldenburg@blm.gov, rputnam@blm.gov</t>
  </si>
  <si>
    <t>CASPER PORTABLE</t>
  </si>
  <si>
    <t>Campbell</t>
  </si>
  <si>
    <t>41:51:24.9984 (41.856944) North</t>
  </si>
  <si>
    <t>104:07:15.9996 (-104.121111) West</t>
  </si>
  <si>
    <t>CASS LAKE</t>
  </si>
  <si>
    <t>Cass</t>
  </si>
  <si>
    <t>333126DE</t>
  </si>
  <si>
    <t>47:22:40.0008 (47.377778) North</t>
  </si>
  <si>
    <t>94:36:54 (-94.615) West</t>
  </si>
  <si>
    <t>CHIPPEWA NF</t>
  </si>
  <si>
    <t>Joe Kaufman</t>
  </si>
  <si>
    <t xml:space="preserve"> joseph.kaufmann@usda.gov</t>
  </si>
  <si>
    <t xml:space="preserve">(218) 838-3597 </t>
  </si>
  <si>
    <t xml:space="preserve">Jolene Soltis </t>
  </si>
  <si>
    <t xml:space="preserve">jolene.soltis@state.mn.us </t>
  </si>
  <si>
    <t xml:space="preserve">(218) 322-2745 </t>
  </si>
  <si>
    <t>michael.mackey@usda.gov, mnmncc_intel@firenet.gov</t>
  </si>
  <si>
    <t>CASSVILLE</t>
  </si>
  <si>
    <t>Barry</t>
  </si>
  <si>
    <t>3290E6CE</t>
  </si>
  <si>
    <t>36:38:56.04 (36.6489) North</t>
  </si>
  <si>
    <t>93:44:36.96 (-93.7436) West</t>
  </si>
  <si>
    <t>CASTLE ROCK</t>
  </si>
  <si>
    <t>3008A200</t>
  </si>
  <si>
    <t>46:16:17.0004 (46.271389) North</t>
  </si>
  <si>
    <t>122:53:30.9984 (-122.891944) West</t>
  </si>
  <si>
    <t>CASWELL GAME LANDS</t>
  </si>
  <si>
    <t>Caswell</t>
  </si>
  <si>
    <t>4071C1FC</t>
  </si>
  <si>
    <t>36:23:07.7604 (36.385489) North</t>
  </si>
  <si>
    <t>79:17:30.8112 (-79.291892) West</t>
  </si>
  <si>
    <t>Travis Monroe</t>
  </si>
  <si>
    <t>travis.monroe@ncagr.gov</t>
  </si>
  <si>
    <t xml:space="preserve">(919) 387-2913 </t>
  </si>
  <si>
    <t>jamie.dunbar@ncagr.gov</t>
  </si>
  <si>
    <t>CATAHOULA</t>
  </si>
  <si>
    <t>323BE330</t>
  </si>
  <si>
    <t>31:30:07.9992 (31.502222) North</t>
  </si>
  <si>
    <t>92:27:42.0012 (-92.461667) West</t>
  </si>
  <si>
    <t>CATALINA</t>
  </si>
  <si>
    <t>Rio Grande</t>
  </si>
  <si>
    <t>32BD0966</t>
  </si>
  <si>
    <t>18:20:41.6292 (18.344897) North</t>
  </si>
  <si>
    <t>65:45:41.6304 (-65.761564) West</t>
  </si>
  <si>
    <t>Micheal Pope</t>
  </si>
  <si>
    <t>micheal.pope@usda.gov</t>
  </si>
  <si>
    <t xml:space="preserve">(787) 349-9023 </t>
  </si>
  <si>
    <t>Gabriel Gutierrez</t>
  </si>
  <si>
    <t>gabriel.gutierrezvillanueva@usda.gov</t>
  </si>
  <si>
    <t xml:space="preserve">(787) 396-8970 </t>
  </si>
  <si>
    <t>CATALINA ISLAND</t>
  </si>
  <si>
    <t>32B32530</t>
  </si>
  <si>
    <t>33:21:02.8 (33.350778) North</t>
  </si>
  <si>
    <t>118:21:08.1 (-118.35225) West</t>
  </si>
  <si>
    <t>CATFISH</t>
  </si>
  <si>
    <t>3250B2D6</t>
  </si>
  <si>
    <t>44:19:33.9996 (44.326111) North</t>
  </si>
  <si>
    <t>117:10:09.9984 (-117.169444) West</t>
  </si>
  <si>
    <t>KEVIN SITZ</t>
  </si>
  <si>
    <t>bsitz@blm.gov</t>
  </si>
  <si>
    <t xml:space="preserve">(208) 871-1826 </t>
  </si>
  <si>
    <t>CATHEDRAL</t>
  </si>
  <si>
    <t>63:26:07.98 (63.43555) North</t>
  </si>
  <si>
    <t>143:46:37.4808 (-143.777078) West</t>
  </si>
  <si>
    <t>CATHEDRAL CANYON</t>
  </si>
  <si>
    <t>324E02AE</t>
  </si>
  <si>
    <t>33:46:07.5 (33.76875) North</t>
  </si>
  <si>
    <t>116:28:48.3996 (-116.480111) West</t>
  </si>
  <si>
    <t>JAMES GANNON</t>
  </si>
  <si>
    <t>CATHEYS VALLEY</t>
  </si>
  <si>
    <t>CA2537EE</t>
  </si>
  <si>
    <t>37:22:48.8712 (37.380242) North</t>
  </si>
  <si>
    <t>120:04:37.0812 (-120.076967) West</t>
  </si>
  <si>
    <t>CATNIP MOUNTAIN</t>
  </si>
  <si>
    <t>41:55:18.6996 (41.921861) North</t>
  </si>
  <si>
    <t>119:29:49.8984 (-119.497194) West</t>
  </si>
  <si>
    <t>REGION 1</t>
  </si>
  <si>
    <t>SHELDON NWR</t>
  </si>
  <si>
    <t>Cody St. Clair</t>
  </si>
  <si>
    <t>cody_stclair@fws.gov</t>
  </si>
  <si>
    <t xml:space="preserve">(541) 639-6225 </t>
  </si>
  <si>
    <t>Josh O'Connor</t>
  </si>
  <si>
    <t>josh_oconnor@fws.gov</t>
  </si>
  <si>
    <t xml:space="preserve">(503) 872-2756 </t>
  </si>
  <si>
    <t>CATOCTIN MOUNTAIN</t>
  </si>
  <si>
    <t>FA648318</t>
  </si>
  <si>
    <t>39:39:05.0004 (39.651389) North</t>
  </si>
  <si>
    <t>77:29:35.9988 (-77.493333) West</t>
  </si>
  <si>
    <t>CATOCTIN MTN PARK</t>
  </si>
  <si>
    <t>Lindsey Donaldson</t>
  </si>
  <si>
    <t>lindsey_donaldson@nps.gov</t>
  </si>
  <si>
    <t xml:space="preserve">(301) 416-0536 </t>
  </si>
  <si>
    <t>Jeffrey Seabright</t>
  </si>
  <si>
    <t>jeffrey_seabright@nps.gov</t>
  </si>
  <si>
    <t xml:space="preserve">(240) 818-7151 </t>
  </si>
  <si>
    <t>CATSKILL CENTER</t>
  </si>
  <si>
    <t>Ulster</t>
  </si>
  <si>
    <t>6250A590</t>
  </si>
  <si>
    <t>42:01:39 (42.0275) North</t>
  </si>
  <si>
    <t>74:16:08.0004 (-74.268889) West</t>
  </si>
  <si>
    <t>Captain Greg Tyrrell</t>
  </si>
  <si>
    <t>gregory.tyrrell@dec.ny.gov</t>
  </si>
  <si>
    <t xml:space="preserve">(845) 699-9836 </t>
  </si>
  <si>
    <t>cameron.sweeney@dec.ny.gov</t>
  </si>
  <si>
    <t>CATTLE CAMP</t>
  </si>
  <si>
    <t>3257A394</t>
  </si>
  <si>
    <t>38:54:13.7988 (38.903833) North</t>
  </si>
  <si>
    <t>114:48:51.0984 (-114.814194) West</t>
  </si>
  <si>
    <t>CAVE CREEK</t>
  </si>
  <si>
    <t>32BA1824</t>
  </si>
  <si>
    <t>34:05:23.64 (34.0899) North</t>
  </si>
  <si>
    <t>111:50:47.4 (-111.8465) West</t>
  </si>
  <si>
    <t>TONTO NF</t>
  </si>
  <si>
    <t>Travis Helfrich</t>
  </si>
  <si>
    <t>travis.helfrich@usda.gov</t>
  </si>
  <si>
    <t xml:space="preserve">(480) 647-7347 </t>
  </si>
  <si>
    <t>CCDBLMFTS1</t>
  </si>
  <si>
    <t>38:38:06.5292 (38.635147) North</t>
  </si>
  <si>
    <t>105:21:59.3892 (-105.366497) West</t>
  </si>
  <si>
    <t>CANON CITY</t>
  </si>
  <si>
    <t>Matthew Norden</t>
  </si>
  <si>
    <t>mnorden@blm.gov</t>
  </si>
  <si>
    <t xml:space="preserve">(719) 269-8583 </t>
  </si>
  <si>
    <t>jbrewer@blm.gov</t>
  </si>
  <si>
    <t>CCDBLMFTS2</t>
  </si>
  <si>
    <t>38:37:29.8992 (38.624972) North</t>
  </si>
  <si>
    <t>105:38:39.8004 (-105.644389) West</t>
  </si>
  <si>
    <t>CDA-BLM 2 QD</t>
  </si>
  <si>
    <t>Bonner</t>
  </si>
  <si>
    <t>48:22:24.6 (48.3735) North</t>
  </si>
  <si>
    <t>116:11:18.6 (-116.1885) West</t>
  </si>
  <si>
    <t>COEUR D'ALENE</t>
  </si>
  <si>
    <t>Daniel Muir</t>
  </si>
  <si>
    <t>daniel.muir@usda.gov</t>
  </si>
  <si>
    <t>Ian morgan</t>
  </si>
  <si>
    <t>imorgan@blm.gov</t>
  </si>
  <si>
    <t xml:space="preserve">(208) 769-5051 </t>
  </si>
  <si>
    <t>CDA-BLM 3 QD</t>
  </si>
  <si>
    <t>3281C546</t>
  </si>
  <si>
    <t>45:08:43.3788 (45.145383) North</t>
  </si>
  <si>
    <t>116:18:53.1 (-116.31475) West</t>
  </si>
  <si>
    <t>daniel.morgan@blm.gov</t>
  </si>
  <si>
    <t>CDD PORTABLE</t>
  </si>
  <si>
    <t>32B2422C</t>
  </si>
  <si>
    <t>33:57:37.9404 (33.960539) North</t>
  </si>
  <si>
    <t>117:19:55.9884 (-117.332219) West</t>
  </si>
  <si>
    <t>James Gannon (Cell)</t>
  </si>
  <si>
    <t>James Newman (Office)</t>
  </si>
  <si>
    <t>jnewman@blm.gov</t>
  </si>
  <si>
    <t xml:space="preserve">(916) 978-4635 </t>
  </si>
  <si>
    <t>CDFW1</t>
  </si>
  <si>
    <t>CF300500</t>
  </si>
  <si>
    <t>CA DEPT OF F&amp;W</t>
  </si>
  <si>
    <t>CADFWL - California Department of Fish and Wildlife</t>
  </si>
  <si>
    <t>Hans Sin</t>
  </si>
  <si>
    <t>hans.sin@wildlife.ca.gov</t>
  </si>
  <si>
    <t xml:space="preserve">(858) 539-9022 </t>
  </si>
  <si>
    <t>Camilla Estes</t>
  </si>
  <si>
    <t>camilla.estes@wildlife.ca.gov</t>
  </si>
  <si>
    <t xml:space="preserve">(858) 922-0814 </t>
  </si>
  <si>
    <t>CDFW2</t>
  </si>
  <si>
    <t>CF300BD2</t>
  </si>
  <si>
    <t>CECILIA PORTABLE</t>
  </si>
  <si>
    <t>323EA7FA</t>
  </si>
  <si>
    <t>46:18:52.9812 (46.314717) North</t>
  </si>
  <si>
    <t>115:25:27.12 (-115.4242) West</t>
  </si>
  <si>
    <t>NEZ PERCE-CLEARWATER</t>
  </si>
  <si>
    <t>Neal Cox</t>
  </si>
  <si>
    <t>neal.cox@usda.gov</t>
  </si>
  <si>
    <t xml:space="preserve">(208) 926-6424 </t>
  </si>
  <si>
    <t>TC Peterson</t>
  </si>
  <si>
    <t>theodore.peterson@usda.gov</t>
  </si>
  <si>
    <t xml:space="preserve">(208) 559-4041 </t>
  </si>
  <si>
    <t>idgvc@firenet.gov</t>
  </si>
  <si>
    <t>CEDAR</t>
  </si>
  <si>
    <t>Tillamook</t>
  </si>
  <si>
    <t>3260D140</t>
  </si>
  <si>
    <t>45:12:42.0012 (45.211667) North</t>
  </si>
  <si>
    <t>123:46:18.9984 (-123.771944) West</t>
  </si>
  <si>
    <t>Hutchinson</t>
  </si>
  <si>
    <t>FA62C0DC</t>
  </si>
  <si>
    <t>35:41:25 (35.690278) North</t>
  </si>
  <si>
    <t>101:34:05.9999 (-101.568333) West</t>
  </si>
  <si>
    <t>LAKE MEREDITH NRA</t>
  </si>
  <si>
    <t>Jason McDaniel</t>
  </si>
  <si>
    <t>Jason_McDaniel@nps.gov</t>
  </si>
  <si>
    <t>(806) 865-3360 22</t>
  </si>
  <si>
    <t>Daniel Pearson</t>
  </si>
  <si>
    <t>daniel_pearson@nps.gov</t>
  </si>
  <si>
    <t>(806) 865-3360 26</t>
  </si>
  <si>
    <t>CEDAR CREEK ORCHARD</t>
  </si>
  <si>
    <t>48:59:13.3008 (48.987028) North</t>
  </si>
  <si>
    <t>117:29:40.9992 (-117.494722) West</t>
  </si>
  <si>
    <t>Willa Zyskowski</t>
  </si>
  <si>
    <t>willa.zyskowski@usda.gov</t>
  </si>
  <si>
    <t xml:space="preserve">(802) 272-6791 </t>
  </si>
  <si>
    <t>Shane Robson</t>
  </si>
  <si>
    <t>shane.robson@usda.gov</t>
  </si>
  <si>
    <t>ahester@blm.gov, ben.m.cooper@usda.gov, jared.reber@usda.gov, matthew.dauenhauer@usda.gov</t>
  </si>
  <si>
    <t>CEDAR GROVE</t>
  </si>
  <si>
    <t>FA6197AE</t>
  </si>
  <si>
    <t>36:47:16.0008 (36.787778) North</t>
  </si>
  <si>
    <t>118:39:21.9996 (-118.656111) West</t>
  </si>
  <si>
    <t>CEDAR HILL SP</t>
  </si>
  <si>
    <t>Dallas</t>
  </si>
  <si>
    <t>884116FA</t>
  </si>
  <si>
    <t>32:36:33.0012 (32.609167) North</t>
  </si>
  <si>
    <t>96:59:35.0016 (-96.993056) West</t>
  </si>
  <si>
    <t>Justin Segrave</t>
  </si>
  <si>
    <t>justin.segrave@tfs.tamu.edu</t>
  </si>
  <si>
    <t xml:space="preserve">(325) 430-3162 </t>
  </si>
  <si>
    <t>CEDAR ISLAND</t>
  </si>
  <si>
    <t>Carteret</t>
  </si>
  <si>
    <t>34:57:23.0004 (34.956389) North</t>
  </si>
  <si>
    <t>76:16:41.9988 (-76.278333) West</t>
  </si>
  <si>
    <t>CEDAR ISLAND NWR</t>
  </si>
  <si>
    <t>Bert Plante</t>
  </si>
  <si>
    <t>Bertram_Plante@fws.gov</t>
  </si>
  <si>
    <t>(252) 473-1131 36</t>
  </si>
  <si>
    <t>Calib Jones</t>
  </si>
  <si>
    <t>caleb_jones@fws.gov</t>
  </si>
  <si>
    <t xml:space="preserve">(252) 394-0234 </t>
  </si>
  <si>
    <t>bertram_plante@fws.gov</t>
  </si>
  <si>
    <t>CEDAR MOUNTAIN</t>
  </si>
  <si>
    <t>3254E790</t>
  </si>
  <si>
    <t>40:18:02.5992 (40.300722) North</t>
  </si>
  <si>
    <t>112:46:36.4008 (-112.776778) West</t>
  </si>
  <si>
    <t xml:space="preserve">(801) 977-4325 </t>
  </si>
  <si>
    <t>CEDAR PASS</t>
  </si>
  <si>
    <t>3255C386</t>
  </si>
  <si>
    <t>39:45:20.8008 (39.755778) North</t>
  </si>
  <si>
    <t>114:09:00.3996 (-114.150111) West</t>
  </si>
  <si>
    <t>CEDAR RIDGE</t>
  </si>
  <si>
    <t>32BC1638</t>
  </si>
  <si>
    <t>32:35:55.3992 (32.598722) North</t>
  </si>
  <si>
    <t>110:45:44.3016 (-110.762306) West</t>
  </si>
  <si>
    <t xml:space="preserve">(520) 977-4240 </t>
  </si>
  <si>
    <t>CEDAR RIVER TNC SWAMP</t>
  </si>
  <si>
    <t>Iowa</t>
  </si>
  <si>
    <t>Muscatine</t>
  </si>
  <si>
    <t>32B234BC</t>
  </si>
  <si>
    <t>41:24:52.9992 (41.414722) North</t>
  </si>
  <si>
    <t>91:15:04.1004 (-91.251139) West</t>
  </si>
  <si>
    <t>Dale Maxson</t>
  </si>
  <si>
    <t>dmaxson@tnc.org</t>
  </si>
  <si>
    <t xml:space="preserve">(319) 726-3041 </t>
  </si>
  <si>
    <t>Elizabeth Owens</t>
  </si>
  <si>
    <t>elizabeth.owens@tnc.org</t>
  </si>
  <si>
    <t>CEDARVILLE</t>
  </si>
  <si>
    <t>Prince George's</t>
  </si>
  <si>
    <t>B8002418</t>
  </si>
  <si>
    <t>38:39:08.5896 (38.652386) North</t>
  </si>
  <si>
    <t>76:48:57.9204 (-76.816089) West</t>
  </si>
  <si>
    <t>MARYLAND</t>
  </si>
  <si>
    <t>MDFDRN - Maryland</t>
  </si>
  <si>
    <t>Shannon Wolfe</t>
  </si>
  <si>
    <t>shannon.wolfe@maryland.gov</t>
  </si>
  <si>
    <t xml:space="preserve">(301) 331-6432 </t>
  </si>
  <si>
    <t>Tim Cole</t>
  </si>
  <si>
    <t>Timothy.cole@maryland.gov</t>
  </si>
  <si>
    <t xml:space="preserve">(410) 533-8747 </t>
  </si>
  <si>
    <t>Paul Wolfe</t>
  </si>
  <si>
    <t>CENTRAL</t>
  </si>
  <si>
    <t>327FA6DC</t>
  </si>
  <si>
    <t>29:06:22.8996 (29.106361) North</t>
  </si>
  <si>
    <t>81:37:45.9984 (-81.629444) West</t>
  </si>
  <si>
    <t>Maggie Bordas (Cell)</t>
  </si>
  <si>
    <t>maggie.bordas@usda.gov</t>
  </si>
  <si>
    <t xml:space="preserve">(352) 844-5319 </t>
  </si>
  <si>
    <t>CENTRAL ZONE PORTABLE</t>
  </si>
  <si>
    <t>Amherst</t>
  </si>
  <si>
    <t>324DA558</t>
  </si>
  <si>
    <t>37:45:39.1212 (37.760867) North</t>
  </si>
  <si>
    <t>79:12:16.6212 (-79.204617) West</t>
  </si>
  <si>
    <t>G.WASH &amp; JEFFERSON</t>
  </si>
  <si>
    <t>Aaron Bennington</t>
  </si>
  <si>
    <t>aaron.bennington@usda.gov</t>
  </si>
  <si>
    <t xml:space="preserve">(540) 988-2700 </t>
  </si>
  <si>
    <t>Brent Foltz</t>
  </si>
  <si>
    <t>Brent.Foltz@usda.gov</t>
  </si>
  <si>
    <t xml:space="preserve">(540) 685-3500 </t>
  </si>
  <si>
    <t>CFA RAWS</t>
  </si>
  <si>
    <t>CA48B0AE</t>
  </si>
  <si>
    <t>38:22:48 (38.38) North</t>
  </si>
  <si>
    <t>120:55:49.0008 (-120.930278) West</t>
  </si>
  <si>
    <t>CHALKYITSIK</t>
  </si>
  <si>
    <t>66:35:42.2988 (66.595083) North</t>
  </si>
  <si>
    <t>144:20:49.6788 (-144.347133) West</t>
  </si>
  <si>
    <t>CHALLIS</t>
  </si>
  <si>
    <t>323151EC</t>
  </si>
  <si>
    <t>44:30:16.1208 (44.504478) North</t>
  </si>
  <si>
    <t>114:13:20.9496 (-114.222486) West</t>
  </si>
  <si>
    <t>CHANDLER</t>
  </si>
  <si>
    <t>32B72ED8</t>
  </si>
  <si>
    <t>44:48:47.16 (44.8131) North</t>
  </si>
  <si>
    <t>123:38:54.6 (-123.6485) West</t>
  </si>
  <si>
    <t>Jeff Classen</t>
  </si>
  <si>
    <t>jeff.l.classen@odf.oregon.gov</t>
  </si>
  <si>
    <t xml:space="preserve">(503) 934-8151 </t>
  </si>
  <si>
    <t xml:space="preserve">Teresa Zena Alcock </t>
  </si>
  <si>
    <t>teresa.alcock@odf.oregon.gov</t>
  </si>
  <si>
    <t xml:space="preserve">(503) 428-0251 </t>
  </si>
  <si>
    <t>CHAPIN</t>
  </si>
  <si>
    <t>Montezuma</t>
  </si>
  <si>
    <t>FA62F546</t>
  </si>
  <si>
    <t>37:11:57.9984 (37.199444) North</t>
  </si>
  <si>
    <t>108:29:21.0012 (-108.489167) West</t>
  </si>
  <si>
    <t>MESA VERDE NP</t>
  </si>
  <si>
    <t>Brad Bryant</t>
  </si>
  <si>
    <t>bradley_bryant@nps.gov</t>
  </si>
  <si>
    <t xml:space="preserve">(970) 529-5039 </t>
  </si>
  <si>
    <t>Nathan Williamson</t>
  </si>
  <si>
    <t>CHARLOTTE RIDGE</t>
  </si>
  <si>
    <t>43:40:12.2016 (43.670056) North</t>
  </si>
  <si>
    <t>123:56:31.8012 (-123.942167) West</t>
  </si>
  <si>
    <t>Corey Bryant</t>
  </si>
  <si>
    <t>Corey.L.Bryant@odf.oregon.gov</t>
  </si>
  <si>
    <t xml:space="preserve">(541) 252-0807 </t>
  </si>
  <si>
    <t>Kyle Gibbons</t>
  </si>
  <si>
    <t>kyle.r.gibbons@odf.oregon.gov</t>
  </si>
  <si>
    <t xml:space="preserve">(541) 297-7485 </t>
  </si>
  <si>
    <t>CHATANIKA</t>
  </si>
  <si>
    <t>3247221E</t>
  </si>
  <si>
    <t>65:01:09.5988 (65.019333) North</t>
  </si>
  <si>
    <t>148:34:59.9916 (-148.583331) West</t>
  </si>
  <si>
    <t>ratlkinson@blm.gov</t>
  </si>
  <si>
    <t>KT Pyne</t>
  </si>
  <si>
    <t>kathryn.pyne@alaska.gov</t>
  </si>
  <si>
    <t>CHATSWORTH</t>
  </si>
  <si>
    <t>Murray</t>
  </si>
  <si>
    <t>310007FC</t>
  </si>
  <si>
    <t>34:45:59.0004 (34.766389) North</t>
  </si>
  <si>
    <t>84:45:32.0004 (-84.758889) West</t>
  </si>
  <si>
    <t>CHATTOOGA</t>
  </si>
  <si>
    <t>Habersham</t>
  </si>
  <si>
    <t>34:38:25.0008 (34.640278) North</t>
  </si>
  <si>
    <t>83:31:18.9984 (-83.521944) West</t>
  </si>
  <si>
    <t>Amy McClave</t>
  </si>
  <si>
    <t>amy.mcclave@usda.gov</t>
  </si>
  <si>
    <t>(706) 754-6221 02</t>
  </si>
  <si>
    <t>Stephen Roberts</t>
  </si>
  <si>
    <t>Stephen.Roberts@usda.gov</t>
  </si>
  <si>
    <t>(706) 754-6221 36</t>
  </si>
  <si>
    <t>amy.mcclave@usda.gov, michael.davis1@usda.gov</t>
  </si>
  <si>
    <t>Bret Sparks</t>
  </si>
  <si>
    <t>CHEESEBORO</t>
  </si>
  <si>
    <t>FA50454C</t>
  </si>
  <si>
    <t>34:11:11.67 (34.186575) North</t>
  </si>
  <si>
    <t>118:43:10.4196 (-118.719561) West</t>
  </si>
  <si>
    <t>SANTA MONICA MTS NRA</t>
  </si>
  <si>
    <t>Erik Rodriguez</t>
  </si>
  <si>
    <t>erik_rodriguez@nps.gov</t>
  </si>
  <si>
    <t xml:space="preserve">(805) 279-0507 </t>
  </si>
  <si>
    <t>CHEESMAN</t>
  </si>
  <si>
    <t>3241AA16</t>
  </si>
  <si>
    <t>39:10:53.0004 (39.181389) North</t>
  </si>
  <si>
    <t>105:16:01.9992 (-105.267222) West</t>
  </si>
  <si>
    <t>ahester@blm.gov, jarred.gordon@usda.gov</t>
  </si>
  <si>
    <t>CHEHALIS</t>
  </si>
  <si>
    <t>Lewis</t>
  </si>
  <si>
    <t>46:36:36 (46.61) North</t>
  </si>
  <si>
    <t>122:54:29.9988 (-122.908333) West</t>
  </si>
  <si>
    <t>CHEKIKA</t>
  </si>
  <si>
    <t>FA6255BE</t>
  </si>
  <si>
    <t>25:37:30 (25.625) North</t>
  </si>
  <si>
    <t>80:34:46.9992 (-80.579722) West</t>
  </si>
  <si>
    <t>Patrick Edwards</t>
  </si>
  <si>
    <t xml:space="preserve">(305) 242-7870 </t>
  </si>
  <si>
    <t>CHEMULT PORTABLE RAWS</t>
  </si>
  <si>
    <t>325593FA</t>
  </si>
  <si>
    <t>42:37:36.7212 (42.626867) North</t>
  </si>
  <si>
    <t>121:44:01.9788 (-121.733883) West</t>
  </si>
  <si>
    <t>Michael Graham</t>
  </si>
  <si>
    <t>michael.graham@usda.gov</t>
  </si>
  <si>
    <t xml:space="preserve">(541) 992-0461 </t>
  </si>
  <si>
    <t>CHENEY</t>
  </si>
  <si>
    <t>837460FE</t>
  </si>
  <si>
    <t>47:25:03 (47.4175) North</t>
  </si>
  <si>
    <t>117:31:41.9988 (-117.528333) West</t>
  </si>
  <si>
    <t>TURNBULL NWR</t>
  </si>
  <si>
    <t>Tom Merritt</t>
  </si>
  <si>
    <t>thomas_merritt@fws.gov</t>
  </si>
  <si>
    <t xml:space="preserve">(509) 844-4711 </t>
  </si>
  <si>
    <t>christian_buettner@fws.gov, ken_meinhart@fws.gov, thomas_merritt@fws.gov</t>
  </si>
  <si>
    <t>Christian Buettner</t>
  </si>
  <si>
    <t>CHEOAH</t>
  </si>
  <si>
    <t>3334F776</t>
  </si>
  <si>
    <t>35:20:12.0012 (35.336667) North</t>
  </si>
  <si>
    <t>83:49:30 (-83.825) West</t>
  </si>
  <si>
    <t>Fred Mascher</t>
  </si>
  <si>
    <t>CHEPETA</t>
  </si>
  <si>
    <t>326D72DE</t>
  </si>
  <si>
    <t>40:48:37.0008 (40.810278) North</t>
  </si>
  <si>
    <t>110:04:23.9988 (-110.073333) West</t>
  </si>
  <si>
    <t>CHEROKEE</t>
  </si>
  <si>
    <t>FA418536</t>
  </si>
  <si>
    <t>35:37:11.2008 (35.619778) North</t>
  </si>
  <si>
    <t>83:12:25.5996 (-83.207111) West</t>
  </si>
  <si>
    <t>CHERRY</t>
  </si>
  <si>
    <t>Yavapai</t>
  </si>
  <si>
    <t>3233B7EA</t>
  </si>
  <si>
    <t>34:35:47.7996 (34.596611) North</t>
  </si>
  <si>
    <t>112:02:51.3996 (-112.047611) West</t>
  </si>
  <si>
    <t>PRESCOTT NF</t>
  </si>
  <si>
    <t>Barry Wallace</t>
  </si>
  <si>
    <t>barry_wallace@nps.gov</t>
  </si>
  <si>
    <t xml:space="preserve">(928) 777-5702 </t>
  </si>
  <si>
    <t>CHERRY VALLEY</t>
  </si>
  <si>
    <t>Pershing</t>
  </si>
  <si>
    <t>325C13B2</t>
  </si>
  <si>
    <t>39:35:03.9012 (39.584417) North</t>
  </si>
  <si>
    <t>117:56:38.1012 (-117.943917) West</t>
  </si>
  <si>
    <t>CARSON CITY</t>
  </si>
  <si>
    <t>Ryan Elliott</t>
  </si>
  <si>
    <t>r1elliot@blm.gov</t>
  </si>
  <si>
    <t xml:space="preserve">(775) 885-6167 </t>
  </si>
  <si>
    <t>CHESTER</t>
  </si>
  <si>
    <t>40:17:33.3888 (40.292608) North</t>
  </si>
  <si>
    <t>121:14:38.1804 (-121.243939) West</t>
  </si>
  <si>
    <t>Jessup Coakley</t>
  </si>
  <si>
    <t>jessup.coakley@usda.gov</t>
  </si>
  <si>
    <t xml:space="preserve">(530) 720-1210 </t>
  </si>
  <si>
    <t>John Outland</t>
  </si>
  <si>
    <t>john.outland@usda.gov</t>
  </si>
  <si>
    <t xml:space="preserve">(530) 258-5172 </t>
  </si>
  <si>
    <t>ahester@blm.gov, donald.r.lee@usda.gov, michael.deblois@usda.gov, shuckstep@blm.gov</t>
  </si>
  <si>
    <t>CHESTNUT SPRINGS</t>
  </si>
  <si>
    <t>Mifflin</t>
  </si>
  <si>
    <t>32B15886</t>
  </si>
  <si>
    <t>40:41:28.9032 (40.691362) North</t>
  </si>
  <si>
    <t>77:42:09.4212 (-77.702617) West</t>
  </si>
  <si>
    <t>CHEYENNE</t>
  </si>
  <si>
    <t>Roger Mills</t>
  </si>
  <si>
    <t>328E15BC</t>
  </si>
  <si>
    <t>35:42:29.0016 (35.708056) North</t>
  </si>
  <si>
    <t>99:54:16.9992 (-99.904722) West</t>
  </si>
  <si>
    <t xml:space="preserve">(505) 346-3872 </t>
  </si>
  <si>
    <t>CHICKASAW SF</t>
  </si>
  <si>
    <t>Hardeman</t>
  </si>
  <si>
    <t>0260B2F8</t>
  </si>
  <si>
    <t>35:22:16.7412 (35.371317) North</t>
  </si>
  <si>
    <t>88:49:44.1588 (-88.828933) West</t>
  </si>
  <si>
    <t>Ryan.j.morris@tn.gov</t>
  </si>
  <si>
    <t>CHICKEN</t>
  </si>
  <si>
    <t>324C71CA</t>
  </si>
  <si>
    <t>64:03:48.9996 (64.063611) North</t>
  </si>
  <si>
    <t>141:55:33.9996 (-141.926111) West</t>
  </si>
  <si>
    <t>CHICKEN CREEK</t>
  </si>
  <si>
    <t>62:07:26.47 (62.124019) North</t>
  </si>
  <si>
    <t>141:50:50.5299 (-141.847369) West</t>
  </si>
  <si>
    <t>WRANGLE ST. ALIAS NP</t>
  </si>
  <si>
    <t>Ken Hill</t>
  </si>
  <si>
    <t>kenneth_hill@nps.gov</t>
  </si>
  <si>
    <t xml:space="preserve">(907) 455-0676 </t>
  </si>
  <si>
    <t>CHIGMIT MTNS</t>
  </si>
  <si>
    <t>FA6544FC</t>
  </si>
  <si>
    <t>60:13:28.9992 (60.224722) North</t>
  </si>
  <si>
    <t>153:28:03 (-153.4675) West</t>
  </si>
  <si>
    <t>LAKE CLARK NP</t>
  </si>
  <si>
    <t>Peter Kirchner</t>
  </si>
  <si>
    <t>peter_kirchner@nps.gov</t>
  </si>
  <si>
    <t xml:space="preserve">(907) 644-3686 </t>
  </si>
  <si>
    <t>Amy Miller</t>
  </si>
  <si>
    <t>amy_e_miller@nps.gov</t>
  </si>
  <si>
    <t xml:space="preserve">(907) 664-3683 </t>
  </si>
  <si>
    <t>carlene_miller@nps.gov</t>
  </si>
  <si>
    <t>CHILAO</t>
  </si>
  <si>
    <t>34:19:54.0012 (34.331667) North</t>
  </si>
  <si>
    <t>118:01:49.0008 (-118.030278) West</t>
  </si>
  <si>
    <t>Chris Fry</t>
  </si>
  <si>
    <t>christopher.d.fry@usda.gov</t>
  </si>
  <si>
    <t>Harry Oh</t>
  </si>
  <si>
    <t>harry.oh@fs.fed.us</t>
  </si>
  <si>
    <t xml:space="preserve">(626) 233-2689 </t>
  </si>
  <si>
    <t>CHILKOOT PASS</t>
  </si>
  <si>
    <t>Skagway-Hoonah-Angoon</t>
  </si>
  <si>
    <t>3962661E</t>
  </si>
  <si>
    <t>59:41:43.0008 (59.695278) North</t>
  </si>
  <si>
    <t>135:15:33.0012 (-135.259167) West</t>
  </si>
  <si>
    <t xml:space="preserve">(907) 364-2621 </t>
  </si>
  <si>
    <t>cory_thole@nps.gov</t>
  </si>
  <si>
    <t>CHILLICOTHE</t>
  </si>
  <si>
    <t>Ross</t>
  </si>
  <si>
    <t>39:23:08.9988 (39.385833) North</t>
  </si>
  <si>
    <t>82:59:06 (-82.985) West</t>
  </si>
  <si>
    <t>Livingston</t>
  </si>
  <si>
    <t>573020C2</t>
  </si>
  <si>
    <t>39:54:23.85 (39.906625) North</t>
  </si>
  <si>
    <t>93:42:13.2912 (-93.703692) West</t>
  </si>
  <si>
    <t>CHILOQUIN</t>
  </si>
  <si>
    <t>32404B1E</t>
  </si>
  <si>
    <t>42:34:37.4808 (42.577078) North</t>
  </si>
  <si>
    <t>121:53:37.2696 (-121.893686) West</t>
  </si>
  <si>
    <t>CHILOQUIN PORTABLE</t>
  </si>
  <si>
    <t>42:37:12.4212 (42.620117) North</t>
  </si>
  <si>
    <t>121:43:58.0188 (-121.732783) West</t>
  </si>
  <si>
    <t>CHIMNEY LAKE</t>
  </si>
  <si>
    <t>3961F472</t>
  </si>
  <si>
    <t>67:42:51.12 (67.7142) North</t>
  </si>
  <si>
    <t>150:35:06 (-150.585) West</t>
  </si>
  <si>
    <t>GATES OF ARCTIC NP</t>
  </si>
  <si>
    <t>CHINO HILLS</t>
  </si>
  <si>
    <t>32B68CDA</t>
  </si>
  <si>
    <t>33:54:49.7484 (33.913819) North</t>
  </si>
  <si>
    <t>117:44:17.6712 (-117.738242) West</t>
  </si>
  <si>
    <t xml:space="preserve">(714) 504-2620 </t>
  </si>
  <si>
    <t>CHIPPEWA PORT #1</t>
  </si>
  <si>
    <t>3288450E</t>
  </si>
  <si>
    <t>47:24:03.3984 (47.400944) North</t>
  </si>
  <si>
    <t>94:21:35.7984 (-94.359944) West</t>
  </si>
  <si>
    <t>Joe Kaufmann</t>
  </si>
  <si>
    <t>joseph.kaufmann@usda.gov</t>
  </si>
  <si>
    <t>Mike Mackey</t>
  </si>
  <si>
    <t>michael.mackey@usda.gov</t>
  </si>
  <si>
    <t xml:space="preserve">(218) 239-0566 </t>
  </si>
  <si>
    <t>joseph.kaufmann@usda.gov, michael.mackey@usda.gov, mnmncc_intel@firenet.gov, ryan.l.halvorson@usda.gov</t>
  </si>
  <si>
    <t>CHIPPEWA PORT #3</t>
  </si>
  <si>
    <t>47:10:43.32 (47.1787) North</t>
  </si>
  <si>
    <t>93:57:19.3212 (-93.955367) West</t>
  </si>
  <si>
    <t>CHIPPEWA PORT #5</t>
  </si>
  <si>
    <t>333262DA</t>
  </si>
  <si>
    <t>47:11:59.82 (47.19995) North</t>
  </si>
  <si>
    <t>94:32:39.3612 (-94.544267) West</t>
  </si>
  <si>
    <t xml:space="preserve">(218) 835-3134 </t>
  </si>
  <si>
    <t>michael.mackey@usda.gov, mnmncc_intel@firenet.gov, ryan.l.halvorson@usda.gov</t>
  </si>
  <si>
    <t>CHISANA</t>
  </si>
  <si>
    <t>Valdez-Cordova</t>
  </si>
  <si>
    <t>3246C316</t>
  </si>
  <si>
    <t>62:04:41.0196 (62.078061) North</t>
  </si>
  <si>
    <t>142:03:15.0084 (-142.054169) West</t>
  </si>
  <si>
    <t>CHISOS BASIN</t>
  </si>
  <si>
    <t>FA635744</t>
  </si>
  <si>
    <t>29:16:14.9988 (29.270833) North</t>
  </si>
  <si>
    <t>103:18:05.0004 (-103.301389) West</t>
  </si>
  <si>
    <t>CHISTOCHINA</t>
  </si>
  <si>
    <t>339133FE</t>
  </si>
  <si>
    <t>62:33:55.0008 (62.565278) North</t>
  </si>
  <si>
    <t>144:39:52.9992 (-144.664722) West</t>
  </si>
  <si>
    <t>Rob Redington</t>
  </si>
  <si>
    <t>robert_redington@fws.gov</t>
  </si>
  <si>
    <t>CHITINA</t>
  </si>
  <si>
    <t>3390B710</t>
  </si>
  <si>
    <t>61:31:16.3812 (61.521217) North</t>
  </si>
  <si>
    <t>144:11:52.08 (-144.1978) West</t>
  </si>
  <si>
    <t>CHITITU</t>
  </si>
  <si>
    <t>61:16:24.9204 (61.273589) North</t>
  </si>
  <si>
    <t>142:37:15.24 (-142.6209) West</t>
  </si>
  <si>
    <t>PAM SOUSANES</t>
  </si>
  <si>
    <t>CHUCHUPATE</t>
  </si>
  <si>
    <t>3235614C</t>
  </si>
  <si>
    <t>34:48:22.9284 (34.806369) North</t>
  </si>
  <si>
    <t>119:00:49.05 (-119.013625) West</t>
  </si>
  <si>
    <t>CHUCK SWAN SF</t>
  </si>
  <si>
    <t>0260279A</t>
  </si>
  <si>
    <t>36:22:17.0004 (36.371389) North</t>
  </si>
  <si>
    <t>83:53:34.0008 (-83.892778) West</t>
  </si>
  <si>
    <t>NATHAN WATERS</t>
  </si>
  <si>
    <t>nathan.waters@tn.gov</t>
  </si>
  <si>
    <t xml:space="preserve">(865) 594-6432 </t>
  </si>
  <si>
    <t>CHUGACH - PORTABLE #1</t>
  </si>
  <si>
    <t>323960D0</t>
  </si>
  <si>
    <t>60:52:13.0008 (60.870278) North</t>
  </si>
  <si>
    <t>149:35:24 (-149.59) West</t>
  </si>
  <si>
    <t>Zachery Freiwald</t>
  </si>
  <si>
    <t>zachery.freiwald@usda.gov</t>
  </si>
  <si>
    <t xml:space="preserve">(907) 223-2622 </t>
  </si>
  <si>
    <t>Abe  Davis</t>
  </si>
  <si>
    <t>CHUGACH - PORTABLE #2</t>
  </si>
  <si>
    <t>325F14BC</t>
  </si>
  <si>
    <t>60:24:24.5988 (60.406833) North</t>
  </si>
  <si>
    <t>149:22:15.6 (-149.371) West</t>
  </si>
  <si>
    <t>CHUGACH - PORTABLE #3</t>
  </si>
  <si>
    <t>32B57B50</t>
  </si>
  <si>
    <t>60:24:24.6996 (60.406861) North</t>
  </si>
  <si>
    <t>147:22:15.2004 (-147.370889) West</t>
  </si>
  <si>
    <t>CHUPADERA</t>
  </si>
  <si>
    <t>325B376A</t>
  </si>
  <si>
    <t>33:46:22.5984 (33.772944) North</t>
  </si>
  <si>
    <t>106:05:54.8988 (-106.098583) West</t>
  </si>
  <si>
    <t>SOCORRO</t>
  </si>
  <si>
    <t>Lino Baca</t>
  </si>
  <si>
    <t>lbaca@blm.gov</t>
  </si>
  <si>
    <t xml:space="preserve">(575) 838-3024 </t>
  </si>
  <si>
    <t>Todd Richards</t>
  </si>
  <si>
    <t>t3richar@blm.gov</t>
  </si>
  <si>
    <t xml:space="preserve">(505) 761-8769 </t>
  </si>
  <si>
    <t>CIBOLA</t>
  </si>
  <si>
    <t>8378C19A</t>
  </si>
  <si>
    <t>33:18:14.0004 (33.303889) North</t>
  </si>
  <si>
    <t>114:41:35.9988 (-114.693333) West</t>
  </si>
  <si>
    <t>BUENOS AIRES NWR</t>
  </si>
  <si>
    <t>Chayne Best</t>
  </si>
  <si>
    <t>chayne_best@fws.gov</t>
  </si>
  <si>
    <t xml:space="preserve">(928) 210-8189 </t>
  </si>
  <si>
    <t>Benjamin Stewart</t>
  </si>
  <si>
    <t>benjamin_stewart@fws.gov</t>
  </si>
  <si>
    <t xml:space="preserve">(928) 580-8709 </t>
  </si>
  <si>
    <t>ahester@blm.gov, chayne_best@fws.gov</t>
  </si>
  <si>
    <t>CIBOLA PORTABLE #1</t>
  </si>
  <si>
    <t>Torrance</t>
  </si>
  <si>
    <t>3331C52C</t>
  </si>
  <si>
    <t>34:11:29.22 (34.19145) North</t>
  </si>
  <si>
    <t>105:43:34.0788 (-105.726133) West</t>
  </si>
  <si>
    <t>CIBOLA PORTABLE #2</t>
  </si>
  <si>
    <t>32BC7D0C</t>
  </si>
  <si>
    <t>CIMARRON</t>
  </si>
  <si>
    <t>Kansas</t>
  </si>
  <si>
    <t>Morton</t>
  </si>
  <si>
    <t>37:08:26.9988 (37.140833) North</t>
  </si>
  <si>
    <t>101:54:05.0004 (-101.901389) West</t>
  </si>
  <si>
    <t>Tom Eikenberry</t>
  </si>
  <si>
    <t>thomas.eikenberry@usda.gov</t>
  </si>
  <si>
    <t xml:space="preserve">(719) 523-1703 </t>
  </si>
  <si>
    <t>Colfax</t>
  </si>
  <si>
    <t>3333A53E</t>
  </si>
  <si>
    <t>36:36:21.9996 (36.606111) North</t>
  </si>
  <si>
    <t>105:07:13.0008 (-105.120278) West</t>
  </si>
  <si>
    <t>Luis Castillo</t>
  </si>
  <si>
    <t>luis.castillo@usda.gov</t>
  </si>
  <si>
    <t xml:space="preserve">(575) 758-6208 </t>
  </si>
  <si>
    <t>CINNAMON</t>
  </si>
  <si>
    <t>3237F1DA</t>
  </si>
  <si>
    <t>43:19:14.9988 (43.320833) North</t>
  </si>
  <si>
    <t>122:06:24.0012 (-122.106667) West</t>
  </si>
  <si>
    <t>ahester@blm.gov, stacy.ainslie@usda.go</t>
  </si>
  <si>
    <t>CIPRIANO</t>
  </si>
  <si>
    <t>3276F0FC</t>
  </si>
  <si>
    <t>32:25:24.6 (32.4235) North</t>
  </si>
  <si>
    <t>114:09:43.5996 (-114.162111) West</t>
  </si>
  <si>
    <t>CIRCLE CLIFFS</t>
  </si>
  <si>
    <t>32B6AA36</t>
  </si>
  <si>
    <t>37:54:33.57 (37.909325) North</t>
  </si>
  <si>
    <t>111:07:02.6976 (-111.117416) West</t>
  </si>
  <si>
    <t>CITY OF ROCKS</t>
  </si>
  <si>
    <t>Cassia</t>
  </si>
  <si>
    <t>AA10644C</t>
  </si>
  <si>
    <t>42:05:27.6288 (42.091008) North</t>
  </si>
  <si>
    <t>113:37:52.4316 (-113.631231) West</t>
  </si>
  <si>
    <t>Austin  Zollinger</t>
  </si>
  <si>
    <t>austin_zollinger@partner.nps.gov</t>
  </si>
  <si>
    <t xml:space="preserve">(208) 824-5914 </t>
  </si>
  <si>
    <t>Michael Powell</t>
  </si>
  <si>
    <t>mike_r_powell@nps.gov</t>
  </si>
  <si>
    <t xml:space="preserve">(503) 808-2733 </t>
  </si>
  <si>
    <t>austin_zollinger@partner.nps.gov, tara_mcclure-cannon@partner.nps.gov</t>
  </si>
  <si>
    <t>CLAM LAKE</t>
  </si>
  <si>
    <t>Ashland</t>
  </si>
  <si>
    <t>333232A6</t>
  </si>
  <si>
    <t>46:11:51 (46.1975) North</t>
  </si>
  <si>
    <t>90:58:12 (-90.97) West</t>
  </si>
  <si>
    <t>CHEQUAMEGON-NICOLET</t>
  </si>
  <si>
    <t>Steve Radaj</t>
  </si>
  <si>
    <t>steve.radaj@usda.gov</t>
  </si>
  <si>
    <t xml:space="preserve">(715) 362-1337 </t>
  </si>
  <si>
    <t>Joan Lawrence</t>
  </si>
  <si>
    <t>joan.lawrence@usda.gov</t>
  </si>
  <si>
    <t xml:space="preserve">(715) 661-3043 </t>
  </si>
  <si>
    <t>CLAREMONT</t>
  </si>
  <si>
    <t>CA420272</t>
  </si>
  <si>
    <t>34:08:12.48 (34.1368) North</t>
  </si>
  <si>
    <t>117:42:27.2484 (-117.707569) West</t>
  </si>
  <si>
    <t>CLARK</t>
  </si>
  <si>
    <t>CA44E14E</t>
  </si>
  <si>
    <t>33:52:37.7292 (33.877147) North</t>
  </si>
  <si>
    <t>117:18:14.6592 (-117.304072) West</t>
  </si>
  <si>
    <t>CLARKSVILLE</t>
  </si>
  <si>
    <t>Red River</t>
  </si>
  <si>
    <t>8840E484</t>
  </si>
  <si>
    <t>33:37:36.66 (33.62685) North</t>
  </si>
  <si>
    <t>95:05:25.9404 (-95.090539) West</t>
  </si>
  <si>
    <t>CLEAR CREEK</t>
  </si>
  <si>
    <t>3332F7B8</t>
  </si>
  <si>
    <t>34:16:15.9996 (34.271111) North</t>
  </si>
  <si>
    <t>118:09:09 (-118.1525) West</t>
  </si>
  <si>
    <t>Harry Oh (Cell)</t>
  </si>
  <si>
    <t>harry.oh@usda.gov</t>
  </si>
  <si>
    <t>CLEARVIEW</t>
  </si>
  <si>
    <t>Okfuskee</t>
  </si>
  <si>
    <t>32D7C1CA</t>
  </si>
  <si>
    <t>35:25:31.3284 (35.425369) North</t>
  </si>
  <si>
    <t>96:11:46.4208 (-96.196228) West</t>
  </si>
  <si>
    <t>Eastern Oklahoma</t>
  </si>
  <si>
    <t>Okmulgee Agency</t>
  </si>
  <si>
    <t>Clint Davis</t>
  </si>
  <si>
    <t>jason.davis@bia.gov</t>
  </si>
  <si>
    <t xml:space="preserve">(918) 752-7397 </t>
  </si>
  <si>
    <t>Josh Williams</t>
  </si>
  <si>
    <t>joshuad.williams@bia.gov</t>
  </si>
  <si>
    <t xml:space="preserve">(918) 441-0052 </t>
  </si>
  <si>
    <t>ahester@blm.gov, cheryl.bright@bia.gov, forrest.blackbear@bia.gov, simeon.gipson@bia.gov</t>
  </si>
  <si>
    <t>CLEARWATER</t>
  </si>
  <si>
    <t>47:00:49 (47.013611) North</t>
  </si>
  <si>
    <t>113:19:59 (-113.333056) West</t>
  </si>
  <si>
    <t>A.J. Angelo</t>
  </si>
  <si>
    <t>Amadeo.Angelo@mt.gov</t>
  </si>
  <si>
    <t xml:space="preserve">(406) 244-2384 </t>
  </si>
  <si>
    <t>CLEVELAND PORTABLE</t>
  </si>
  <si>
    <t>327050CA</t>
  </si>
  <si>
    <t>33:18:33.48 (33.3093) North</t>
  </si>
  <si>
    <t>116:50:11.76 (-116.8366) West</t>
  </si>
  <si>
    <t>Matt LaVoire (Cell)</t>
  </si>
  <si>
    <t xml:space="preserve">(619) 992-8693 </t>
  </si>
  <si>
    <t>david.vela@usda.gov, matthew.lavoire@usda.gov, shuckstep@blm.gov</t>
  </si>
  <si>
    <t>CLIFTON FLAT</t>
  </si>
  <si>
    <t>327E724E</t>
  </si>
  <si>
    <t>40:06:44.7984 (40.112444) North</t>
  </si>
  <si>
    <t>113:52:34.8996 (-113.876361) West</t>
  </si>
  <si>
    <t>CLINTON</t>
  </si>
  <si>
    <t>Henry</t>
  </si>
  <si>
    <t>38:20:57.48 (38.3493) North</t>
  </si>
  <si>
    <t>93:46:20.28 (-93.7723) West</t>
  </si>
  <si>
    <t>Ben.Webster@MDC.Mo.GOV</t>
  </si>
  <si>
    <t>CND BLM PORTABLE</t>
  </si>
  <si>
    <t>3290A5C4</t>
  </si>
  <si>
    <t>36:21:33.0984 (36.359194) North</t>
  </si>
  <si>
    <t>120:46:27.0984 (-120.774194) West</t>
  </si>
  <si>
    <t>UKIAH</t>
  </si>
  <si>
    <t>Joseph M. Rodriguez (Cell)</t>
  </si>
  <si>
    <t>jrodriguez@blm.gov</t>
  </si>
  <si>
    <t xml:space="preserve">(707) 367-9102 </t>
  </si>
  <si>
    <t>Joseph M. Rodriguez</t>
  </si>
  <si>
    <t xml:space="preserve">(707) 468-4083 </t>
  </si>
  <si>
    <t>CNF20 PORTABLE</t>
  </si>
  <si>
    <t>327043BC</t>
  </si>
  <si>
    <t>33:52:32.9988 (33.875833) North</t>
  </si>
  <si>
    <t>117:33:18 (-117.555) West</t>
  </si>
  <si>
    <t>Cyrus Galvan</t>
  </si>
  <si>
    <t>cyrus.galvan@usda.gov</t>
  </si>
  <si>
    <t xml:space="preserve">(619) 760-7905 </t>
  </si>
  <si>
    <t>cole.weissgerber@usda.gov, matthew.lavoire@usda.gov, shuckstep@blm.gov</t>
  </si>
  <si>
    <t>CNF30 PORTABLE</t>
  </si>
  <si>
    <t>32B7C3F8</t>
  </si>
  <si>
    <t>33:18:33.4008 (33.309278) North</t>
  </si>
  <si>
    <t>116:50:11.7996 (-116.836611) West</t>
  </si>
  <si>
    <t>Matthew Lavoire</t>
  </si>
  <si>
    <t>Clint Green (Cell)</t>
  </si>
  <si>
    <t>clinton.green@usda.gov</t>
  </si>
  <si>
    <t xml:space="preserve">(619) 373-2068 </t>
  </si>
  <si>
    <t>CNF40 PORTABLE</t>
  </si>
  <si>
    <t>32:51:28.0008 (32.857778) North</t>
  </si>
  <si>
    <t>116:25:41.9988 (-116.428333) West</t>
  </si>
  <si>
    <t>matthew.lavoire@usda.gov, shuckstep@blm.gov</t>
  </si>
  <si>
    <t>COAL CREEK</t>
  </si>
  <si>
    <t>65:18:14.87 (65.304131) North</t>
  </si>
  <si>
    <t>143:09:25.24 (-143.157011) West</t>
  </si>
  <si>
    <t>COAST DAIRIES</t>
  </si>
  <si>
    <t>32B6B940</t>
  </si>
  <si>
    <t>37:01:50.9988 (37.030833) North</t>
  </si>
  <si>
    <t>122:11:16.1016 (-122.187806) West</t>
  </si>
  <si>
    <t>CA STATE OFFICE</t>
  </si>
  <si>
    <t>Ryan O'Dell</t>
  </si>
  <si>
    <t>rodell@blm.gov</t>
  </si>
  <si>
    <t xml:space="preserve">(831) 582-2224 </t>
  </si>
  <si>
    <t>Lee Thompson</t>
  </si>
  <si>
    <t>jlthompson@blm.gov</t>
  </si>
  <si>
    <t xml:space="preserve">(831) 582-2200 </t>
  </si>
  <si>
    <t xml:space="preserve"> jlthompson@blm.gov,  shuckstep@blm.gov, rodell@blm.gov</t>
  </si>
  <si>
    <t>COCHRAN</t>
  </si>
  <si>
    <t>Pulaski</t>
  </si>
  <si>
    <t>32B4948A</t>
  </si>
  <si>
    <t>32:23:54.15 (32.398375) North</t>
  </si>
  <si>
    <t>83:16:46.9092 (-83.279697) West</t>
  </si>
  <si>
    <t>COCKBURN TOWN</t>
  </si>
  <si>
    <t>8330756E</t>
  </si>
  <si>
    <t>24:03:47.9988 (24.063333) North</t>
  </si>
  <si>
    <t>74:31:26.0004 (-74.523889) West</t>
  </si>
  <si>
    <t>EPA HAZMAT</t>
  </si>
  <si>
    <t>WGRACE - other cooperator</t>
  </si>
  <si>
    <t>Arnold King</t>
  </si>
  <si>
    <t>arnoldking@bahamas.gov.bs</t>
  </si>
  <si>
    <t xml:space="preserve">(242) 702-5250 </t>
  </si>
  <si>
    <t>Mary Butler</t>
  </si>
  <si>
    <t>marybutler@bahamas.gov.bs</t>
  </si>
  <si>
    <t>Vaisala - 120 (M120)</t>
  </si>
  <si>
    <t>COCONINO MICRO #3</t>
  </si>
  <si>
    <t>333176A2</t>
  </si>
  <si>
    <t>34:46:49.9008 (34.780528) North</t>
  </si>
  <si>
    <t>111:32:42 (-111.545) West</t>
  </si>
  <si>
    <t>COCONINO NF</t>
  </si>
  <si>
    <t>Anthony Johnson</t>
  </si>
  <si>
    <t>anthony.johnson@usda.gov</t>
  </si>
  <si>
    <t xml:space="preserve">(928) 527-3551 </t>
  </si>
  <si>
    <t>COCONINO MICRO #4</t>
  </si>
  <si>
    <t>34:41:18.4812 (34.688467) North</t>
  </si>
  <si>
    <t>111:20:34.0188 (-111.342783) West</t>
  </si>
  <si>
    <t>COCONINO MICRO #5</t>
  </si>
  <si>
    <t>3287A06E</t>
  </si>
  <si>
    <t>35:25:32.8008 (35.425778) North</t>
  </si>
  <si>
    <t>111:44:16.4004 (-111.737889) West</t>
  </si>
  <si>
    <t>COFFEE POT FLAT 2</t>
  </si>
  <si>
    <t>42:33:24.4008 (42.556778) North</t>
  </si>
  <si>
    <t>120:36:07.8984 (-120.602194) West</t>
  </si>
  <si>
    <t>LAKEVIEW</t>
  </si>
  <si>
    <t>COFFIN ROCK</t>
  </si>
  <si>
    <t>Clinton</t>
  </si>
  <si>
    <t>32A08558</t>
  </si>
  <si>
    <t>41:14:16.0008 (41.237778) North</t>
  </si>
  <si>
    <t>77:45:06.0012 (-77.751667) West</t>
  </si>
  <si>
    <t>COHASSET</t>
  </si>
  <si>
    <t>CA214444</t>
  </si>
  <si>
    <t>39:52:18.6096 (39.871836) North</t>
  </si>
  <si>
    <t>121:46:08.3388 (-121.768983) West</t>
  </si>
  <si>
    <t>COHUTTA</t>
  </si>
  <si>
    <t>34:55:24.3012 (34.923417) North</t>
  </si>
  <si>
    <t>84:39:34.5996 (-84.659611) West</t>
  </si>
  <si>
    <t>COILS CREEK</t>
  </si>
  <si>
    <t>Eureka</t>
  </si>
  <si>
    <t>3252723C</t>
  </si>
  <si>
    <t>39:49:59.8008 (39.833278) North</t>
  </si>
  <si>
    <t>116:29:43.5012 (-116.495417) West</t>
  </si>
  <si>
    <t>ahester@blm.gov, bluhlig@blm.gov, d1walker@blm.gov, dmessmer@blm.gov, shuckstep@blm.gov</t>
  </si>
  <si>
    <t>COLBY MOUNTAIN</t>
  </si>
  <si>
    <t>AAB5D654</t>
  </si>
  <si>
    <t>40:08:44.3004 (40.145639) North</t>
  </si>
  <si>
    <t>121:31:21.0108 (-121.522503) West</t>
  </si>
  <si>
    <t>COLD SPRINGS</t>
  </si>
  <si>
    <t>326032B2</t>
  </si>
  <si>
    <t>44:21:17.8992 (44.354972) North</t>
  </si>
  <si>
    <t>120:08:01.2984 (-120.133694) West</t>
  </si>
  <si>
    <t>328E2026</t>
  </si>
  <si>
    <t>41:46:53.1192 (41.781422) North</t>
  </si>
  <si>
    <t>120:19:09.8004 (-120.319389) West</t>
  </si>
  <si>
    <t xml:space="preserve">(530) 233-8821 </t>
  </si>
  <si>
    <t>COLDSPRINGS</t>
  </si>
  <si>
    <t>San Jacinto</t>
  </si>
  <si>
    <t>3288B58A</t>
  </si>
  <si>
    <t>30:31:05.4012 (30.518167) North</t>
  </si>
  <si>
    <t>95:08:41.1 (-95.14475) West</t>
  </si>
  <si>
    <t>Steve Chavers</t>
  </si>
  <si>
    <t>steven.chavers@usda.gov</t>
  </si>
  <si>
    <t xml:space="preserve">(936) 689-5255 </t>
  </si>
  <si>
    <t>Darin Keyse</t>
  </si>
  <si>
    <t>darin.keyse@usda.gov</t>
  </si>
  <si>
    <t xml:space="preserve">(936) 219-8051 </t>
  </si>
  <si>
    <t>COLEMAN</t>
  </si>
  <si>
    <t>Coleman</t>
  </si>
  <si>
    <t>8840F7F2</t>
  </si>
  <si>
    <t>31:30:52.2 (31.5145) North</t>
  </si>
  <si>
    <t>99:39:02.7 (-99.65075) West</t>
  </si>
  <si>
    <t>COLGATE</t>
  </si>
  <si>
    <t>Deschutes</t>
  </si>
  <si>
    <t>44:19:00.9012 (44.316917) North</t>
  </si>
  <si>
    <t>121:36:24.9984 (-121.606944) West</t>
  </si>
  <si>
    <t>Kiel Wood</t>
  </si>
  <si>
    <t>kiel.wood@usda.gov</t>
  </si>
  <si>
    <t xml:space="preserve">(541) 549-7643 </t>
  </si>
  <si>
    <t>Lucas Garcia</t>
  </si>
  <si>
    <t>lucas.garcia@usda.gov</t>
  </si>
  <si>
    <t xml:space="preserve">(541) 480-7243 </t>
  </si>
  <si>
    <t>ahester@blm.gov, kiel.wood@usda.gov, lucas.garcia@usda.gov, orcoc@firenet.gov</t>
  </si>
  <si>
    <t>COLLINS BALDY</t>
  </si>
  <si>
    <t>323881D8</t>
  </si>
  <si>
    <t>41:46:29.8704 (41.774964) North</t>
  </si>
  <si>
    <t>122:57:06.5484 (-122.951819) West</t>
  </si>
  <si>
    <t>Frank Henderson</t>
  </si>
  <si>
    <t>frank.henderson@usda.gov</t>
  </si>
  <si>
    <t xml:space="preserve">(530) 925-0085 </t>
  </si>
  <si>
    <t>COLOR COUNTRY QD #1</t>
  </si>
  <si>
    <t>329374A2</t>
  </si>
  <si>
    <t>37:41:57.0984 (37.699194) North</t>
  </si>
  <si>
    <t>112:21:34.2 (-112.3595) West</t>
  </si>
  <si>
    <t>RICHFIELD</t>
  </si>
  <si>
    <t>Shawn Peterson</t>
  </si>
  <si>
    <t>speterso@blm.gov</t>
  </si>
  <si>
    <t xml:space="preserve">(435) 590-5391 </t>
  </si>
  <si>
    <t>Dameon Julander (Cell)</t>
  </si>
  <si>
    <t xml:space="preserve">(435) 590-4823 </t>
  </si>
  <si>
    <t>COLORADO BEND</t>
  </si>
  <si>
    <t>San Saba</t>
  </si>
  <si>
    <t>31:02:57.9984 (31.049444) North</t>
  </si>
  <si>
    <t>98:31:30 (-98.525) West</t>
  </si>
  <si>
    <t>COLORADO CITY</t>
  </si>
  <si>
    <t>6200012A</t>
  </si>
  <si>
    <t>37:56:52.0008 (37.947778) North</t>
  </si>
  <si>
    <t>104:52:09.0012 (-104.869167) West</t>
  </si>
  <si>
    <t>COLUMBIA BASIN FIRE RAWS</t>
  </si>
  <si>
    <t>32BCD326</t>
  </si>
  <si>
    <t>47:11:05.1 (47.18475) North</t>
  </si>
  <si>
    <t>119:19:06.2004 (-119.318389) West</t>
  </si>
  <si>
    <t>Jeff Pechacek</t>
  </si>
  <si>
    <t>jeffrey.pechacek@usda.gov</t>
  </si>
  <si>
    <t xml:space="preserve">(509) 771-7531 </t>
  </si>
  <si>
    <t>COLUMBIA CO FAIRGROUNDS</t>
  </si>
  <si>
    <t>Columbia</t>
  </si>
  <si>
    <t>32BA90E2</t>
  </si>
  <si>
    <t>45:50:57.6996 (45.849361) North</t>
  </si>
  <si>
    <t>122:51:56.4984 (-122.865694) West</t>
  </si>
  <si>
    <t>Kelly Niles</t>
  </si>
  <si>
    <t>kelly.r.niles@odf.oregon.gov</t>
  </si>
  <si>
    <t xml:space="preserve">(503) 397-2636 </t>
  </si>
  <si>
    <t>jasen.r.mccoy@odf.oregon.gov</t>
  </si>
  <si>
    <t>COLUMBIA COLLEGE</t>
  </si>
  <si>
    <t>32B7B568</t>
  </si>
  <si>
    <t>38:01:41.52 (38.0282) North</t>
  </si>
  <si>
    <t>120:23:31.92 (-120.3922) West</t>
  </si>
  <si>
    <t>COLUMB - Columbia College</t>
  </si>
  <si>
    <t>Thomas Hofstra</t>
  </si>
  <si>
    <t>thomashofstra1@gmail.com</t>
  </si>
  <si>
    <t xml:space="preserve">(209) 588-2861 </t>
  </si>
  <si>
    <t>COLUMBINE</t>
  </si>
  <si>
    <t>326B91E2</t>
  </si>
  <si>
    <t>32:42:14.0004 (32.703889) North</t>
  </si>
  <si>
    <t>109:54:50.0004 (-109.913889) West</t>
  </si>
  <si>
    <t>COMANCHE</t>
  </si>
  <si>
    <t>Comanche</t>
  </si>
  <si>
    <t>31:55:27.0012 (31.924167) North</t>
  </si>
  <si>
    <t>98:35:49.9992 (-98.597222) West</t>
  </si>
  <si>
    <t>COMBAHEE</t>
  </si>
  <si>
    <t>Lexington</t>
  </si>
  <si>
    <t>AAB1E826</t>
  </si>
  <si>
    <t>32:40:51.9996 (32.681111) North</t>
  </si>
  <si>
    <t>80:42:24.9984 (-80.706944) West</t>
  </si>
  <si>
    <t>galen_livingston@fws.gov</t>
  </si>
  <si>
    <t>COMBS CANYON</t>
  </si>
  <si>
    <t>325C50B8</t>
  </si>
  <si>
    <t>39:23:12.6996 (39.386861) North</t>
  </si>
  <si>
    <t>116:10:58.8 (-116.183) West</t>
  </si>
  <si>
    <t>COMPTON</t>
  </si>
  <si>
    <t>FA6507F6</t>
  </si>
  <si>
    <t>36:04:02.5788 (36.067383) North</t>
  </si>
  <si>
    <t>93:21:21.9312 (-93.356092) West</t>
  </si>
  <si>
    <t>BUFFALO NR</t>
  </si>
  <si>
    <t>Tim Fondriest</t>
  </si>
  <si>
    <t>Timothy_Fondriest@nps.gov</t>
  </si>
  <si>
    <t xml:space="preserve">(870) 439-2005 </t>
  </si>
  <si>
    <t>paul_mancuso@nps.gov, timothy_fondriest@nps.gov</t>
  </si>
  <si>
    <t>Timothy Fondriest</t>
  </si>
  <si>
    <t>CONASAUGA PORTABLE 1</t>
  </si>
  <si>
    <t>32B340D6</t>
  </si>
  <si>
    <t>34:58:50.4588 (34.980683) North</t>
  </si>
  <si>
    <t>84:40:09.84 (-84.6694) West</t>
  </si>
  <si>
    <t>Jeff Schardt (Cell)</t>
  </si>
  <si>
    <t>CONAWAY LAKE</t>
  </si>
  <si>
    <t>Tyler</t>
  </si>
  <si>
    <t>39:26:44.9988 (39.445833) North</t>
  </si>
  <si>
    <t>80:52:08.0004 (-80.868889) West</t>
  </si>
  <si>
    <t xml:space="preserve">(304) 858-2788 </t>
  </si>
  <si>
    <t>m.Rodger.ozburn@wv.gov</t>
  </si>
  <si>
    <t>CONDON WORK CENTER</t>
  </si>
  <si>
    <t>3247C1EC</t>
  </si>
  <si>
    <t>47:32:09.9996 (47.536111) North</t>
  </si>
  <si>
    <t>113:43:01.9992 (-113.717222) West</t>
  </si>
  <si>
    <t>ahester@blm.gov, brett.pargman@usda.gov, jason.keister@usda.gov</t>
  </si>
  <si>
    <t>CONGAREE</t>
  </si>
  <si>
    <t>Richland</t>
  </si>
  <si>
    <t>FA662614</t>
  </si>
  <si>
    <t>33:48:53 (33.814722) North</t>
  </si>
  <si>
    <t>80:46:52 (-80.781111) West</t>
  </si>
  <si>
    <t>CONGAREE SWAMP NM</t>
  </si>
  <si>
    <t>Theresa Yednock</t>
  </si>
  <si>
    <t>theresa_yednock@nps.gov</t>
  </si>
  <si>
    <t xml:space="preserve">(803) 647-3974 </t>
  </si>
  <si>
    <t>April Deming</t>
  </si>
  <si>
    <t>april_deming@nps.gov</t>
  </si>
  <si>
    <t xml:space="preserve">(865) 712-7985 </t>
  </si>
  <si>
    <t>CONROE</t>
  </si>
  <si>
    <t>Montgomery</t>
  </si>
  <si>
    <t>8842246E</t>
  </si>
  <si>
    <t>30:14:10.32 (30.2362) North</t>
  </si>
  <si>
    <t>95:28:58.98 (-95.48305) West</t>
  </si>
  <si>
    <t>CONVERSE</t>
  </si>
  <si>
    <t>3237D736</t>
  </si>
  <si>
    <t>34:11:39.0012 (34.194167) North</t>
  </si>
  <si>
    <t>116:54:47.0016 (-116.913056) West</t>
  </si>
  <si>
    <t xml:space="preserve"> estuardo.bojorquez@usda.gov, ahester@blm.gov, brian.grant3@usda.gov, shuckstep@blm.gov</t>
  </si>
  <si>
    <t>COOSKIE MOUNTAIN</t>
  </si>
  <si>
    <t>3254541E</t>
  </si>
  <si>
    <t>40:15:24.5988 (40.256833) North</t>
  </si>
  <si>
    <t>124:15:57.7008 (-124.266028) West</t>
  </si>
  <si>
    <t>Wayne Crauthers</t>
  </si>
  <si>
    <t>wcrauthe@blm.gov</t>
  </si>
  <si>
    <t xml:space="preserve">(707) 986-5434 </t>
  </si>
  <si>
    <t>COPIAH</t>
  </si>
  <si>
    <t>Copiah</t>
  </si>
  <si>
    <t>3910363A</t>
  </si>
  <si>
    <t>31:56:58.9992 (31.949722) North</t>
  </si>
  <si>
    <t>90:22:50.0016 (-90.380556) West</t>
  </si>
  <si>
    <t>MISSISSIPPI</t>
  </si>
  <si>
    <t>FORESTRY COMMISSION</t>
  </si>
  <si>
    <t>MSFRCM - Mississippi Forestry Commission</t>
  </si>
  <si>
    <t>Randy Giachelli</t>
  </si>
  <si>
    <t>rgiachelli@mfc.state.ms.us</t>
  </si>
  <si>
    <t xml:space="preserve">(601) 420-6001 </t>
  </si>
  <si>
    <t>Korey  Williams</t>
  </si>
  <si>
    <t>kwilliams@mfc.ms.gov</t>
  </si>
  <si>
    <t xml:space="preserve">(601) 624-7493 </t>
  </si>
  <si>
    <t>hyates@mfc.ms.gov, rgiachelli@mfc.state.ms.us</t>
  </si>
  <si>
    <t>Heather Yates</t>
  </si>
  <si>
    <t>COPPER BASIN</t>
  </si>
  <si>
    <t>3241FA6A</t>
  </si>
  <si>
    <t>43:48:35.4996 (43.809861) North</t>
  </si>
  <si>
    <t>113:50:44.7 (-113.84575) West</t>
  </si>
  <si>
    <t>ahester@blm.gov, jace.james@usda.gov, jessica.l.martin@usda.gov, riley.rhoades@usda.gov, timothy.bradley@usda.gov</t>
  </si>
  <si>
    <t>COPPER GULCH</t>
  </si>
  <si>
    <t>38:20:45.7008 (38.346028) North</t>
  </si>
  <si>
    <t>105:27:18.3996 (-105.455111) West</t>
  </si>
  <si>
    <t xml:space="preserve">(719) 429-6584 </t>
  </si>
  <si>
    <t>CORDOZA RIDGE</t>
  </si>
  <si>
    <t>A4B001F2</t>
  </si>
  <si>
    <t>37:10:06.0312 (37.168342) North</t>
  </si>
  <si>
    <t>121:31:42.4308 (-121.528453) West</t>
  </si>
  <si>
    <t>CORNING</t>
  </si>
  <si>
    <t>CA21074E</t>
  </si>
  <si>
    <t>39:56:20.1984 (39.938944) North</t>
  </si>
  <si>
    <t>122:10:11.0388 (-122.169733) West</t>
  </si>
  <si>
    <t>CORONA 1</t>
  </si>
  <si>
    <t>327F9346</t>
  </si>
  <si>
    <t>33:49:08.3316 (33.818981) North</t>
  </si>
  <si>
    <t>117:34:24.7908 (-117.573553) West</t>
  </si>
  <si>
    <t>ahester@blm.gov, cole.weissberger@usda.gov, matthew.lavoire@usda.gov, shuckstep@blm.gov</t>
  </si>
  <si>
    <t>CORONADO PORTABLE #2</t>
  </si>
  <si>
    <t>3331D65A</t>
  </si>
  <si>
    <t>31:21:33.2892 (31.359247) North</t>
  </si>
  <si>
    <t>110:18:13.9608 (-110.303878) West</t>
  </si>
  <si>
    <t>Mike Wilke (Cell)</t>
  </si>
  <si>
    <t>RICH NADEN</t>
  </si>
  <si>
    <t>CORONADO PORTABLE #3</t>
  </si>
  <si>
    <t>32:30:23.7996 (32.506611) North</t>
  </si>
  <si>
    <t>110:12:22.7016 (-110.206306) West</t>
  </si>
  <si>
    <t>Rich Naden</t>
  </si>
  <si>
    <t>CORONADO-SV PORTABLE #1</t>
  </si>
  <si>
    <t>32B54018</t>
  </si>
  <si>
    <t>31:25:23.7 (31.42325) North</t>
  </si>
  <si>
    <t>110:25:10.2 (-110.4195) West</t>
  </si>
  <si>
    <t>Beau Cartwright</t>
  </si>
  <si>
    <t>beaucartwright@fs.fed.us</t>
  </si>
  <si>
    <t xml:space="preserve">(505) 403-1732 </t>
  </si>
  <si>
    <t>CORRAL CREEK</t>
  </si>
  <si>
    <t>Nez Perce</t>
  </si>
  <si>
    <t>327D10A6</t>
  </si>
  <si>
    <t>46:02:00.3012 (46.033417) North</t>
  </si>
  <si>
    <t>116:53:51.6984 (-116.897694) West</t>
  </si>
  <si>
    <t>Ian Morgan</t>
  </si>
  <si>
    <t xml:space="preserve">(208) 967-3665 </t>
  </si>
  <si>
    <t>Chad Daughtery</t>
  </si>
  <si>
    <t>cadaugherty@blm.gov</t>
  </si>
  <si>
    <t xml:space="preserve">(208) 739-1085 </t>
  </si>
  <si>
    <t>327137D6</t>
  </si>
  <si>
    <t>39:38:24 (39.64) North</t>
  </si>
  <si>
    <t>105:27:52.9992 (-105.464722) West</t>
  </si>
  <si>
    <t>ahester@blm.gov, scott.e.headrick@usda.gov</t>
  </si>
  <si>
    <t>CORRALITOS</t>
  </si>
  <si>
    <t>CA22D628</t>
  </si>
  <si>
    <t>36:59:27.0816 (36.990856) North</t>
  </si>
  <si>
    <t>121:48:17.5716 (-121.804881) West</t>
  </si>
  <si>
    <t>CORVALLIS</t>
  </si>
  <si>
    <t>44:25:05.9988 (44.418333) North</t>
  </si>
  <si>
    <t>123:19:31.0008 (-123.325278) West</t>
  </si>
  <si>
    <t>WILLIAM L FINLEY NWR</t>
  </si>
  <si>
    <t>Jeremiah Maghan (Cell)</t>
  </si>
  <si>
    <t>jeremiah_maghan@fws.gov</t>
  </si>
  <si>
    <t xml:space="preserve">(541) 760-3677 </t>
  </si>
  <si>
    <t>Jeremiah Maghan</t>
  </si>
  <si>
    <t>COSMIC</t>
  </si>
  <si>
    <t>326FF13E</t>
  </si>
  <si>
    <t>32:46:45.0012 (32.779167) North</t>
  </si>
  <si>
    <t>105:49:12 (-105.82) West</t>
  </si>
  <si>
    <t>LINCOLN NF</t>
  </si>
  <si>
    <t>Josh DuBoise (Cell)</t>
  </si>
  <si>
    <t>josh.duboise@usda.gov</t>
  </si>
  <si>
    <t xml:space="preserve">(575) 973-0294 </t>
  </si>
  <si>
    <t>COSUA_PORT1</t>
  </si>
  <si>
    <t>326B311A</t>
  </si>
  <si>
    <t>37:06:45 (37.1125) North</t>
  </si>
  <si>
    <t>108:15:50.0004 (-108.263889) West</t>
  </si>
  <si>
    <t>Southern Ute Agency</t>
  </si>
  <si>
    <t>Rich Gustafson</t>
  </si>
  <si>
    <t>richard.gustafson@bia.gov</t>
  </si>
  <si>
    <t xml:space="preserve">(970) 749-3558 </t>
  </si>
  <si>
    <t>Brian Tonihka</t>
  </si>
  <si>
    <t>brian.tonihka@bia.gov</t>
  </si>
  <si>
    <t xml:space="preserve">(505) 563-3385 </t>
  </si>
  <si>
    <t>COTTAGE</t>
  </si>
  <si>
    <t>38:20:45.1392 (38.345872) North</t>
  </si>
  <si>
    <t>120:13:46.2684 (-120.229519) West</t>
  </si>
  <si>
    <t>STANISLAUS NF</t>
  </si>
  <si>
    <t>Lee Sands</t>
  </si>
  <si>
    <t>lee.sands@usda.gov</t>
  </si>
  <si>
    <t xml:space="preserve">(209) 840-7147 </t>
  </si>
  <si>
    <t>Kellin Brown</t>
  </si>
  <si>
    <t>kellin.brown@usda.gov</t>
  </si>
  <si>
    <t xml:space="preserve">(209) 432-3191 </t>
  </si>
  <si>
    <t xml:space="preserve"> rebecca.sands@usda.gov, ahester@blm.gov, bridget.pisciotta@usda.gov, jonathan.lucas1@usda.gov, shuckstep@blm.gov</t>
  </si>
  <si>
    <t>COTTON RIDGE</t>
  </si>
  <si>
    <t>AAC4A792</t>
  </si>
  <si>
    <t>42:10:24.8016 (42.173556) North</t>
  </si>
  <si>
    <t>114:12:16.4016 (-114.204556) West</t>
  </si>
  <si>
    <t>SAWTOOTH NF</t>
  </si>
  <si>
    <t>Chris Belliston</t>
  </si>
  <si>
    <t>christopher.belliston@usda.gov</t>
  </si>
  <si>
    <t xml:space="preserve">(208) 431-3592 </t>
  </si>
  <si>
    <t xml:space="preserve"> stacy.tyler@usda.gov, ahester@blm.gov, christopher.belliston@usda.gov</t>
  </si>
  <si>
    <t>02:15, 17:15, 32:15, 47:15</t>
  </si>
  <si>
    <t>COTTON VALLEY</t>
  </si>
  <si>
    <t>Virgin Islands</t>
  </si>
  <si>
    <t>St. Croix</t>
  </si>
  <si>
    <t>008007B8</t>
  </si>
  <si>
    <t>17:44:28.6008 (17.741278) North</t>
  </si>
  <si>
    <t>64:37:32.5992 (-64.625722) West</t>
  </si>
  <si>
    <t>ST. CROIX</t>
  </si>
  <si>
    <t>USVI FIRE SERVICE</t>
  </si>
  <si>
    <t>USVIFD - USVI Fire Service</t>
  </si>
  <si>
    <t>Jill Houseknecht</t>
  </si>
  <si>
    <t>jill_houseknecht@nps.gov</t>
  </si>
  <si>
    <t xml:space="preserve">(305) 613-3564 </t>
  </si>
  <si>
    <t>Deputy Chief Klebert Titus</t>
  </si>
  <si>
    <t>klebert.titus@vifs.vi.gov</t>
  </si>
  <si>
    <t xml:space="preserve">(340) 773-8050 </t>
  </si>
  <si>
    <t>ahester@blm.gov, amojica@usda.gov</t>
  </si>
  <si>
    <t>COTTONWOOD</t>
  </si>
  <si>
    <t>1260D09A</t>
  </si>
  <si>
    <t>65:20:59.4996 (65.349861) North</t>
  </si>
  <si>
    <t>155:56:06.9 (-155.93525) West</t>
  </si>
  <si>
    <t>Brad Reed</t>
  </si>
  <si>
    <t>brad_reed@fws.gov</t>
  </si>
  <si>
    <t xml:space="preserve">(907) 786-3985 </t>
  </si>
  <si>
    <t>COTTONWOOD BASIN</t>
  </si>
  <si>
    <t>3259A7FC</t>
  </si>
  <si>
    <t>38:34:23.0016 (38.573056) North</t>
  </si>
  <si>
    <t>108:16:40.0008 (-108.277778) West</t>
  </si>
  <si>
    <t>COTTONWOOD MTN</t>
  </si>
  <si>
    <t>Iron</t>
  </si>
  <si>
    <t>327CD742</t>
  </si>
  <si>
    <t>37:59:01.9788 (37.983883) North</t>
  </si>
  <si>
    <t>112:38:21.5016 (-112.639306) West</t>
  </si>
  <si>
    <t>COUGAR MOUNTAIN</t>
  </si>
  <si>
    <t>47:56:19.8816 (47.938856) North</t>
  </si>
  <si>
    <t>123:04:09.0696 (-123.069186) West</t>
  </si>
  <si>
    <t>OLYMPIC NF</t>
  </si>
  <si>
    <t>Jasper Peach</t>
  </si>
  <si>
    <t>jasper_peach@fws.gov</t>
  </si>
  <si>
    <t xml:space="preserve">(360) 912-1146 </t>
  </si>
  <si>
    <t>Robert Jennings</t>
  </si>
  <si>
    <t>robert.jennings@usda.gov</t>
  </si>
  <si>
    <t xml:space="preserve">(909) 499-3082 </t>
  </si>
  <si>
    <t>ahester@blm.gov, jasper_peach@fws.gov</t>
  </si>
  <si>
    <t>COUMA_PORT1</t>
  </si>
  <si>
    <t>521223F2</t>
  </si>
  <si>
    <t>37:16:23.5884 (37.273219) North</t>
  </si>
  <si>
    <t>108:44:32.8704 (-108.742464) West</t>
  </si>
  <si>
    <t>Ute Mt. Ute Agency</t>
  </si>
  <si>
    <t>Darrell Yazzie</t>
  </si>
  <si>
    <t>darrell.yazzie@bia.gov</t>
  </si>
  <si>
    <t xml:space="preserve">(505) 516-2010 </t>
  </si>
  <si>
    <t>COUNCIL BLUFF</t>
  </si>
  <si>
    <t>328BB284</t>
  </si>
  <si>
    <t>37:43:19.9992 (37.722222) North</t>
  </si>
  <si>
    <t>90:56:02.0004 (-90.933889) West</t>
  </si>
  <si>
    <t>COUNTY LINE</t>
  </si>
  <si>
    <t>39:01:07.7988 (39.018833) North</t>
  </si>
  <si>
    <t>122:24:42.0984 (-122.411694) West</t>
  </si>
  <si>
    <t>Joseph Rodriguez</t>
  </si>
  <si>
    <t>Dave Dolezal</t>
  </si>
  <si>
    <t>ddolezal@blm.gov</t>
  </si>
  <si>
    <t xml:space="preserve">(707) 468-4053 </t>
  </si>
  <si>
    <t>COVILLE</t>
  </si>
  <si>
    <t>3280B12C</t>
  </si>
  <si>
    <t>58:48:09 (58.8025) North</t>
  </si>
  <si>
    <t>155:33:46.0008 (-155.562778) West</t>
  </si>
  <si>
    <t>KATMAI NP &amp; PRESERVE</t>
  </si>
  <si>
    <t xml:space="preserve">(907) 644-3683 </t>
  </si>
  <si>
    <t>Carlene Schultz</t>
  </si>
  <si>
    <t>COVINGTON</t>
  </si>
  <si>
    <t>Covington</t>
  </si>
  <si>
    <t>391053DC</t>
  </si>
  <si>
    <t>31:44:58.9992 (31.749722) North</t>
  </si>
  <si>
    <t>89:30:59.0004 (-89.516389) West</t>
  </si>
  <si>
    <t>Tipton</t>
  </si>
  <si>
    <t>32B79384</t>
  </si>
  <si>
    <t>35:35:21.0156 (35.589171) North</t>
  </si>
  <si>
    <t>89:35:12.9012 (-89.586917) West</t>
  </si>
  <si>
    <t>COW CREEK</t>
  </si>
  <si>
    <t>3278471A</t>
  </si>
  <si>
    <t>41:18:32.6016 (41.309056) North</t>
  </si>
  <si>
    <t>107:34:25.7016 (-107.573806) West</t>
  </si>
  <si>
    <t>RAWLINS</t>
  </si>
  <si>
    <t>Chris Otto</t>
  </si>
  <si>
    <t>c75otto@blm.gov</t>
  </si>
  <si>
    <t xml:space="preserve">(307) 328-4250 </t>
  </si>
  <si>
    <t>plockwood@blm.gov</t>
  </si>
  <si>
    <t>c75otto@blm.gov, mwengert@blm.gov, roldenburg@blm.gov, rputnam@blm.gov</t>
  </si>
  <si>
    <t>324E11D8</t>
  </si>
  <si>
    <t>46:01:59.9016 (46.033306) North</t>
  </si>
  <si>
    <t>106:11:40.4988 (-106.194583) West</t>
  </si>
  <si>
    <t>COW MOUNTAIN</t>
  </si>
  <si>
    <t>Swain</t>
  </si>
  <si>
    <t>327B3684</t>
  </si>
  <si>
    <t>35:28:52.7016 (35.481306) North</t>
  </si>
  <si>
    <t>83:19:20.6004 (-83.322389) West</t>
  </si>
  <si>
    <t>Cherokee Agency</t>
  </si>
  <si>
    <t>Larry Blythe</t>
  </si>
  <si>
    <t>larry.blythe@bia.gov</t>
  </si>
  <si>
    <t xml:space="preserve">(828) 788-4143 </t>
  </si>
  <si>
    <t>COYLE FIELD</t>
  </si>
  <si>
    <t>Burlington</t>
  </si>
  <si>
    <t>FF1002B0</t>
  </si>
  <si>
    <t>39:48:45 (39.8125) North</t>
  </si>
  <si>
    <t>74:25:30 (-74.425) West</t>
  </si>
  <si>
    <t>COYOTE</t>
  </si>
  <si>
    <t>3232D0F6</t>
  </si>
  <si>
    <t>36:04:23.9988 (36.073333) North</t>
  </si>
  <si>
    <t>106:39:26.6004 (-106.657389) West</t>
  </si>
  <si>
    <t>Arnold Lopez</t>
  </si>
  <si>
    <t>3286D404</t>
  </si>
  <si>
    <t>39:59:17.0196 (39.988061) North</t>
  </si>
  <si>
    <t>120:28:39.3312 (-120.477592) West</t>
  </si>
  <si>
    <t>Chris Voelker</t>
  </si>
  <si>
    <t>chris.voelker@usda.gov</t>
  </si>
  <si>
    <t xml:space="preserve">(530) 927-7215 </t>
  </si>
  <si>
    <t>christian enriquez</t>
  </si>
  <si>
    <t>christian.enriquez@usda.gov</t>
  </si>
  <si>
    <t xml:space="preserve">(530) 927-7365 </t>
  </si>
  <si>
    <t>ahester@blm.gov, christian.enriquez@usda.gov, shuckstep@blm.gov</t>
  </si>
  <si>
    <t>COYOTE MEADOWS</t>
  </si>
  <si>
    <t>44:00:27 (44.0075) North</t>
  </si>
  <si>
    <t>111:02:08.0016 (-111.035556) West</t>
  </si>
  <si>
    <t xml:space="preserve">(208) 731-8214 </t>
  </si>
  <si>
    <t>COYOTE WASH</t>
  </si>
  <si>
    <t>325C43CE</t>
  </si>
  <si>
    <t>38:16:54.9012 (38.281917) North</t>
  </si>
  <si>
    <t>114:45:31.2984 (-114.758694) West</t>
  </si>
  <si>
    <t>CRAB ORCHARD</t>
  </si>
  <si>
    <t>Williamson</t>
  </si>
  <si>
    <t>8375F766</t>
  </si>
  <si>
    <t>37:40:45.0012 (37.679167) North</t>
  </si>
  <si>
    <t>89:00:10.0008 (-89.002778) West</t>
  </si>
  <si>
    <t>CRAB ORCHARD NWR</t>
  </si>
  <si>
    <t>David Jones</t>
  </si>
  <si>
    <t>david_jones@fws.gov</t>
  </si>
  <si>
    <t xml:space="preserve">(618) 998-5919 </t>
  </si>
  <si>
    <t>Benjamin Schmall</t>
  </si>
  <si>
    <t>benjamin_schmall@fws.gov</t>
  </si>
  <si>
    <t xml:space="preserve">(563) 580-3656 </t>
  </si>
  <si>
    <t>CRAIG VALLEY</t>
  </si>
  <si>
    <t>Craig</t>
  </si>
  <si>
    <t>3289B770</t>
  </si>
  <si>
    <t>37:33:26.7012 (37.557417) North</t>
  </si>
  <si>
    <t>80:10:45.1812 (-80.179217) West</t>
  </si>
  <si>
    <t>Ted Docev</t>
  </si>
  <si>
    <t>ted.docev@usda.gov</t>
  </si>
  <si>
    <t xml:space="preserve">(540) 460-2893 </t>
  </si>
  <si>
    <t>Robert Claytor</t>
  </si>
  <si>
    <t>robert.claytor@usda.gov</t>
  </si>
  <si>
    <t xml:space="preserve">(423) 220-6594 </t>
  </si>
  <si>
    <t>CRANDALL</t>
  </si>
  <si>
    <t>44:51:01.0008 (44.850278) North</t>
  </si>
  <si>
    <t>109:36:41.0004 (-109.611389) West</t>
  </si>
  <si>
    <t>SHOSHONE NF</t>
  </si>
  <si>
    <t>michael.ortner@usda.gov</t>
  </si>
  <si>
    <t>Timothy Haas</t>
  </si>
  <si>
    <t>Timothy.Haas@usda.gov</t>
  </si>
  <si>
    <t xml:space="preserve">(307) 388-9997 </t>
  </si>
  <si>
    <t>ahester@blm.gov, michael.ortner@usda.gov</t>
  </si>
  <si>
    <t>CRANE</t>
  </si>
  <si>
    <t>FA60C528</t>
  </si>
  <si>
    <t>37:45:34.0884 (37.759469) North</t>
  </si>
  <si>
    <t>119:49:14.0196 (-119.820561) West</t>
  </si>
  <si>
    <t>YOSEMITE NP</t>
  </si>
  <si>
    <t>Russell Mitchell</t>
  </si>
  <si>
    <t>russell_mitchell@nps.gov</t>
  </si>
  <si>
    <t xml:space="preserve">(209) 626-9903 </t>
  </si>
  <si>
    <t>Jennifer Anderson</t>
  </si>
  <si>
    <t>jennifer_r_anderson@nps.gov</t>
  </si>
  <si>
    <t xml:space="preserve">(209) 347-1538 </t>
  </si>
  <si>
    <t>ahester@blm.gov, parker_bevington@nps.gov, russell_mitchell@nps.gov</t>
  </si>
  <si>
    <t>CRANE PRAIRIE</t>
  </si>
  <si>
    <t>44:09:25.9992 (44.157222) North</t>
  </si>
  <si>
    <t>118:28:17.0004 (-118.471389) West</t>
  </si>
  <si>
    <t>CRANE SPRINGS</t>
  </si>
  <si>
    <t>325BB17E</t>
  </si>
  <si>
    <t>40:27:34.3008 (40.459528) North</t>
  </si>
  <si>
    <t>115:50:58.3008 (-115.849528) West</t>
  </si>
  <si>
    <t>CRANSTON</t>
  </si>
  <si>
    <t>3275D11E</t>
  </si>
  <si>
    <t>33:44:25.0008 (33.740278) North</t>
  </si>
  <si>
    <t>116:50:29.0004 (-116.841389) West</t>
  </si>
  <si>
    <t xml:space="preserve">Lauren Blake </t>
  </si>
  <si>
    <t xml:space="preserve">lauren.blake@usda.gov </t>
  </si>
  <si>
    <t xml:space="preserve">Nicolas Gillott </t>
  </si>
  <si>
    <t>nicholas.gillott@usda.gov</t>
  </si>
  <si>
    <t xml:space="preserve">(909) 495-7896 </t>
  </si>
  <si>
    <t>ahester@blm.gov, nicholas.gillott@usda.gov, shuckstep@blm.gov</t>
  </si>
  <si>
    <t>CRAZY</t>
  </si>
  <si>
    <t>32A0B0C2</t>
  </si>
  <si>
    <t>46:09:29.0988 (46.158083) North</t>
  </si>
  <si>
    <t>110:23:03.3 (-110.38425) West</t>
  </si>
  <si>
    <t>Gregory Oyler</t>
  </si>
  <si>
    <t>gregory.oyler@usda.gov</t>
  </si>
  <si>
    <t xml:space="preserve">(406) 548-5265 </t>
  </si>
  <si>
    <t xml:space="preserve">(406) 587-6706 </t>
  </si>
  <si>
    <t>ahester@blm.gov, collin.a.calhoun@usda.gov, gregory.oyler@usda.gov, jessica.westbrook@usda.gov, todd.erdody@usda.gov</t>
  </si>
  <si>
    <t>CRAZY PEAK</t>
  </si>
  <si>
    <t>3267B692</t>
  </si>
  <si>
    <t>41:58:35.0004 (41.976389) North</t>
  </si>
  <si>
    <t>123:36:43.9992 (-123.612222) West</t>
  </si>
  <si>
    <t>Andrew Gallego</t>
  </si>
  <si>
    <t>andrew.gallego@usda.gov</t>
  </si>
  <si>
    <t xml:space="preserve">(541) 450-1567 </t>
  </si>
  <si>
    <t>brett.brown@usda.gov, michelle.renfro@usda.gov</t>
  </si>
  <si>
    <t>CRDBLMFTS QD</t>
  </si>
  <si>
    <t>327A87F0</t>
  </si>
  <si>
    <t>40:36:15.7788 (40.604383) North</t>
  </si>
  <si>
    <t>108:49:44.58 (-108.82905) West</t>
  </si>
  <si>
    <t>LANDON SMITH</t>
  </si>
  <si>
    <t>CRESCENT LAKE - FTS</t>
  </si>
  <si>
    <t>Garden</t>
  </si>
  <si>
    <t>41:45:39.9996 (41.761111) North</t>
  </si>
  <si>
    <t>102:26:16.0008 (-102.437778) West</t>
  </si>
  <si>
    <t>CRESCENT NWR</t>
  </si>
  <si>
    <t>Todd Ruzicka</t>
  </si>
  <si>
    <t>todd_ruzicka@fws.gov</t>
  </si>
  <si>
    <t xml:space="preserve">(605) 228-8321 </t>
  </si>
  <si>
    <t>Kathryn Sebes</t>
  </si>
  <si>
    <t>kathryn_sebes@fws.gov</t>
  </si>
  <si>
    <t xml:space="preserve">(512) 755-2972 </t>
  </si>
  <si>
    <t xml:space="preserve"> chris_masson@fws.gov,  todd_ruzicka@fws.gov, kathryn_sebes@fws.gov, tate_fischer@fws.gov</t>
  </si>
  <si>
    <t>CRESTLINE TRAIL</t>
  </si>
  <si>
    <t>3463600C</t>
  </si>
  <si>
    <t>43:38:01.4784 (43.633744) North</t>
  </si>
  <si>
    <t>116:10:18.0912 (-116.171692) West</t>
  </si>
  <si>
    <t>CRESTVIEW</t>
  </si>
  <si>
    <t>324266D4</t>
  </si>
  <si>
    <t>37:44:14.8092 (37.737447) North</t>
  </si>
  <si>
    <t>118:59:47.6916 (-118.996581) West</t>
  </si>
  <si>
    <t>INYO NF</t>
  </si>
  <si>
    <t>Lucas Hurley</t>
  </si>
  <si>
    <t>lucas.hurley@usda.gov</t>
  </si>
  <si>
    <t xml:space="preserve">(760) 647-3030 </t>
  </si>
  <si>
    <t>ila Vradenburg</t>
  </si>
  <si>
    <t>Ila.vradenburg@usda.gov</t>
  </si>
  <si>
    <t xml:space="preserve">(760) 873-2405 </t>
  </si>
  <si>
    <t>CRITTENDEN</t>
  </si>
  <si>
    <t>403005C4</t>
  </si>
  <si>
    <t>38:46:09.0012 (38.769167) North</t>
  </si>
  <si>
    <t>84:36:06.9984 (-84.601944) West</t>
  </si>
  <si>
    <t>Strider Deaver</t>
  </si>
  <si>
    <t>strider.deaver@ky.gov</t>
  </si>
  <si>
    <t xml:space="preserve">(502) 330-6989 </t>
  </si>
  <si>
    <t>CROATAN</t>
  </si>
  <si>
    <t>3334E400</t>
  </si>
  <si>
    <t>34:45:38.0016 (34.760556) North</t>
  </si>
  <si>
    <t>76:53:44.0016 (-76.895556) West</t>
  </si>
  <si>
    <t>fred.mascher@usda.gov</t>
  </si>
  <si>
    <t>CROATAN PORTABLE</t>
  </si>
  <si>
    <t>Craven</t>
  </si>
  <si>
    <t>32D6C330</t>
  </si>
  <si>
    <t>34:59:29.0004 (34.991389) North</t>
  </si>
  <si>
    <t>76:58:49.0008 (-76.980278) West</t>
  </si>
  <si>
    <t>CROSBY</t>
  </si>
  <si>
    <t>Divide</t>
  </si>
  <si>
    <t>8373B4A2</t>
  </si>
  <si>
    <t>48:58:05.0016 (48.968056) North</t>
  </si>
  <si>
    <t>104:00:07.9992 (-104.002222) West</t>
  </si>
  <si>
    <t>DES LACS NWR</t>
  </si>
  <si>
    <t>CALVIN MOLDENHAUER</t>
  </si>
  <si>
    <t>calvin_moldenhauer@fws.gov</t>
  </si>
  <si>
    <t>(701) 385-4046 31</t>
  </si>
  <si>
    <t xml:space="preserve"> jeff_dion@fws.gov,  tate_fischer@fws.gov, jason_wagner@fws.gov</t>
  </si>
  <si>
    <t>CROSSVILLE</t>
  </si>
  <si>
    <t>36:04:27.9984 (36.074444) North</t>
  </si>
  <si>
    <t>84:57:48.9996 (-84.963611) West</t>
  </si>
  <si>
    <t>CROW CREEK</t>
  </si>
  <si>
    <t>Weld</t>
  </si>
  <si>
    <t>32A26D8C</t>
  </si>
  <si>
    <t>40:39:00.4788 (40.650133) North</t>
  </si>
  <si>
    <t>104:20:15 (-104.3375) West</t>
  </si>
  <si>
    <t>CROW FLAT</t>
  </si>
  <si>
    <t>326241D6</t>
  </si>
  <si>
    <t>43:50:28.2984 (43.841194) North</t>
  </si>
  <si>
    <t>118:57:07.3008 (-118.952028) West</t>
  </si>
  <si>
    <t>CROWN KING</t>
  </si>
  <si>
    <t>325E30AA</t>
  </si>
  <si>
    <t>34:12:12.0996 (34.203361) North</t>
  </si>
  <si>
    <t>112:20:44.1996 (-112.345611) West</t>
  </si>
  <si>
    <t>CRYSTAL</t>
  </si>
  <si>
    <t>325140A8</t>
  </si>
  <si>
    <t>42:59:08.9016 (42.985806) North</t>
  </si>
  <si>
    <t>113:10:37.8012 (-113.177167) West</t>
  </si>
  <si>
    <t>CUBA</t>
  </si>
  <si>
    <t>Sandoval</t>
  </si>
  <si>
    <t>325B84E4</t>
  </si>
  <si>
    <t>35:56:31.2 (35.942) North</t>
  </si>
  <si>
    <t>107:04:38.6004 (-107.077389) West</t>
  </si>
  <si>
    <t>RIO PUERCO</t>
  </si>
  <si>
    <t>Pete Rivera</t>
  </si>
  <si>
    <t>privera@blm.gov</t>
  </si>
  <si>
    <t xml:space="preserve">(505) 235-6898 </t>
  </si>
  <si>
    <t>CURRANT CREEK</t>
  </si>
  <si>
    <t>3257036C</t>
  </si>
  <si>
    <t>38:45:31.7988 (38.758833) North</t>
  </si>
  <si>
    <t>115:24:43.7004 (-115.412139) West</t>
  </si>
  <si>
    <t>CUSTER</t>
  </si>
  <si>
    <t>326760FA</t>
  </si>
  <si>
    <t>43:46:42.2004 (43.778389) North</t>
  </si>
  <si>
    <t>103:38:26.0988 (-103.640583) West</t>
  </si>
  <si>
    <t>Hayden Hoelscher</t>
  </si>
  <si>
    <t>hayden.hoelscher@usda.gov</t>
  </si>
  <si>
    <t xml:space="preserve">(802) 558-3261 </t>
  </si>
  <si>
    <t>ahester@blm.gov, hayden.hoelscher@usda.gov, joshua.t.morgan@usda.gov</t>
  </si>
  <si>
    <t>CUSTER #1 PORTABLE</t>
  </si>
  <si>
    <t>Stillwater</t>
  </si>
  <si>
    <t>326E404A</t>
  </si>
  <si>
    <t>45:29:31.92 (45.4922) North</t>
  </si>
  <si>
    <t>109:54:54.2988 (-109.915083) West</t>
  </si>
  <si>
    <t>Larry Lee</t>
  </si>
  <si>
    <t>larry.j.lee@usda.gov</t>
  </si>
  <si>
    <t xml:space="preserve">(465) 570-2476 </t>
  </si>
  <si>
    <t>Drew Grimes</t>
  </si>
  <si>
    <t>drew.grimes@usda.gov</t>
  </si>
  <si>
    <t xml:space="preserve">(406) 425-0667 </t>
  </si>
  <si>
    <t>CUSTER STATE PARK</t>
  </si>
  <si>
    <t>32D35192</t>
  </si>
  <si>
    <t>43:43:42.96 (43.7286) North</t>
  </si>
  <si>
    <t>103:21:15.12 (-103.3542) West</t>
  </si>
  <si>
    <t>SOUTH DAKOTA</t>
  </si>
  <si>
    <t>WILDLAND FIRE SUPP.</t>
  </si>
  <si>
    <t>SDFDRN - South Dakota School of Mines thru SD Dept Ag/Fire</t>
  </si>
  <si>
    <t>Jay Wickham</t>
  </si>
  <si>
    <t>jay.wickham@state.sd.us</t>
  </si>
  <si>
    <t xml:space="preserve">(605) 393-4232 </t>
  </si>
  <si>
    <t>James Bachelor</t>
  </si>
  <si>
    <t>james.bachelor@state.sd.us</t>
  </si>
  <si>
    <t xml:space="preserve">(605) 431-3121 </t>
  </si>
  <si>
    <t xml:space="preserve"> james.bachelor@state.sd.us, jay.wickham@state.sd.us</t>
  </si>
  <si>
    <t>CUTFOOT</t>
  </si>
  <si>
    <t>Itasca</t>
  </si>
  <si>
    <t>328D01C4</t>
  </si>
  <si>
    <t>47:32:11.0004 (47.536389) North</t>
  </si>
  <si>
    <t>94:03:15.9984 (-94.054444) West</t>
  </si>
  <si>
    <t>jolene.soltis@state.mn.us</t>
  </si>
  <si>
    <t xml:space="preserve">(218) 322-2475 </t>
  </si>
  <si>
    <t>jolene.soltis@state.mn.us, joseph.kaufmann@usda.gov, michael.mackey@usda.gov, mnmncc_intel@firenet.gov</t>
  </si>
  <si>
    <t>CUYAMA VALLEY</t>
  </si>
  <si>
    <t>32A1FFE0</t>
  </si>
  <si>
    <t>34:57:55.3212 (34.965367) North</t>
  </si>
  <si>
    <t>119:52:48.54 (-119.88015) West</t>
  </si>
  <si>
    <t>DALE BITNER</t>
  </si>
  <si>
    <t>43:02:58.9992 (43.049722) North</t>
  </si>
  <si>
    <t>111:22:45.9984 (-111.379444) West</t>
  </si>
  <si>
    <t>GRAYS LAKE NWR</t>
  </si>
  <si>
    <t>Lucas Stringfield</t>
  </si>
  <si>
    <t>lucas_stringfield@fws.gov</t>
  </si>
  <si>
    <t xml:space="preserve">(208) 241-5406 </t>
  </si>
  <si>
    <t xml:space="preserve"> paul_davis@fws.gov, lucas_stringfield@fws.gov</t>
  </si>
  <si>
    <t>Paul Davis</t>
  </si>
  <si>
    <t>DALLAS</t>
  </si>
  <si>
    <t>Paulding</t>
  </si>
  <si>
    <t>33:49:59.0016 (33.833056) North</t>
  </si>
  <si>
    <t>84:44:24 (-84.74) West</t>
  </si>
  <si>
    <t>DANDAN</t>
  </si>
  <si>
    <t>Guam</t>
  </si>
  <si>
    <t>3282A7AE</t>
  </si>
  <si>
    <t>13:18:46.9512 (13.313042) North</t>
  </si>
  <si>
    <t>144:44:07.5516 (144.735431) East</t>
  </si>
  <si>
    <t>PACIFIC ISLANDS</t>
  </si>
  <si>
    <t xml:space="preserve">Brandon Aydlett </t>
  </si>
  <si>
    <t>william.aydlett@noaa.gov</t>
  </si>
  <si>
    <t xml:space="preserve">(671) 472-0948 </t>
  </si>
  <si>
    <t>eric_johnson@fws.gov, shuckstep@blm.gov</t>
  </si>
  <si>
    <t>DARE BOMB RANGE (FR2)</t>
  </si>
  <si>
    <t>35:45:38.9412 (35.760817) North</t>
  </si>
  <si>
    <t>75:52:17.22 (-75.87145) West</t>
  </si>
  <si>
    <t>Daniel Collins</t>
  </si>
  <si>
    <t>daniel.collins@ncagr.gov</t>
  </si>
  <si>
    <t xml:space="preserve">(252) 331-4781 </t>
  </si>
  <si>
    <t>Andy Hux</t>
  </si>
  <si>
    <t>andy.hux@ncagr.gov</t>
  </si>
  <si>
    <t xml:space="preserve">(252) 926-3041 </t>
  </si>
  <si>
    <t>DARLINGTON RAWS</t>
  </si>
  <si>
    <t>Darlington</t>
  </si>
  <si>
    <t>32BCAB64</t>
  </si>
  <si>
    <t>34:14:49.1712 (34.246992) North</t>
  </si>
  <si>
    <t>79:49:02.3016 (-79.817306) West</t>
  </si>
  <si>
    <t>SOUTH CAROLINA</t>
  </si>
  <si>
    <t>SCFC01 - South Carolina Forestry Commission</t>
  </si>
  <si>
    <t>Darryl Jones</t>
  </si>
  <si>
    <t>djones@scfc.gov</t>
  </si>
  <si>
    <t xml:space="preserve">(803) 667-1039 </t>
  </si>
  <si>
    <t>Lloyd Mitchell</t>
  </si>
  <si>
    <t>lmitchell@scfc.gov</t>
  </si>
  <si>
    <t xml:space="preserve">(843) 992-2368 </t>
  </si>
  <si>
    <t xml:space="preserve"> dbryant@scfc.gov, djones@scfc.gov</t>
  </si>
  <si>
    <t>DATIL</t>
  </si>
  <si>
    <t>3283F528</t>
  </si>
  <si>
    <t>34:17:33 (34.2925) North</t>
  </si>
  <si>
    <t>107:46:05.0016 (-107.768056) West</t>
  </si>
  <si>
    <t>DAVIDSON RIVER</t>
  </si>
  <si>
    <t>Transylvania</t>
  </si>
  <si>
    <t>3335167E</t>
  </si>
  <si>
    <t>35:20:55.5 (35.34875) North</t>
  </si>
  <si>
    <t>82:46:31.5012 (-82.775417) West</t>
  </si>
  <si>
    <t>DAVIS (BEARDEN)</t>
  </si>
  <si>
    <t>Tucker</t>
  </si>
  <si>
    <t>39:06:18 (39.105) North</t>
  </si>
  <si>
    <t>79:25:33.9996 (-79.426111) West</t>
  </si>
  <si>
    <t>MONONGAHELA NF</t>
  </si>
  <si>
    <t>Conor Shanahan</t>
  </si>
  <si>
    <t>conor.shanahan@usda.gov</t>
  </si>
  <si>
    <t xml:space="preserve">(304) 704-3911 </t>
  </si>
  <si>
    <t>DAWSONVILLE</t>
  </si>
  <si>
    <t>Dawson</t>
  </si>
  <si>
    <t>3100148A</t>
  </si>
  <si>
    <t>34:22:35.0004 (34.376389) North</t>
  </si>
  <si>
    <t>84:03:36 (-84.06) West</t>
  </si>
  <si>
    <t>DAYTON</t>
  </si>
  <si>
    <t>30:06:18 (30.105) North</t>
  </si>
  <si>
    <t>94:55:53.0004 (-94.931389) West</t>
  </si>
  <si>
    <t>DBC1</t>
  </si>
  <si>
    <t>Monroe</t>
  </si>
  <si>
    <t>25:23:26.0016 (25.390556) North</t>
  </si>
  <si>
    <t>80:40:49.0008 (-80.680278) West</t>
  </si>
  <si>
    <t>Erik Stabenau ?</t>
  </si>
  <si>
    <t>eric_stabenau@nps.gov</t>
  </si>
  <si>
    <t xml:space="preserve">(305) 224-4209 </t>
  </si>
  <si>
    <t>DBR SOIL MONITOR</t>
  </si>
  <si>
    <t>32B835EE</t>
  </si>
  <si>
    <t>35:43:55.416 (35.73206) North</t>
  </si>
  <si>
    <t>75:48:58.824 (-75.81634) West</t>
  </si>
  <si>
    <t>Kit Gibbs</t>
  </si>
  <si>
    <t>kit.gibbs@ncagr.gov</t>
  </si>
  <si>
    <t xml:space="preserve">(252) 473-2443 </t>
  </si>
  <si>
    <t>DEAD CAMEL MOUNTAIN</t>
  </si>
  <si>
    <t>Churchill</t>
  </si>
  <si>
    <t>325C2628</t>
  </si>
  <si>
    <t>39:15:43.0992 (39.261972) North</t>
  </si>
  <si>
    <t>118:56:35.0988 (-118.943083) West</t>
  </si>
  <si>
    <t>Ryan Elliot</t>
  </si>
  <si>
    <t>DEAD HORSE</t>
  </si>
  <si>
    <t>Rio Blanco</t>
  </si>
  <si>
    <t>323603A4</t>
  </si>
  <si>
    <t>40:04:42.3984 (40.078444) North</t>
  </si>
  <si>
    <t>107:22:04.8 (-107.368) West</t>
  </si>
  <si>
    <t>WHITE RIVER NF</t>
  </si>
  <si>
    <t>Michael Ottosen</t>
  </si>
  <si>
    <t>michael.ottosen@usda.gov</t>
  </si>
  <si>
    <t xml:space="preserve">(970) 625-2872 </t>
  </si>
  <si>
    <t>Joel Hendrickson</t>
  </si>
  <si>
    <t>jchendri@blm.gov</t>
  </si>
  <si>
    <t xml:space="preserve">(970) 250-6005 </t>
  </si>
  <si>
    <t>ahester@blm.gov, jchendri@blm.gov, michael.ottosen@usda.gov</t>
  </si>
  <si>
    <t>DEADMAN PEAK</t>
  </si>
  <si>
    <t>326EB0CE</t>
  </si>
  <si>
    <t>36:25:22.44 (36.4229) North</t>
  </si>
  <si>
    <t>106:46:19.2 (-106.772) West</t>
  </si>
  <si>
    <t>DEAN</t>
  </si>
  <si>
    <t>3288C31A</t>
  </si>
  <si>
    <t>38:41:38.0004 (38.693889) North</t>
  </si>
  <si>
    <t>82:38:22.9992 (-82.639722) West</t>
  </si>
  <si>
    <t>WAYNE NF</t>
  </si>
  <si>
    <t>Scottie Kiser</t>
  </si>
  <si>
    <t>scottie.kiser@usda.gov</t>
  </si>
  <si>
    <t xml:space="preserve">(740) 534-6547 </t>
  </si>
  <si>
    <t>William (Bill) Borovicka</t>
  </si>
  <si>
    <t>william.borovicka@usda.gov</t>
  </si>
  <si>
    <t xml:space="preserve">(740) 596-4238 </t>
  </si>
  <si>
    <t>DEARBORN</t>
  </si>
  <si>
    <t>Cascade</t>
  </si>
  <si>
    <t>47:07:58.1016 (47.132806) North</t>
  </si>
  <si>
    <t>111:54:02.9016 (-111.900806) West</t>
  </si>
  <si>
    <t>Charles E Ewart</t>
  </si>
  <si>
    <t>Charlie.Ewart@mt.gov</t>
  </si>
  <si>
    <t xml:space="preserve">(509) 953-1291 </t>
  </si>
  <si>
    <t xml:space="preserve"> charlie.ewart@mt.gov,  scott.ward@mt.gov,  wade.hendricks@mt.gov, jhuston@mt.gov</t>
  </si>
  <si>
    <t>DECATHON  CANYON</t>
  </si>
  <si>
    <t>32D754A8</t>
  </si>
  <si>
    <t>38:48:06.5304 (38.801814) North</t>
  </si>
  <si>
    <t>114:16:50.07 (-114.280575) West</t>
  </si>
  <si>
    <t>GREAT BASIN NP</t>
  </si>
  <si>
    <t>Nita Tallent</t>
  </si>
  <si>
    <t>nita_tallent@nps.gov</t>
  </si>
  <si>
    <t xml:space="preserve">(702) 293-8856 </t>
  </si>
  <si>
    <t>Geoff Moret</t>
  </si>
  <si>
    <t>geoffrey_moret@partneer.nps.gov</t>
  </si>
  <si>
    <t xml:space="preserve">(702) 293-8843 </t>
  </si>
  <si>
    <t>greg.mccurdy@dri.edu</t>
  </si>
  <si>
    <t>Gregory McCurdy</t>
  </si>
  <si>
    <t>DECEPTION HILLS</t>
  </si>
  <si>
    <t>3962A300</t>
  </si>
  <si>
    <t>59:05:26.268 (59.09063) North</t>
  </si>
  <si>
    <t>138:12:52.6644 (-138.214629) West</t>
  </si>
  <si>
    <t>DEEP CREEK</t>
  </si>
  <si>
    <t>5211F294</t>
  </si>
  <si>
    <t>48:21:20.0484 (48.355569) North</t>
  </si>
  <si>
    <t>113:06:49.3704 (-113.113714) West</t>
  </si>
  <si>
    <t>Bob Jones</t>
  </si>
  <si>
    <t>robert.jones@bia.gov</t>
  </si>
  <si>
    <t xml:space="preserve">(406) 247-7949 </t>
  </si>
  <si>
    <t>3276B3F6</t>
  </si>
  <si>
    <t>39:46:24.7008 (39.773528) North</t>
  </si>
  <si>
    <t>107:38:49.4016 (-107.647056) West</t>
  </si>
  <si>
    <t>DEER HAVEN</t>
  </si>
  <si>
    <t>Elmore</t>
  </si>
  <si>
    <t>3250E2AA</t>
  </si>
  <si>
    <t>43:10:26.0004 (43.173889) North</t>
  </si>
  <si>
    <t>115:09:06.9012 (-115.151917) West</t>
  </si>
  <si>
    <t>ROB HADDOCK</t>
  </si>
  <si>
    <t>DEER MOUNTAIN</t>
  </si>
  <si>
    <t>3271C752</t>
  </si>
  <si>
    <t>46:01:31.7712 (46.025492) North</t>
  </si>
  <si>
    <t>114:03:18.7488 (-114.055208) West</t>
  </si>
  <si>
    <t>ahester@blm.gov, mtbrc@firenet.gov</t>
  </si>
  <si>
    <t>Pend Oreille</t>
  </si>
  <si>
    <t>48:47:45.8988 (48.796083) North</t>
  </si>
  <si>
    <t>117:26:45.3984 (-117.445944) West</t>
  </si>
  <si>
    <t>edwin.wall@usda.gov</t>
  </si>
  <si>
    <t>DEER SPRINGS POINT (DEER)</t>
  </si>
  <si>
    <t>3257C672</t>
  </si>
  <si>
    <t>37:19:23.5884 (37.323219) North</t>
  </si>
  <si>
    <t>112:11:05.496 (-112.18486) West</t>
  </si>
  <si>
    <t>UTAH STATE OFFICE</t>
  </si>
  <si>
    <t>DEL VALLE</t>
  </si>
  <si>
    <t>CA42249E</t>
  </si>
  <si>
    <t>34:25:46.9884 (34.429719) North</t>
  </si>
  <si>
    <t>118:40:01.6284 (-118.667119) West</t>
  </si>
  <si>
    <t>DELANO</t>
  </si>
  <si>
    <t>0260510A</t>
  </si>
  <si>
    <t>35:14:52.0008 (35.247778) North</t>
  </si>
  <si>
    <t>84:34:53.0004 (-84.581389) West</t>
  </si>
  <si>
    <t>DELTA RD</t>
  </si>
  <si>
    <t>Sharkey</t>
  </si>
  <si>
    <t>3282C248</t>
  </si>
  <si>
    <t>32:54:11.9988 (32.903333) North</t>
  </si>
  <si>
    <t>90:52:18.0012 (-90.871667) West</t>
  </si>
  <si>
    <t>DEMAREE</t>
  </si>
  <si>
    <t>3265F06C</t>
  </si>
  <si>
    <t>39:27:36.1008 (39.460028) North</t>
  </si>
  <si>
    <t>108:52:49.1016 (-108.880306) West</t>
  </si>
  <si>
    <t>GRAND JUNCTION</t>
  </si>
  <si>
    <t>Jeremy Spetter</t>
  </si>
  <si>
    <t>jspetter@blm.gov</t>
  </si>
  <si>
    <t xml:space="preserve">(970) 640-4258 </t>
  </si>
  <si>
    <t>Mike Ottosen</t>
  </si>
  <si>
    <t xml:space="preserve">(970) 948-1815 </t>
  </si>
  <si>
    <t>ahester@blm.gov, jscronek@blm.gov</t>
  </si>
  <si>
    <t>DEMOCRAT</t>
  </si>
  <si>
    <t>328176C8</t>
  </si>
  <si>
    <t>35:31:54.8112 (35.531892) North</t>
  </si>
  <si>
    <t>118:37:50.0916 (-118.630581) West</t>
  </si>
  <si>
    <t>Angel Prieto</t>
  </si>
  <si>
    <t>angel.prieto@usda.gov</t>
  </si>
  <si>
    <t xml:space="preserve">(760) 878-8141 </t>
  </si>
  <si>
    <t>DENALI VISITOR CENTER</t>
  </si>
  <si>
    <t>Denali</t>
  </si>
  <si>
    <t>FA61B142</t>
  </si>
  <si>
    <t>63:44:07.55 (63.735431) North</t>
  </si>
  <si>
    <t>148:53:56.18 (-148.898939) West</t>
  </si>
  <si>
    <t>DENALI NP</t>
  </si>
  <si>
    <t>Keith Mitchell</t>
  </si>
  <si>
    <t xml:space="preserve">(907) 683-9548 </t>
  </si>
  <si>
    <t>Timothy Boyce</t>
  </si>
  <si>
    <t>timothy_boyce@nps.gov</t>
  </si>
  <si>
    <t xml:space="preserve">(907) 644-3721 </t>
  </si>
  <si>
    <t>Sarah Hayes</t>
  </si>
  <si>
    <t>DENNIS TECH CENTER</t>
  </si>
  <si>
    <t>AAB6F7B6</t>
  </si>
  <si>
    <t>43:34:18.0012 (43.571667) North</t>
  </si>
  <si>
    <t>116:16:59.5992 (-116.283222) West</t>
  </si>
  <si>
    <t>Micheal Huges</t>
  </si>
  <si>
    <t>MICHEAL.HUGHES@boiseschools.org</t>
  </si>
  <si>
    <t>WRCC,MESOWEST,NIFC,FEMS</t>
  </si>
  <si>
    <t>DENT</t>
  </si>
  <si>
    <t>Clearwater</t>
  </si>
  <si>
    <t>326FC4A4</t>
  </si>
  <si>
    <t>46:37:23.4984 (46.623194) North</t>
  </si>
  <si>
    <t>116:13:14.4984 (-116.220694) West</t>
  </si>
  <si>
    <t>Kane Steinbruecker</t>
  </si>
  <si>
    <t>KSteinbruecker@cptpa.idaho.gov</t>
  </si>
  <si>
    <t xml:space="preserve">(208) 476-5612 </t>
  </si>
  <si>
    <t xml:space="preserve">(208) 702-2201 </t>
  </si>
  <si>
    <t>ahester@blm.gov, idgvc@firenet.gov</t>
  </si>
  <si>
    <t>DENTEN CREEK</t>
  </si>
  <si>
    <t>AAB03266</t>
  </si>
  <si>
    <t>39:46:46.11 (39.779475) North</t>
  </si>
  <si>
    <t>120:35:40.1784 (-120.594494) West</t>
  </si>
  <si>
    <t>Christian Enriquez</t>
  </si>
  <si>
    <t xml:space="preserve">DEPOT TEST 210 </t>
  </si>
  <si>
    <t>328011D4</t>
  </si>
  <si>
    <t>tmaione@blm.gov</t>
  </si>
  <si>
    <t>DEPOT TEST BLDG LEFT</t>
  </si>
  <si>
    <t>329030A6</t>
  </si>
  <si>
    <t>DEPOT TEST BLDG RIGHT</t>
  </si>
  <si>
    <t>32D4754A</t>
  </si>
  <si>
    <t>DERBY MOUNTAIN</t>
  </si>
  <si>
    <t>Sweet Grass</t>
  </si>
  <si>
    <t>323F05F8</t>
  </si>
  <si>
    <t>45:34:37.9992 (45.577222) North</t>
  </si>
  <si>
    <t>109:52:44.0004 (-109.878889) West</t>
  </si>
  <si>
    <t>DESATOYA MOUNTAIN</t>
  </si>
  <si>
    <t>325C6522</t>
  </si>
  <si>
    <t>39:18:07.0992 (39.301972) North</t>
  </si>
  <si>
    <t>117:35:02.4 (-117.584) West</t>
  </si>
  <si>
    <t>DESCANSO</t>
  </si>
  <si>
    <t>3236B02A</t>
  </si>
  <si>
    <t>32:51:26.6184 (32.857394) North</t>
  </si>
  <si>
    <t>116:37:20.6112 (-116.622392) West</t>
  </si>
  <si>
    <t>DESCHUTES PORTABLE</t>
  </si>
  <si>
    <t>328B3490</t>
  </si>
  <si>
    <t>43:22:44.6988 (43.379083) North</t>
  </si>
  <si>
    <t>121:44:22.8984 (-121.739694) West</t>
  </si>
  <si>
    <t xml:space="preserve">(775) 722-9878 </t>
  </si>
  <si>
    <t>centraloregondispatch@gmail.com</t>
  </si>
  <si>
    <t>DESCHUTES PORTABLE #2</t>
  </si>
  <si>
    <t>32BA2DBE</t>
  </si>
  <si>
    <t>44:30:00 (44.5) North</t>
  </si>
  <si>
    <t>121:30:00 (-121.5) West</t>
  </si>
  <si>
    <t xml:space="preserve">(541) 480-8617 </t>
  </si>
  <si>
    <t>Jeremy Gottfried</t>
  </si>
  <si>
    <t>jeremy.gottfried@usda.gov</t>
  </si>
  <si>
    <t xml:space="preserve">(458) 256-7765 </t>
  </si>
  <si>
    <t>DESERT NWR PORTABLE</t>
  </si>
  <si>
    <t>8379A686</t>
  </si>
  <si>
    <t>36:24:30.9996 (36.408611) North</t>
  </si>
  <si>
    <t>116:20:17.9988 (-116.338333) West</t>
  </si>
  <si>
    <t>DESERT NWR</t>
  </si>
  <si>
    <t>DESERT SPRINGS</t>
  </si>
  <si>
    <t>39:40:21 (39.6725) North</t>
  </si>
  <si>
    <t>119:46:12 (-119.77) West</t>
  </si>
  <si>
    <t>DESOTO</t>
  </si>
  <si>
    <t>03/06/0025</t>
  </si>
  <si>
    <t>41:31:59.9988 (41.533333) North</t>
  </si>
  <si>
    <t>96:04:59.9988 (-96.083333) West</t>
  </si>
  <si>
    <t>DESOTO NWR</t>
  </si>
  <si>
    <t>Sam Vanourney</t>
  </si>
  <si>
    <t>sam_vanourney@fws.gov</t>
  </si>
  <si>
    <t xml:space="preserve">(660) 442-5754 </t>
  </si>
  <si>
    <t>Jamie Farmer</t>
  </si>
  <si>
    <t>jamie_farmer@fws.gov</t>
  </si>
  <si>
    <t xml:space="preserve">(319) 523-6982 </t>
  </si>
  <si>
    <t>chad_loreth@fws.gov, chris_mursu@fws.gov, ryan_harr@fws.gov</t>
  </si>
  <si>
    <t>DETROIT LAKES</t>
  </si>
  <si>
    <t>Becker</t>
  </si>
  <si>
    <t>8376650A</t>
  </si>
  <si>
    <t>46:50:56.0004 (46.848889) North</t>
  </si>
  <si>
    <t>95:50:47.0004 (-95.846389) West</t>
  </si>
  <si>
    <t>DETROIT LAKES NWR</t>
  </si>
  <si>
    <t>Bradley_Oen@fws.gov</t>
  </si>
  <si>
    <t>Jason Westholter</t>
  </si>
  <si>
    <t>jason_westholter@fws.gov</t>
  </si>
  <si>
    <t xml:space="preserve">(218) 844-3419 </t>
  </si>
  <si>
    <t>Chad Loreth</t>
  </si>
  <si>
    <t>DEVIL MOUNTAIN</t>
  </si>
  <si>
    <t>3961221A</t>
  </si>
  <si>
    <t>66:17:45.24 (66.2959) North</t>
  </si>
  <si>
    <t>164:31:14.07 (-164.520575) West</t>
  </si>
  <si>
    <t>BERING LAND NP</t>
  </si>
  <si>
    <t>Kenneth Hill</t>
  </si>
  <si>
    <t>DEVIL MTN.</t>
  </si>
  <si>
    <t>323A37A2</t>
  </si>
  <si>
    <t>37:13:36.9984 (37.226944) North</t>
  </si>
  <si>
    <t>107:18:19.0008 (-107.305278) West</t>
  </si>
  <si>
    <t>Richard Bustamante</t>
  </si>
  <si>
    <t>richard.bustamante@usda.gov</t>
  </si>
  <si>
    <t xml:space="preserve">(970) 295-5445 </t>
  </si>
  <si>
    <t>ahester@blm.gov, kevin.lindner@usda.gov</t>
  </si>
  <si>
    <t>DEVILS GARDEN</t>
  </si>
  <si>
    <t>CA207324</t>
  </si>
  <si>
    <t>41:31:42.2184 (41.528394) North</t>
  </si>
  <si>
    <t>120:40:21.1584 (-120.672544) West</t>
  </si>
  <si>
    <t>charlie.harrison@fire.ca.gov</t>
  </si>
  <si>
    <t>DEVILS GRAVEYARD</t>
  </si>
  <si>
    <t>326B226C</t>
  </si>
  <si>
    <t>43:43:12.2988 (43.720083) North</t>
  </si>
  <si>
    <t>123:37:46.4988 (-123.629583) West</t>
  </si>
  <si>
    <t>DEVILS HILLS</t>
  </si>
  <si>
    <t>32BA8D46</t>
  </si>
  <si>
    <t>32:25:29.3988 (32.424833) North</t>
  </si>
  <si>
    <t>113:47:24.3996 (-113.790111) West</t>
  </si>
  <si>
    <t>DEVILS KNOB</t>
  </si>
  <si>
    <t>3289F47A</t>
  </si>
  <si>
    <t>35:36:50.6592 (35.614072) North</t>
  </si>
  <si>
    <t>93:32:19.68 (-93.5388) West</t>
  </si>
  <si>
    <t>DEVILS LAKE</t>
  </si>
  <si>
    <t>Benson</t>
  </si>
  <si>
    <t>5210E318</t>
  </si>
  <si>
    <t>47:59:18.5892 (47.988497) North</t>
  </si>
  <si>
    <t>98:58:29.5284 (-98.974869) West</t>
  </si>
  <si>
    <t>Fort Totten Agency</t>
  </si>
  <si>
    <t>Chris Cook</t>
  </si>
  <si>
    <t>fuelstech@gondtc.com</t>
  </si>
  <si>
    <t xml:space="preserve">(701) 766-4222 </t>
  </si>
  <si>
    <t>Heath Estey</t>
  </si>
  <si>
    <t>heath.estey@bia.gov</t>
  </si>
  <si>
    <t xml:space="preserve">(605) 226-7621 </t>
  </si>
  <si>
    <t>ahester@blm.gov, cheryl.bright@bia.gov, david.martin@bia.gov, heath.estey@bia.gov</t>
  </si>
  <si>
    <t>DEVILS TOWER</t>
  </si>
  <si>
    <t>FA64F588</t>
  </si>
  <si>
    <t>44:34:54.43 (44.581786) North</t>
  </si>
  <si>
    <t>104:43:10.2 (-104.7195) West</t>
  </si>
  <si>
    <t>DEVILS TOWER NM</t>
  </si>
  <si>
    <t>Al Stover</t>
  </si>
  <si>
    <t>DEVORE</t>
  </si>
  <si>
    <t>CA44F238</t>
  </si>
  <si>
    <t>34:10:55.7004 (34.182139) North</t>
  </si>
  <si>
    <t>117:23:06.3996 (-117.385111) West</t>
  </si>
  <si>
    <t>DEXTER</t>
  </si>
  <si>
    <t>37:50:19.9608 (37.838878) North</t>
  </si>
  <si>
    <t>118:46:18.8112 (-118.771892) West</t>
  </si>
  <si>
    <t>Ila Vradenburg</t>
  </si>
  <si>
    <t>ila.vradenburg@usda.gov</t>
  </si>
  <si>
    <t>DFPC PORTABLE 1</t>
  </si>
  <si>
    <t>32A1CA7A</t>
  </si>
  <si>
    <t>40:47:26.9988 (40.790833) North</t>
  </si>
  <si>
    <t>106:28:22.0008 (-106.472778) West</t>
  </si>
  <si>
    <t>DFPC PORTABLE 2</t>
  </si>
  <si>
    <t>Clear Creek</t>
  </si>
  <si>
    <t>32A245B2</t>
  </si>
  <si>
    <t>39:36:14.9004 (39.604139) North</t>
  </si>
  <si>
    <t>105:29:32.3016 (-105.492306) West</t>
  </si>
  <si>
    <t>DIABLO GRANDE</t>
  </si>
  <si>
    <t>Stanislaus</t>
  </si>
  <si>
    <t>CA2302BA</t>
  </si>
  <si>
    <t>37:19:45.3684 (37.329269) North</t>
  </si>
  <si>
    <t>121:17:43.3716 (-121.295381) West</t>
  </si>
  <si>
    <t>DIAMOND FLAT</t>
  </si>
  <si>
    <t>325EE6C2</t>
  </si>
  <si>
    <t>42:52:00.5016 (42.866806) North</t>
  </si>
  <si>
    <t>111:13:07.8996 (-111.218861) West</t>
  </si>
  <si>
    <t>Roo Phelps</t>
  </si>
  <si>
    <t xml:space="preserve">(208) 847-8954 </t>
  </si>
  <si>
    <t>ahester@blm.gov, rebecca.phelps@usda.gov, william.hogan@usda.gov</t>
  </si>
  <si>
    <t>DIAMOND LAKE</t>
  </si>
  <si>
    <t>5370D512</t>
  </si>
  <si>
    <t>45:06:20.0016 (45.105556) North</t>
  </si>
  <si>
    <t>90:41:24 (-90.69) West</t>
  </si>
  <si>
    <t>Daniel Jones</t>
  </si>
  <si>
    <t>DIAMOND RIM</t>
  </si>
  <si>
    <t>Uintah</t>
  </si>
  <si>
    <t>3255637E</t>
  </si>
  <si>
    <t>40:37:01.9992 (40.617222) North</t>
  </si>
  <si>
    <t>109:14:34.0008 (-109.242778) West</t>
  </si>
  <si>
    <t>VERNAL</t>
  </si>
  <si>
    <t>CHERYL NELSEN</t>
  </si>
  <si>
    <t>cnelsen@blm.gov</t>
  </si>
  <si>
    <t xml:space="preserve">(435) 781-5191 </t>
  </si>
  <si>
    <t>DILLINGHAM</t>
  </si>
  <si>
    <t>Honolulu</t>
  </si>
  <si>
    <t>3278D278</t>
  </si>
  <si>
    <t>21:34:18.9984 (21.571944) North</t>
  </si>
  <si>
    <t>158:11:54.9996 (-158.198611) West</t>
  </si>
  <si>
    <t>SCHOFIELD BARRACKS</t>
  </si>
  <si>
    <t>Bryson Kamakura</t>
  </si>
  <si>
    <t>bryson.kamakura.civ@army.mil</t>
  </si>
  <si>
    <t xml:space="preserve">(808) 888-9481 </t>
  </si>
  <si>
    <t>Justin Turnbo</t>
  </si>
  <si>
    <t>justin.l.turnbo.civ@army.mil</t>
  </si>
  <si>
    <t xml:space="preserve">(808) 653-0209 </t>
  </si>
  <si>
    <t>DILLON #1 PORTABLE</t>
  </si>
  <si>
    <t>Granite</t>
  </si>
  <si>
    <t>327B1068</t>
  </si>
  <si>
    <t>45:23:38.6016 (45.394056) North</t>
  </si>
  <si>
    <t>112:03:23.2992 (-112.056472) West</t>
  </si>
  <si>
    <t>DILLON</t>
  </si>
  <si>
    <t>Jonathan Clark</t>
  </si>
  <si>
    <t>jclark@blm.gov</t>
  </si>
  <si>
    <t>DILLON #2 PORTABLE</t>
  </si>
  <si>
    <t>327DF354</t>
  </si>
  <si>
    <t>45:15:10.008 (45.25278) North</t>
  </si>
  <si>
    <t>112:12:38.0016 (-112.210556) West</t>
  </si>
  <si>
    <t>DING DARLING NWR</t>
  </si>
  <si>
    <t>Lee</t>
  </si>
  <si>
    <t>3279E518</t>
  </si>
  <si>
    <t>26:26:26.9988 (26.440833) North</t>
  </si>
  <si>
    <t>82:06:16.9992 (-82.104722) West</t>
  </si>
  <si>
    <t>Greg Suszek</t>
  </si>
  <si>
    <t>greg_suszek@fws.gov</t>
  </si>
  <si>
    <t xml:space="preserve">(239) 657-7637 </t>
  </si>
  <si>
    <t>jon_wallace@fws.gov</t>
  </si>
  <si>
    <t>DINKEY</t>
  </si>
  <si>
    <t>326EF3C4</t>
  </si>
  <si>
    <t>37:03:59.3712 (37.066492) North</t>
  </si>
  <si>
    <t>119:09:26.1504 (-119.157264) West</t>
  </si>
  <si>
    <t>Robert Griffith</t>
  </si>
  <si>
    <t>robert.griffith@usda.gov</t>
  </si>
  <si>
    <t xml:space="preserve">(559) 855-5355 </t>
  </si>
  <si>
    <t>DINOSAUR NM SUCCESS</t>
  </si>
  <si>
    <t>FA45B596</t>
  </si>
  <si>
    <t>40:30:38.0016 (40.510556) North</t>
  </si>
  <si>
    <t>108:56:03.0012 (-108.934167) West</t>
  </si>
  <si>
    <t>DINOSAUR NP</t>
  </si>
  <si>
    <t>Joy Logan</t>
  </si>
  <si>
    <t>joy_logan@nps.gov</t>
  </si>
  <si>
    <t xml:space="preserve">(970) 374-3016 </t>
  </si>
  <si>
    <t>Emily Owens</t>
  </si>
  <si>
    <t>emily_owens@nps.gov</t>
  </si>
  <si>
    <t xml:space="preserve">(970) 629-0191 </t>
  </si>
  <si>
    <t>DISTANT</t>
  </si>
  <si>
    <t>Armstrong</t>
  </si>
  <si>
    <t>32B8FE22</t>
  </si>
  <si>
    <t>40:58:59.9016 (40.983306) North</t>
  </si>
  <si>
    <t>79:20:23.1 (-79.33975) West</t>
  </si>
  <si>
    <t>DIXIE PORTABLE #1</t>
  </si>
  <si>
    <t>3291B448</t>
  </si>
  <si>
    <t>37:23:10.2012 (37.386167) North</t>
  </si>
  <si>
    <t>113:30:08.2008 (-113.502278) West</t>
  </si>
  <si>
    <t>SCOTT TOBLER (Cell)</t>
  </si>
  <si>
    <t>scott.tobler@usda.gov</t>
  </si>
  <si>
    <t xml:space="preserve">(435) 691-3927 </t>
  </si>
  <si>
    <t>DIXIE PORTABLE #2</t>
  </si>
  <si>
    <t>329192A4</t>
  </si>
  <si>
    <t>37:38:28.1004 (37.641139) North</t>
  </si>
  <si>
    <t>112:39:52.02 (-112.66445) West</t>
  </si>
  <si>
    <t>Bode Mecham</t>
  </si>
  <si>
    <t>bode.mecham@usda.gov</t>
  </si>
  <si>
    <t xml:space="preserve">(435) 865-3273 </t>
  </si>
  <si>
    <t>DIXIE PORTABLE #3</t>
  </si>
  <si>
    <t>326D31D4</t>
  </si>
  <si>
    <t>37:32:38.67 (37.544075) North</t>
  </si>
  <si>
    <t>112:22:18.12 (-112.3717) West</t>
  </si>
  <si>
    <t>Scott Tobler (Cell)</t>
  </si>
  <si>
    <t>Derek Barton</t>
  </si>
  <si>
    <t>derek.barton@usda.gov</t>
  </si>
  <si>
    <t xml:space="preserve">(435) 691-3416 </t>
  </si>
  <si>
    <t>DIXIE PORTABLE #4</t>
  </si>
  <si>
    <t>3281F0DC</t>
  </si>
  <si>
    <t>38:00:12.996 (38.00361) North</t>
  </si>
  <si>
    <t>111:28:41.4012 (-111.478167) West</t>
  </si>
  <si>
    <t xml:space="preserve"> leo.tobler@usda.gov</t>
  </si>
  <si>
    <t>Shane Woolsey</t>
  </si>
  <si>
    <t>shane.woolsey@usda.gov</t>
  </si>
  <si>
    <t xml:space="preserve">(435) 826-5472 </t>
  </si>
  <si>
    <t>DIXON</t>
  </si>
  <si>
    <t>Escambia</t>
  </si>
  <si>
    <t>32B26A12</t>
  </si>
  <si>
    <t>31:09:42.5016 (31.161806) North</t>
  </si>
  <si>
    <t>86:42:11.7 (-86.70325) West</t>
  </si>
  <si>
    <t>Kevin Mock</t>
  </si>
  <si>
    <t>joseph.k.mock@usda.gov</t>
  </si>
  <si>
    <t xml:space="preserve">(334) 222-2555 </t>
  </si>
  <si>
    <t>Scott turner</t>
  </si>
  <si>
    <t>stacee.sadler@usda.gov</t>
  </si>
  <si>
    <t>DIXON SPRINGS</t>
  </si>
  <si>
    <t>3282B4D8</t>
  </si>
  <si>
    <t>37:26:12.4008 (37.436778) North</t>
  </si>
  <si>
    <t>88:40:02.3988 (-88.667333) West</t>
  </si>
  <si>
    <t>Shane Campbell</t>
  </si>
  <si>
    <t>shane.campbell@usda.gov</t>
  </si>
  <si>
    <t xml:space="preserve">(205) 496-969 </t>
  </si>
  <si>
    <t xml:space="preserve">whitney.jiter@usda.gov </t>
  </si>
  <si>
    <t>jerald.naugle@usda.gov, scott.w.crist@usda.gov, tyson.taylor@usda.gov, whitney.jiter@usda.gov</t>
  </si>
  <si>
    <t>DODGE CREEK</t>
  </si>
  <si>
    <t>3276E38A</t>
  </si>
  <si>
    <t>41:58:01.9992 (41.967222) North</t>
  </si>
  <si>
    <t>105:31:09.0012 (-105.519167) West</t>
  </si>
  <si>
    <t>DODGEVILLE</t>
  </si>
  <si>
    <t>43:01:22.8216 (43.023006) North</t>
  </si>
  <si>
    <t>90:08:21.624 (-90.13934) West</t>
  </si>
  <si>
    <t>DOE LAKE</t>
  </si>
  <si>
    <t>Alger</t>
  </si>
  <si>
    <t>328355D0</t>
  </si>
  <si>
    <t>46:15:12.9996 (46.253611) North</t>
  </si>
  <si>
    <t>86:42:51.0012 (-86.714167) West</t>
  </si>
  <si>
    <t>Nicholas Mouthaan</t>
  </si>
  <si>
    <t>Nicholas.mouthaan@usda.gov</t>
  </si>
  <si>
    <t>(906) 474-6442 36</t>
  </si>
  <si>
    <t>DOF PORT 1</t>
  </si>
  <si>
    <t>D0A0050E</t>
  </si>
  <si>
    <t>30:28:48 (30.48) North</t>
  </si>
  <si>
    <t>84:24:35 (-84.409722) West</t>
  </si>
  <si>
    <t>Matt Weinell</t>
  </si>
  <si>
    <t>matt.weinell@FDACS.gov</t>
  </si>
  <si>
    <t xml:space="preserve">(850) 681-5931 </t>
  </si>
  <si>
    <t>DOF PORT 2</t>
  </si>
  <si>
    <t>D0A01678</t>
  </si>
  <si>
    <t>84:24:34.9992 (-84.409722) West</t>
  </si>
  <si>
    <t>matt.weinell@fdacs.gov</t>
  </si>
  <si>
    <t>John Noneman</t>
  </si>
  <si>
    <t>DOF PORT 3</t>
  </si>
  <si>
    <t>D0A023E2</t>
  </si>
  <si>
    <t>Bryan WIlliams</t>
  </si>
  <si>
    <t>DOF PORT 4</t>
  </si>
  <si>
    <t>D0A060E8</t>
  </si>
  <si>
    <t>84:43:05 (-84.718056) West</t>
  </si>
  <si>
    <t>DOF PORT 5</t>
  </si>
  <si>
    <t>D0A0739E</t>
  </si>
  <si>
    <t>DOF PORT 6</t>
  </si>
  <si>
    <t>D0A0831A</t>
  </si>
  <si>
    <t>DOG CANYON</t>
  </si>
  <si>
    <t>Culberson</t>
  </si>
  <si>
    <t>326C06B4</t>
  </si>
  <si>
    <t>31:59:45.96 (31.9961) North</t>
  </si>
  <si>
    <t>104:50:01.5 (-104.83375) West</t>
  </si>
  <si>
    <t>GUADALUPE NP</t>
  </si>
  <si>
    <t>jay_yancick@nps.gov, mdunivan@tfs.tamu.edu</t>
  </si>
  <si>
    <t>DOG VALLEY</t>
  </si>
  <si>
    <t>Sierra</t>
  </si>
  <si>
    <t>3272A5BA</t>
  </si>
  <si>
    <t>39:33:42.9984 (39.561944) North</t>
  </si>
  <si>
    <t>120:02:52.0008 (-120.047778) West</t>
  </si>
  <si>
    <t>Dejon Clay</t>
  </si>
  <si>
    <t>dejon.clay@usda.gov</t>
  </si>
  <si>
    <t xml:space="preserve">(775) 352-1224 </t>
  </si>
  <si>
    <t>Michael Watson</t>
  </si>
  <si>
    <t>michael.watsonquiroz@usda.gov</t>
  </si>
  <si>
    <t xml:space="preserve">(775) 882-2766 </t>
  </si>
  <si>
    <t>ahester@blm.gov, christopher.s.burns@usda.gov, david.dale@usda.gov, erica.connelly@usda.gov</t>
  </si>
  <si>
    <t>DOLL HILL</t>
  </si>
  <si>
    <t>Cameron</t>
  </si>
  <si>
    <t>32B0CF1E</t>
  </si>
  <si>
    <t>41:36:21.0996 (41.605861) North</t>
  </si>
  <si>
    <t>78:14:11.5008 (-78.236528) West</t>
  </si>
  <si>
    <t>DOLORES D5 PORTABLE</t>
  </si>
  <si>
    <t>Dolores</t>
  </si>
  <si>
    <t>32B6DCA6</t>
  </si>
  <si>
    <t>37:31:21.7812 (37.522717) North</t>
  </si>
  <si>
    <t>108:28:54.4188 (-108.481783) West</t>
  </si>
  <si>
    <t>Vince Mowery</t>
  </si>
  <si>
    <t>vincent.mowery@usda.gov</t>
  </si>
  <si>
    <t xml:space="preserve">(970) 317-4732 </t>
  </si>
  <si>
    <t>DONIPHAN</t>
  </si>
  <si>
    <t>3271F2C8</t>
  </si>
  <si>
    <t>36:38:46.2012 (36.646167) North</t>
  </si>
  <si>
    <t>90:46:48.7992 (-90.780222) West</t>
  </si>
  <si>
    <t>DONNELLY</t>
  </si>
  <si>
    <t>D0D013D4</t>
  </si>
  <si>
    <t>63:51:00.9 (63.85025) North</t>
  </si>
  <si>
    <t>145:42:18.4788 (-145.705133) West</t>
  </si>
  <si>
    <t xml:space="preserve">(907) 334-5174 </t>
  </si>
  <si>
    <t>DOS PALMAS</t>
  </si>
  <si>
    <t>324E2442</t>
  </si>
  <si>
    <t>33:30:19.2996 (33.505361) North</t>
  </si>
  <si>
    <t>115:50:22.8984 (-115.839694) West</t>
  </si>
  <si>
    <t>DOUBLE H</t>
  </si>
  <si>
    <t>3250122E</t>
  </si>
  <si>
    <t>41:39:09 (41.6525) North</t>
  </si>
  <si>
    <t>118:02:39.0012 (-118.044167) West</t>
  </si>
  <si>
    <t>DOUGLAS</t>
  </si>
  <si>
    <t>47:37:11.7012 (47.619917) North</t>
  </si>
  <si>
    <t>119:53:57.8004 (-119.899389) West</t>
  </si>
  <si>
    <t>SPOKANE</t>
  </si>
  <si>
    <t>Lonnie Newton</t>
  </si>
  <si>
    <t>lnewton@blm.gov</t>
  </si>
  <si>
    <t xml:space="preserve">(208) 769-5017 </t>
  </si>
  <si>
    <t>DOUGLAS INGRAM RIDGE</t>
  </si>
  <si>
    <t>3246936A</t>
  </si>
  <si>
    <t>48:06:56.0016 (48.115556) North</t>
  </si>
  <si>
    <t>120:06:15.9984 (-120.104444) West</t>
  </si>
  <si>
    <t>Brian Campbell</t>
  </si>
  <si>
    <t>brian.d.campbell@usda.gov</t>
  </si>
  <si>
    <t xml:space="preserve">(509) 740-2275 </t>
  </si>
  <si>
    <t>aana.kulaas@usda.gov, ahester@blm.gov, erinkate.springer@usda.gov</t>
  </si>
  <si>
    <t>DOVE FIELD</t>
  </si>
  <si>
    <t>Vernon</t>
  </si>
  <si>
    <t>333383D2</t>
  </si>
  <si>
    <t>31:02:12.9984 (31.036944) North</t>
  </si>
  <si>
    <t>92:59:11.1984 (-92.986444) West</t>
  </si>
  <si>
    <t>dustindill@usda.gov</t>
  </si>
  <si>
    <t>DOWD JUNCTION</t>
  </si>
  <si>
    <t>Eagle</t>
  </si>
  <si>
    <t>3241B960</t>
  </si>
  <si>
    <t>39:37:39.5004 (39.627639) North</t>
  </si>
  <si>
    <t>106:27:07.8012 (-106.452167) West</t>
  </si>
  <si>
    <t>DOYLE</t>
  </si>
  <si>
    <t>325694F4</t>
  </si>
  <si>
    <t>40:03:31.8996 (40.058861) North</t>
  </si>
  <si>
    <t>120:05:37.3992 (-120.093722) West</t>
  </si>
  <si>
    <t>Tanner Rosette</t>
  </si>
  <si>
    <t>trosette@blm.gov</t>
  </si>
  <si>
    <t xml:space="preserve">(530) 640-3332 </t>
  </si>
  <si>
    <t>DRAGON ROAD</t>
  </si>
  <si>
    <t>324A8180</t>
  </si>
  <si>
    <t>39:54:54.6012 (39.915167) North</t>
  </si>
  <si>
    <t>108:53:15.6012 (-108.887667) West</t>
  </si>
  <si>
    <t>DRIPPING SPRINGS</t>
  </si>
  <si>
    <t>Dona Ana</t>
  </si>
  <si>
    <t>324B900C</t>
  </si>
  <si>
    <t>32:19:20.1 (32.32225) North</t>
  </si>
  <si>
    <t>106:35:11.7996 (-106.586611) West</t>
  </si>
  <si>
    <t>LAS CRUCES</t>
  </si>
  <si>
    <t>Jon Selby</t>
  </si>
  <si>
    <t>jselby@blm.gov</t>
  </si>
  <si>
    <t xml:space="preserve">(575) 644-5449 </t>
  </si>
  <si>
    <t>Mark Bernal</t>
  </si>
  <si>
    <t>mbernal@blm.gov</t>
  </si>
  <si>
    <t xml:space="preserve">(575) 644-6734 </t>
  </si>
  <si>
    <t>DRIPPING SPRINGS-NORTH</t>
  </si>
  <si>
    <t>Hays</t>
  </si>
  <si>
    <t>32D04B38</t>
  </si>
  <si>
    <t>30:13:07.4172 (30.218727) North</t>
  </si>
  <si>
    <t>98:05:04.074 (-98.084465) West</t>
  </si>
  <si>
    <t>HAYS CO EM</t>
  </si>
  <si>
    <t>HAYS48 - Hays County Emergency Management</t>
  </si>
  <si>
    <t>Ryan Wade</t>
  </si>
  <si>
    <t>rwade@water-and-earth.com</t>
  </si>
  <si>
    <t xml:space="preserve">(406) 858-2265 </t>
  </si>
  <si>
    <t>Justin McInnis</t>
  </si>
  <si>
    <t>justin.mcinnis@co.hays.tx.us</t>
  </si>
  <si>
    <t xml:space="preserve">(512) 393-7396 </t>
  </si>
  <si>
    <t>DRY BAY</t>
  </si>
  <si>
    <t>59:10:04.6128 (59.167948) North</t>
  </si>
  <si>
    <t>138:29:02.7348 (-138.484093) West</t>
  </si>
  <si>
    <t>DRY BLOOD CREEK</t>
  </si>
  <si>
    <t>Petroleum</t>
  </si>
  <si>
    <t>3276951A</t>
  </si>
  <si>
    <t>47:14:38.9004 (47.244139) North</t>
  </si>
  <si>
    <t>108:21:32.1012 (-108.358917) West</t>
  </si>
  <si>
    <t>DRY CANYON</t>
  </si>
  <si>
    <t>325BE102</t>
  </si>
  <si>
    <t>41:26:38.4 (41.444) North</t>
  </si>
  <si>
    <t>119:06:51.9984 (-119.114444) West</t>
  </si>
  <si>
    <t>Austin Walker</t>
  </si>
  <si>
    <t>DRY CREEK</t>
  </si>
  <si>
    <t>323814BA</t>
  </si>
  <si>
    <t>47:43:37.9992 (47.727222) North</t>
  </si>
  <si>
    <t>120:32:22.9992 (-120.539722) West</t>
  </si>
  <si>
    <t>Michael Barajas</t>
  </si>
  <si>
    <t>michael.barajas@usda.gov</t>
  </si>
  <si>
    <t xml:space="preserve">(509) 548-2565 </t>
  </si>
  <si>
    <t>ahester@blm.gov, michael.barajas@usda.gov</t>
  </si>
  <si>
    <t>32B2CAEA</t>
  </si>
  <si>
    <t>44:19:08.6016 (44.319056) North</t>
  </si>
  <si>
    <t>108:53:47.4 (-108.8965) West</t>
  </si>
  <si>
    <t>Shawn Gettings</t>
  </si>
  <si>
    <t>sgettings@blm.gov</t>
  </si>
  <si>
    <t xml:space="preserve">(307) 851-8422 </t>
  </si>
  <si>
    <t>Matthew Rothleutner</t>
  </si>
  <si>
    <t>mlrothleutner@blm.gov</t>
  </si>
  <si>
    <t xml:space="preserve">(307) 431-4209 </t>
  </si>
  <si>
    <t xml:space="preserve"> sgettings@blm.gov, jellington@blm.gov, mlrothleutner@blm.gov, rneighbo@blm.gov</t>
  </si>
  <si>
    <t>Jamie Ellington</t>
  </si>
  <si>
    <t>DRY CREEK BASIN</t>
  </si>
  <si>
    <t>San Miguel</t>
  </si>
  <si>
    <t>32B7BBBA</t>
  </si>
  <si>
    <t>38:06:56.1996 (38.115611) North</t>
  </si>
  <si>
    <t>108:42:40.7016 (-108.711306) West</t>
  </si>
  <si>
    <t>DURANGO</t>
  </si>
  <si>
    <t>Nathaniel West</t>
  </si>
  <si>
    <t>nwest@blm.gov</t>
  </si>
  <si>
    <t xml:space="preserve">(970) 749-1809 </t>
  </si>
  <si>
    <t>DRY CRK</t>
  </si>
  <si>
    <t>3286C772</t>
  </si>
  <si>
    <t>45:56:36.9996 (45.943611) North</t>
  </si>
  <si>
    <t>121:59:15 (-121.9875) West</t>
  </si>
  <si>
    <t>DRY GULCH</t>
  </si>
  <si>
    <t>324EF22A</t>
  </si>
  <si>
    <t>39:55:37.2 (39.927) North</t>
  </si>
  <si>
    <t>106:32:42.6012 (-106.545167) West</t>
  </si>
  <si>
    <t>DRY LAKE</t>
  </si>
  <si>
    <t>Routt</t>
  </si>
  <si>
    <t>3235E758</t>
  </si>
  <si>
    <t>40:32:04.9992 (40.534722) North</t>
  </si>
  <si>
    <t>106:46:50.9988 (-106.780833) West</t>
  </si>
  <si>
    <t>ROUTT NF</t>
  </si>
  <si>
    <t>Wade McPhetridge</t>
  </si>
  <si>
    <t>wade.mcphetridge@usda.gov</t>
  </si>
  <si>
    <t xml:space="preserve">(208) 993-3743 </t>
  </si>
  <si>
    <t>Lance Broyles</t>
  </si>
  <si>
    <t>lance.broyles@usda.gov</t>
  </si>
  <si>
    <t xml:space="preserve">(970) 629-2524 </t>
  </si>
  <si>
    <t>5210B364</t>
  </si>
  <si>
    <t>33:21:35.3592 (33.359822) North</t>
  </si>
  <si>
    <t>109:49:59.0196 (-109.833061) West</t>
  </si>
  <si>
    <t>DRY PARK</t>
  </si>
  <si>
    <t>36:27:11.0988 (36.453083) North</t>
  </si>
  <si>
    <t>112:14:17.4984 (-112.238194) West</t>
  </si>
  <si>
    <t>KAIBAB NF</t>
  </si>
  <si>
    <t>Robert Veater</t>
  </si>
  <si>
    <t>robert.veater@usda.gov</t>
  </si>
  <si>
    <t xml:space="preserve">(928) 660-0431 </t>
  </si>
  <si>
    <t xml:space="preserve">(775) 296-0140 </t>
  </si>
  <si>
    <t xml:space="preserve"> andrew.leiendecker@usda.gov,  richard_naden@nps.gov, quentin.ford@usda.gov</t>
  </si>
  <si>
    <t>Quentin Ford</t>
  </si>
  <si>
    <t>DUGWAY-N</t>
  </si>
  <si>
    <t>32B3754C</t>
  </si>
  <si>
    <t>40:23:14.1 (40.38725) North</t>
  </si>
  <si>
    <t>113:01:56.3016 (-113.032306) West</t>
  </si>
  <si>
    <t>DUGWAY</t>
  </si>
  <si>
    <t>Nathan Long</t>
  </si>
  <si>
    <t>nathan.long10.civ@army.mil</t>
  </si>
  <si>
    <t xml:space="preserve">(435) 831-8921 </t>
  </si>
  <si>
    <t>DPG Fire Department</t>
  </si>
  <si>
    <t>david.a.landis4.civ@mail.mil</t>
  </si>
  <si>
    <t xml:space="preserve">(435) 831-2236 </t>
  </si>
  <si>
    <t>ahester@blm.gov, keeli.s.marvel.civ@army.mil</t>
  </si>
  <si>
    <t>DUGWAY-S</t>
  </si>
  <si>
    <t>32B37B9E</t>
  </si>
  <si>
    <t>40:09:49.3992 (40.163722) North</t>
  </si>
  <si>
    <t>112:53:27.2004 (-112.890889) West</t>
  </si>
  <si>
    <t>DUGWAY-W</t>
  </si>
  <si>
    <t>32B385C8</t>
  </si>
  <si>
    <t>40:06:56.0988 (40.115583) North</t>
  </si>
  <si>
    <t>113:06:40.2984 (-113.111194) West</t>
  </si>
  <si>
    <t xml:space="preserve"> keeli.s.marvel.civ@army.mil, ahester@blm.gov</t>
  </si>
  <si>
    <t>DUKE FOREST</t>
  </si>
  <si>
    <t>326E9622</t>
  </si>
  <si>
    <t>35:58:15.6396 (35.971011) North</t>
  </si>
  <si>
    <t>79:05:35.9988 (-79.093333) West</t>
  </si>
  <si>
    <t xml:space="preserve">(910) 387-2913 </t>
  </si>
  <si>
    <t>DULCE #2</t>
  </si>
  <si>
    <t>36:56:06.6984 (36.935194) North</t>
  </si>
  <si>
    <t>107:00:00.3996 (-107.000111) West</t>
  </si>
  <si>
    <t>Jicarilla Agency</t>
  </si>
  <si>
    <t>ANNA PIERCE</t>
  </si>
  <si>
    <t>anna.pierce@bia.gov</t>
  </si>
  <si>
    <t xml:space="preserve">(575) 419-2289 </t>
  </si>
  <si>
    <t>PETE TECUBE</t>
  </si>
  <si>
    <t xml:space="preserve">(505) 801-2715 </t>
  </si>
  <si>
    <t>DUMONT</t>
  </si>
  <si>
    <t>AB200678</t>
  </si>
  <si>
    <t>39:45:54 (39.765) North</t>
  </si>
  <si>
    <t>105:35:48.9984 (-105.596944) West</t>
  </si>
  <si>
    <t>JEFFCO - Jefferson Co. Sheriff's Office-Emer. Mang.</t>
  </si>
  <si>
    <t>DUNCAN</t>
  </si>
  <si>
    <t>Placer</t>
  </si>
  <si>
    <t>3274731C</t>
  </si>
  <si>
    <t>39:08:36.8088 (39.143558) North</t>
  </si>
  <si>
    <t>120:30:33.7896 (-120.509386) West</t>
  </si>
  <si>
    <t>Mike Durocher</t>
  </si>
  <si>
    <t>mike.durocher@usda.gov</t>
  </si>
  <si>
    <t xml:space="preserve">(530) 906-2225 </t>
  </si>
  <si>
    <t>Jeremy Hieronimus</t>
  </si>
  <si>
    <t>jeremy.hieronimus@usda.gov</t>
  </si>
  <si>
    <t xml:space="preserve">(530) 367-2224 </t>
  </si>
  <si>
    <t>ahester@blm.gov, brian, crawford@usda.gov, shuckstep@blm.gov, terrance.lim@usda.gov</t>
  </si>
  <si>
    <t>DUNKEN</t>
  </si>
  <si>
    <t>Chaves</t>
  </si>
  <si>
    <t>325B41FA</t>
  </si>
  <si>
    <t>32:49:28.8012 (32.824667) North</t>
  </si>
  <si>
    <t>105:10:57.3996 (-105.182611) West</t>
  </si>
  <si>
    <t>DUNKLE HILLS</t>
  </si>
  <si>
    <t>3960B582</t>
  </si>
  <si>
    <t>63:18:01.16 (63.300322) North</t>
  </si>
  <si>
    <t>149:32:29.51 (-149.541531) West</t>
  </si>
  <si>
    <t>DURBIN CREEK</t>
  </si>
  <si>
    <t>Laurens</t>
  </si>
  <si>
    <t>32B7337C</t>
  </si>
  <si>
    <t>34:43:20.5212 (34.722367) North</t>
  </si>
  <si>
    <t>82:05:49.2 (-82.097) West</t>
  </si>
  <si>
    <t>Dale Curry</t>
  </si>
  <si>
    <t>dcurry@scfc.gov</t>
  </si>
  <si>
    <t xml:space="preserve">(864) 389-0618 </t>
  </si>
  <si>
    <t>DUTCH KID</t>
  </si>
  <si>
    <t>32BC60A8</t>
  </si>
  <si>
    <t>35:07:45.5016 (35.129306) North</t>
  </si>
  <si>
    <t>112:16:55.8984 (-112.282194) West</t>
  </si>
  <si>
    <t>Steven Vankirk</t>
  </si>
  <si>
    <t>steven.vankirk@usda.gov</t>
  </si>
  <si>
    <t xml:space="preserve">(928) 606-7320 </t>
  </si>
  <si>
    <t>Jordan Keller</t>
  </si>
  <si>
    <t>jordan.keller@usda.gov</t>
  </si>
  <si>
    <t>ahester@blm.gov, jgeer@blm.gov quentin.ford@usda.gov andrew.leiendecker@usda.gov</t>
  </si>
  <si>
    <t>DUTCH-INDY</t>
  </si>
  <si>
    <t>32A0034C</t>
  </si>
  <si>
    <t>41:38:36.7188 (41.643533) North</t>
  </si>
  <si>
    <t>123:26:38.6484 (-123.444069) West</t>
  </si>
  <si>
    <t>Chris Ware</t>
  </si>
  <si>
    <t>christopher.ware@usda.gov</t>
  </si>
  <si>
    <t xml:space="preserve">(530) 598-4135 </t>
  </si>
  <si>
    <t>DYAR PASTURE</t>
  </si>
  <si>
    <t>Greene</t>
  </si>
  <si>
    <t>32D3B260</t>
  </si>
  <si>
    <t>33:38:50.1612 (33.647267) North</t>
  </si>
  <si>
    <t>83:17:40.6392 (-83.294622) West</t>
  </si>
  <si>
    <t>Amy Galetka</t>
  </si>
  <si>
    <t>amy.galetka@usda.gov</t>
  </si>
  <si>
    <t xml:space="preserve">(707) 349-8771 </t>
  </si>
  <si>
    <t>Tim Kolnik</t>
  </si>
  <si>
    <t>timothy.kolnik@usda.gov</t>
  </si>
  <si>
    <t xml:space="preserve">(706) 816-1372 </t>
  </si>
  <si>
    <t>amy.galetka@usda.gov, michael.davis1@usda.gov, timothy.kolnik@usda.gov</t>
  </si>
  <si>
    <t>DYEA</t>
  </si>
  <si>
    <t>59:30:42.8004 (59.511889) North</t>
  </si>
  <si>
    <t>135:20:48.6636 (-135.346851) West</t>
  </si>
  <si>
    <t>DYERSBURG</t>
  </si>
  <si>
    <t>Dyer</t>
  </si>
  <si>
    <t>0260D71E</t>
  </si>
  <si>
    <t>35:59:24 (35.99) North</t>
  </si>
  <si>
    <t>89:24:20.9988 (-89.405833) West</t>
  </si>
  <si>
    <t>EAGLE</t>
  </si>
  <si>
    <t>FA60E3C4</t>
  </si>
  <si>
    <t>64:46:34.26 (64.776183) North</t>
  </si>
  <si>
    <t>141:09:49.38 (-141.163717) West</t>
  </si>
  <si>
    <t>Jason Devcich</t>
  </si>
  <si>
    <t xml:space="preserve">(907) 455-0651 </t>
  </si>
  <si>
    <t>Waukesha</t>
  </si>
  <si>
    <t>32A280AC</t>
  </si>
  <si>
    <t>42:51:34.5852 (42.859607) North</t>
  </si>
  <si>
    <t>88:30:57.258 (-88.515905) West</t>
  </si>
  <si>
    <t>326FD7D2</t>
  </si>
  <si>
    <t>46:48:02.9988 (46.800833) North</t>
  </si>
  <si>
    <t>115:32:13.9992 (-115.537222) West</t>
  </si>
  <si>
    <t>Terra Rintelen</t>
  </si>
  <si>
    <t>terra.rintelen@usda.gov</t>
  </si>
  <si>
    <t xml:space="preserve">(208) 476-8251 </t>
  </si>
  <si>
    <t>ahester@blm.gov, brian.russell@usda.gov, idgvc@firenet.gov</t>
  </si>
  <si>
    <t>326FA142</t>
  </si>
  <si>
    <t>44:29:08.0016 (44.485556) North</t>
  </si>
  <si>
    <t>109:53:47.0004 (-109.896389) West</t>
  </si>
  <si>
    <t xml:space="preserve">(307) 388-3997 </t>
  </si>
  <si>
    <t>ahester@blm.gov, clint.dawson@usda.gov</t>
  </si>
  <si>
    <t>EAGLE CREEK</t>
  </si>
  <si>
    <t>Clackamas</t>
  </si>
  <si>
    <t>600037F4</t>
  </si>
  <si>
    <t>45:22:04.5912 (45.367942) North</t>
  </si>
  <si>
    <t>122:19:51.4992 (-122.330972) West</t>
  </si>
  <si>
    <t>Bill Huserik</t>
  </si>
  <si>
    <t>bill.huserik@odf.oregon.gov</t>
  </si>
  <si>
    <t xml:space="preserve">(503) 781-7830 </t>
  </si>
  <si>
    <t>Dillon Neumann</t>
  </si>
  <si>
    <t>dillon.neumann@odf.oregon.gov</t>
  </si>
  <si>
    <t xml:space="preserve">(503) 969-6018 </t>
  </si>
  <si>
    <t>kyle.r.koonce@odf.oregon.gov</t>
  </si>
  <si>
    <t>EAGLE PEAK</t>
  </si>
  <si>
    <t>3242C62C</t>
  </si>
  <si>
    <t>39:55:36.9984 (39.926944) North</t>
  </si>
  <si>
    <t>122:38:30.9984 (-122.641944) West</t>
  </si>
  <si>
    <t>EAGLE RIVER</t>
  </si>
  <si>
    <t>9A7016B0</t>
  </si>
  <si>
    <t>61:17:14.2008 (61.287278) North</t>
  </si>
  <si>
    <t>149:28:15.2004 (-149.470889) West</t>
  </si>
  <si>
    <t>EAST AUSTIN RAWS</t>
  </si>
  <si>
    <t>AAAF201C</t>
  </si>
  <si>
    <t>30:15:54.7308 (30.265203) North</t>
  </si>
  <si>
    <t>97:36:55.5012 (-97.615417) West</t>
  </si>
  <si>
    <t>Travis Sagebiel (Cell)</t>
  </si>
  <si>
    <t>Bill McCauley</t>
  </si>
  <si>
    <t>bill.mccauley@traviscountytx.gov</t>
  </si>
  <si>
    <t xml:space="preserve">(737) 414-4656 </t>
  </si>
  <si>
    <t>EAST PEAK</t>
  </si>
  <si>
    <t>Ceiba</t>
  </si>
  <si>
    <t>32BD07B4</t>
  </si>
  <si>
    <t>18:16:03.3816 (18.267606) North</t>
  </si>
  <si>
    <t>65:45:27.9216 (-65.757756) West</t>
  </si>
  <si>
    <t>EASTERN DIVIDE PORTABLE</t>
  </si>
  <si>
    <t>AAC3903C</t>
  </si>
  <si>
    <t>37:16:30.7812 (37.275217) North</t>
  </si>
  <si>
    <t>80:25:15.78 (-80.42105) West</t>
  </si>
  <si>
    <t>Will Brimm</t>
  </si>
  <si>
    <t>William.brimm@usda.gov</t>
  </si>
  <si>
    <t xml:space="preserve">(540) 577-6264 </t>
  </si>
  <si>
    <t>EASTPORT</t>
  </si>
  <si>
    <t>Suffolk</t>
  </si>
  <si>
    <t>625073F8</t>
  </si>
  <si>
    <t>40:52:24.9996 (40.873611) North</t>
  </si>
  <si>
    <t>72:42:50.0004 (-72.713889) West</t>
  </si>
  <si>
    <t>Judy Jakobson</t>
  </si>
  <si>
    <t>Judy.Jakobsen@scwa.com</t>
  </si>
  <si>
    <t xml:space="preserve">(631) 563-0306 </t>
  </si>
  <si>
    <t>Jerry Tverdyy</t>
  </si>
  <si>
    <t>jtverdyy@pb.state.ny.us</t>
  </si>
  <si>
    <t xml:space="preserve">(631) 563-0352 </t>
  </si>
  <si>
    <t>EB FORSYTHE</t>
  </si>
  <si>
    <t>Atlantic</t>
  </si>
  <si>
    <t>837767F0</t>
  </si>
  <si>
    <t>39:27:53.9784 (39.464994) North</t>
  </si>
  <si>
    <t>74:26:56.6808 (-74.449078) West</t>
  </si>
  <si>
    <t>EB FORSYTHE NWR</t>
  </si>
  <si>
    <t>Brett Gore</t>
  </si>
  <si>
    <t>brett_gore@fws.gov</t>
  </si>
  <si>
    <t xml:space="preserve">(973) 907-4694 </t>
  </si>
  <si>
    <t>John Ashcraft</t>
  </si>
  <si>
    <t>ECHETA</t>
  </si>
  <si>
    <t>3278318A</t>
  </si>
  <si>
    <t>44:27:55.6992 (44.465472) North</t>
  </si>
  <si>
    <t>105:50:40.2 (-105.8445) West</t>
  </si>
  <si>
    <t>Casey Cheesebrough</t>
  </si>
  <si>
    <t>roldenburg@blm.gov, rputnam@blm.gov</t>
  </si>
  <si>
    <t>EDDY TOWER</t>
  </si>
  <si>
    <t>30:32:31.9812 (30.542217) North</t>
  </si>
  <si>
    <t>82:20:35.3292 (-82.343147) West</t>
  </si>
  <si>
    <t xml:space="preserve">(850) 523-8614 </t>
  </si>
  <si>
    <t>Wesley Woodrome</t>
  </si>
  <si>
    <t>wesley.woodrome@usda.gov</t>
  </si>
  <si>
    <t xml:space="preserve">(386) 752-2577 </t>
  </si>
  <si>
    <t>EDEN</t>
  </si>
  <si>
    <t>Wallowa</t>
  </si>
  <si>
    <t>3246157E</t>
  </si>
  <si>
    <t>45:52:35.0004 (45.876389) North</t>
  </si>
  <si>
    <t>117:36:59.0004 (-117.616389) West</t>
  </si>
  <si>
    <t>EEL POINT</t>
  </si>
  <si>
    <t>9330B7F4</t>
  </si>
  <si>
    <t>10/05/0022</t>
  </si>
  <si>
    <t>32:55:33.0996 (32.925861) North</t>
  </si>
  <si>
    <t>118:32:32.6004 (-118.542389) West</t>
  </si>
  <si>
    <t>USN</t>
  </si>
  <si>
    <t>SAN DIEGO NAVAL BASE</t>
  </si>
  <si>
    <t>USNAVY - US Navy Conservation</t>
  </si>
  <si>
    <t>Lisa Ordonez</t>
  </si>
  <si>
    <t>lisa.r.ordonez.civ@us.navy.mil</t>
  </si>
  <si>
    <t xml:space="preserve">(619) 694-0159 </t>
  </si>
  <si>
    <t>Nicole Desnoyers</t>
  </si>
  <si>
    <t>nicole.j.desnoyers.civ@us.navy.mil</t>
  </si>
  <si>
    <t xml:space="preserve">(802) 782-4610 </t>
  </si>
  <si>
    <t>EEL RIVER (MNF)</t>
  </si>
  <si>
    <t>3241B7B2</t>
  </si>
  <si>
    <t>39:49:29.8992 (39.824972) North</t>
  </si>
  <si>
    <t>123:05:03.5016 (-123.084306) West</t>
  </si>
  <si>
    <t>Flavia Dexhiemer</t>
  </si>
  <si>
    <t>flavia.munarskidexheimer@usda.gov</t>
  </si>
  <si>
    <t xml:space="preserve">(530) 739-8053 </t>
  </si>
  <si>
    <t>Hinda Darner</t>
  </si>
  <si>
    <t>hinda.darner@usda.gov</t>
  </si>
  <si>
    <t xml:space="preserve">(530) 227-2327 </t>
  </si>
  <si>
    <t>ahester@blm.gov, flavia.munarskidexheimer@usda.gov amy.galetka@usda.gov, shuckstep@blm.gov</t>
  </si>
  <si>
    <t>EEL RIVER CAMP</t>
  </si>
  <si>
    <t>CA2AC1F8</t>
  </si>
  <si>
    <t>40:08:18.15 (40.138375) North</t>
  </si>
  <si>
    <t>123:49:25.5288 (-123.823758) West</t>
  </si>
  <si>
    <t>EFFIE</t>
  </si>
  <si>
    <t>7070503A</t>
  </si>
  <si>
    <t>47:46:45.9984 (47.779444) North</t>
  </si>
  <si>
    <t>93:38:45.9996 (-93.646111) West</t>
  </si>
  <si>
    <t>Josh Donatell</t>
  </si>
  <si>
    <t>josh.donatell@state.mn.us, jolene.soltis@state.mn.us</t>
  </si>
  <si>
    <t xml:space="preserve">(218) 328-8912 </t>
  </si>
  <si>
    <t>jolene.soltis@state.mn.us, josh.donatell@state.mn.us, travis.verdegan@state.mn.us</t>
  </si>
  <si>
    <t>EIELSON VISITOR CENTER</t>
  </si>
  <si>
    <t>63:25:51.28 (63.430911) North</t>
  </si>
  <si>
    <t>150:18:38.74 (-150.310761) West</t>
  </si>
  <si>
    <t>EIGHT DOLLAR MOUNTAIN</t>
  </si>
  <si>
    <t>Josephine</t>
  </si>
  <si>
    <t>32B63186</t>
  </si>
  <si>
    <t>42:15:31.1904 (42.258664) North</t>
  </si>
  <si>
    <t>123:39:43.4016 (-123.662056) West</t>
  </si>
  <si>
    <t>PACIFIC POWER</t>
  </si>
  <si>
    <t>PACPOW - Pacific Power</t>
  </si>
  <si>
    <t>Tim Barry</t>
  </si>
  <si>
    <t>timothy.barry@pacificorp.com</t>
  </si>
  <si>
    <t xml:space="preserve">(541) 776-5481 </t>
  </si>
  <si>
    <t>Mike Hickey</t>
  </si>
  <si>
    <t>mike.hickey@pacificorp.com</t>
  </si>
  <si>
    <t xml:space="preserve">(541) 776-5465 </t>
  </si>
  <si>
    <t>EIGHT MILE DRAW</t>
  </si>
  <si>
    <t>327CA1D2</t>
  </si>
  <si>
    <t>33:39:02.3004 (33.650639) North</t>
  </si>
  <si>
    <t>104:19:17.0004 (-104.321389) West</t>
  </si>
  <si>
    <t>ROSWELL</t>
  </si>
  <si>
    <t>EKALAKA</t>
  </si>
  <si>
    <t>324DD3C8</t>
  </si>
  <si>
    <t>45:48:37.5984 (45.810444) North</t>
  </si>
  <si>
    <t>104:27:47.0988 (-104.463083) West</t>
  </si>
  <si>
    <t>EL CARISO</t>
  </si>
  <si>
    <t>3230A392</t>
  </si>
  <si>
    <t>33:38:49.6104 (33.647114) North</t>
  </si>
  <si>
    <t>117:24:43.3116 (-117.412031) West</t>
  </si>
  <si>
    <t>EL MIRAGE</t>
  </si>
  <si>
    <t>3259E4F6</t>
  </si>
  <si>
    <t>34:38:03.6996 (34.634361) North</t>
  </si>
  <si>
    <t>117:32:56.0004 (-117.548889) West</t>
  </si>
  <si>
    <t>EL PORTAL</t>
  </si>
  <si>
    <t>FA6724EE</t>
  </si>
  <si>
    <t>37:40:31.1988 (37.675333) North</t>
  </si>
  <si>
    <t>119:47:16.5012 (-119.787917) West</t>
  </si>
  <si>
    <t>02:55, 17:55, 32:55, 47:55</t>
  </si>
  <si>
    <t>ELEPHANT MTN WMA RAWS</t>
  </si>
  <si>
    <t>Brewster</t>
  </si>
  <si>
    <t>AAC3834A</t>
  </si>
  <si>
    <t>30:01:49.8 (30.0305) North</t>
  </si>
  <si>
    <t>103:28:23.4984 (-103.473194) West</t>
  </si>
  <si>
    <t>ELIZABETH CITY</t>
  </si>
  <si>
    <t>Pasquotank</t>
  </si>
  <si>
    <t>36:20:48.7104 (36.346864) North</t>
  </si>
  <si>
    <t>76:16:41.07 (-76.278075) West</t>
  </si>
  <si>
    <t>James Caddy</t>
  </si>
  <si>
    <t>james.caddy@ncagr.gov</t>
  </si>
  <si>
    <t xml:space="preserve">(252) 339-5694 </t>
  </si>
  <si>
    <t>ELK CREEK</t>
  </si>
  <si>
    <t>323EB48C</t>
  </si>
  <si>
    <t>44:45:45.9 (44.76275) North</t>
  </si>
  <si>
    <t>117:58:26.5008 (-117.974028) West</t>
  </si>
  <si>
    <t xml:space="preserve">ELK MOUNTAIN </t>
  </si>
  <si>
    <t>32BB2F44</t>
  </si>
  <si>
    <t>39:18:29.8188 (39.308283) North</t>
  </si>
  <si>
    <t>122:56:22.92 (-122.9397) West</t>
  </si>
  <si>
    <t>Flavia Dexheimer</t>
  </si>
  <si>
    <t>sarah.chamberlin@usda.gov, shuckstep@blm.gov</t>
  </si>
  <si>
    <t>ELK ROCK</t>
  </si>
  <si>
    <t>46:18:43.9992 (46.312222) North</t>
  </si>
  <si>
    <t>122:23:08.0016 (-122.385556) West</t>
  </si>
  <si>
    <t>Matthew.dehr@dnr.wa.gov</t>
  </si>
  <si>
    <t>ELKHORN</t>
  </si>
  <si>
    <t>McDowell</t>
  </si>
  <si>
    <t>37:24:11.9988 (37.403333) North</t>
  </si>
  <si>
    <t>81:32:39.9984 (-81.544444) West</t>
  </si>
  <si>
    <t>323A114E</t>
  </si>
  <si>
    <t>43:40:45.9984 (43.679444) North</t>
  </si>
  <si>
    <t>109:36:39.9996 (-109.611111) West</t>
  </si>
  <si>
    <t>Broadwater</t>
  </si>
  <si>
    <t>329243C2</t>
  </si>
  <si>
    <t>46:18:54 (46.315) North</t>
  </si>
  <si>
    <t>111:41:48.0984 (-111.696694) West</t>
  </si>
  <si>
    <t>HELENA NF</t>
  </si>
  <si>
    <t>Philip Knaub</t>
  </si>
  <si>
    <t>philip.knaub@usda.gov</t>
  </si>
  <si>
    <t xml:space="preserve">(406) 495-3868 </t>
  </si>
  <si>
    <t>ahester@blm.gov, philip.knaub@usda.gov</t>
  </si>
  <si>
    <t>ELLIS MT</t>
  </si>
  <si>
    <t>300020B2</t>
  </si>
  <si>
    <t>48:07:45.9984 (48.129444) North</t>
  </si>
  <si>
    <t>124:18:19.0008 (-124.305278) West</t>
  </si>
  <si>
    <t>ELMORE</t>
  </si>
  <si>
    <t>Vermont</t>
  </si>
  <si>
    <t>Lamoille</t>
  </si>
  <si>
    <t>3335906A</t>
  </si>
  <si>
    <t>44:32:35.2356 (44.543121) North</t>
  </si>
  <si>
    <t>72:31:44.598 (-72.529055) West</t>
  </si>
  <si>
    <t>Dan Dillner</t>
  </si>
  <si>
    <t>dan.dillner@vermont.gov</t>
  </si>
  <si>
    <t xml:space="preserve">(802) 777-3079 </t>
  </si>
  <si>
    <t>Devin Healy</t>
  </si>
  <si>
    <t>devin.healy@vermont.gov</t>
  </si>
  <si>
    <t xml:space="preserve">(802) 917-2555 </t>
  </si>
  <si>
    <t>dan.dillner@vermont.gov, devin.healy@vermont.gov</t>
  </si>
  <si>
    <t>St. Louis</t>
  </si>
  <si>
    <t>3286F2E8</t>
  </si>
  <si>
    <t>47:49:42.9996 (47.828611) North</t>
  </si>
  <si>
    <t>91:50:12.9984 (-91.836944) West</t>
  </si>
  <si>
    <t>SUPERIOR NF</t>
  </si>
  <si>
    <t>Travis Durkin (Cell)</t>
  </si>
  <si>
    <t>travis.durkin@usda.gov</t>
  </si>
  <si>
    <t xml:space="preserve">(218) 349-1445 </t>
  </si>
  <si>
    <t xml:space="preserve"> Jamie Chopp</t>
  </si>
  <si>
    <t xml:space="preserve"> jamie.chopp@usda.gov</t>
  </si>
  <si>
    <t xml:space="preserve">(218) 451-0399 </t>
  </si>
  <si>
    <t>ELY #1 PORTABLE</t>
  </si>
  <si>
    <t>327B031E</t>
  </si>
  <si>
    <t>38:51:13.6188 (38.853783) North</t>
  </si>
  <si>
    <t>114:42:14.6484 (-114.704069) West</t>
  </si>
  <si>
    <t>ELY #2 PORTABLE</t>
  </si>
  <si>
    <t>40:03:18 (40.055) North</t>
  </si>
  <si>
    <t>114:52:09.0012 (-114.869167) West</t>
  </si>
  <si>
    <t>EMIGRANT</t>
  </si>
  <si>
    <t>3262E12E</t>
  </si>
  <si>
    <t>43:28:59.0016 (43.483056) North</t>
  </si>
  <si>
    <t>122:13:49.0008 (-122.230278) West</t>
  </si>
  <si>
    <t>James Hunt</t>
  </si>
  <si>
    <t>james.hunt1@usda.gov</t>
  </si>
  <si>
    <t xml:space="preserve">(541) 670-0928 </t>
  </si>
  <si>
    <t>Jesus Saraz</t>
  </si>
  <si>
    <t>jesus.saraz@usda.gov</t>
  </si>
  <si>
    <t xml:space="preserve">(541) 517-8978 </t>
  </si>
  <si>
    <t>EMIGRANT CREEK</t>
  </si>
  <si>
    <t>32B59670</t>
  </si>
  <si>
    <t>Tom Eide</t>
  </si>
  <si>
    <t>thomas.eide@pacificorp.com</t>
  </si>
  <si>
    <t xml:space="preserve">(541) 776-5475 </t>
  </si>
  <si>
    <t>Aaron Gratias</t>
  </si>
  <si>
    <t>aaron.gratias@pacificorp.com</t>
  </si>
  <si>
    <t xml:space="preserve">(541) 955-7949 </t>
  </si>
  <si>
    <t>EMPIRE</t>
  </si>
  <si>
    <t>Pima</t>
  </si>
  <si>
    <t>325805FE</t>
  </si>
  <si>
    <t>31:47:00.4992 (31.783472) North</t>
  </si>
  <si>
    <t>110:38:35.7 (-110.64325) West</t>
  </si>
  <si>
    <t>ENF01 PORTABLE</t>
  </si>
  <si>
    <t>328AB07E</t>
  </si>
  <si>
    <t>38:42:33.5988 (38.709333) North</t>
  </si>
  <si>
    <t>120:35:50.6004 (-120.597389) West</t>
  </si>
  <si>
    <t>Johnny Villa</t>
  </si>
  <si>
    <t>johnny.villa@usda.gov</t>
  </si>
  <si>
    <t xml:space="preserve">(559) 760-5591 </t>
  </si>
  <si>
    <t>jecobie.waters@usda.gov, shuckstep@blm.gov</t>
  </si>
  <si>
    <t>ENF02 PORTABLE</t>
  </si>
  <si>
    <t>328AC6EE</t>
  </si>
  <si>
    <t>38:35:03.48 (38.5843) North</t>
  </si>
  <si>
    <t>120:15:24.0012 (-120.256667) West</t>
  </si>
  <si>
    <t xml:space="preserve"> james.thornock@usda.gov,  shuckstep@blm.gov, jecobie.waters@usda.gov</t>
  </si>
  <si>
    <t>ENF03 PORTABLE</t>
  </si>
  <si>
    <t>3282572A</t>
  </si>
  <si>
    <t>38:54:46.8 (38.913) North</t>
  </si>
  <si>
    <t>120:40:35.7996 (-120.676611) West</t>
  </si>
  <si>
    <t>ENF05 PORTABLE</t>
  </si>
  <si>
    <t>32D5422A</t>
  </si>
  <si>
    <t>38:46:49.98 (38.78055) North</t>
  </si>
  <si>
    <t>120:25:30.7812 (-120.425217) West</t>
  </si>
  <si>
    <t>David Helgeson</t>
  </si>
  <si>
    <t>david.helgeson@usda.gov</t>
  </si>
  <si>
    <t xml:space="preserve">(530) 647-5403 </t>
  </si>
  <si>
    <t>David pereira</t>
  </si>
  <si>
    <t>david.pereira@usda.gov</t>
  </si>
  <si>
    <t xml:space="preserve">(530) 647-5465 </t>
  </si>
  <si>
    <t>david.helgeson@usda.gov, jecobie.waters@usda.gov, shuckstep@blm.gov</t>
  </si>
  <si>
    <t>ENNIS</t>
  </si>
  <si>
    <t>323F909A</t>
  </si>
  <si>
    <t>45:18:07.7508 (45.302153) North</t>
  </si>
  <si>
    <t>111:45:14.9292 (-111.754147) West</t>
  </si>
  <si>
    <t xml:space="preserve"> james.king@usda.gov, ahester@blm.gov</t>
  </si>
  <si>
    <t>ENTERPRISE</t>
  </si>
  <si>
    <t>328573F2</t>
  </si>
  <si>
    <t>37:33:31.6404 (37.558789) North</t>
  </si>
  <si>
    <t>113:43:02.8308 (-113.717453) West</t>
  </si>
  <si>
    <t>ENTIAT</t>
  </si>
  <si>
    <t>3335C016</t>
  </si>
  <si>
    <t>47:43:57.288 (47.73258) North</t>
  </si>
  <si>
    <t>120:14:35.34 (-120.24315) West</t>
  </si>
  <si>
    <t>Mary (Katy) Giddings</t>
  </si>
  <si>
    <t>mary.giddings@usda.gov</t>
  </si>
  <si>
    <t xml:space="preserve">(509) 680-3553 </t>
  </si>
  <si>
    <t>ENUMCLAW</t>
  </si>
  <si>
    <t>King</t>
  </si>
  <si>
    <t>3008D490</t>
  </si>
  <si>
    <t>47:13:13.0008 (47.220278) North</t>
  </si>
  <si>
    <t>121:57:50.0004 (-121.963889) West</t>
  </si>
  <si>
    <t>ESCALANTE VISITORS CENTER</t>
  </si>
  <si>
    <t>323C7466</t>
  </si>
  <si>
    <t>37:46:21.3204 (37.772589) North</t>
  </si>
  <si>
    <t>111:36:57.8664 (-111.616074) West</t>
  </si>
  <si>
    <t>Ken Bradshaw</t>
  </si>
  <si>
    <t>jbradshaw@blm.gov</t>
  </si>
  <si>
    <t xml:space="preserve">(801) 539-4098 </t>
  </si>
  <si>
    <t>ESCURE</t>
  </si>
  <si>
    <t>Whitman</t>
  </si>
  <si>
    <t>3244756C</t>
  </si>
  <si>
    <t>47:02:15.3996 (47.037611) North</t>
  </si>
  <si>
    <t>117:56:51.2016 (-117.947556) West</t>
  </si>
  <si>
    <t>ESSEX JUNCTION</t>
  </si>
  <si>
    <t>Chittenden</t>
  </si>
  <si>
    <t>3335831C</t>
  </si>
  <si>
    <t>44:29:45.8988 (44.496083) North</t>
  </si>
  <si>
    <t>73:07:33.3012 (-73.125917) West</t>
  </si>
  <si>
    <t>ESTERBROOK</t>
  </si>
  <si>
    <t>Converse</t>
  </si>
  <si>
    <t>3240A63E</t>
  </si>
  <si>
    <t>42:24:56.9988 (42.415833) North</t>
  </si>
  <si>
    <t>105:21:39.9996 (-105.361111) West</t>
  </si>
  <si>
    <t>MEDICINE BOW NF</t>
  </si>
  <si>
    <t>Nicholas Collard</t>
  </si>
  <si>
    <t>nicholas.collard@usda.gov</t>
  </si>
  <si>
    <t xml:space="preserve">(307) 358-7117 </t>
  </si>
  <si>
    <t>ESTES PARK</t>
  </si>
  <si>
    <t>323EE4F0</t>
  </si>
  <si>
    <t>40:21:58.8996 (40.366361) North</t>
  </si>
  <si>
    <t>105:33:46.0008 (-105.562778) West</t>
  </si>
  <si>
    <t>EUFAULA</t>
  </si>
  <si>
    <t>Barbour</t>
  </si>
  <si>
    <t>AAB1F582</t>
  </si>
  <si>
    <t>32:00:11.8188 (32.003283) North</t>
  </si>
  <si>
    <t>85:05:07.9512 (-85.085542) West</t>
  </si>
  <si>
    <t>EUFAULA NWR</t>
  </si>
  <si>
    <t>Josh Haviard</t>
  </si>
  <si>
    <t>josh_haviard@fws.gov</t>
  </si>
  <si>
    <t xml:space="preserve">(386) 344-1403 </t>
  </si>
  <si>
    <t>Greg Titus</t>
  </si>
  <si>
    <t>gregory_titus@fws.gov</t>
  </si>
  <si>
    <t xml:space="preserve">(850) 251-1254 </t>
  </si>
  <si>
    <t>EUREKA</t>
  </si>
  <si>
    <t>3272F5C6</t>
  </si>
  <si>
    <t>48:53:52.1016 (48.897806) North</t>
  </si>
  <si>
    <t>115:03:30.0996 (-115.058361) West</t>
  </si>
  <si>
    <t>RJ McDOLE</t>
  </si>
  <si>
    <t>Rob Schultz</t>
  </si>
  <si>
    <t>robert.schultz@usda.gov</t>
  </si>
  <si>
    <t xml:space="preserve">(406) 296-7172 </t>
  </si>
  <si>
    <t>EUREKA VALLEY</t>
  </si>
  <si>
    <t>32D791B6</t>
  </si>
  <si>
    <t>37:10:34.5 (37.17625) North</t>
  </si>
  <si>
    <t>117:47:18.5784 (-117.788494) West</t>
  </si>
  <si>
    <t>DEATH VALLEY NP</t>
  </si>
  <si>
    <t>geoffrey_moret@partner.nps.gov</t>
  </si>
  <si>
    <t>EUTAW</t>
  </si>
  <si>
    <t>32B3D5B4</t>
  </si>
  <si>
    <t>32:54:45.7992 (32.912722) North</t>
  </si>
  <si>
    <t>87:53:42.6984 (-87.895194) West</t>
  </si>
  <si>
    <t>EVANGELINE</t>
  </si>
  <si>
    <t>Rapides</t>
  </si>
  <si>
    <t>326E75D0</t>
  </si>
  <si>
    <t>31:11:06 (31.185) North</t>
  </si>
  <si>
    <t>92:37:53.0004 (-92.631389) West</t>
  </si>
  <si>
    <t>EVANS CREEK</t>
  </si>
  <si>
    <t>326B8294</t>
  </si>
  <si>
    <t>42:35:51.7992 (42.597722) North</t>
  </si>
  <si>
    <t>123:06:18.1008 (-123.105028) West</t>
  </si>
  <si>
    <t>EVART</t>
  </si>
  <si>
    <t>Osceola</t>
  </si>
  <si>
    <t>43:54:06.2316 (43.901731) North</t>
  </si>
  <si>
    <t>85:14:42.6084 (-85.245169) West</t>
  </si>
  <si>
    <t>Paul Dunn</t>
  </si>
  <si>
    <t>dunnp@michigan.gov</t>
  </si>
  <si>
    <t xml:space="preserve">(989) 290-2288 </t>
  </si>
  <si>
    <t>EVERGLADES PORTABLE 1</t>
  </si>
  <si>
    <t>32D782C0</t>
  </si>
  <si>
    <t>25:19:09.1992 (25.319222) North</t>
  </si>
  <si>
    <t>80:47:43.9008 (-80.795528) West</t>
  </si>
  <si>
    <t>EZRA CREEK</t>
  </si>
  <si>
    <t>Lemhi</t>
  </si>
  <si>
    <t>325103A2</t>
  </si>
  <si>
    <t>44:50:55.7988 (44.848833) North</t>
  </si>
  <si>
    <t>114:01:35.0004 (-114.026389) West</t>
  </si>
  <si>
    <t>Andrew Traver</t>
  </si>
  <si>
    <t>andrew.traver@usda.gov</t>
  </si>
  <si>
    <t xml:space="preserve">(208) 865-2735 </t>
  </si>
  <si>
    <t>Sage Nitzel</t>
  </si>
  <si>
    <t>sage.nitzel@usda.gov</t>
  </si>
  <si>
    <t xml:space="preserve">(208) 865-2734 </t>
  </si>
  <si>
    <t>ahester@blm.gov, andrew.traver@usda.gov, jessica.l.martin@usda.gov, riley.rhoades@usda.gov, sage.nitzel@usda.gov</t>
  </si>
  <si>
    <t>F6-F7 COMPARE</t>
  </si>
  <si>
    <t>32BCE6BC</t>
  </si>
  <si>
    <t>116:12:32.0004 (-116.208889) West</t>
  </si>
  <si>
    <t>eugene.bodrero@aem.eco</t>
  </si>
  <si>
    <t>FAIRBANKS</t>
  </si>
  <si>
    <t>64:50:55.2984 (64.848694) North</t>
  </si>
  <si>
    <t>147:34:28.0704 (-147.574464) West</t>
  </si>
  <si>
    <t>FAIRCHILD 36 RQF</t>
  </si>
  <si>
    <t>AA1094C8</t>
  </si>
  <si>
    <t>48:25:23.8008 (48.423278) North</t>
  </si>
  <si>
    <t>117:21:45.9 (-117.36275) West</t>
  </si>
  <si>
    <t>FAIRCHILD</t>
  </si>
  <si>
    <t>Fairchild AFB Weather Flight</t>
  </si>
  <si>
    <t>92OSS.OSW-02@us.af.mil</t>
  </si>
  <si>
    <t xml:space="preserve">(509) 247-8411 </t>
  </si>
  <si>
    <t>WILLIAM A. CASKEY, SMSgt</t>
  </si>
  <si>
    <t>william.caskey.1@us.af.mil</t>
  </si>
  <si>
    <t xml:space="preserve">(509) 247-3656 </t>
  </si>
  <si>
    <t>FAIRFIELD</t>
  </si>
  <si>
    <t>Hyde</t>
  </si>
  <si>
    <t>35:32:30.1992 (35.541722) North</t>
  </si>
  <si>
    <t>76:13:23.0808 (-76.223078) West</t>
  </si>
  <si>
    <t>FALES ROCK</t>
  </si>
  <si>
    <t>3265139E</t>
  </si>
  <si>
    <t>42:51:23.0004 (42.856389) North</t>
  </si>
  <si>
    <t>107:16:19.9992 (-107.272222) West</t>
  </si>
  <si>
    <t>clane@blm.gov, roldenburg@blm.gov, rputnam@blm.gov</t>
  </si>
  <si>
    <t>FALFURRIAS</t>
  </si>
  <si>
    <t>Brooks</t>
  </si>
  <si>
    <t>8840C268</t>
  </si>
  <si>
    <t>27:12:31.5 (27.20875) North</t>
  </si>
  <si>
    <t>98:07:18.9984 (-98.121944) West</t>
  </si>
  <si>
    <t>FALL MOUNTAIN</t>
  </si>
  <si>
    <t>3262F258</t>
  </si>
  <si>
    <t>44:17:48.9984 (44.296944) North</t>
  </si>
  <si>
    <t>119:02:12.9984 (-119.036944) West</t>
  </si>
  <si>
    <t>FALLBROOK</t>
  </si>
  <si>
    <t>92300B0A</t>
  </si>
  <si>
    <t>33:22:58.3788 (33.382883) North</t>
  </si>
  <si>
    <t>117:17:08.0412 (-117.285567) West</t>
  </si>
  <si>
    <t>Christy Wolf</t>
  </si>
  <si>
    <t>christy.m.wolf.civ@us.navy.mil</t>
  </si>
  <si>
    <t xml:space="preserve">(760) 390-7519 </t>
  </si>
  <si>
    <t>FANCHER CREEK</t>
  </si>
  <si>
    <t>CA22503C</t>
  </si>
  <si>
    <t>36:53:01.32 (36.8837) North</t>
  </si>
  <si>
    <t>119:28:32.5884 (-119.475719) West</t>
  </si>
  <si>
    <t>FAPH_DELOS</t>
  </si>
  <si>
    <t>Caroline</t>
  </si>
  <si>
    <t>3279707A</t>
  </si>
  <si>
    <t>38:05:44.4012 (38.095667) North</t>
  </si>
  <si>
    <t>77:16:19.2 (-77.272) West</t>
  </si>
  <si>
    <t>CAMP WILCOX</t>
  </si>
  <si>
    <t>Anne Ulrey</t>
  </si>
  <si>
    <t>anne.j.ulrey.civ@mail.mil</t>
  </si>
  <si>
    <t xml:space="preserve">(804) 633-8475 </t>
  </si>
  <si>
    <t>Christopher McClelland</t>
  </si>
  <si>
    <t>christopher.s.mcclelland.civ@mail.mil</t>
  </si>
  <si>
    <t xml:space="preserve">(804) 633-8409 </t>
  </si>
  <si>
    <t>FAPH_EODTC</t>
  </si>
  <si>
    <t>328232CC</t>
  </si>
  <si>
    <t>38:07:55.4016 (38.132056) North</t>
  </si>
  <si>
    <t>77:11:04.4016 (-77.184556) West</t>
  </si>
  <si>
    <t>christopher.s.mccclelland.civ@mail.mil</t>
  </si>
  <si>
    <t>FAPH_NORTH1</t>
  </si>
  <si>
    <t>326A70EA</t>
  </si>
  <si>
    <t>38:11:22.3008 (38.189528) North</t>
  </si>
  <si>
    <t>77:17:54.3012 (-77.298417) West</t>
  </si>
  <si>
    <t>Christopher McCelland</t>
  </si>
  <si>
    <t>FAPH_QD 1</t>
  </si>
  <si>
    <t>326A5606</t>
  </si>
  <si>
    <t>38:07:35.4 (38.1265) North</t>
  </si>
  <si>
    <t>77:19:56.7012 (-77.332417) West</t>
  </si>
  <si>
    <t>FAPH_SOUTH 1</t>
  </si>
  <si>
    <t>3274E67E</t>
  </si>
  <si>
    <t>38:02:33.5004 (38.042639) North</t>
  </si>
  <si>
    <t>77:14:13.2 (-77.237) West</t>
  </si>
  <si>
    <t>FAREWELL</t>
  </si>
  <si>
    <t>3243C4D6</t>
  </si>
  <si>
    <t>62:43:25.9788 (62.723883) North</t>
  </si>
  <si>
    <t>154:04:35.04 (-154.0764) West</t>
  </si>
  <si>
    <t>St. Francois</t>
  </si>
  <si>
    <t>573070BE</t>
  </si>
  <si>
    <t>37:45:42 (37.761667) North</t>
  </si>
  <si>
    <t>90:25:42 (-90.428333) West</t>
  </si>
  <si>
    <t>ben.webster@mdc.mo.gov</t>
  </si>
  <si>
    <t>FARMINGTON QD1</t>
  </si>
  <si>
    <t>3332925E</t>
  </si>
  <si>
    <t>36:44:28.5 (36.74125) North</t>
  </si>
  <si>
    <t>108:14:54.2004 (-108.248389) West</t>
  </si>
  <si>
    <t>Marinha Santos</t>
  </si>
  <si>
    <t>msantos@blm.gov</t>
  </si>
  <si>
    <t xml:space="preserve">(505) 692-0720 </t>
  </si>
  <si>
    <t>KYLE SAHD</t>
  </si>
  <si>
    <t>ksahd@blm.gov</t>
  </si>
  <si>
    <t xml:space="preserve">(575) 751-4767 </t>
  </si>
  <si>
    <t>FAWNSKIN</t>
  </si>
  <si>
    <t>3230F3EE</t>
  </si>
  <si>
    <t>34:15:57.9996 (34.266111) North</t>
  </si>
  <si>
    <t>116:53:56.0004 (-116.898889) West</t>
  </si>
  <si>
    <t>ahester@blm.gov, david, shuckstep@blm.gov</t>
  </si>
  <si>
    <t>FCRG28</t>
  </si>
  <si>
    <t>Stewart</t>
  </si>
  <si>
    <t>36:35:44.9808 (36.595828) North</t>
  </si>
  <si>
    <t>87:42:23.9616 (-87.706656) West</t>
  </si>
  <si>
    <t>FORT CAMPBELL</t>
  </si>
  <si>
    <t>KYFDRN - Fort Campbell Kentucky</t>
  </si>
  <si>
    <t>Sean Connelly</t>
  </si>
  <si>
    <t>sean.m.connelly6.civ@army.mil</t>
  </si>
  <si>
    <t xml:space="preserve">(910) 818-2097 </t>
  </si>
  <si>
    <t>JohnPaul Hart</t>
  </si>
  <si>
    <t>johnpaul.f.hart.civ@army.mil</t>
  </si>
  <si>
    <t xml:space="preserve">(270) 798-2616 </t>
  </si>
  <si>
    <t>FCRG36</t>
  </si>
  <si>
    <t>C50003F6</t>
  </si>
  <si>
    <t>36:37:32.0196 (36.625561) North</t>
  </si>
  <si>
    <t>87:32:14.2584 (-87.537294) West</t>
  </si>
  <si>
    <t>John Paul Hart</t>
  </si>
  <si>
    <t>JohnPaul.F.Hart.civ@army.mil</t>
  </si>
  <si>
    <t>lucas.r.cecil.civ@mail.mil</t>
  </si>
  <si>
    <t>FCRG55</t>
  </si>
  <si>
    <t>Trigg</t>
  </si>
  <si>
    <t>32E00E42</t>
  </si>
  <si>
    <t>36:42:56.0592 (36.715572) North</t>
  </si>
  <si>
    <t>87:44:01.5396 (-87.733761) West</t>
  </si>
  <si>
    <t xml:space="preserve">Sean Connelly </t>
  </si>
  <si>
    <t xml:space="preserve">(270) 798-2626 </t>
  </si>
  <si>
    <t>FELSENTHAL NWR</t>
  </si>
  <si>
    <t>8379806A</t>
  </si>
  <si>
    <t>33:09:20.0016 (33.155556) North</t>
  </si>
  <si>
    <t>92:11:27.9996 (-92.191111) West</t>
  </si>
  <si>
    <t>Matthew Johnson</t>
  </si>
  <si>
    <t>matthew_johnson@fws.gov</t>
  </si>
  <si>
    <t xml:space="preserve">(870) 364-3167 </t>
  </si>
  <si>
    <t>FENCE MEADOW</t>
  </si>
  <si>
    <t>326DB7C0</t>
  </si>
  <si>
    <t>36:57:43.6608 (36.962128) North</t>
  </si>
  <si>
    <t>119:10:32.0088 (-119.175558) West</t>
  </si>
  <si>
    <t>FENN</t>
  </si>
  <si>
    <t>46:06:06.0984 (46.101694) North</t>
  </si>
  <si>
    <t>115:32:49.3008 (-115.547028) West</t>
  </si>
  <si>
    <t>Dustin Decker</t>
  </si>
  <si>
    <t>dustin.decker2@usda.gov</t>
  </si>
  <si>
    <t xml:space="preserve">(208) 926-8948 </t>
  </si>
  <si>
    <t>FERNBERG</t>
  </si>
  <si>
    <t>327F5658</t>
  </si>
  <si>
    <t>47:56:45.9996 (47.946111) North</t>
  </si>
  <si>
    <t>91:29:42 (-91.495) West</t>
  </si>
  <si>
    <t>Travis Durkin</t>
  </si>
  <si>
    <t xml:space="preserve">(218) 365-7614 </t>
  </si>
  <si>
    <t>jamie.chopp@usda.gov</t>
  </si>
  <si>
    <t>FFS PORTABLE #1</t>
  </si>
  <si>
    <t>32B4B266</t>
  </si>
  <si>
    <t>30:26:20.6016 (30.439056) North</t>
  </si>
  <si>
    <t>84:13:17.6016 (-84.221556) West</t>
  </si>
  <si>
    <t>Ralph Crawford</t>
  </si>
  <si>
    <t>ralph.crawford@fdacs.gov</t>
  </si>
  <si>
    <t xml:space="preserve">(850) 681-5917 </t>
  </si>
  <si>
    <t>FIELDING</t>
  </si>
  <si>
    <t>FA65326C</t>
  </si>
  <si>
    <t>48:16:39.81 (48.277725) North</t>
  </si>
  <si>
    <t>113:25:57.2808 (-113.432578) West</t>
  </si>
  <si>
    <t>GLACIER NP</t>
  </si>
  <si>
    <t>Mike McClellan</t>
  </si>
  <si>
    <t>michael_a_mcclellan@nps.gov</t>
  </si>
  <si>
    <t xml:space="preserve">(406) 888-5804 </t>
  </si>
  <si>
    <t>Michael McClellan</t>
  </si>
  <si>
    <t>FIELDS</t>
  </si>
  <si>
    <t>3260B4A6</t>
  </si>
  <si>
    <t>43:40:49.9008 (43.680528) North</t>
  </si>
  <si>
    <t>122:18:07.3008 (-122.302028) West</t>
  </si>
  <si>
    <t>Sequoia Gjerde</t>
  </si>
  <si>
    <t>sgjerde@fs.fed.us</t>
  </si>
  <si>
    <t xml:space="preserve">(541) 782-5322 </t>
  </si>
  <si>
    <t>FIGUEROA</t>
  </si>
  <si>
    <t>327F1552</t>
  </si>
  <si>
    <t>34:44:03.9408 (34.734428) North</t>
  </si>
  <si>
    <t>120:00:23.6196 (-120.006561) West</t>
  </si>
  <si>
    <t>Ryan Bridgen</t>
  </si>
  <si>
    <t>ryan.bridgen@usda.gov</t>
  </si>
  <si>
    <t xml:space="preserve">(661) 375-0209 </t>
  </si>
  <si>
    <t>FILLMORE PORT #2</t>
  </si>
  <si>
    <t>39:07:22.3788 (39.122883) North</t>
  </si>
  <si>
    <t>112:02:09.06 (-112.03585) West</t>
  </si>
  <si>
    <t>stobler@fs.fed.us</t>
  </si>
  <si>
    <t>FINCH'S STATION</t>
  </si>
  <si>
    <t>35:25:40.8108 (35.428003) North</t>
  </si>
  <si>
    <t>78:01:22.1412 (-78.022817) West</t>
  </si>
  <si>
    <t>Jim Lyde</t>
  </si>
  <si>
    <t>jim.lyde@ncagr.gov</t>
  </si>
  <si>
    <t xml:space="preserve">(910) 437-2620 </t>
  </si>
  <si>
    <t>Bradley Stevens</t>
  </si>
  <si>
    <t>bradley.stevens@ncagr.gov</t>
  </si>
  <si>
    <t xml:space="preserve">(919) 222-7357 </t>
  </si>
  <si>
    <t>FINNEY CREEK</t>
  </si>
  <si>
    <t>Skagit</t>
  </si>
  <si>
    <t>3261B65C</t>
  </si>
  <si>
    <t>48:23:32.4996 (48.392361) North</t>
  </si>
  <si>
    <t>121:49:05.8008 (-121.818278) West</t>
  </si>
  <si>
    <t>MT. BAKER/SNOQUALMIE</t>
  </si>
  <si>
    <t>Ryder Jones</t>
  </si>
  <si>
    <t>ryder.jones@usda.gov</t>
  </si>
  <si>
    <t xml:space="preserve">(360) 854-2641 </t>
  </si>
  <si>
    <t>Jared Smith</t>
  </si>
  <si>
    <t>jared.o.smith@usda.gov</t>
  </si>
  <si>
    <t xml:space="preserve">(206) 697-2524 </t>
  </si>
  <si>
    <t>ahester@blm.gov, jared.o.smith@usda.gov, ryder.jones@usda.gov</t>
  </si>
  <si>
    <t>FINNEYS MEADOW QD</t>
  </si>
  <si>
    <t>326F51C6</t>
  </si>
  <si>
    <t>47:02:45.3516 (47.045931) North</t>
  </si>
  <si>
    <t>114:06:43.4592 (-114.112072) West</t>
  </si>
  <si>
    <t>MISSOULA FIRE LAB</t>
  </si>
  <si>
    <t>Mark Finney</t>
  </si>
  <si>
    <t>mark.finney@usda.gov</t>
  </si>
  <si>
    <t xml:space="preserve">(406) 329-4832 </t>
  </si>
  <si>
    <t>FIRE TRNG. ACADEMY</t>
  </si>
  <si>
    <t>3260924A</t>
  </si>
  <si>
    <t>47:27:24.4008 (47.456778) North</t>
  </si>
  <si>
    <t>121:39:54.6012 (-121.665167) West</t>
  </si>
  <si>
    <t>Ted Hargraves</t>
  </si>
  <si>
    <t>theodore.hargraves@usda.gov</t>
  </si>
  <si>
    <t xml:space="preserve">(206) 697-2335 </t>
  </si>
  <si>
    <t>Shawn Otto</t>
  </si>
  <si>
    <t>shawn.otto@usda.gov</t>
  </si>
  <si>
    <t xml:space="preserve">(360) 325-3598 </t>
  </si>
  <si>
    <t>FIRELAB QD #2</t>
  </si>
  <si>
    <t>32B51064</t>
  </si>
  <si>
    <t>46:53:51.3996 (46.897611) North</t>
  </si>
  <si>
    <t>110:55:09.5016 (-110.919306) West</t>
  </si>
  <si>
    <t>FIRST BUTTE</t>
  </si>
  <si>
    <t>3249A062</t>
  </si>
  <si>
    <t>48:37:09.0012 (48.619167) North</t>
  </si>
  <si>
    <t>120:06:30.9996 (-120.108611) West</t>
  </si>
  <si>
    <t>FISH CREEK MOUNTAINS</t>
  </si>
  <si>
    <t>3277A27A</t>
  </si>
  <si>
    <t>32:59:25.1016 (32.990306) North</t>
  </si>
  <si>
    <t>116:04:01.0992 (-116.066972) West</t>
  </si>
  <si>
    <t>FISH FIN RIM</t>
  </si>
  <si>
    <t>325D842A</t>
  </si>
  <si>
    <t>42:28:18.5016 (42.471806) North</t>
  </si>
  <si>
    <t>119:10:42.2004 (-119.178389) West</t>
  </si>
  <si>
    <t>FISH HOOK</t>
  </si>
  <si>
    <t>Shoshone</t>
  </si>
  <si>
    <t>3249868E</t>
  </si>
  <si>
    <t>47:08:06.6408 (47.135178) North</t>
  </si>
  <si>
    <t>115:52:35.7708 (-115.876603) West</t>
  </si>
  <si>
    <t>FISH SPRINGS</t>
  </si>
  <si>
    <t>38:55:28.8984 (38.924694) North</t>
  </si>
  <si>
    <t>119:38:30.3 (-119.64175) West</t>
  </si>
  <si>
    <t>08:20, 23:20, 38:20, 53:20</t>
  </si>
  <si>
    <t>FISHER RIVER</t>
  </si>
  <si>
    <t>48:21:47 (48.363056) North</t>
  </si>
  <si>
    <t>115:19:09.9999 (-115.319444) West</t>
  </si>
  <si>
    <t>FISHLAKE D1 PT #1</t>
  </si>
  <si>
    <t>325B528C</t>
  </si>
  <si>
    <t>38:56:12.4188 (38.936783) North</t>
  </si>
  <si>
    <t>112:16:04.1988 (-112.267833) West</t>
  </si>
  <si>
    <t>Bryce Monroe</t>
  </si>
  <si>
    <t>bryce.monroe@usda.gov</t>
  </si>
  <si>
    <t xml:space="preserve">(801) 367-1034 </t>
  </si>
  <si>
    <t>russell.ivie@usda.gov</t>
  </si>
  <si>
    <t>FISHLAKE D2 PT #2</t>
  </si>
  <si>
    <t>Sevier</t>
  </si>
  <si>
    <t>FDD016E6</t>
  </si>
  <si>
    <t>38:40:35.1012 (38.676417) North</t>
  </si>
  <si>
    <t>111:30:51.8004 (-111.514389) West</t>
  </si>
  <si>
    <t>Kent Chappell</t>
  </si>
  <si>
    <t>kent.chappell@usda.gov</t>
  </si>
  <si>
    <t xml:space="preserve">(435) 836-1027 </t>
  </si>
  <si>
    <t>shane.bowling@usda.gov</t>
  </si>
  <si>
    <t>FISHLAKE D3 PT #3</t>
  </si>
  <si>
    <t>3293F2B6</t>
  </si>
  <si>
    <t>FORESTRY</t>
  </si>
  <si>
    <t>38:20:04.3692 (38.334547) North</t>
  </si>
  <si>
    <t>112:23:48.3612 (-112.396767) West</t>
  </si>
  <si>
    <t>Trever Hunt</t>
  </si>
  <si>
    <t>trever.hunt@usda.gov</t>
  </si>
  <si>
    <t xml:space="preserve">(435) 421-2761 </t>
  </si>
  <si>
    <t>kelly.cornwall@usda.gov, trever.hunt@usda.gov</t>
  </si>
  <si>
    <t>FISHLAKE D4 PT #4</t>
  </si>
  <si>
    <t>32D3D786</t>
  </si>
  <si>
    <t>38:49:03.4212 (38.817617) North</t>
  </si>
  <si>
    <t>111:26:57.6204 (-111.449339) West</t>
  </si>
  <si>
    <t xml:space="preserve">(435) 896-1661 </t>
  </si>
  <si>
    <t>FISHLAKE D4 PT #5</t>
  </si>
  <si>
    <t>38:50:00.5892 (38.833497) North</t>
  </si>
  <si>
    <t>111:26:07.1484 (-111.435319) West</t>
  </si>
  <si>
    <t>FISHLAKE SO PT #6</t>
  </si>
  <si>
    <t>328F22DC</t>
  </si>
  <si>
    <t>38:11:44.9988 (38.195833) North</t>
  </si>
  <si>
    <t>112:30:46.0008 (-112.512778) West</t>
  </si>
  <si>
    <t xml:space="preserve">(435) 896-2331 </t>
  </si>
  <si>
    <t>SCOTT TOBLER</t>
  </si>
  <si>
    <t>FISHTAIL</t>
  </si>
  <si>
    <t>324BB6E0</t>
  </si>
  <si>
    <t>45:27:29.0016 (45.458056) North</t>
  </si>
  <si>
    <t>109:34:17.0004 (-109.571389) West</t>
  </si>
  <si>
    <t>Cody Phillips</t>
  </si>
  <si>
    <t xml:space="preserve">(406) 896-2930 </t>
  </si>
  <si>
    <t>FIVE CENT</t>
  </si>
  <si>
    <t>323640AE</t>
  </si>
  <si>
    <t>40:45:13.1292 (40.753647) North</t>
  </si>
  <si>
    <t>122:55:55.6896 (-122.932136) West</t>
  </si>
  <si>
    <t>FIVE MILE</t>
  </si>
  <si>
    <t>3251254E</t>
  </si>
  <si>
    <t>39:53:27.2004 (39.890889) North</t>
  </si>
  <si>
    <t>110:15:57.6 (-110.266) West</t>
  </si>
  <si>
    <t>324BA596</t>
  </si>
  <si>
    <t>35:52:15.9996 (35.871111) North</t>
  </si>
  <si>
    <t>117:55:05.9988 (-117.918333) West</t>
  </si>
  <si>
    <t>FLAGSTAFF</t>
  </si>
  <si>
    <t>3283D3C4</t>
  </si>
  <si>
    <t>35:08:27.9996 (35.141111) North</t>
  </si>
  <si>
    <t>111:40:21 (-111.6725) West</t>
  </si>
  <si>
    <t>FLAGSTAFF HILL</t>
  </si>
  <si>
    <t>3257D504</t>
  </si>
  <si>
    <t>44:48:50.7996 (44.814111) North</t>
  </si>
  <si>
    <t>117:43:44.2992 (-117.728972) West</t>
  </si>
  <si>
    <t>FLAT</t>
  </si>
  <si>
    <t>62:49:22.1988 (62.822833) North</t>
  </si>
  <si>
    <t>156:36:49.1004 (-156.613639) West</t>
  </si>
  <si>
    <t>FLATPOINT QD</t>
  </si>
  <si>
    <t>32D704D4</t>
  </si>
  <si>
    <t>30:16:01.9992 (30.267222) North</t>
  </si>
  <si>
    <t>89:54:21.9996 (-89.906111) West</t>
  </si>
  <si>
    <t>Matthew_Sieja@fws.gov</t>
  </si>
  <si>
    <t>FLATTOP MOUNTAIN</t>
  </si>
  <si>
    <t>Emery</t>
  </si>
  <si>
    <t>325F57B6</t>
  </si>
  <si>
    <t>39:20:09.9996 (39.336111) North</t>
  </si>
  <si>
    <t>110:36:05.1012 (-110.601417) West</t>
  </si>
  <si>
    <t>CLARK MAUGHAN</t>
  </si>
  <si>
    <t>cmaughan@blm.gov</t>
  </si>
  <si>
    <t xml:space="preserve">(435) 259-1851 </t>
  </si>
  <si>
    <t xml:space="preserve">(435) 259-9647 </t>
  </si>
  <si>
    <t>FLATWOODS</t>
  </si>
  <si>
    <t>Wise</t>
  </si>
  <si>
    <t>3281D630</t>
  </si>
  <si>
    <t>36:53:25.6992 (36.890472) North</t>
  </si>
  <si>
    <t>82:27:25.4988 (-82.457083) West</t>
  </si>
  <si>
    <t>Kenneth Cooper</t>
  </si>
  <si>
    <t>kenneth.cooper@usda.gov</t>
  </si>
  <si>
    <t xml:space="preserve">(423) 599-4938 </t>
  </si>
  <si>
    <t>Todd Caudill</t>
  </si>
  <si>
    <t>todd.caudill@usda.gov</t>
  </si>
  <si>
    <t xml:space="preserve">(540) 570-1480 </t>
  </si>
  <si>
    <t>Braxton</t>
  </si>
  <si>
    <t>9000650A</t>
  </si>
  <si>
    <t>38:38:09.9996 (38.636111) North</t>
  </si>
  <si>
    <t>80:37:10.9992 (-80.619722) West</t>
  </si>
  <si>
    <t>FLECK SUMMIT</t>
  </si>
  <si>
    <t>Camas</t>
  </si>
  <si>
    <t>3267A5E4</t>
  </si>
  <si>
    <t>43:37:10.9992 (43.619722) North</t>
  </si>
  <si>
    <t>114:54:01.2708 (-114.900353) West</t>
  </si>
  <si>
    <t xml:space="preserve"> christopher.belliston@usda.gov,  stacy.tyler@usda.gov, ahester@blm.gov</t>
  </si>
  <si>
    <t>FLINT CREEK</t>
  </si>
  <si>
    <t>Oneida</t>
  </si>
  <si>
    <t>325ED358</t>
  </si>
  <si>
    <t>42:04:07.68 (42.0688) North</t>
  </si>
  <si>
    <t>112:11:26.088 (-112.19058) West</t>
  </si>
  <si>
    <t>ahester@blm.gov, william.hogan@usda.gov</t>
  </si>
  <si>
    <t>FLOWERY TRAIL</t>
  </si>
  <si>
    <t>323194F2</t>
  </si>
  <si>
    <t>48:17:49.9992 (48.297222) North</t>
  </si>
  <si>
    <t>117:24:22.3992 (-117.406222) West</t>
  </si>
  <si>
    <t>Edwin Wall</t>
  </si>
  <si>
    <t>FLSEA_PORT1</t>
  </si>
  <si>
    <t>Hendry</t>
  </si>
  <si>
    <t>324342C2</t>
  </si>
  <si>
    <t>26:18:16.9992 (26.304722) North</t>
  </si>
  <si>
    <t>80:58:41.0016 (-80.978056) West</t>
  </si>
  <si>
    <t>ahester@blm.gov, cheryl.bright@bia.gov, jeffreyradakovic@semtribe.com, reese.kerbow@bia.gov</t>
  </si>
  <si>
    <t>FLYNN PRAIRIE</t>
  </si>
  <si>
    <t>600074FE</t>
  </si>
  <si>
    <t>42:23:44.0016 (42.395556) North</t>
  </si>
  <si>
    <t>124:22:42.9996 (-124.378611) West</t>
  </si>
  <si>
    <t>FORKS</t>
  </si>
  <si>
    <t>AAAF336A</t>
  </si>
  <si>
    <t>47:57:19.008 (47.95528) North</t>
  </si>
  <si>
    <t>124:23:05.892 (-124.38497) West</t>
  </si>
  <si>
    <t>FORNEY TRAIL</t>
  </si>
  <si>
    <t>Fulton</t>
  </si>
  <si>
    <t>32A2A892</t>
  </si>
  <si>
    <t>39:59:36.1356 (39.993371) North</t>
  </si>
  <si>
    <t>77:57:31.392 (-77.95872) West</t>
  </si>
  <si>
    <t>FORT BELKNAP</t>
  </si>
  <si>
    <t>Blaine</t>
  </si>
  <si>
    <t>48:18:01.2996 (48.300361) North</t>
  </si>
  <si>
    <t>108:43:00.9984 (-108.716944) West</t>
  </si>
  <si>
    <t>Fort Belknap Agency</t>
  </si>
  <si>
    <t>Lee Blackcrow (Cell)</t>
  </si>
  <si>
    <t>lee.blackcrow@ftbelknap.org</t>
  </si>
  <si>
    <t xml:space="preserve">(406) 353-7873 </t>
  </si>
  <si>
    <t>FORT BENNING</t>
  </si>
  <si>
    <t>FBE0062C</t>
  </si>
  <si>
    <t>32:23:48.0012 (32.396667) North</t>
  </si>
  <si>
    <t>84:52:12 (-84.87) West</t>
  </si>
  <si>
    <t>TOMMY HUTCHERSON</t>
  </si>
  <si>
    <t>tommy.hutcherson@us.army.mil</t>
  </si>
  <si>
    <t xml:space="preserve">(706) 544-7073 </t>
  </si>
  <si>
    <t>FORT BRAGG</t>
  </si>
  <si>
    <t>326E8554</t>
  </si>
  <si>
    <t>35:08:42.36 (35.1451) North</t>
  </si>
  <si>
    <t>79:04:14.88 (-79.0708) West</t>
  </si>
  <si>
    <t>Dan Feola</t>
  </si>
  <si>
    <t>dan.feola@ncagr.gov</t>
  </si>
  <si>
    <t>dan.feola@ncagr.gov, jim.lyde@ncagr.gov</t>
  </si>
  <si>
    <t>FORT DAVIS</t>
  </si>
  <si>
    <t>Jeff Davis</t>
  </si>
  <si>
    <t>8841B602</t>
  </si>
  <si>
    <t>30:36:02.0016 (30.600556) North</t>
  </si>
  <si>
    <t>103:53:12.0012 (-103.886667) West</t>
  </si>
  <si>
    <t>FORT DUCHESNE</t>
  </si>
  <si>
    <t>5214A528</t>
  </si>
  <si>
    <t>40:17:05.1792 (40.284772) North</t>
  </si>
  <si>
    <t>109:51:42.5808 (-109.861828) West</t>
  </si>
  <si>
    <t>FORT EISENHOWER</t>
  </si>
  <si>
    <t>Richmond</t>
  </si>
  <si>
    <t>FE100312</t>
  </si>
  <si>
    <t>33:20:48.768 (33.34688) North</t>
  </si>
  <si>
    <t>82:12:43.9992 (-82.212222) West</t>
  </si>
  <si>
    <t>FORT GORDON</t>
  </si>
  <si>
    <t>FGFDRN - Fort Gordon</t>
  </si>
  <si>
    <t xml:space="preserve">Adam Weatherford  </t>
  </si>
  <si>
    <t>adam.s.weatherford.civ@army.mil</t>
  </si>
  <si>
    <t xml:space="preserve">(706) 791-9209 </t>
  </si>
  <si>
    <t>FORT HOOD LIVE FIRE</t>
  </si>
  <si>
    <t>Coryell</t>
  </si>
  <si>
    <t>32B98A48</t>
  </si>
  <si>
    <t>31:18:24.9984 (31.306944) North</t>
  </si>
  <si>
    <t>97:45:38.9988 (-97.760833) West</t>
  </si>
  <si>
    <t>FORT CAVAZOS</t>
  </si>
  <si>
    <t>Virginia Sanford</t>
  </si>
  <si>
    <t>virginia.b.sanford7.civ@army.mil</t>
  </si>
  <si>
    <t xml:space="preserve">(254) 535-6249 </t>
  </si>
  <si>
    <t>Carla Picinich</t>
  </si>
  <si>
    <t>carla.m.picinich.civ@army.mil</t>
  </si>
  <si>
    <t xml:space="preserve">(254) 266-2583 </t>
  </si>
  <si>
    <t>FORT HOWES</t>
  </si>
  <si>
    <t>325AC514</t>
  </si>
  <si>
    <t>45:17:49.9992 (45.297222) North</t>
  </si>
  <si>
    <t>106:09:42.5988 (-106.161833) West</t>
  </si>
  <si>
    <t>FORT HUNTER LIGGETT</t>
  </si>
  <si>
    <t>327E91BC</t>
  </si>
  <si>
    <t>36:00:42.3108 (36.011753) North</t>
  </si>
  <si>
    <t>121:14:30.0516 (-121.241681) West</t>
  </si>
  <si>
    <t>Rayfield Dilonardo</t>
  </si>
  <si>
    <t>rayfield.j.dilonardo.civ@army.mil</t>
  </si>
  <si>
    <t xml:space="preserve">(831) 386-2517 </t>
  </si>
  <si>
    <t>Nigel Allen</t>
  </si>
  <si>
    <t>nigel.c.allen.civ@army.mil</t>
  </si>
  <si>
    <t>FORT PIERRE</t>
  </si>
  <si>
    <t>Lyman</t>
  </si>
  <si>
    <t>3231B21E</t>
  </si>
  <si>
    <t>44:06:55.0008 (44.115278) North</t>
  </si>
  <si>
    <t>100:18:05.0004 (-100.301389) West</t>
  </si>
  <si>
    <t>Kylor Knox</t>
  </si>
  <si>
    <t>kylor.knox@usda.gov</t>
  </si>
  <si>
    <t xml:space="preserve">(605) 222-7890 </t>
  </si>
  <si>
    <t>FORT ROCK</t>
  </si>
  <si>
    <t>325D74AE</t>
  </si>
  <si>
    <t>43:25:55.0992 (43.431972) North</t>
  </si>
  <si>
    <t>120:50:18.3012 (-120.838417) West</t>
  </si>
  <si>
    <t>FORT VALLEY</t>
  </si>
  <si>
    <t>Shenandoah</t>
  </si>
  <si>
    <t>328D87D0</t>
  </si>
  <si>
    <t>38:50:39.0012 (38.844167) North</t>
  </si>
  <si>
    <t>78:24:55.0008 (-78.415278) West</t>
  </si>
  <si>
    <t>Jay Collett</t>
  </si>
  <si>
    <t>jay.collett@usda.gov</t>
  </si>
  <si>
    <t xml:space="preserve">(540) 984-4101 </t>
  </si>
  <si>
    <t>Janett Herring</t>
  </si>
  <si>
    <t>janet.herring@usda.gov</t>
  </si>
  <si>
    <t>FORT YUMA</t>
  </si>
  <si>
    <t>32:39:07.9992 (32.652222) North</t>
  </si>
  <si>
    <t>114:38:03.0012 (-114.634167) West</t>
  </si>
  <si>
    <t>Fort Yuma Agency</t>
  </si>
  <si>
    <t>Nathan Barrett</t>
  </si>
  <si>
    <t>nathan.barrett@bia.gov</t>
  </si>
  <si>
    <t xml:space="preserve">(928) 669-7120 </t>
  </si>
  <si>
    <t>FOSTER FLAT</t>
  </si>
  <si>
    <t>42:58:20.3988 (42.972333) North</t>
  </si>
  <si>
    <t>119:14:48.5016 (-119.246806) West</t>
  </si>
  <si>
    <t>FOUNTAIN SPRINGS</t>
  </si>
  <si>
    <t>CA229522</t>
  </si>
  <si>
    <t>35:53:28.1796 (35.891161) North</t>
  </si>
  <si>
    <t>118:54:56.1384 (-118.915594) West</t>
  </si>
  <si>
    <t>FOUR MILE</t>
  </si>
  <si>
    <t>3293D45A</t>
  </si>
  <si>
    <t>38:32:25.9008 (38.540528) North</t>
  </si>
  <si>
    <t>105:12:14.4 (-105.204) West</t>
  </si>
  <si>
    <t>ahester@blm.gov, jbrewer@blm.gov</t>
  </si>
  <si>
    <t>FOUR MILE BENCH (FMIB)</t>
  </si>
  <si>
    <t>329337A8</t>
  </si>
  <si>
    <t>37:22:04.7496 (37.367986) North</t>
  </si>
  <si>
    <t>111:40:17.1696 (-111.671436) West</t>
  </si>
  <si>
    <t>FOUR SPRINGS</t>
  </si>
  <si>
    <t>324FF0D0</t>
  </si>
  <si>
    <t>36:47:37.2012 (36.793667) North</t>
  </si>
  <si>
    <t>112:02:32.6004 (-112.042389) West</t>
  </si>
  <si>
    <t>FOURPEAKED</t>
  </si>
  <si>
    <t>328135C2</t>
  </si>
  <si>
    <t>58:42:20.9988 (58.705833) North</t>
  </si>
  <si>
    <t>153:31:05.0016 (-153.518056) West</t>
  </si>
  <si>
    <t>FOX MOUNTAIN</t>
  </si>
  <si>
    <t>3256F112</t>
  </si>
  <si>
    <t>41:00:21.9996 (41.006111) North</t>
  </si>
  <si>
    <t>119:34:05.0016 (-119.568056) West</t>
  </si>
  <si>
    <t>FRANKTOWN</t>
  </si>
  <si>
    <t>DC000612</t>
  </si>
  <si>
    <t>39:23:31.9992 (39.392222) North</t>
  </si>
  <si>
    <t>104:45:02.9988 (-104.750833) West</t>
  </si>
  <si>
    <t>DOUGLAS CO EMER MAN</t>
  </si>
  <si>
    <t>DCSHRF - DOUGLAS COUNTY EMERGENCY MANAGEMENT</t>
  </si>
  <si>
    <t>Travis Griffin</t>
  </si>
  <si>
    <t>tkgriffin@Jeffco.us</t>
  </si>
  <si>
    <t xml:space="preserve">(303) 271-4902 </t>
  </si>
  <si>
    <t>Kirk.will@state.co.us</t>
  </si>
  <si>
    <t>tmjohnso@dcsheriff.net</t>
  </si>
  <si>
    <t>FRAZIER WELLS</t>
  </si>
  <si>
    <t>5212A5E6</t>
  </si>
  <si>
    <t>35:50:43.8396 (35.845511) North</t>
  </si>
  <si>
    <t>113:03:18.0288 (-113.055008) West</t>
  </si>
  <si>
    <t>Dale Glenmore</t>
  </si>
  <si>
    <t>dale.glenmore@hualapai-nsn.gov</t>
  </si>
  <si>
    <t xml:space="preserve">(928) 769-1006 </t>
  </si>
  <si>
    <t>melvin.hunterSr2@hualapai-nsn.gov</t>
  </si>
  <si>
    <t xml:space="preserve">(928) 293-0036 </t>
  </si>
  <si>
    <t>FREMONT CANYON</t>
  </si>
  <si>
    <t>CA4AF650</t>
  </si>
  <si>
    <t>33:48:40.1004 (33.811139) North</t>
  </si>
  <si>
    <t>117:42:30.0996 (-117.708361) West</t>
  </si>
  <si>
    <t>FRENCH CREEK</t>
  </si>
  <si>
    <t>326D1738</t>
  </si>
  <si>
    <t>45:19:48 (45.33) North</t>
  </si>
  <si>
    <t>112:54:46.0008 (-112.912778) West</t>
  </si>
  <si>
    <t>FRIEND MTN.</t>
  </si>
  <si>
    <t>324225DE</t>
  </si>
  <si>
    <t>40:30:19.8756 (40.505521) North</t>
  </si>
  <si>
    <t>123:20:35.5056 (-123.343196) West</t>
  </si>
  <si>
    <t>ahester@blm.gov, elliot.groo@usda.gov, jethompson21@peoplepc.com, keith.rohrs@usda.gov, shuckstep@blm.gov, tod.devine@usda.gov</t>
  </si>
  <si>
    <t>FRITCHIE PORTABLE</t>
  </si>
  <si>
    <t>32D07EA2</t>
  </si>
  <si>
    <t>30:14:39.0012 (30.244167) North</t>
  </si>
  <si>
    <t>89:43:17.0004 (-89.721389) West</t>
  </si>
  <si>
    <t>FT CARSON</t>
  </si>
  <si>
    <t>El Paso</t>
  </si>
  <si>
    <t>38:36:27.1008 (38.607528) North</t>
  </si>
  <si>
    <t>104:53:11.7996 (-104.886611) West</t>
  </si>
  <si>
    <t>Tom Barter</t>
  </si>
  <si>
    <t>thomas.barter@usda.gov</t>
  </si>
  <si>
    <t xml:space="preserve">(719) 477-4218 </t>
  </si>
  <si>
    <t>ahester@blm.gov, jeffrey.bade@usda.gov, thomas.barter@usda.gov</t>
  </si>
  <si>
    <t>FT. YUKON</t>
  </si>
  <si>
    <t>AAA854B8</t>
  </si>
  <si>
    <t>66:34:12 (66.57) North</t>
  </si>
  <si>
    <t>145:15:02.9988 (-145.250833) West</t>
  </si>
  <si>
    <t>FTHL YDMA</t>
  </si>
  <si>
    <t>32:29:11.6988 (32.486583) North</t>
  </si>
  <si>
    <t>114:27:48.6 (-114.4635) West</t>
  </si>
  <si>
    <t>FTS F7 TEST 2</t>
  </si>
  <si>
    <t>32BCE86E</t>
  </si>
  <si>
    <t>Forest Technology System - F7 (F7)</t>
  </si>
  <si>
    <t>FWS AK PORT #1</t>
  </si>
  <si>
    <t>8379B5F0</t>
  </si>
  <si>
    <t>63:30:34.38 (63.50955) North</t>
  </si>
  <si>
    <t>143:00:33.7392 (-143.009372) West</t>
  </si>
  <si>
    <t>FWS AK PORT #2</t>
  </si>
  <si>
    <t>8379C360</t>
  </si>
  <si>
    <t>66:59:48.0084 (66.996669) North</t>
  </si>
  <si>
    <t>146:33:22.9608 (-146.556378) West</t>
  </si>
  <si>
    <t xml:space="preserve">(907) 744-0222 </t>
  </si>
  <si>
    <t xml:space="preserve">(907) 455-1833 </t>
  </si>
  <si>
    <t>FWS AK PORT #3</t>
  </si>
  <si>
    <t>8379D016</t>
  </si>
  <si>
    <t>60:51:26.4492 (60.857347) North</t>
  </si>
  <si>
    <t>150:02:37.2012 (-150.043667) West</t>
  </si>
  <si>
    <t>FWS AK PORT #4</t>
  </si>
  <si>
    <t>837A510C</t>
  </si>
  <si>
    <t>65:12:16.6284 (65.204619) North</t>
  </si>
  <si>
    <t>148:12:03.0204 (-148.200839) West</t>
  </si>
  <si>
    <t>FWS R2 PORT #1</t>
  </si>
  <si>
    <t>36:34:11.5824 (36.569884) North</t>
  </si>
  <si>
    <t>104:35:09.3012 (-104.585917) West</t>
  </si>
  <si>
    <t>NOT APPLICABLE</t>
  </si>
  <si>
    <t>nathan_barrett@fws.gov</t>
  </si>
  <si>
    <t xml:space="preserve">(520) 993-0229 </t>
  </si>
  <si>
    <t>jdopp@blm.gov, rnaden@fs.fed.us</t>
  </si>
  <si>
    <t>FWS R2 PORT #2</t>
  </si>
  <si>
    <t>32:59:00.8016 (32.983556) North</t>
  </si>
  <si>
    <t>114:29:42.1008 (-114.495028) West</t>
  </si>
  <si>
    <t xml:space="preserve">(928) 920-1302 </t>
  </si>
  <si>
    <t>GAIL RAWS</t>
  </si>
  <si>
    <t>Borden</t>
  </si>
  <si>
    <t>AAC373CE</t>
  </si>
  <si>
    <t>32:46:08.4 (32.769) North</t>
  </si>
  <si>
    <t>101:26:03.8004 (-101.434389) West</t>
  </si>
  <si>
    <t>GALENA</t>
  </si>
  <si>
    <t>119:49:54.9984 (-119.831944) West</t>
  </si>
  <si>
    <t>46:13:15.5892 (46.220997) North</t>
  </si>
  <si>
    <t>112:13:42.7008 (-112.228528) West</t>
  </si>
  <si>
    <t>Jason Willoughby</t>
  </si>
  <si>
    <t>jason.willoughby@usda.gov</t>
  </si>
  <si>
    <t xml:space="preserve">(406) 494-0234 </t>
  </si>
  <si>
    <t xml:space="preserve"> jason.willoughby@usda.gov,  richard.reneau@usda.gov,  scott.drake@usda.gov, ahester@blm.gov</t>
  </si>
  <si>
    <t>GANG MILLS</t>
  </si>
  <si>
    <t>Steuben</t>
  </si>
  <si>
    <t>625030F2</t>
  </si>
  <si>
    <t>42:06:00 (42.1) North</t>
  </si>
  <si>
    <t>77:05:60 (-77.1) West</t>
  </si>
  <si>
    <t>Ann Staples</t>
  </si>
  <si>
    <t>anne.staples@dec.ny.gov</t>
  </si>
  <si>
    <t xml:space="preserve">(607) 331-7941 </t>
  </si>
  <si>
    <t>GANNET LAKE</t>
  </si>
  <si>
    <t>Charlton</t>
  </si>
  <si>
    <t>OKEFENOKEE NWR</t>
  </si>
  <si>
    <t>Sara Aicher</t>
  </si>
  <si>
    <t>sara_aicher@fws.gov</t>
  </si>
  <si>
    <t xml:space="preserve">(912) 496-7366 </t>
  </si>
  <si>
    <t>REGGIE FORCINE</t>
  </si>
  <si>
    <t>reggie_forcine@fws.gov</t>
  </si>
  <si>
    <t>(912) 496-7366 37</t>
  </si>
  <si>
    <t>GANOE HILL</t>
  </si>
  <si>
    <t>Pepin</t>
  </si>
  <si>
    <t>32A27EFA</t>
  </si>
  <si>
    <t>44:34:39.4896 (44.577636) North</t>
  </si>
  <si>
    <t>92:04:00.8796 (-92.066911) West</t>
  </si>
  <si>
    <t>Rachel.Hauser@wisconsin.gov</t>
  </si>
  <si>
    <t xml:space="preserve"> rachel.hauser@wisconsin.gov, eric.martin@wisconsin.gov</t>
  </si>
  <si>
    <t>GARDEN HOLLOW</t>
  </si>
  <si>
    <t>D68034B6</t>
  </si>
  <si>
    <t>41:01:32.0016 (41.025556) North</t>
  </si>
  <si>
    <t>77:10:01.9992 (-77.167222) West</t>
  </si>
  <si>
    <t>GAS CAVES</t>
  </si>
  <si>
    <t>3251C6BC</t>
  </si>
  <si>
    <t>44:10:06.8988 (44.168583) North</t>
  </si>
  <si>
    <t>111:46:53.7996 (-111.781611) West</t>
  </si>
  <si>
    <t>Spence Cowley</t>
  </si>
  <si>
    <t xml:space="preserve">(208) 709-2454 </t>
  </si>
  <si>
    <t>GASQUET 2</t>
  </si>
  <si>
    <t>3239C028</t>
  </si>
  <si>
    <t>41:50:17.8116 (41.838281) North</t>
  </si>
  <si>
    <t>123:56:43.2384 (-123.945344) West</t>
  </si>
  <si>
    <t>GATES GLACIER</t>
  </si>
  <si>
    <t>61:36:10.4 (61.602889) North</t>
  </si>
  <si>
    <t>143:00:47.56 (-143.013211) West</t>
  </si>
  <si>
    <t>GATES PARK</t>
  </si>
  <si>
    <t>16C4536A</t>
  </si>
  <si>
    <t>47:47:22.9992 (47.789722) North</t>
  </si>
  <si>
    <t>112:56:21.9984 (-112.939444) West</t>
  </si>
  <si>
    <t>Anthony Eamcio</t>
  </si>
  <si>
    <t>Anthony  Emacio</t>
  </si>
  <si>
    <t>GAVIOTA</t>
  </si>
  <si>
    <t>32B65460</t>
  </si>
  <si>
    <t>34:29:18.2472 (34.488402) North</t>
  </si>
  <si>
    <t>120:14:08.6568 (-120.235738) West</t>
  </si>
  <si>
    <t>GDR</t>
  </si>
  <si>
    <t>837216A0</t>
  </si>
  <si>
    <t>36:36:46.5408 (36.612928) North</t>
  </si>
  <si>
    <t>76:33:15.3 (-76.55425) West</t>
  </si>
  <si>
    <t>GREAT DISMAL NWR</t>
  </si>
  <si>
    <t>frank_simmons@fws.gov</t>
  </si>
  <si>
    <t xml:space="preserve">(757) 406-2492 </t>
  </si>
  <si>
    <t>GDR-PORT-QD</t>
  </si>
  <si>
    <t>837A34EA</t>
  </si>
  <si>
    <t>36:58:18.48 (36.9718) North</t>
  </si>
  <si>
    <t>77:04:58.44 (-77.0829) West</t>
  </si>
  <si>
    <t>GELLATLY</t>
  </si>
  <si>
    <t>6000026E</t>
  </si>
  <si>
    <t>44:36:28.0008 (44.607778) North</t>
  </si>
  <si>
    <t>123:28:30 (-123.475) West</t>
  </si>
  <si>
    <t>Teresa Zena Alcock</t>
  </si>
  <si>
    <t>GEORGE CREEK RAWS</t>
  </si>
  <si>
    <t>63:50:15 (63.8375) North</t>
  </si>
  <si>
    <t>144:21:01.0008 (-144.350278) West</t>
  </si>
  <si>
    <t>GEORGE WEST</t>
  </si>
  <si>
    <t>Live Oak</t>
  </si>
  <si>
    <t>884032EC</t>
  </si>
  <si>
    <t>28:27:57.3984 (28.465944) North</t>
  </si>
  <si>
    <t>98:15:08.7012 (-98.252417) West</t>
  </si>
  <si>
    <t>GERBER RESERVOIR</t>
  </si>
  <si>
    <t>3250F1DC</t>
  </si>
  <si>
    <t>42:12:21.4992 (42.205972) North</t>
  </si>
  <si>
    <t>121:08:17.0016 (-121.138056) West</t>
  </si>
  <si>
    <t>GIANTS GRAVE</t>
  </si>
  <si>
    <t>40:59:28.7988 (40.991333) North</t>
  </si>
  <si>
    <t>117:37:29.6004 (-117.624889) West</t>
  </si>
  <si>
    <t>GILA CENTER RAWS</t>
  </si>
  <si>
    <t>3232F61A</t>
  </si>
  <si>
    <t>33:13:24.9996 (33.223611) North</t>
  </si>
  <si>
    <t>108:14:25.0008 (-108.240278) West</t>
  </si>
  <si>
    <t>Jose Torres</t>
  </si>
  <si>
    <t>Jose.torres@usda.gov</t>
  </si>
  <si>
    <t xml:space="preserve">(575) 536-2250 </t>
  </si>
  <si>
    <t>Maurice Cruz</t>
  </si>
  <si>
    <t>maurice.cruz@usda.gov</t>
  </si>
  <si>
    <t>GILA QD1</t>
  </si>
  <si>
    <t>3281E3AA</t>
  </si>
  <si>
    <t>32:55:09.6492 (32.919347) North</t>
  </si>
  <si>
    <t>108:09:02.52 (-108.1507) West</t>
  </si>
  <si>
    <t xml:space="preserve">(575) 313-6599 </t>
  </si>
  <si>
    <t>Ricardo De La Torre</t>
  </si>
  <si>
    <t>ricardo.delatorre@usda.gov</t>
  </si>
  <si>
    <t xml:space="preserve">(575) 388-8311 </t>
  </si>
  <si>
    <t>03:00, 18:00, 33:00, 48:00</t>
  </si>
  <si>
    <t>GILA QD2</t>
  </si>
  <si>
    <t>AAC4141C</t>
  </si>
  <si>
    <t>32:56:54.8916 (32.948581) North</t>
  </si>
  <si>
    <t>108:06:06.2496 (-108.101736) West</t>
  </si>
  <si>
    <t>Javier Kiker</t>
  </si>
  <si>
    <t>Javier.kirker@usda.gov</t>
  </si>
  <si>
    <t xml:space="preserve">(505) 985-3083 </t>
  </si>
  <si>
    <t>jacob.gentry@usda.gov; javier.kirker@usda.gov; maurice.cruz@usda.gov</t>
  </si>
  <si>
    <t>03:05, 18:05, 33:05, 48:05</t>
  </si>
  <si>
    <t>GILMER</t>
  </si>
  <si>
    <t>Upshur</t>
  </si>
  <si>
    <t>32:42:03.9996 (32.701111) North</t>
  </si>
  <si>
    <t>94:56:40.9992 (-94.944722) West</t>
  </si>
  <si>
    <t>GINGER</t>
  </si>
  <si>
    <t>3253F6D2</t>
  </si>
  <si>
    <t>46:19:45.0012 (46.329167) North</t>
  </si>
  <si>
    <t>111:35:17.0016 (-111.588056) West</t>
  </si>
  <si>
    <t>GIRD POINT</t>
  </si>
  <si>
    <t>326F3420</t>
  </si>
  <si>
    <t>46:11:35.5812 (46.193217) North</t>
  </si>
  <si>
    <t>113:55:21.2916 (-113.922581) West</t>
  </si>
  <si>
    <t>GJDBLMFTS QD</t>
  </si>
  <si>
    <t>327A6402</t>
  </si>
  <si>
    <t>39:36:19.0008 (39.605278) North</t>
  </si>
  <si>
    <t>108:45:59.0004 (-108.766389) West</t>
  </si>
  <si>
    <t>Lathan Johnson</t>
  </si>
  <si>
    <t>lwjohnso@blm.gov</t>
  </si>
  <si>
    <t xml:space="preserve">(970) 640-9165 </t>
  </si>
  <si>
    <t>GLACIAL RIDGE PORTABLE</t>
  </si>
  <si>
    <t>32D4E028</t>
  </si>
  <si>
    <t>47:43:08.4 (47.719) North</t>
  </si>
  <si>
    <t>96:12:21.4992 (-96.205972) West</t>
  </si>
  <si>
    <t>GLACIAL RIDGE NWR</t>
  </si>
  <si>
    <t>Eric Mark</t>
  </si>
  <si>
    <t>eric_mark@fws.gov</t>
  </si>
  <si>
    <t xml:space="preserve">(701) 425-9080 </t>
  </si>
  <si>
    <t>GLACIER BAY FUEL DOCK</t>
  </si>
  <si>
    <t>3962D590</t>
  </si>
  <si>
    <t>58:27:18.5436 (58.455151) North</t>
  </si>
  <si>
    <t>135:53:18.6684 (-135.888519) West</t>
  </si>
  <si>
    <t>GLEASON</t>
  </si>
  <si>
    <t>3332144A</t>
  </si>
  <si>
    <t>47:52:21 (47.8725) North</t>
  </si>
  <si>
    <t>112:40:14.9988 (-112.670833) West</t>
  </si>
  <si>
    <t>GLENPED</t>
  </si>
  <si>
    <t>Rockbridge</t>
  </si>
  <si>
    <t>326AE588</t>
  </si>
  <si>
    <t>37:37:35.0004 (37.626389) North</t>
  </si>
  <si>
    <t>79:30:45 (-79.5125) West</t>
  </si>
  <si>
    <t xml:space="preserve">(540) 291-2188 </t>
  </si>
  <si>
    <t>GLIDDEN</t>
  </si>
  <si>
    <t>328B871E</t>
  </si>
  <si>
    <t>46:08:40.9992 (46.144722) North</t>
  </si>
  <si>
    <t>90:35:25.0008 (-90.590278) West</t>
  </si>
  <si>
    <t xml:space="preserve">(715) 661-3042 </t>
  </si>
  <si>
    <t>GLISSONS POND</t>
  </si>
  <si>
    <t>Evans</t>
  </si>
  <si>
    <t>F8E004CA</t>
  </si>
  <si>
    <t>32:04:28.38 (32.07455) North</t>
  </si>
  <si>
    <t>81:49:11.748 (-81.81993) West</t>
  </si>
  <si>
    <t>FORT STEWART</t>
  </si>
  <si>
    <t>FTSTEW - Army Ft. Stewart Forestry</t>
  </si>
  <si>
    <t>John Woods</t>
  </si>
  <si>
    <t>john.w.woods68.civ@army.mil</t>
  </si>
  <si>
    <t xml:space="preserve">(571) 801-1346 </t>
  </si>
  <si>
    <t>Nick Seanor</t>
  </si>
  <si>
    <t>renick.j.seanor.civ@army.mil</t>
  </si>
  <si>
    <t xml:space="preserve">(571) 801-1347 </t>
  </si>
  <si>
    <t>04:00, 34:00</t>
  </si>
  <si>
    <t>GLOBE</t>
  </si>
  <si>
    <t>3283E65E</t>
  </si>
  <si>
    <t>33:19:36.9984 (33.326944) North</t>
  </si>
  <si>
    <t>110:46:00.9984 (-110.766944) West</t>
  </si>
  <si>
    <t>justin.wedo@usda.gov</t>
  </si>
  <si>
    <t xml:space="preserve">(602) 741-3695 </t>
  </si>
  <si>
    <t>Justin Henderson</t>
  </si>
  <si>
    <t>justin.henderson@usda.gov</t>
  </si>
  <si>
    <t xml:space="preserve">(928) 707-1552 </t>
  </si>
  <si>
    <t>justin.henderson@usda.gov, justin.wedo@usda.gov</t>
  </si>
  <si>
    <t>GMF1 MONTROSE QD</t>
  </si>
  <si>
    <t>327FD04C</t>
  </si>
  <si>
    <t>38:29:44.0988 (38.495583) North</t>
  </si>
  <si>
    <t>108:21:11.4984 (-108.353194) West</t>
  </si>
  <si>
    <t>GM, UNC, &amp; GUNN NF</t>
  </si>
  <si>
    <t>Cody Russell (Cell)</t>
  </si>
  <si>
    <t>cody.russell@usda.gov</t>
  </si>
  <si>
    <t xml:space="preserve">(970) 596-4672 </t>
  </si>
  <si>
    <t>Corey Robinson</t>
  </si>
  <si>
    <t>corey.robinson@usda.gov</t>
  </si>
  <si>
    <t xml:space="preserve">(970) 901-6691 </t>
  </si>
  <si>
    <t>Cody Russell</t>
  </si>
  <si>
    <t>GNF EAST ZONE-PORTABLE</t>
  </si>
  <si>
    <t>3233C17A</t>
  </si>
  <si>
    <t>45:36:37.4004 (45.610389) North</t>
  </si>
  <si>
    <t>109:51:45.6984 (-109.862694) West</t>
  </si>
  <si>
    <t>Gregory Oyler (Cell)</t>
  </si>
  <si>
    <t>collin.a.calhoun@usda.gov, gregory.oyler@usda.gov, jessica.westbrook@usda.gov, todd.erdody@usda.gov</t>
  </si>
  <si>
    <t>GNF WEST ZONE-PORTABLE</t>
  </si>
  <si>
    <t>327EE72C</t>
  </si>
  <si>
    <t>45:31:51.8988 (45.531083) North</t>
  </si>
  <si>
    <t>111:01:12.6012 (-111.020167) West</t>
  </si>
  <si>
    <t>James Ray (Cell)</t>
  </si>
  <si>
    <t xml:space="preserve">(239) 877-1967 </t>
  </si>
  <si>
    <t>breck.klein@usda.gov, james.m.ray@usda.gov, todd.erdody@usda.gov</t>
  </si>
  <si>
    <t>GOLD HILL</t>
  </si>
  <si>
    <t>48:14:34.5984 (48.242944) North</t>
  </si>
  <si>
    <t>121:32:46.1004 (-121.546139) West</t>
  </si>
  <si>
    <t>GOLD KING</t>
  </si>
  <si>
    <t>3390D2F6</t>
  </si>
  <si>
    <t>64:11:48.0012 (64.196667) North</t>
  </si>
  <si>
    <t>147:55:09.9984 (-147.919444) West</t>
  </si>
  <si>
    <t>GOLD MOUNTAIN</t>
  </si>
  <si>
    <t>48:10:50.6712 (48.180742) North</t>
  </si>
  <si>
    <t>118:28:00.4296 (-118.466786) West</t>
  </si>
  <si>
    <t>Colville Agency</t>
  </si>
  <si>
    <t>Deborah Caudell</t>
  </si>
  <si>
    <t>deborah.caudell@bia.gov</t>
  </si>
  <si>
    <t xml:space="preserve">(509) 634-3151 </t>
  </si>
  <si>
    <t>Seth Labro</t>
  </si>
  <si>
    <t>seth.labro.mtf@colvilletribes.com</t>
  </si>
  <si>
    <t xml:space="preserve">(509) 634-3134 </t>
  </si>
  <si>
    <t>GOLDENDALE EAST</t>
  </si>
  <si>
    <t>Klickitat</t>
  </si>
  <si>
    <t>300731F0</t>
  </si>
  <si>
    <t>45:52:53.0004 (45.881389) North</t>
  </si>
  <si>
    <t>120:38:04.9992 (-120.634722) West</t>
  </si>
  <si>
    <t>Brent Van Amburg</t>
  </si>
  <si>
    <t>brent.vanamburg@dnr.wa.gov</t>
  </si>
  <si>
    <t xml:space="preserve">(509) 925-0956 </t>
  </si>
  <si>
    <t>missy.parker@dnr.wa.gov, rpraws@dnr.wa.gov</t>
  </si>
  <si>
    <t>GOLDFIELD</t>
  </si>
  <si>
    <t>32D06DD4</t>
  </si>
  <si>
    <t>33:33:19.1016 (33.555306) North</t>
  </si>
  <si>
    <t>111:36:52.2 (-111.6145) West</t>
  </si>
  <si>
    <t>Travis.helfrich@usda.gov</t>
  </si>
  <si>
    <t>Gregory Sawyer</t>
  </si>
  <si>
    <t>Gregory.Sawyer@usda.gov</t>
  </si>
  <si>
    <t xml:space="preserve">(928) 821-4310 </t>
  </si>
  <si>
    <t>GOODPASTURE</t>
  </si>
  <si>
    <t>64:14:17.0016 (64.238056) North</t>
  </si>
  <si>
    <t>145:16:00.9984 (-145.266944) West</t>
  </si>
  <si>
    <t>mike butteri</t>
  </si>
  <si>
    <t>GOODWIN MESA</t>
  </si>
  <si>
    <t>34:46:34.1004 (34.776139) North</t>
  </si>
  <si>
    <t>113:20:15 (-113.3375) West</t>
  </si>
  <si>
    <t>COLORADO RIVER</t>
  </si>
  <si>
    <t>WILLIAM BOYETT</t>
  </si>
  <si>
    <t>wboyett@blm.gov</t>
  </si>
  <si>
    <t xml:space="preserve">(928) 830-0785 </t>
  </si>
  <si>
    <t>JASON POTTHOFF</t>
  </si>
  <si>
    <t>jpotthoff@blm.gov</t>
  </si>
  <si>
    <t xml:space="preserve">(928) 716-0653 </t>
  </si>
  <si>
    <t>GOODWIN PEAK</t>
  </si>
  <si>
    <t>3260E4DA</t>
  </si>
  <si>
    <t>43:55:40.2996 (43.927861) North</t>
  </si>
  <si>
    <t>123:53:29.8716 (-123.891631) West</t>
  </si>
  <si>
    <t>GOOSE CREEK</t>
  </si>
  <si>
    <t>325110D4</t>
  </si>
  <si>
    <t>42:05:45.3012 (42.095917) North</t>
  </si>
  <si>
    <t>113:53:56.6988 (-113.899083) West</t>
  </si>
  <si>
    <t>BURLEY</t>
  </si>
  <si>
    <t>BOB HADOCK</t>
  </si>
  <si>
    <t>GOOSE VALLEY</t>
  </si>
  <si>
    <t>3270F032</t>
  </si>
  <si>
    <t>33:05:03.5484 (33.084319) North</t>
  </si>
  <si>
    <t>116:52:36.8508 (-116.876903) West</t>
  </si>
  <si>
    <t>GORDON</t>
  </si>
  <si>
    <t>333346CC</t>
  </si>
  <si>
    <t>40:45:22.1508 (40.756153) North</t>
  </si>
  <si>
    <t>120:53:31.65 (-120.892125) West</t>
  </si>
  <si>
    <t>GRACE</t>
  </si>
  <si>
    <t>325D023E</t>
  </si>
  <si>
    <t>42:32:26.4984 (42.540694) North</t>
  </si>
  <si>
    <t>111:51:19.1988 (-111.855333) West</t>
  </si>
  <si>
    <t>GRANADA</t>
  </si>
  <si>
    <t>Prowers</t>
  </si>
  <si>
    <t>32A256C4</t>
  </si>
  <si>
    <t>38:03:48.1788 (38.063383) North</t>
  </si>
  <si>
    <t>102:18:04.32 (-102.3012) West</t>
  </si>
  <si>
    <t>Boyd Lebeda</t>
  </si>
  <si>
    <t>GRANBURY</t>
  </si>
  <si>
    <t>Hood</t>
  </si>
  <si>
    <t>32:26:48.9984 (32.446944) North</t>
  </si>
  <si>
    <t>97:49:00.9984 (-97.816944) West</t>
  </si>
  <si>
    <t>GRAND BAY</t>
  </si>
  <si>
    <t>30:26:17.9988 (30.438333) North</t>
  </si>
  <si>
    <t>88:25:32.0016 (-88.425556) West</t>
  </si>
  <si>
    <t>GRAND BAY NWR</t>
  </si>
  <si>
    <t>SAMI GRAY</t>
  </si>
  <si>
    <t>jeff_twiss@fws.gov</t>
  </si>
  <si>
    <t>David Stoesz</t>
  </si>
  <si>
    <t>GRAND MESA</t>
  </si>
  <si>
    <t>Delta</t>
  </si>
  <si>
    <t>32B75848</t>
  </si>
  <si>
    <t>39:02:01.4388 (39.033733) North</t>
  </si>
  <si>
    <t>107:58:36.84 (-107.9769) West</t>
  </si>
  <si>
    <t>Stwart Robertson</t>
  </si>
  <si>
    <t>stewart.robertson@usda.gov</t>
  </si>
  <si>
    <t xml:space="preserve">(970) 433-4673 </t>
  </si>
  <si>
    <t>Dustin Wheeler</t>
  </si>
  <si>
    <t>dustin.wheeler@usda.gov</t>
  </si>
  <si>
    <t xml:space="preserve">(970) 640-7691 </t>
  </si>
  <si>
    <t>GRAND PORTAGE</t>
  </si>
  <si>
    <t>5214233C</t>
  </si>
  <si>
    <t>47:57:01.0296 (47.950286) North</t>
  </si>
  <si>
    <t>89:46:48.5112 (-89.780142) West</t>
  </si>
  <si>
    <t>Midwest</t>
  </si>
  <si>
    <t>Minnesota Agency</t>
  </si>
  <si>
    <t>Erik Carlson (Cell)</t>
  </si>
  <si>
    <t>erikc@grandportage.com</t>
  </si>
  <si>
    <t xml:space="preserve">(218) 370-1414 </t>
  </si>
  <si>
    <t>Marty Cassellius</t>
  </si>
  <si>
    <t>martin.cassellius@bia.gov</t>
  </si>
  <si>
    <t xml:space="preserve">(612) 725-4523 </t>
  </si>
  <si>
    <t>ahester@blm.gov, cheryl.bright@bia.gov, tom.remus@bia.gov</t>
  </si>
  <si>
    <t>GRAND RIVER</t>
  </si>
  <si>
    <t>Corson</t>
  </si>
  <si>
    <t>AAC207A4</t>
  </si>
  <si>
    <t>45:36:51.3684 (45.614269) North</t>
  </si>
  <si>
    <t>101:03:46.3392 (-101.062872) West</t>
  </si>
  <si>
    <t>Standing Rock Agency</t>
  </si>
  <si>
    <t>AUSTIN HODGKISS</t>
  </si>
  <si>
    <t>austin.hodgkiss@bia.gov</t>
  </si>
  <si>
    <t xml:space="preserve">(701) 854-7537 </t>
  </si>
  <si>
    <t>GRAND TETON</t>
  </si>
  <si>
    <t>FA45C306</t>
  </si>
  <si>
    <t>43:42:53.3016 (43.714806) North</t>
  </si>
  <si>
    <t>110:42:48.3984 (-110.713444) West</t>
  </si>
  <si>
    <t>GRAND TETON NP</t>
  </si>
  <si>
    <t>Bill Mayer</t>
  </si>
  <si>
    <t>bill_mayer@nps.gov</t>
  </si>
  <si>
    <t xml:space="preserve">(307) 739-3313 </t>
  </si>
  <si>
    <t xml:space="preserve"> harley_henderson@nps.gov, bill_mayer@nps.gov, emma_remillard@nps.gov, eric.neiswanger@usda.gov</t>
  </si>
  <si>
    <t>GRAND VALLEY PORTABLE 2</t>
  </si>
  <si>
    <t>Mesa</t>
  </si>
  <si>
    <t>32B0D2BA</t>
  </si>
  <si>
    <t>38:40:52.3992 (38.681222) North</t>
  </si>
  <si>
    <t>108:49:27.21 (-108.824225) West</t>
  </si>
  <si>
    <t>Sarah Westendorf</t>
  </si>
  <si>
    <t>sarah.westendorf@usda.gov</t>
  </si>
  <si>
    <t xml:space="preserve">(970) 307-4187 </t>
  </si>
  <si>
    <t>GRANDAD</t>
  </si>
  <si>
    <t>326116A4</t>
  </si>
  <si>
    <t>43:24:56.9988 (43.415833) North</t>
  </si>
  <si>
    <t>122:34:37.9992 (-122.577222) West</t>
  </si>
  <si>
    <t>sara.billings@uda.gov</t>
  </si>
  <si>
    <t>GRANDFATHER</t>
  </si>
  <si>
    <t>3334D19A</t>
  </si>
  <si>
    <t>35:46:03.8316 (35.767731) North</t>
  </si>
  <si>
    <t>82:02:24.0684 (-82.040019) West</t>
  </si>
  <si>
    <t xml:space="preserve">(828) 257-4264 </t>
  </si>
  <si>
    <t>GRANDVIEW</t>
  </si>
  <si>
    <t>Raleigh</t>
  </si>
  <si>
    <t>FA6423E0</t>
  </si>
  <si>
    <t>37:49:57.18 (37.83255) North</t>
  </si>
  <si>
    <t>81:04:04.98 (-81.06805) West</t>
  </si>
  <si>
    <t>NEW RIVER GORGE N.R.</t>
  </si>
  <si>
    <t>Michelle Faherty</t>
  </si>
  <si>
    <t>michelle_q_faherty@nps.gov</t>
  </si>
  <si>
    <t xml:space="preserve">(304) 719-2515 </t>
  </si>
  <si>
    <t>Thomas Fielden</t>
  </si>
  <si>
    <t>thomas_fielden@nps.gov</t>
  </si>
  <si>
    <t xml:space="preserve">(304) 465-2573 </t>
  </si>
  <si>
    <t xml:space="preserve"> thomas_fielden@nps.gov, michelle_q_faherty@nps.gov</t>
  </si>
  <si>
    <t>GRANGER LAKE</t>
  </si>
  <si>
    <t>C2E00212</t>
  </si>
  <si>
    <t>30:39:43.3296 (30.662036) North</t>
  </si>
  <si>
    <t>97:23:04.47 (-97.384575) West</t>
  </si>
  <si>
    <t>WILLIAMSON CO EM</t>
  </si>
  <si>
    <t>WILCO1 - Williamson County Emergency Management</t>
  </si>
  <si>
    <t>Candi Semple</t>
  </si>
  <si>
    <t>candi.semple@wilco.org</t>
  </si>
  <si>
    <t xml:space="preserve">(512) 864-8269 </t>
  </si>
  <si>
    <t>Bruce Clements</t>
  </si>
  <si>
    <t>bruce.clements@wilco.org</t>
  </si>
  <si>
    <t xml:space="preserve">(512) 864-8267 </t>
  </si>
  <si>
    <t>GRANITE</t>
  </si>
  <si>
    <t>324704F2</t>
  </si>
  <si>
    <t>60:43:36.84 (60.7269) North</t>
  </si>
  <si>
    <t>149:17:22.6212 (-149.289617) West</t>
  </si>
  <si>
    <t>GRANITE SPRINGS</t>
  </si>
  <si>
    <t>32B70834</t>
  </si>
  <si>
    <t>38:47:05.5284 (38.784869) North</t>
  </si>
  <si>
    <t>120:20:27.7116 (-120.341031) West</t>
  </si>
  <si>
    <t>Lee Helgeson</t>
  </si>
  <si>
    <t>David  Mcilhargie</t>
  </si>
  <si>
    <t>david.mcilhargie@usda.gov</t>
  </si>
  <si>
    <t xml:space="preserve">(530) 363-6765 </t>
  </si>
  <si>
    <t>GRANTS</t>
  </si>
  <si>
    <t>3283B622</t>
  </si>
  <si>
    <t>35:14:34.0008 (35.242778) North</t>
  </si>
  <si>
    <t>107:39:55.0008 (-107.665278) West</t>
  </si>
  <si>
    <t>GRAPEVINE PEAK</t>
  </si>
  <si>
    <t>CA522300</t>
  </si>
  <si>
    <t>34:54:06 (34.901667) North</t>
  </si>
  <si>
    <t>118:54:11.9999 (-118.903333) West</t>
  </si>
  <si>
    <t>KERN COUNTY FIRE</t>
  </si>
  <si>
    <t>Gary Blake (Captain)</t>
  </si>
  <si>
    <t>gblake@kerncountyfire.org</t>
  </si>
  <si>
    <t xml:space="preserve">(951) 805-4323 </t>
  </si>
  <si>
    <t>GRAPHITE LAKE</t>
  </si>
  <si>
    <t>1260B57C</t>
  </si>
  <si>
    <t>67:01:44.1984 (67.028944) North</t>
  </si>
  <si>
    <t>143:17:52.2996 (-143.297861) West</t>
  </si>
  <si>
    <t>GRASS CREEK DIVIDE</t>
  </si>
  <si>
    <t>Hot Springs</t>
  </si>
  <si>
    <t>3264C70C</t>
  </si>
  <si>
    <t>43:53:29.0004 (43.891389) North</t>
  </si>
  <si>
    <t>108:51:13.2012 (-108.853667) West</t>
  </si>
  <si>
    <t>Rance Neighbors</t>
  </si>
  <si>
    <t>rneighbo@blm.gov</t>
  </si>
  <si>
    <t xml:space="preserve">(307) 431-9878 </t>
  </si>
  <si>
    <t>Derek Trauntvein</t>
  </si>
  <si>
    <t>dtrauntv@blm.gov</t>
  </si>
  <si>
    <t xml:space="preserve">(307) 431-9958 </t>
  </si>
  <si>
    <t xml:space="preserve"> dtrauntv@blm.gov, jellington@blm.gov, rneighbo@blm.gov, roldenburg@blm.gov</t>
  </si>
  <si>
    <t>GRASS MOUNTAIN</t>
  </si>
  <si>
    <t>34:38:26.8188 (34.640783) North</t>
  </si>
  <si>
    <t>118:24:51.6708 (-118.414353) West</t>
  </si>
  <si>
    <t>GRASSHOPPER</t>
  </si>
  <si>
    <t>CA2090D6</t>
  </si>
  <si>
    <t>40:46:54.0984 (40.781694) North</t>
  </si>
  <si>
    <t>120:47:03.7392 (-120.784372) West</t>
  </si>
  <si>
    <t>GRASSY MOUNTAIN</t>
  </si>
  <si>
    <t>3250D730</t>
  </si>
  <si>
    <t>42:37:34.1004 (42.626139) North</t>
  </si>
  <si>
    <t>117:23:42.5004 (-117.395139) West</t>
  </si>
  <si>
    <t>GRAYBACK</t>
  </si>
  <si>
    <t>3000A6A6</t>
  </si>
  <si>
    <t>45:59:30.0012 (45.991667) North</t>
  </si>
  <si>
    <t>121:04:58.0008 (-121.082778) West</t>
  </si>
  <si>
    <t>GRAYLING</t>
  </si>
  <si>
    <t>Crawford</t>
  </si>
  <si>
    <t>0800252E</t>
  </si>
  <si>
    <t>44:43:08.0004 (44.718889) North</t>
  </si>
  <si>
    <t>84:42:33.0012 (-84.709167) West</t>
  </si>
  <si>
    <t>Mike Janisse</t>
  </si>
  <si>
    <t>janissem@michigan.gov</t>
  </si>
  <si>
    <t xml:space="preserve">(989) 348-6371 </t>
  </si>
  <si>
    <t>janissem@michigan.gov, rogersp5@michigan.gov</t>
  </si>
  <si>
    <t>GRAZELKA RANGE</t>
  </si>
  <si>
    <t>D0D043A8</t>
  </si>
  <si>
    <t>61:13:27.0984 (61.224194) North</t>
  </si>
  <si>
    <t>149:41:03.8004 (-149.684389) West</t>
  </si>
  <si>
    <t>ELMENDORF-RICHARDSON</t>
  </si>
  <si>
    <t>ANDREW LAMBERT</t>
  </si>
  <si>
    <t>andrew.lambert.1@us.af.mil</t>
  </si>
  <si>
    <t xml:space="preserve">(907) 552-9479 </t>
  </si>
  <si>
    <t>GREAT DIVIDE</t>
  </si>
  <si>
    <t>3259C21A</t>
  </si>
  <si>
    <t>40:45:27.2988 (40.757583) North</t>
  </si>
  <si>
    <t>107:51:12.6 (-107.8535) West</t>
  </si>
  <si>
    <t>Michael St.Martin</t>
  </si>
  <si>
    <t>GREBE</t>
  </si>
  <si>
    <t>44:43:08.58 (44.71905) North</t>
  </si>
  <si>
    <t>110:30:47.5812 (-110.513217) West</t>
  </si>
  <si>
    <t>GREEN CANYON</t>
  </si>
  <si>
    <t>Salt Lake</t>
  </si>
  <si>
    <t>333624EA</t>
  </si>
  <si>
    <t>41:46:09.7212 (41.769367) North</t>
  </si>
  <si>
    <t>111:46:00.1812 (-111.766717) West</t>
  </si>
  <si>
    <t>GREEN MOUNTAIN</t>
  </si>
  <si>
    <t>43:43:31.0008 (43.725278) North</t>
  </si>
  <si>
    <t>122:48:20.0016 (-122.805556) West</t>
  </si>
  <si>
    <t>Keith Teague</t>
  </si>
  <si>
    <t>keith.teague@odf.oregon.gov</t>
  </si>
  <si>
    <t xml:space="preserve">(541) 726-3588 </t>
  </si>
  <si>
    <t>Teresa Alcock</t>
  </si>
  <si>
    <t>3249760A</t>
  </si>
  <si>
    <t>37:33:30.2004 (37.558389) North</t>
  </si>
  <si>
    <t>119:14:25.1016 (-119.240306) West</t>
  </si>
  <si>
    <t>Jose Rivera</t>
  </si>
  <si>
    <t>jose.rivera2@usda.gov</t>
  </si>
  <si>
    <t xml:space="preserve">(559) 760-6278 </t>
  </si>
  <si>
    <t>GREEN RIDGE</t>
  </si>
  <si>
    <t>Allegany</t>
  </si>
  <si>
    <t>B80002F4</t>
  </si>
  <si>
    <t>39:41:14.8092 (39.687447) North</t>
  </si>
  <si>
    <t>78:25:19.4088 (-78.422058) West</t>
  </si>
  <si>
    <t>timothy.cole@maryland.gov</t>
  </si>
  <si>
    <t>William Parler</t>
  </si>
  <si>
    <t>williamc.parler@maryland.gov</t>
  </si>
  <si>
    <t xml:space="preserve">(301) 876-7620 </t>
  </si>
  <si>
    <t>GREEN SPRING</t>
  </si>
  <si>
    <t>CA21E4BC</t>
  </si>
  <si>
    <t>37:50:03.0516 (37.834181) North</t>
  </si>
  <si>
    <t>120:30:11.1816 (-120.503106) West</t>
  </si>
  <si>
    <t>GREENBASE</t>
  </si>
  <si>
    <t>323923DA</t>
  </si>
  <si>
    <t>35:16:34.2984 (35.276194) North</t>
  </si>
  <si>
    <t>112:03:47.7 (-112.06325) West</t>
  </si>
  <si>
    <t xml:space="preserve"> richard_naden@nps.gov, andrew.leiendecker@usda.gov, quentin.ford@usda.gov</t>
  </si>
  <si>
    <t>GREENE</t>
  </si>
  <si>
    <t>391085B4</t>
  </si>
  <si>
    <t>31:08:12.9984 (31.136944) North</t>
  </si>
  <si>
    <t>88:35:58.9992 (-88.599722) West</t>
  </si>
  <si>
    <t>GREENFIELD</t>
  </si>
  <si>
    <t>Weakley</t>
  </si>
  <si>
    <t>36:09:38.9988 (36.160833) North</t>
  </si>
  <si>
    <t>88:48:00.36 (-88.8001) West</t>
  </si>
  <si>
    <t>GREENS CROSS</t>
  </si>
  <si>
    <t>Bertie</t>
  </si>
  <si>
    <t>36:01:03.5616 (36.017656) North</t>
  </si>
  <si>
    <t>76:53:28.5396 (-76.891261) West</t>
  </si>
  <si>
    <t>GREENVILLE</t>
  </si>
  <si>
    <t>Hunt</t>
  </si>
  <si>
    <t>8840219A</t>
  </si>
  <si>
    <t>33:14:17.9988 (33.238333) North</t>
  </si>
  <si>
    <t>95:55:28.9992 (-95.924722) West</t>
  </si>
  <si>
    <t>403046CE</t>
  </si>
  <si>
    <t>37:16:24.24 (37.2734) North</t>
  </si>
  <si>
    <t>87:12:07.884 (-87.20219) West</t>
  </si>
  <si>
    <t>Chance Coates</t>
  </si>
  <si>
    <t>chance.coates@ky.gov</t>
  </si>
  <si>
    <t xml:space="preserve">(270) 619-2536 </t>
  </si>
  <si>
    <t>chance.coates@ky.gov, william.beam@ky.gov</t>
  </si>
  <si>
    <t>GREENVILLE BENCH PORTABLE</t>
  </si>
  <si>
    <t>3243B246</t>
  </si>
  <si>
    <t>38:11:23.4996 (38.189861) North</t>
  </si>
  <si>
    <t>112:46:23.4012 (-112.773167) West</t>
  </si>
  <si>
    <t>GREENWATER</t>
  </si>
  <si>
    <t>3000065E</t>
  </si>
  <si>
    <t>47:06:56.0016 (47.115556) North</t>
  </si>
  <si>
    <t>121:35:44.0016 (-121.595556) West</t>
  </si>
  <si>
    <t xml:space="preserve">(360) 312-9108 </t>
  </si>
  <si>
    <t>GREER</t>
  </si>
  <si>
    <t>326BC19E</t>
  </si>
  <si>
    <t>34:03:30.7008 (34.058528) North</t>
  </si>
  <si>
    <t>109:26:27.4992 (-109.440972) West</t>
  </si>
  <si>
    <t>Joseph Behrens</t>
  </si>
  <si>
    <t>joseph.behrens@usda.gov</t>
  </si>
  <si>
    <t xml:space="preserve">(406) 865-0292 </t>
  </si>
  <si>
    <t>Travis Thompson</t>
  </si>
  <si>
    <t>travis.thompson@usda.gov</t>
  </si>
  <si>
    <t xml:space="preserve">(928) 551-8785 </t>
  </si>
  <si>
    <t>joseph.behrens@usda.gov, travis.thompson@usda.gov</t>
  </si>
  <si>
    <t>GROVE HILL</t>
  </si>
  <si>
    <t>Clarke</t>
  </si>
  <si>
    <t>32B3C810</t>
  </si>
  <si>
    <t>31:41:26.4984 (31.690694) North</t>
  </si>
  <si>
    <t>87:45:38.0988 (-87.760583) West</t>
  </si>
  <si>
    <t>GUADALUPE RIVER SP</t>
  </si>
  <si>
    <t>Comal</t>
  </si>
  <si>
    <t>8841058C</t>
  </si>
  <si>
    <t>29:51:33.9984 (29.859444) North</t>
  </si>
  <si>
    <t>98:30:19.0008 (-98.505278) West</t>
  </si>
  <si>
    <t>GUANICA</t>
  </si>
  <si>
    <t>Guanica</t>
  </si>
  <si>
    <t>78A02692</t>
  </si>
  <si>
    <t>17:57:15.1416 (17.954206) North</t>
  </si>
  <si>
    <t>66:52:59.7612 (-66.883267) West</t>
  </si>
  <si>
    <t>Magaly Figueroa</t>
  </si>
  <si>
    <t>magaly.figueroa@usda.gov</t>
  </si>
  <si>
    <t xml:space="preserve">(787) 764-7718 </t>
  </si>
  <si>
    <t>ahester@blm.gov, menqui@hotmail.com</t>
  </si>
  <si>
    <t>GUERNSEY</t>
  </si>
  <si>
    <t>Platte</t>
  </si>
  <si>
    <t>C55AB568</t>
  </si>
  <si>
    <t>42:23:08.808 (42.38578) North</t>
  </si>
  <si>
    <t>104:48:19.0008 (-104.805278) West</t>
  </si>
  <si>
    <t>GUION FARM</t>
  </si>
  <si>
    <t>323E62E4</t>
  </si>
  <si>
    <t>35:12:46.08 (35.2128) North</t>
  </si>
  <si>
    <t>82:35:22.92 (-82.5897) West</t>
  </si>
  <si>
    <t>Jeremy Waldrop</t>
  </si>
  <si>
    <t>jeremy.waldrop@ncagr.gov</t>
  </si>
  <si>
    <t xml:space="preserve">(828) 337-7187 </t>
  </si>
  <si>
    <t>GUM SPRINGS</t>
  </si>
  <si>
    <t>Winn</t>
  </si>
  <si>
    <t>31:53:55.6008 (31.898778) North</t>
  </si>
  <si>
    <t>92:46:58.53 (-92.782925) West</t>
  </si>
  <si>
    <t>GUNNISON FO PORTABLE</t>
  </si>
  <si>
    <t>Ouray</t>
  </si>
  <si>
    <t>326467F4</t>
  </si>
  <si>
    <t>38:07:39.9 (38.12775) North</t>
  </si>
  <si>
    <t>107:42:33.5016 (-107.709306) West</t>
  </si>
  <si>
    <t>Cameron Shaughnessy</t>
  </si>
  <si>
    <t>cshaughnessy@blm.gov</t>
  </si>
  <si>
    <t xml:space="preserve">(970) 318-9311 </t>
  </si>
  <si>
    <t>Fred Gross</t>
  </si>
  <si>
    <t>fgross@blm.gov</t>
  </si>
  <si>
    <t xml:space="preserve">(970) 209-8665 </t>
  </si>
  <si>
    <t>GUNNISON PORTABLE #1</t>
  </si>
  <si>
    <t>Gunnison</t>
  </si>
  <si>
    <t>32B29444</t>
  </si>
  <si>
    <t>38:33:05.1588 (38.551433) North</t>
  </si>
  <si>
    <t>107:08:09.42 (-107.13595) West</t>
  </si>
  <si>
    <t>David Carr</t>
  </si>
  <si>
    <t>david.carr@usda.gov</t>
  </si>
  <si>
    <t xml:space="preserve">(970) 964-7936 </t>
  </si>
  <si>
    <t>Jack Starkebaum</t>
  </si>
  <si>
    <t>jack.starkebaum@usda.gov</t>
  </si>
  <si>
    <t xml:space="preserve">(970) 901-3945 </t>
  </si>
  <si>
    <t>james.ramirez2@usda.gov</t>
  </si>
  <si>
    <t>GUNSIGHT</t>
  </si>
  <si>
    <t>36:42:16.7004 (36.704639) North</t>
  </si>
  <si>
    <t>112:35:00.6 (-112.5835) West</t>
  </si>
  <si>
    <t>325FC2D4</t>
  </si>
  <si>
    <t>40:12:39.8988 (40.211083) North</t>
  </si>
  <si>
    <t>106:19:46.2 (-106.3295) West</t>
  </si>
  <si>
    <t>GUNTER</t>
  </si>
  <si>
    <t>32B3B052</t>
  </si>
  <si>
    <t>32:24:51.4008 (32.414278) North</t>
  </si>
  <si>
    <t>86:14:27.2004 (-86.240889) West</t>
  </si>
  <si>
    <t>GUTHRIE</t>
  </si>
  <si>
    <t>32:52:55.3008 (32.882028) North</t>
  </si>
  <si>
    <t>109:18:33.4008 (-109.309278) West</t>
  </si>
  <si>
    <t>DAMON MCRAE</t>
  </si>
  <si>
    <t xml:space="preserve">(928) 348-4524 </t>
  </si>
  <si>
    <t>GUY</t>
  </si>
  <si>
    <t>Faulkner</t>
  </si>
  <si>
    <t>0720236C</t>
  </si>
  <si>
    <t>35:19:36.0012 (35.326667) North</t>
  </si>
  <si>
    <t>92:16:33.9996 (-92.276111) West</t>
  </si>
  <si>
    <t>Daniel Craine</t>
  </si>
  <si>
    <t>GWINN</t>
  </si>
  <si>
    <t>Marquette</t>
  </si>
  <si>
    <t>46:17:21.6996 (46.289361) North</t>
  </si>
  <si>
    <t>87:28:23.4984 (-87.473194) West</t>
  </si>
  <si>
    <t>Pete Glover</t>
  </si>
  <si>
    <t>gloverp@michigan.gov</t>
  </si>
  <si>
    <t xml:space="preserve">(906) 346-9201 </t>
  </si>
  <si>
    <t>gloverp@michigan.gov, rogersp5@michigan.gov</t>
  </si>
  <si>
    <t>GYPSUM</t>
  </si>
  <si>
    <t>3259D16C</t>
  </si>
  <si>
    <t>39:41:39.8004 (39.694389) North</t>
  </si>
  <si>
    <t>106:58:24.2004 (-106.973389) West</t>
  </si>
  <si>
    <t>JEFF PHILLIPS</t>
  </si>
  <si>
    <t>j2philli@blm.gov</t>
  </si>
  <si>
    <t xml:space="preserve">(970) 244-3040 </t>
  </si>
  <si>
    <t>MIKE OTTOSEN</t>
  </si>
  <si>
    <t>H-T PORTABLE #2</t>
  </si>
  <si>
    <t>3270352C</t>
  </si>
  <si>
    <t>39:06:12.7008 (39.103528) North</t>
  </si>
  <si>
    <t>119:53:44.9016 (-119.895806) West</t>
  </si>
  <si>
    <t>Jedidia (Jed) Rudelbach</t>
  </si>
  <si>
    <t>jedidia.rudelbach@usda.gov</t>
  </si>
  <si>
    <t xml:space="preserve">(775) 884-8142 </t>
  </si>
  <si>
    <t>Jedidia (Jed) Rudelbach (Cell)</t>
  </si>
  <si>
    <t xml:space="preserve">(775) 301-0021 </t>
  </si>
  <si>
    <t>H-T PORTABLE #3</t>
  </si>
  <si>
    <t>3282445C</t>
  </si>
  <si>
    <t>40:19:20.1 (40.32225) North</t>
  </si>
  <si>
    <t>115:27:45 (-115.4625) West</t>
  </si>
  <si>
    <t>Lisa Kemper</t>
  </si>
  <si>
    <t>lisa.kemper@usda.gov</t>
  </si>
  <si>
    <t xml:space="preserve">(775) 761-3182 </t>
  </si>
  <si>
    <t>jeremy.kiesling@usda.gov</t>
  </si>
  <si>
    <t>H-T PORTABLE #4</t>
  </si>
  <si>
    <t>40:20:12.5988 (40.336833) North</t>
  </si>
  <si>
    <t>115:28:19.4988 (-115.472083) West</t>
  </si>
  <si>
    <t>Joshua Thalacker</t>
  </si>
  <si>
    <t>joshua.thalacker@usda.gov</t>
  </si>
  <si>
    <t xml:space="preserve">(702) 515-5441 </t>
  </si>
  <si>
    <t xml:space="preserve">  Stefan Goehring</t>
  </si>
  <si>
    <t xml:space="preserve">Stefan.goehring@usda.gov </t>
  </si>
  <si>
    <t xml:space="preserve">(775) 778-6119 </t>
  </si>
  <si>
    <t>H-T PORTABLE #5</t>
  </si>
  <si>
    <t>328D12B2</t>
  </si>
  <si>
    <t>39:30:09.6012 (39.502667) North</t>
  </si>
  <si>
    <t>117:04:53.1984 (-117.081444) West</t>
  </si>
  <si>
    <t>HACHITA VALLEY</t>
  </si>
  <si>
    <t>Hidalgo</t>
  </si>
  <si>
    <t>3243D7A0</t>
  </si>
  <si>
    <t>31:42:07.2 (31.702) North</t>
  </si>
  <si>
    <t>108:20:30.0984 (-108.341694) West</t>
  </si>
  <si>
    <t>HAGER CREEK</t>
  </si>
  <si>
    <t>46:33:51.9984 (46.564444) North</t>
  </si>
  <si>
    <t>121:37:40.0008 (-121.627778) West</t>
  </si>
  <si>
    <t>HAIDA</t>
  </si>
  <si>
    <t>Prince of Wales-Outer Ketchikan</t>
  </si>
  <si>
    <t>55:19:48 (55.33) North</t>
  </si>
  <si>
    <t>132:40:03 (-132.6675) West</t>
  </si>
  <si>
    <t>James Scribner</t>
  </si>
  <si>
    <t>james.scribner2@usda.gov</t>
  </si>
  <si>
    <t xml:space="preserve">(907) 828-3234 </t>
  </si>
  <si>
    <t>Lisa Lambert</t>
  </si>
  <si>
    <t>lisa.lambert@usda.gov</t>
  </si>
  <si>
    <t xml:space="preserve">(303) 396-3522 </t>
  </si>
  <si>
    <t>ahester@blm.gov, james.scribner2@usda.gov</t>
  </si>
  <si>
    <t>HAKALAU</t>
  </si>
  <si>
    <t>8374D370</t>
  </si>
  <si>
    <t>19:49:15.4 (19.820944) North</t>
  </si>
  <si>
    <t>155:19:58.8 (-155.333) West</t>
  </si>
  <si>
    <t>HAKALAU NWR</t>
  </si>
  <si>
    <t>Eric_Johnson@fws.gov</t>
  </si>
  <si>
    <t>HAKIOAWA</t>
  </si>
  <si>
    <t>Maui</t>
  </si>
  <si>
    <t>3279159C</t>
  </si>
  <si>
    <t>20:34:49 (20.580278) North</t>
  </si>
  <si>
    <t>156:34:16 (-156.571111) West</t>
  </si>
  <si>
    <t>KAHOOLAWE ISLAND RC</t>
  </si>
  <si>
    <t>JAMIE BRUCH</t>
  </si>
  <si>
    <t>jbruch@kirc.hawaii.gov</t>
  </si>
  <si>
    <t xml:space="preserve">(808) 243-1220 </t>
  </si>
  <si>
    <t>JAMIE BRUCH  CELL#</t>
  </si>
  <si>
    <t xml:space="preserve">(808) 357-0924 </t>
  </si>
  <si>
    <t>HALF MOON</t>
  </si>
  <si>
    <t>Sublette</t>
  </si>
  <si>
    <t>42:54:48.9996 (42.913611) North</t>
  </si>
  <si>
    <t>109:44:45.9996 (-109.746111) West</t>
  </si>
  <si>
    <t>ahester@blm.gov, andy.norman@usda.gov, paul.hutta@usda.gov</t>
  </si>
  <si>
    <t>HAMBLEN CO. HQ</t>
  </si>
  <si>
    <t>Hamblen</t>
  </si>
  <si>
    <t>36:15:25.9992 (36.257222) North</t>
  </si>
  <si>
    <t>83:16:37.9992 (-83.277222) West</t>
  </si>
  <si>
    <t>Nathan Waters</t>
  </si>
  <si>
    <t>HAMPDEN</t>
  </si>
  <si>
    <t>Ramsey</t>
  </si>
  <si>
    <t>8376B362</t>
  </si>
  <si>
    <t>48:31:41.0016 (48.528056) North</t>
  </si>
  <si>
    <t>98:37:24.9996 (-98.623611) West</t>
  </si>
  <si>
    <t>DEVILS LAKE NWR</t>
  </si>
  <si>
    <t>Jeff_Dion@fws.gov</t>
  </si>
  <si>
    <t>Calvin Moldenhauer (Cell)</t>
  </si>
  <si>
    <t xml:space="preserve">(701) 339-1456 </t>
  </si>
  <si>
    <t>HANALEI</t>
  </si>
  <si>
    <t>Kauai</t>
  </si>
  <si>
    <t>3274C092</t>
  </si>
  <si>
    <t>22:12:15.0984 (22.204194) North</t>
  </si>
  <si>
    <t>159:28:27.8004 (-159.474389) West</t>
  </si>
  <si>
    <t>HANALEI NWR</t>
  </si>
  <si>
    <t>HANAULA 1</t>
  </si>
  <si>
    <t>32BBDFC0</t>
  </si>
  <si>
    <t>20:48:25.0992 (20.806972) North</t>
  </si>
  <si>
    <t>156:32:14.6004 (-156.537389) West</t>
  </si>
  <si>
    <t>Abraham Puz</t>
  </si>
  <si>
    <t>abraham.mh.puz@hawaii.gov</t>
  </si>
  <si>
    <t xml:space="preserve">(808) 268-6315 </t>
  </si>
  <si>
    <t>HANCOCK</t>
  </si>
  <si>
    <t>Hancock</t>
  </si>
  <si>
    <t>391010D6</t>
  </si>
  <si>
    <t>30:27:03.9996 (30.451111) North</t>
  </si>
  <si>
    <t>89:27:15.9984 (-89.454444) West</t>
  </si>
  <si>
    <t>HANGMAN</t>
  </si>
  <si>
    <t>39:55:05.0016 (39.918056) North</t>
  </si>
  <si>
    <t>106:54:57.9996 (-106.916111) West</t>
  </si>
  <si>
    <t>ahester@blm.gov, michael.ottosen@usda.gov</t>
  </si>
  <si>
    <t>HAPPY JACK</t>
  </si>
  <si>
    <t>326BF404</t>
  </si>
  <si>
    <t>34:37:05.0016 (34.618056) North</t>
  </si>
  <si>
    <t>111:20:31.9992 (-111.342222) West</t>
  </si>
  <si>
    <t>HARBISON MEADOW</t>
  </si>
  <si>
    <t>3335F58C</t>
  </si>
  <si>
    <t>40:16:13.0008 (40.270278) North</t>
  </si>
  <si>
    <t>105:50:15 (-105.8375) West</t>
  </si>
  <si>
    <t>HARDIN RIDGE</t>
  </si>
  <si>
    <t>3284D1F0</t>
  </si>
  <si>
    <t>39:00:47.9988 (39.013333) North</t>
  </si>
  <si>
    <t>86:26:11.0004 (-86.436389) West</t>
  </si>
  <si>
    <t>HOOSIER NF</t>
  </si>
  <si>
    <t>William Mullins</t>
  </si>
  <si>
    <t>william.mullins@usda.gov</t>
  </si>
  <si>
    <t xml:space="preserve">(812) 454-4001 </t>
  </si>
  <si>
    <t>Shawn Woodbury</t>
  </si>
  <si>
    <t>shawn.m.woodbury@usda.gov</t>
  </si>
  <si>
    <t xml:space="preserve">(812) 454-2786 </t>
  </si>
  <si>
    <t>andrew.scher@usda.gov, jeremy.kolaks@usda.gov, logan.scherschel@usda.gov, maggie.schuetter@usda.gov</t>
  </si>
  <si>
    <t>HARDING ICEFIELD</t>
  </si>
  <si>
    <t>FA656210</t>
  </si>
  <si>
    <t>60:07:56.8992 (60.132472) North</t>
  </si>
  <si>
    <t>149:46:55.3008 (-149.782028) West</t>
  </si>
  <si>
    <t>KENAI FJORDS NP</t>
  </si>
  <si>
    <t>HARKNESS</t>
  </si>
  <si>
    <t>32A036D6</t>
  </si>
  <si>
    <t>44:27:54 (44.465) North</t>
  </si>
  <si>
    <t>112:57:06.9984 (-112.951944) West</t>
  </si>
  <si>
    <t>HARL BUTTE</t>
  </si>
  <si>
    <t>3262B152</t>
  </si>
  <si>
    <t>45:19:09.0012 (45.319167) North</t>
  </si>
  <si>
    <t>116:52:03 (-116.8675) West</t>
  </si>
  <si>
    <t>HARMON</t>
  </si>
  <si>
    <t>32A2CD74</t>
  </si>
  <si>
    <t>34:19:05.9016 (34.318306) North</t>
  </si>
  <si>
    <t>119:11:37.2084 (-119.193669) West</t>
  </si>
  <si>
    <t>VENTURA COUNTY</t>
  </si>
  <si>
    <t>VENTUR - Ventura County Fire Department</t>
  </si>
  <si>
    <t>Ryan Matheson</t>
  </si>
  <si>
    <t>Ryan.matheson@ventura.org</t>
  </si>
  <si>
    <t xml:space="preserve">(805) 914-7574 </t>
  </si>
  <si>
    <t>Kenneth VanWig (Cell)</t>
  </si>
  <si>
    <t>kenneth.vanwig@ventura.org</t>
  </si>
  <si>
    <t xml:space="preserve">(805) 428-5631 </t>
  </si>
  <si>
    <t>Kenneth VanWig</t>
  </si>
  <si>
    <t>HART FLAT</t>
  </si>
  <si>
    <t>CA5205EC</t>
  </si>
  <si>
    <t>35:15:04 (35.251111) North</t>
  </si>
  <si>
    <t>118:36:01 (-118.600278) West</t>
  </si>
  <si>
    <t>HART PORTABLE</t>
  </si>
  <si>
    <t>8373924E</t>
  </si>
  <si>
    <t>42:10:45.3684 (42.179269) North</t>
  </si>
  <si>
    <t>120:21:09.3996 (-120.352611) West</t>
  </si>
  <si>
    <t>HART MOUNTAIN NWR</t>
  </si>
  <si>
    <t>HARVEY GROUSE</t>
  </si>
  <si>
    <t>32B0B75C</t>
  </si>
  <si>
    <t>46:39:50.5008 (46.664028) North</t>
  </si>
  <si>
    <t>113:25:26.1012 (-113.423917) West</t>
  </si>
  <si>
    <t>Ashleigh Burwick</t>
  </si>
  <si>
    <t>aburwick@mt.gov</t>
  </si>
  <si>
    <t xml:space="preserve">(406) 542-4312 </t>
  </si>
  <si>
    <t>HASTINGS</t>
  </si>
  <si>
    <t>CA233720</t>
  </si>
  <si>
    <t>36:23:18.6 (36.3885) North</t>
  </si>
  <si>
    <t>121:33:05.7384 (-121.551594) West</t>
  </si>
  <si>
    <t>HATCHINEHA</t>
  </si>
  <si>
    <t>AAB1FB50</t>
  </si>
  <si>
    <t>28:01:28.9992 (28.024722) North</t>
  </si>
  <si>
    <t>81:28:51.9996 (-81.481111) West</t>
  </si>
  <si>
    <t>EVERGLADES HW NWR</t>
  </si>
  <si>
    <t xml:space="preserve">(239) 877-9545 </t>
  </si>
  <si>
    <t>HAVASU</t>
  </si>
  <si>
    <t>325846F4</t>
  </si>
  <si>
    <t>34:48:27.2988 (34.807583) North</t>
  </si>
  <si>
    <t>114:32:04.4016 (-114.534556) West</t>
  </si>
  <si>
    <t>JOSEPH BARNETT</t>
  </si>
  <si>
    <t>joseph_barnett@fws.gov</t>
  </si>
  <si>
    <t xml:space="preserve">(928) 919-0966 </t>
  </si>
  <si>
    <t>HAWKEYE</t>
  </si>
  <si>
    <t>Sonoma</t>
  </si>
  <si>
    <t>CA4565A0</t>
  </si>
  <si>
    <t>38:44:06.3096 (38.735086) North</t>
  </si>
  <si>
    <t>122:50:13.4088 (-122.837058) West</t>
  </si>
  <si>
    <t>HAYCOCK</t>
  </si>
  <si>
    <t>65:11:45.8412 (65.196067) North</t>
  </si>
  <si>
    <t>161:04:15.24 (-161.0709) West</t>
  </si>
  <si>
    <t>HAYFORK</t>
  </si>
  <si>
    <t>324236A8</t>
  </si>
  <si>
    <t>40:32:54.6468 (40.548513) North</t>
  </si>
  <si>
    <t>123:09:54.4752 (-123.165132) West</t>
  </si>
  <si>
    <t>ahester@blm.gov, elliot.groo@usda.gov, jethompson21@peoplepc.com, shuckstep@blm.gov, tod.devine@usda.gov</t>
  </si>
  <si>
    <t>HAYSTACK</t>
  </si>
  <si>
    <t>326071B8</t>
  </si>
  <si>
    <t>44:26:59.1 (44.44975) North</t>
  </si>
  <si>
    <t>121:07:47.8992 (-121.129972) West</t>
  </si>
  <si>
    <t>HAYWARD</t>
  </si>
  <si>
    <t>Sawyer</t>
  </si>
  <si>
    <t>46:00:01.6992 (46.000472) North</t>
  </si>
  <si>
    <t>91:30:00 (-91.5) West</t>
  </si>
  <si>
    <t>HEADQUARTERS</t>
  </si>
  <si>
    <t>FA61A234</t>
  </si>
  <si>
    <t>32:00:21.9996 (32.006111) North</t>
  </si>
  <si>
    <t>109:21:24.9984 (-109.356944) West</t>
  </si>
  <si>
    <t>CHIRICAHUA NM</t>
  </si>
  <si>
    <t>Page</t>
  </si>
  <si>
    <t>FA64D364</t>
  </si>
  <si>
    <t>38:40:00.0012 (38.666667) North</t>
  </si>
  <si>
    <t>78:22:12 (-78.37) West</t>
  </si>
  <si>
    <t>HEAPS PEAK</t>
  </si>
  <si>
    <t>AAC0C74E</t>
  </si>
  <si>
    <t>34:14:05.37 (34.234825) North</t>
  </si>
  <si>
    <t>117:08:19.95 (-117.138875) West</t>
  </si>
  <si>
    <t>ahester@blm.gov, david.duran@usda.gov, shuckstep@blm.gov</t>
  </si>
  <si>
    <t>HEART BUTTE</t>
  </si>
  <si>
    <t>15C1A6C8</t>
  </si>
  <si>
    <t>48:17:34.0008 (48.292778) North</t>
  </si>
  <si>
    <t>112:50:07.0008 (-112.835278) West</t>
  </si>
  <si>
    <t>Les Thario</t>
  </si>
  <si>
    <t>les.thario@noaa.gov</t>
  </si>
  <si>
    <t xml:space="preserve">(406) 453-9957 </t>
  </si>
  <si>
    <t>JIM HALL    (CELL)</t>
  </si>
  <si>
    <t xml:space="preserve">(406) 799-4912 </t>
  </si>
  <si>
    <t>HEBBRONVILLE</t>
  </si>
  <si>
    <t>Jim Hogg</t>
  </si>
  <si>
    <t>32B07242</t>
  </si>
  <si>
    <t>27:21:10.0008 (27.352778) North</t>
  </si>
  <si>
    <t>98:44:38.0004 (-98.743889) West</t>
  </si>
  <si>
    <t>HEBER</t>
  </si>
  <si>
    <t>326F2756</t>
  </si>
  <si>
    <t>34:23:52.0008 (34.397778) North</t>
  </si>
  <si>
    <t>110:33:51.9984 (-110.564444) West</t>
  </si>
  <si>
    <t>Nathan Parsons</t>
  </si>
  <si>
    <t>nathan.parsons@usda.gov</t>
  </si>
  <si>
    <t xml:space="preserve">(928) 240-1989 </t>
  </si>
  <si>
    <t>Nathan Maurer</t>
  </si>
  <si>
    <t>nathan.maurer@usda.gov</t>
  </si>
  <si>
    <t xml:space="preserve">(928) 270-2441 </t>
  </si>
  <si>
    <t>jordancsprung@fs.fed.us</t>
  </si>
  <si>
    <t>HEBGEN LAKE</t>
  </si>
  <si>
    <t>323FC0E6</t>
  </si>
  <si>
    <t>44:39:57.4992 (44.665972) North</t>
  </si>
  <si>
    <t>111:05:56.7996 (-111.099111) West</t>
  </si>
  <si>
    <t>Breck Klein</t>
  </si>
  <si>
    <t>breck.klein@usda.gov</t>
  </si>
  <si>
    <t xml:space="preserve">(208) 569-9108 </t>
  </si>
  <si>
    <t xml:space="preserve"> todd.erdody@usda.gov, ahester@blm.gov, breck.klein@usda.gov, james.m.ray@usda.gov</t>
  </si>
  <si>
    <t>HEHE 1</t>
  </si>
  <si>
    <t>Wasco</t>
  </si>
  <si>
    <t>5210767A</t>
  </si>
  <si>
    <t>44:57:21.0996 (44.955861) North</t>
  </si>
  <si>
    <t>121:29:56.8104 (-121.499114) West</t>
  </si>
  <si>
    <t>Warm Springs Agency</t>
  </si>
  <si>
    <t>Inez Jones</t>
  </si>
  <si>
    <t>inez.jones@ctwsbnr.org</t>
  </si>
  <si>
    <t xml:space="preserve">(541) 553-8311 </t>
  </si>
  <si>
    <t>Charles Hudson</t>
  </si>
  <si>
    <t>charles.hudson@ctwsbnr.org</t>
  </si>
  <si>
    <t xml:space="preserve">(541) 553-2413 </t>
  </si>
  <si>
    <t>HEIL RANCH</t>
  </si>
  <si>
    <t>32BAE672</t>
  </si>
  <si>
    <t>40:10:29.28 (40.1748) North</t>
  </si>
  <si>
    <t>105:18:08.7012 (-105.302417) West</t>
  </si>
  <si>
    <t>HELENA</t>
  </si>
  <si>
    <t>46:43:54.0012 (46.731667) North</t>
  </si>
  <si>
    <t>112:01:09.0012 (-112.019167) West</t>
  </si>
  <si>
    <t>Michael Kaiser</t>
  </si>
  <si>
    <t>michael.kaiser@usda.gov</t>
  </si>
  <si>
    <t xml:space="preserve">(406) 495-3717 </t>
  </si>
  <si>
    <t>HELENA PORTABLE #1</t>
  </si>
  <si>
    <t>FA63925A</t>
  </si>
  <si>
    <t>Kyle Miller</t>
  </si>
  <si>
    <t>kyle.a.miller@usda.gov</t>
  </si>
  <si>
    <t xml:space="preserve">(406) 202-2136 </t>
  </si>
  <si>
    <t>evonkamecke@blm.gov</t>
  </si>
  <si>
    <t>HELENA PORTABLE #2</t>
  </si>
  <si>
    <t>3463737A</t>
  </si>
  <si>
    <t>46:46:45.4008 (46.779278) North</t>
  </si>
  <si>
    <t>111:47:35.1996 (-111.793111) West</t>
  </si>
  <si>
    <t>HELL HOLE</t>
  </si>
  <si>
    <t>3239D35E</t>
  </si>
  <si>
    <t>39:04:10.9596 (39.069711) North</t>
  </si>
  <si>
    <t>120:25:11.5896 (-120.419886) West</t>
  </si>
  <si>
    <t>Mark Johnson</t>
  </si>
  <si>
    <t>mark.a.johnson@usda.gov</t>
  </si>
  <si>
    <t xml:space="preserve">(530) 503-7488 </t>
  </si>
  <si>
    <t>HELLS HALF</t>
  </si>
  <si>
    <t>323F83EC</t>
  </si>
  <si>
    <t>45:38:43.7208 (45.645478) North</t>
  </si>
  <si>
    <t>114:37:40.7208 (-114.627978) West</t>
  </si>
  <si>
    <t xml:space="preserve">(406) 821-3269 </t>
  </si>
  <si>
    <t>ahester@blm.gov, mtbrc@firenet.gov, payton.gardner@mso.umt.edu</t>
  </si>
  <si>
    <t>HELMUT MTN.</t>
  </si>
  <si>
    <t>126006F2</t>
  </si>
  <si>
    <t>67:44:45.8988 (67.746083) North</t>
  </si>
  <si>
    <t>144:10:15.2004 (-144.170889) West</t>
  </si>
  <si>
    <t>HENDERSON</t>
  </si>
  <si>
    <t>Rusk</t>
  </si>
  <si>
    <t>32:08:12.0984 (32.136694) North</t>
  </si>
  <si>
    <t>94:50:50.4996 (-94.847361) West</t>
  </si>
  <si>
    <t>HENNINGER FLATS</t>
  </si>
  <si>
    <t>2E913092</t>
  </si>
  <si>
    <t>34:11:42.4284 (34.195119) North</t>
  </si>
  <si>
    <t>118:05:37.0284 (-118.093619) West</t>
  </si>
  <si>
    <t>HENRY MTN</t>
  </si>
  <si>
    <t>324E743E</t>
  </si>
  <si>
    <t>38:02:04.0992 (38.034472) North</t>
  </si>
  <si>
    <t>110:49:30.2988 (-110.825083) West</t>
  </si>
  <si>
    <t>TODD MURRAY</t>
  </si>
  <si>
    <t>tmurray@blm.gov</t>
  </si>
  <si>
    <t xml:space="preserve">(435) 896-1543 </t>
  </si>
  <si>
    <t>HERNANDEZ</t>
  </si>
  <si>
    <t>San Benito</t>
  </si>
  <si>
    <t>CA2341B0</t>
  </si>
  <si>
    <t>36:22:57.1512 (36.382542) North</t>
  </si>
  <si>
    <t>120:51:20.9484 (-120.855819) West</t>
  </si>
  <si>
    <t>HEWINTA</t>
  </si>
  <si>
    <t>32413F74</t>
  </si>
  <si>
    <t>40:57:01.0512 (40.950292) North</t>
  </si>
  <si>
    <t>110:29:03.21 (-110.484225) West</t>
  </si>
  <si>
    <t>HIBBING</t>
  </si>
  <si>
    <t>707065A0</t>
  </si>
  <si>
    <t>47:23:30.9984 (47.391944) North</t>
  </si>
  <si>
    <t>92:50:04.9992 (-92.834722) West</t>
  </si>
  <si>
    <t xml:space="preserve">Mike Violette </t>
  </si>
  <si>
    <t>michael.violette@state.mn.us</t>
  </si>
  <si>
    <t xml:space="preserve">(218) 666-7046 </t>
  </si>
  <si>
    <t>jolene.soltis@state.mn.us, travis.verdegan@state.mn.us</t>
  </si>
  <si>
    <t>HIDDEN SPRINGS</t>
  </si>
  <si>
    <t>C2E00CC0</t>
  </si>
  <si>
    <t>30:52:04.5804 (30.867939) North</t>
  </si>
  <si>
    <t>97:50:43.4688 (-97.845408) West</t>
  </si>
  <si>
    <t>Shantelle Brannon</t>
  </si>
  <si>
    <t>shantelle.brannon@wilco.org</t>
  </si>
  <si>
    <t xml:space="preserve">(512) 964-8205 </t>
  </si>
  <si>
    <t>HIDDEN VALLEY</t>
  </si>
  <si>
    <t>324DF524</t>
  </si>
  <si>
    <t>40:26:30.9012 (40.441917) North</t>
  </si>
  <si>
    <t>120:37:36.9984 (-120.626944) West</t>
  </si>
  <si>
    <t>HIGH BRIDGE</t>
  </si>
  <si>
    <t>3283604A</t>
  </si>
  <si>
    <t>46:07:32.9988 (46.125833) North</t>
  </si>
  <si>
    <t>86:34:50.0016 (-86.580556) West</t>
  </si>
  <si>
    <t>nicholas.mouthaan@usda.gov</t>
  </si>
  <si>
    <t>HIGH GLADE LOOKOUT</t>
  </si>
  <si>
    <t>3230D502</t>
  </si>
  <si>
    <t>39:12:32.0292 (39.208897) North</t>
  </si>
  <si>
    <t>122:48:35.9604 (-122.809989) West</t>
  </si>
  <si>
    <t>HIGH POINT</t>
  </si>
  <si>
    <t>324B5512</t>
  </si>
  <si>
    <t>43:54:23.0004 (43.906389) North</t>
  </si>
  <si>
    <t>123:22:46.4016 (-123.379556) West</t>
  </si>
  <si>
    <t>HIGH SIERRA</t>
  </si>
  <si>
    <t>327F63C2</t>
  </si>
  <si>
    <t>37:18:52.7796 (37.314661) North</t>
  </si>
  <si>
    <t>119:02:21.4908 (-119.039303) West</t>
  </si>
  <si>
    <t>ahester@blm.gov, john.cielnicky@usda.gov, shuckstep@blm.gov</t>
  </si>
  <si>
    <t>HIGHBRIDGE</t>
  </si>
  <si>
    <t>Yakima</t>
  </si>
  <si>
    <t>46:04:51.6 (46.081) North</t>
  </si>
  <si>
    <t>120:32:37.0788 (-120.543633) West</t>
  </si>
  <si>
    <t>Yakama Agency</t>
  </si>
  <si>
    <t>Brian Howell</t>
  </si>
  <si>
    <t>Brian_Howell@yakama.com</t>
  </si>
  <si>
    <t xml:space="preserve">(509) 865-6653 </t>
  </si>
  <si>
    <t>James Delarosa</t>
  </si>
  <si>
    <t>james_delarosa@yakama.com</t>
  </si>
  <si>
    <t>HIGHLAND SPRINGS</t>
  </si>
  <si>
    <t>324E6748</t>
  </si>
  <si>
    <t>33:52:41.4012 (33.878167) North</t>
  </si>
  <si>
    <t>116:57:11.3004 (-116.953139) West</t>
  </si>
  <si>
    <t>HIGHLANDS</t>
  </si>
  <si>
    <t>35:05:47.1012 (35.096417) North</t>
  </si>
  <si>
    <t>83:13:42.0996 (-83.228361) West</t>
  </si>
  <si>
    <t>HIGHWAY 41</t>
  </si>
  <si>
    <t>FA6205C2</t>
  </si>
  <si>
    <t>34:05:25.0008 (34.090278) North</t>
  </si>
  <si>
    <t>88:51:52.9992 (-88.864722) West</t>
  </si>
  <si>
    <t>NATCHEZ TRACE PARKWY</t>
  </si>
  <si>
    <t>Doug Sprouse</t>
  </si>
  <si>
    <t>james_sprouse@nps.gov</t>
  </si>
  <si>
    <t xml:space="preserve">(662) 523-2098 </t>
  </si>
  <si>
    <t>Brian Price</t>
  </si>
  <si>
    <t>brian_price@nps.gov</t>
  </si>
  <si>
    <t>HILL CITY</t>
  </si>
  <si>
    <t>707076D6</t>
  </si>
  <si>
    <t>46:57:39.51 (46.960975) North</t>
  </si>
  <si>
    <t>93:35:54.2796 (-93.598411) West</t>
  </si>
  <si>
    <t>Josh Donattel</t>
  </si>
  <si>
    <t>HILLCREST WMA</t>
  </si>
  <si>
    <t>9000139A</t>
  </si>
  <si>
    <t>40:33:31.5396 (40.558761) North</t>
  </si>
  <si>
    <t>80:33:00.3096 (-80.550086) West</t>
  </si>
  <si>
    <t>JEREMY JONES</t>
  </si>
  <si>
    <t>Jeremy.c.jones@wv.gov</t>
  </si>
  <si>
    <t>HILLSBORO</t>
  </si>
  <si>
    <t>FA643096</t>
  </si>
  <si>
    <t>45:06:14.1012 (45.103917) North</t>
  </si>
  <si>
    <t>108:13:10.9992 (-108.219722) West</t>
  </si>
  <si>
    <t>BIG HORN NRA</t>
  </si>
  <si>
    <t xml:space="preserve">(307) 739-5024 </t>
  </si>
  <si>
    <t>HILLTOP</t>
  </si>
  <si>
    <t>5212C000</t>
  </si>
  <si>
    <t>33:36:40.2804 (33.611189) North</t>
  </si>
  <si>
    <t>110:24:52.5816 (-110.414606) West</t>
  </si>
  <si>
    <t>HILO DOFAW PORTABLE</t>
  </si>
  <si>
    <t>AA111026</t>
  </si>
  <si>
    <t>4999XX</t>
  </si>
  <si>
    <t>20:54:26.0604 (20.907239) North</t>
  </si>
  <si>
    <t>156:40:59.88 (-156.6833) West</t>
  </si>
  <si>
    <t>Jay Hatayama</t>
  </si>
  <si>
    <t>Jay.M.Hatayama@hawaii.gov</t>
  </si>
  <si>
    <t xml:space="preserve">(808) 974-4221 </t>
  </si>
  <si>
    <t xml:space="preserve">(808) 974-4233 </t>
  </si>
  <si>
    <t>HOBACK</t>
  </si>
  <si>
    <t>323696C6</t>
  </si>
  <si>
    <t>43:13:13.0008 (43.220278) North</t>
  </si>
  <si>
    <t>110:25:23.0016 (-110.423056) West</t>
  </si>
  <si>
    <t>HODZANA</t>
  </si>
  <si>
    <t>1260F676</t>
  </si>
  <si>
    <t>66:44:14.8992 (66.737472) North</t>
  </si>
  <si>
    <t>148:40:52.6008 (-148.681278) West</t>
  </si>
  <si>
    <t>HOEPPEL</t>
  </si>
  <si>
    <t>9330C164</t>
  </si>
  <si>
    <t>32:55:27.5988 (32.924333) North</t>
  </si>
  <si>
    <t>118:30:43.5996 (-118.512111) West</t>
  </si>
  <si>
    <t>HOFMANN FOREST</t>
  </si>
  <si>
    <t>Onslow</t>
  </si>
  <si>
    <t>3281B3D6</t>
  </si>
  <si>
    <t>34:49:29.9784 (34.824994) North</t>
  </si>
  <si>
    <t>77:19:23.0592 (-77.323072) West</t>
  </si>
  <si>
    <t>josh.bell@ncagr.gov; jimmy.meadows@ncagr.gov</t>
  </si>
  <si>
    <t>HOG CREEK</t>
  </si>
  <si>
    <t>32BD3CFC</t>
  </si>
  <si>
    <t>47:48:03.9996 (47.801111) North</t>
  </si>
  <si>
    <t>90:57:12.9996 (-90.953611) West</t>
  </si>
  <si>
    <t>Trish Miller</t>
  </si>
  <si>
    <t>trisha.miller@usda.gov</t>
  </si>
  <si>
    <t xml:space="preserve">(719) 221-6552 </t>
  </si>
  <si>
    <t>Jolene Soltis</t>
  </si>
  <si>
    <t xml:space="preserve">(952) 256-2077 </t>
  </si>
  <si>
    <t>HOGATZA RIVER</t>
  </si>
  <si>
    <t>3244969E</t>
  </si>
  <si>
    <t>66:13:00.0012 (66.216667) North</t>
  </si>
  <si>
    <t>155:40:00.0012 (-155.666667) West</t>
  </si>
  <si>
    <t>HOLLISTER</t>
  </si>
  <si>
    <t>CA25B1FA</t>
  </si>
  <si>
    <t>36:50:31.9308 (36.842203) North</t>
  </si>
  <si>
    <t>121:21:43.7688 (-121.362158) West</t>
  </si>
  <si>
    <t>HOLLY</t>
  </si>
  <si>
    <t>Oakland</t>
  </si>
  <si>
    <t>0800F346</t>
  </si>
  <si>
    <t>42:49:02.388 (42.81733) North</t>
  </si>
  <si>
    <t>83:40:45.984 (-83.67944) West</t>
  </si>
  <si>
    <t>Jason Myers</t>
  </si>
  <si>
    <t>Myersj14@michigan.gov</t>
  </si>
  <si>
    <t xml:space="preserve">(989) 280-2288 </t>
  </si>
  <si>
    <t>feldpauschm2@michigan.gov, rogersp5@michigan.gov</t>
  </si>
  <si>
    <t>HOLMES</t>
  </si>
  <si>
    <t>Holmes</t>
  </si>
  <si>
    <t>3910D5C8</t>
  </si>
  <si>
    <t>33:13:15.9996 (33.221111) North</t>
  </si>
  <si>
    <t>90:11:53.9988 (-90.198333) West</t>
  </si>
  <si>
    <t>HOMER</t>
  </si>
  <si>
    <t>3390828A</t>
  </si>
  <si>
    <t>59:46:45.7968 (59.779388) North</t>
  </si>
  <si>
    <t>151:09:51.0012 (-151.164167) West</t>
  </si>
  <si>
    <t>HOMEWOOD</t>
  </si>
  <si>
    <t>91C0165C</t>
  </si>
  <si>
    <t>39:05:02.76 (39.0841) North</t>
  </si>
  <si>
    <t>120:10:14.6208 (-120.170728) West</t>
  </si>
  <si>
    <t>Elsa Hucks</t>
  </si>
  <si>
    <t>elsa.hucks@fire.ca.gov</t>
  </si>
  <si>
    <t xml:space="preserve">(530) 277-2326 </t>
  </si>
  <si>
    <t>HONEYMOON RAWS</t>
  </si>
  <si>
    <t>AAB081E8</t>
  </si>
  <si>
    <t>26:11:41.1 (26.19475) North</t>
  </si>
  <si>
    <t>81:04:00.372 (-81.06677) West</t>
  </si>
  <si>
    <t>HONOKANAI'A</t>
  </si>
  <si>
    <t>20:30:32 (20.508889) North</t>
  </si>
  <si>
    <t>156:40:54 (-156.681667) West</t>
  </si>
  <si>
    <t>JAMIE BRUCH  CELL #</t>
  </si>
  <si>
    <t>HONOULIULI PHB</t>
  </si>
  <si>
    <t>327BF39A</t>
  </si>
  <si>
    <t>21:21:24.0012 (21.356667) North</t>
  </si>
  <si>
    <t>158:01:14.0016 (-158.020556) West</t>
  </si>
  <si>
    <t>PEARL HARBOR NWR</t>
  </si>
  <si>
    <t>HOOD RIVER MOUNTAIN</t>
  </si>
  <si>
    <t>Hood River</t>
  </si>
  <si>
    <t>32B56826</t>
  </si>
  <si>
    <t>Joe Krempasky</t>
  </si>
  <si>
    <t>joseph.krempasky@rockymountainpower.net</t>
  </si>
  <si>
    <t xml:space="preserve">(503) 737-3309 </t>
  </si>
  <si>
    <t>HOODOO</t>
  </si>
  <si>
    <t>3273E44A</t>
  </si>
  <si>
    <t>48:03:11.9016 (48.053306) North</t>
  </si>
  <si>
    <t>116:47:36.06 (-116.79335) West</t>
  </si>
  <si>
    <t>HOODOO HILL</t>
  </si>
  <si>
    <t>FA612420</t>
  </si>
  <si>
    <t>65:35:41.9892 (65.594997) North</t>
  </si>
  <si>
    <t>163:24:41.0004 (-163.411389) West</t>
  </si>
  <si>
    <t>HOONAH</t>
  </si>
  <si>
    <t>57:48:29.7 (57.80825) North</t>
  </si>
  <si>
    <t>135:05:20.1012 (-135.088917) West</t>
  </si>
  <si>
    <t>Jared Grams</t>
  </si>
  <si>
    <t xml:space="preserve">(907) 713-7408 </t>
  </si>
  <si>
    <t>ahester@blm.gov, jared.grams@usda.gov, matthew.thompson@usda.gov</t>
  </si>
  <si>
    <t>HOOPA</t>
  </si>
  <si>
    <t>326D5432</t>
  </si>
  <si>
    <t>41:02:52.1988 (41.047833) North</t>
  </si>
  <si>
    <t>123:40:16.6008 (-123.671278) West</t>
  </si>
  <si>
    <t>HOPEWELL</t>
  </si>
  <si>
    <t>Berks</t>
  </si>
  <si>
    <t>32D7F450</t>
  </si>
  <si>
    <t>40:14:52.5984 (40.247944) North</t>
  </si>
  <si>
    <t>75:47:12.0984 (-75.786694) West</t>
  </si>
  <si>
    <t>HOPI</t>
  </si>
  <si>
    <t>327CE2D8</t>
  </si>
  <si>
    <t>35:51:46.5192 (35.862922) North</t>
  </si>
  <si>
    <t>110:36:53.8092 (-110.614947) West</t>
  </si>
  <si>
    <t>Hopi Agency</t>
  </si>
  <si>
    <t>Darryl Daw</t>
  </si>
  <si>
    <t>darryl.daw@bia.gov</t>
  </si>
  <si>
    <t xml:space="preserve">(928) 734-1622 </t>
  </si>
  <si>
    <t>HOPKINS</t>
  </si>
  <si>
    <t>327FB5AA</t>
  </si>
  <si>
    <t>31:40:31.0008 (31.675278) North</t>
  </si>
  <si>
    <t>110:52:48 (-110.88) West</t>
  </si>
  <si>
    <t>HOPLAND UC</t>
  </si>
  <si>
    <t>324EC7B0</t>
  </si>
  <si>
    <t>39:01:50.9988 (39.030833) North</t>
  </si>
  <si>
    <t>123:04:50.0016 (-123.080556) West</t>
  </si>
  <si>
    <t>HORICON</t>
  </si>
  <si>
    <t>Dodge</t>
  </si>
  <si>
    <t>837600EC</t>
  </si>
  <si>
    <t>43:34:14.0016 (43.570556) North</t>
  </si>
  <si>
    <t>88:36:30.9996 (-88.608611) West</t>
  </si>
  <si>
    <t>HORICON NWR</t>
  </si>
  <si>
    <t>Sean Sallmann</t>
  </si>
  <si>
    <t>sean_sallmann@fws.gov</t>
  </si>
  <si>
    <t>(920) 387-2658 25</t>
  </si>
  <si>
    <t>Kevin Organ</t>
  </si>
  <si>
    <t>kevin_organ@fws.gov</t>
  </si>
  <si>
    <t xml:space="preserve">(920) 948-5018 </t>
  </si>
  <si>
    <t>HORNBROOK</t>
  </si>
  <si>
    <t>32B47778</t>
  </si>
  <si>
    <t>41:54:15.7212 (41.904367) North</t>
  </si>
  <si>
    <t>122:34:09.1812 (-122.569217) West</t>
  </si>
  <si>
    <t>Keith Mapes</t>
  </si>
  <si>
    <t>keith.mapes@fire.ca.gov</t>
  </si>
  <si>
    <t xml:space="preserve">(530) 598-2609 </t>
  </si>
  <si>
    <t xml:space="preserve"> holly.baun@fire.ca.gov</t>
  </si>
  <si>
    <t>HORNET</t>
  </si>
  <si>
    <t>3241915E</t>
  </si>
  <si>
    <t>48:52:35.6988 (48.876583) North</t>
  </si>
  <si>
    <t>114:30:33.66 (-114.50935) West</t>
  </si>
  <si>
    <t>Mickey Sirois</t>
  </si>
  <si>
    <t>michael.sirois@usda.gov</t>
  </si>
  <si>
    <t xml:space="preserve">(406) 897-3969 </t>
  </si>
  <si>
    <t>Brady Thompson</t>
  </si>
  <si>
    <t>brady.thompson@usda.gov</t>
  </si>
  <si>
    <t xml:space="preserve">(406) 897-3054 </t>
  </si>
  <si>
    <t>ahester@blm.gov, michael.sirois@usda.gov</t>
  </si>
  <si>
    <t>HORRY</t>
  </si>
  <si>
    <t>Horry</t>
  </si>
  <si>
    <t>3250C446</t>
  </si>
  <si>
    <t>33:56:12.48 (33.9368) North</t>
  </si>
  <si>
    <t>79:05:05.46 (-79.08485) West</t>
  </si>
  <si>
    <t xml:space="preserve">(803) 896-8817 </t>
  </si>
  <si>
    <t xml:space="preserve">(803) 662-5571 </t>
  </si>
  <si>
    <t>HORSE BUTTE</t>
  </si>
  <si>
    <t>42:25:00.6996 (42.416861) North</t>
  </si>
  <si>
    <t>115:13:42.3984 (-115.228444) West</t>
  </si>
  <si>
    <t>HORSE CAMP CANYON</t>
  </si>
  <si>
    <t>32:56:11.6016 (32.936556) North</t>
  </si>
  <si>
    <t>110:29:36.4992 (-110.493472) West</t>
  </si>
  <si>
    <t>HORSE CREEK</t>
  </si>
  <si>
    <t>3249F01E</t>
  </si>
  <si>
    <t>44:56:26.9016 (44.940806) North</t>
  </si>
  <si>
    <t>122:24:02.9016 (-122.400806) West</t>
  </si>
  <si>
    <t>SALEM</t>
  </si>
  <si>
    <t>Tracy Brostrom</t>
  </si>
  <si>
    <t>Tracy.Brostrom@oregon.gov</t>
  </si>
  <si>
    <t xml:space="preserve">(503) 829-2216 </t>
  </si>
  <si>
    <t>HORSE HOLLOW</t>
  </si>
  <si>
    <t>38:40:00.9984 (38.666944) North</t>
  </si>
  <si>
    <t>112:39:04.5 (-112.65125) West</t>
  </si>
  <si>
    <t>Trevor Riding</t>
  </si>
  <si>
    <t>triding@blm.gov</t>
  </si>
  <si>
    <t xml:space="preserve">(435) 406-7348 </t>
  </si>
  <si>
    <t>HORSE LAKE</t>
  </si>
  <si>
    <t>40:37:23.9988 (40.623333) North</t>
  </si>
  <si>
    <t>120:28:40.0008 (-120.477778) West</t>
  </si>
  <si>
    <t>HORSE RIDGE</t>
  </si>
  <si>
    <t>325E23DC</t>
  </si>
  <si>
    <t>39:56:02.0004 (39.933889) North</t>
  </si>
  <si>
    <t>110:51:42.9984 (-110.861944) West</t>
  </si>
  <si>
    <t>HORSE THIEF</t>
  </si>
  <si>
    <t>46:25:32.9016 (46.425806) North</t>
  </si>
  <si>
    <t>108:40:28.2 (-108.6745) West</t>
  </si>
  <si>
    <t>HORSE THIEF SPRINGS</t>
  </si>
  <si>
    <t>325185B6</t>
  </si>
  <si>
    <t>35:46:14.4012 (35.770667) North</t>
  </si>
  <si>
    <t>115:54:33.9012 (-115.909417) West</t>
  </si>
  <si>
    <t>ahester@blm.gov, glenn_harris@blm.gov</t>
  </si>
  <si>
    <t>HORSESHOE BEND</t>
  </si>
  <si>
    <t>0720301A</t>
  </si>
  <si>
    <t>36:16:06.6 (36.2685) North</t>
  </si>
  <si>
    <t>91:43:00.4152 (-91.716782) West</t>
  </si>
  <si>
    <t>scott.reed@arkansas.gov</t>
  </si>
  <si>
    <t>HORSESHOE HOUSE</t>
  </si>
  <si>
    <t>Moore</t>
  </si>
  <si>
    <t>407203EC</t>
  </si>
  <si>
    <t>35:28:09.6672 (35.469352) North</t>
  </si>
  <si>
    <t>79:22:51.4416 (-79.380956) West</t>
  </si>
  <si>
    <t xml:space="preserve">travis.monroe@ncagr.gov </t>
  </si>
  <si>
    <t>HORTON PEAK</t>
  </si>
  <si>
    <t>325EA5C8</t>
  </si>
  <si>
    <t>43:57:07.74 (43.95215) North</t>
  </si>
  <si>
    <t>114:45:26.4708 (-114.757353) West</t>
  </si>
  <si>
    <t>HOT SPRINGS</t>
  </si>
  <si>
    <t>5211526C</t>
  </si>
  <si>
    <t>47:36:46.9008 (47.613028) North</t>
  </si>
  <si>
    <t>114:36:55.4004 (-114.615389) West</t>
  </si>
  <si>
    <t>Flathead Agency</t>
  </si>
  <si>
    <t>Jack Currie</t>
  </si>
  <si>
    <t>jackc@cskt.org</t>
  </si>
  <si>
    <t xml:space="preserve">(406) 676-2550 </t>
  </si>
  <si>
    <t>Nick Mays</t>
  </si>
  <si>
    <t>nick.mays@cskt.org</t>
  </si>
  <si>
    <t xml:space="preserve">(406) 241-6931 </t>
  </si>
  <si>
    <t>HOUCHIN MEADOW</t>
  </si>
  <si>
    <t>FA65D19E</t>
  </si>
  <si>
    <t>37:07:54.0012 (37.131667) North</t>
  </si>
  <si>
    <t>86:08:53.0016 (-86.148056) West</t>
  </si>
  <si>
    <t>MAMMOTH CAVE NP</t>
  </si>
  <si>
    <t>Johnathan W. Jernigan</t>
  </si>
  <si>
    <t>johnathan_jernigan@nps.gov</t>
  </si>
  <si>
    <t xml:space="preserve">(270) 758-2146 </t>
  </si>
  <si>
    <t>Brett Painter</t>
  </si>
  <si>
    <t>brett_painter@nps.gov</t>
  </si>
  <si>
    <t xml:space="preserve">(270) 758-2124 </t>
  </si>
  <si>
    <t>Johnathan Jernigan</t>
  </si>
  <si>
    <t>HOWARD PASS</t>
  </si>
  <si>
    <t>68:09:21.66 (68.156017) North</t>
  </si>
  <si>
    <t>156:53:44.94 (-156.895817) West</t>
  </si>
  <si>
    <t xml:space="preserve">(907) 683-9573 </t>
  </si>
  <si>
    <t>HOYT CREEK</t>
  </si>
  <si>
    <t>326155AE</t>
  </si>
  <si>
    <t>42:58:35.0004 (42.976389) North</t>
  </si>
  <si>
    <t>121:25:18.9984 (-121.421944) West</t>
  </si>
  <si>
    <t>HOYT PEAK</t>
  </si>
  <si>
    <t>3275570A</t>
  </si>
  <si>
    <t>44:28:08 (44.468889) North</t>
  </si>
  <si>
    <t>110:07:21 (-110.1225) West</t>
  </si>
  <si>
    <t>DENICE SWANKE</t>
  </si>
  <si>
    <t>denice_swanke@nps.gov</t>
  </si>
  <si>
    <t>JIM FAHEY</t>
  </si>
  <si>
    <t xml:space="preserve">(307) 857-3898 </t>
  </si>
  <si>
    <t>james.fahey@noaa.gov</t>
  </si>
  <si>
    <t>Thomas Maione</t>
  </si>
  <si>
    <t>HOZOMEEN</t>
  </si>
  <si>
    <t>Whatcom</t>
  </si>
  <si>
    <t>FA66D690</t>
  </si>
  <si>
    <t>48:58:50.9988 (48.980833) North</t>
  </si>
  <si>
    <t>121:04:41.9988 (-121.078333) West</t>
  </si>
  <si>
    <t>NORTH CASCADES NP</t>
  </si>
  <si>
    <t>Tonya Neider</t>
  </si>
  <si>
    <t>tonya_neider@nps.gov</t>
  </si>
  <si>
    <t xml:space="preserve">(360) 485-5066 </t>
  </si>
  <si>
    <t>HUBBARD OVERLOOK</t>
  </si>
  <si>
    <t>396285EC</t>
  </si>
  <si>
    <t>60:02:06.7812 (60.035217) North</t>
  </si>
  <si>
    <t>139:36:06.8112 (-139.601892) West</t>
  </si>
  <si>
    <t>HUCKLEBERRY RIDGE</t>
  </si>
  <si>
    <t>46:30:07.9992 (46.502222) North</t>
  </si>
  <si>
    <t>123:23:03.9984 (-123.384444) West</t>
  </si>
  <si>
    <t>HUMBUG CREEK</t>
  </si>
  <si>
    <t>3258736E</t>
  </si>
  <si>
    <t>34:06:36 (34.11) North</t>
  </si>
  <si>
    <t>112:18:00 (-112.3) West</t>
  </si>
  <si>
    <t>DPHILBIN@BLM.GOV</t>
  </si>
  <si>
    <t>HUMBUG SUMMIT</t>
  </si>
  <si>
    <t>324D90C2</t>
  </si>
  <si>
    <t>40:06:34.2612 (40.109517) North</t>
  </si>
  <si>
    <t>121:22:57.72 (-121.3827) West</t>
  </si>
  <si>
    <t>HUMPTULLIPS</t>
  </si>
  <si>
    <t>47:22:39.9216 (47.377756) North</t>
  </si>
  <si>
    <t>123:45:40.1616 (-123.761156) West</t>
  </si>
  <si>
    <t>HUNGRY HORSE</t>
  </si>
  <si>
    <t>326D912C</t>
  </si>
  <si>
    <t>48:22:59.9988 (48.383333) North</t>
  </si>
  <si>
    <t>114:03:27 (-114.0575) West</t>
  </si>
  <si>
    <t xml:space="preserve"> Brady Thompson</t>
  </si>
  <si>
    <t xml:space="preserve"> brady.thompson@usda.gov</t>
  </si>
  <si>
    <t xml:space="preserve">(406) 291-4950 </t>
  </si>
  <si>
    <t>HUNGRY HORSE QD</t>
  </si>
  <si>
    <t>328221BA</t>
  </si>
  <si>
    <t>48:20:05.1 (48.33475) North</t>
  </si>
  <si>
    <t>113:56:45.42 (-113.94595) West</t>
  </si>
  <si>
    <t>HUNTER CREEK</t>
  </si>
  <si>
    <t>324A6272</t>
  </si>
  <si>
    <t>39:46:17.0004 (39.771389) North</t>
  </si>
  <si>
    <t>108:19:45.0012 (-108.329167) West</t>
  </si>
  <si>
    <t>HUNTER MOUNTAIN</t>
  </si>
  <si>
    <t>FA45937A</t>
  </si>
  <si>
    <t>36:33:45 (36.5625) North</t>
  </si>
  <si>
    <t>117:28:24.9996 (-117.473611) West</t>
  </si>
  <si>
    <t>Brent Smith</t>
  </si>
  <si>
    <t>brent_smith@nps.gov</t>
  </si>
  <si>
    <t xml:space="preserve">(760) 786-3250 </t>
  </si>
  <si>
    <t>joshua_updegraff@nps.gov</t>
  </si>
  <si>
    <t>HUNTSMAN MESA</t>
  </si>
  <si>
    <t>325A000A</t>
  </si>
  <si>
    <t>38:19:54.9984 (38.331944) North</t>
  </si>
  <si>
    <t>107:05:20.0004 (-107.088889) West</t>
  </si>
  <si>
    <t>HUNTSVILLE</t>
  </si>
  <si>
    <t>30:44:08.0016 (30.735556) North</t>
  </si>
  <si>
    <t>95:38:09.9996 (-95.636111) West</t>
  </si>
  <si>
    <t>HURLEY</t>
  </si>
  <si>
    <t>CA2574E4</t>
  </si>
  <si>
    <t>37:00:54.5184 (37.015144) North</t>
  </si>
  <si>
    <t>119:34:04.08 (-119.5678) West</t>
  </si>
  <si>
    <t xml:space="preserve">(761) 218-1397 </t>
  </si>
  <si>
    <t>HURON</t>
  </si>
  <si>
    <t>Hand</t>
  </si>
  <si>
    <t>44:14:27.9996 (44.241111) North</t>
  </si>
  <si>
    <t>98:46:12 (-98.77) West</t>
  </si>
  <si>
    <t>HURON WMD</t>
  </si>
  <si>
    <t xml:space="preserve"> sonya_feaster@fws.gov,  tate_fischer@fws.gov,  todd_ruzicka@fws.gov, kathryn_sebes@fws.gov</t>
  </si>
  <si>
    <t>HURON-MANISTEE EAST PORT</t>
  </si>
  <si>
    <t>Oceana</t>
  </si>
  <si>
    <t>43:30:18.18 (43.50505) North</t>
  </si>
  <si>
    <t>86:10:02.1612 (-86.167267) West</t>
  </si>
  <si>
    <t>Chris Loomis</t>
  </si>
  <si>
    <t>Christopher.loomis@usda.gov</t>
  </si>
  <si>
    <t xml:space="preserve">(989) 329-2999 </t>
  </si>
  <si>
    <t>HURON-MANISTEE WEST PORT</t>
  </si>
  <si>
    <t>Manistee</t>
  </si>
  <si>
    <t>333271AC</t>
  </si>
  <si>
    <t>44:13:19.9992 (44.222222) North</t>
  </si>
  <si>
    <t>85:56:19.3992 (-85.938722) West</t>
  </si>
  <si>
    <t>Jeff Nieland</t>
  </si>
  <si>
    <t>jeff.nieland@usda.gov</t>
  </si>
  <si>
    <t xml:space="preserve">(231) 420-2368 </t>
  </si>
  <si>
    <t>Brian Stearns</t>
  </si>
  <si>
    <t>HURRICANE</t>
  </si>
  <si>
    <t>325883EA</t>
  </si>
  <si>
    <t>36:41:56.6988 (36.699083) North</t>
  </si>
  <si>
    <t>113:12:26.3016 (-113.207306) West</t>
  </si>
  <si>
    <t>3280A25A</t>
  </si>
  <si>
    <t>47:58:13.3716 (47.970381) North</t>
  </si>
  <si>
    <t>123:29:55.32 (-123.4987) West</t>
  </si>
  <si>
    <t>OLYMPIC NP</t>
  </si>
  <si>
    <t>Jonah Gray</t>
  </si>
  <si>
    <t>jonah.gray@usda.gov</t>
  </si>
  <si>
    <t>HYATT HIGH</t>
  </si>
  <si>
    <t>3264D47A</t>
  </si>
  <si>
    <t>44:17:54.8016 (44.298556) North</t>
  </si>
  <si>
    <t>107:30:21.0996 (-107.505861) West</t>
  </si>
  <si>
    <t>dtrauntv@blm.gov, jellington@blm.gov, rneighbo@blm.gov, roldenburg@blm.gov</t>
  </si>
  <si>
    <t>HYDROMET TEST 1</t>
  </si>
  <si>
    <t>32B7F8B0</t>
  </si>
  <si>
    <t>116:12:29.0016 (-116.208056) West</t>
  </si>
  <si>
    <t>HYDROMET TEST 2</t>
  </si>
  <si>
    <t>32B80074</t>
  </si>
  <si>
    <t xml:space="preserve">(208) 387-5475 </t>
  </si>
  <si>
    <t>HYDROMET TEST 3</t>
  </si>
  <si>
    <t>32B0490A</t>
  </si>
  <si>
    <t>I-40</t>
  </si>
  <si>
    <t>AAA7F2D2</t>
  </si>
  <si>
    <t>35:06:15.9984 (35.104444) North</t>
  </si>
  <si>
    <t>106:41:30.0012 (-106.691667) West</t>
  </si>
  <si>
    <t>Brian Fox</t>
  </si>
  <si>
    <t>bfox@cabq.gov</t>
  </si>
  <si>
    <t xml:space="preserve">(505) 452-7406 </t>
  </si>
  <si>
    <t>IDAHO FALLS QD1</t>
  </si>
  <si>
    <t>326F87AE</t>
  </si>
  <si>
    <t>42:41:54.3012 (42.698417) North</t>
  </si>
  <si>
    <t>111:41:24.7992 (-111.690222) West</t>
  </si>
  <si>
    <t>scowley@blm.gov</t>
  </si>
  <si>
    <t>IDARNG1_RG2</t>
  </si>
  <si>
    <t>32B004D2</t>
  </si>
  <si>
    <t>43:16:22.5984 (43.272944) North</t>
  </si>
  <si>
    <t>116:09:03.8988 (-116.151083) West</t>
  </si>
  <si>
    <t>GOWEN FIELD</t>
  </si>
  <si>
    <t>Charlie Baun</t>
  </si>
  <si>
    <t>charles.w.baun.nfg@mail.mil</t>
  </si>
  <si>
    <t xml:space="preserve">(208) 272-4180 </t>
  </si>
  <si>
    <t>IDARNG2_RG14</t>
  </si>
  <si>
    <t>328795F4</t>
  </si>
  <si>
    <t>43:12:09.1008 (43.202528) North</t>
  </si>
  <si>
    <t>116:01:31.6992 (-116.025472) West</t>
  </si>
  <si>
    <t>IDARNG3_D2</t>
  </si>
  <si>
    <t>32B017A4</t>
  </si>
  <si>
    <t>43:06:21.0996 (43.105861) North</t>
  </si>
  <si>
    <t>115:59:50.2008 (-115.997278) West</t>
  </si>
  <si>
    <t>Charles Baun</t>
  </si>
  <si>
    <t>IDES COVE</t>
  </si>
  <si>
    <t>32BB32E0</t>
  </si>
  <si>
    <t>40:02:18.9996 (40.038611) North</t>
  </si>
  <si>
    <t>122:48:54 (-122.815) West</t>
  </si>
  <si>
    <t>IDNR DISTICT 20</t>
  </si>
  <si>
    <t>32B1DE92</t>
  </si>
  <si>
    <t>ILLINOIS</t>
  </si>
  <si>
    <t>IL DNR</t>
  </si>
  <si>
    <t>ILLDNR - Illinois DNR</t>
  </si>
  <si>
    <t>Benjamin Snyder</t>
  </si>
  <si>
    <t>benjamin.snyder@illinois.gov</t>
  </si>
  <si>
    <t xml:space="preserve">(618) 534-9531 </t>
  </si>
  <si>
    <t>IIC NORTH PORTABLE</t>
  </si>
  <si>
    <t>Martin</t>
  </si>
  <si>
    <t>FC101320</t>
  </si>
  <si>
    <t>38:42:08.8992 (38.702472) North</t>
  </si>
  <si>
    <t>86:43:37.0992 (-86.726972) West</t>
  </si>
  <si>
    <t>william.mullians@usda.gov</t>
  </si>
  <si>
    <t>Shawn.m.woodbury@usda.gov</t>
  </si>
  <si>
    <t>andrew.scher@usda.gov, jeremy.kolaks@usda.gov, logan.scherschel@usda.gov, marguerite.schuetter@usda.gov, shawn.m.woodbury@usda.gov, william.mullians@usda.gov</t>
  </si>
  <si>
    <t>Jeremy Kolaks</t>
  </si>
  <si>
    <t>IIC SOUTH PORTABLE</t>
  </si>
  <si>
    <t>FC100056</t>
  </si>
  <si>
    <t>38:17:55.2984 (38.298694) North</t>
  </si>
  <si>
    <t>86:40:41.4984 (-86.678194) West</t>
  </si>
  <si>
    <t>andrew.scher@usda.gov, jeremy.kolaks@usda.gov, logan.scherschel@usda.gov, marguerite.schuetter@usda.gov, shawn.m.woodbury@usda.gov, william.mullins@usda.gov</t>
  </si>
  <si>
    <t>ILIO 1</t>
  </si>
  <si>
    <t>32BCF5CA</t>
  </si>
  <si>
    <t>21:13:13.17 (21.220325) North</t>
  </si>
  <si>
    <t>157:14:52.2996 (-157.247861) West</t>
  </si>
  <si>
    <t>ILLINOIS VALLEY AIRPORT</t>
  </si>
  <si>
    <t>42:06:13.5 (42.10375) North</t>
  </si>
  <si>
    <t>123:41:06.2988 (-123.685083) West</t>
  </si>
  <si>
    <t>IMELYAK</t>
  </si>
  <si>
    <t>3961316C</t>
  </si>
  <si>
    <t>67:32:45.6 (67.546) North</t>
  </si>
  <si>
    <t>157:04:08.58 (-157.06905) West</t>
  </si>
  <si>
    <t>IMMIGRATION WASH</t>
  </si>
  <si>
    <t>3255B516</t>
  </si>
  <si>
    <t>37:55:11.4996 (37.919861) North</t>
  </si>
  <si>
    <t>114:10:00.1992 (-114.166722) West</t>
  </si>
  <si>
    <t>INDEPENDENCE MOUNTAIN</t>
  </si>
  <si>
    <t>325B02F0</t>
  </si>
  <si>
    <t>40:53:49.2 (40.897) North</t>
  </si>
  <si>
    <t>106:25:51.6 (-106.431) West</t>
  </si>
  <si>
    <t>INDIAN BUTTE</t>
  </si>
  <si>
    <t>3276D610</t>
  </si>
  <si>
    <t>45:08:21.5016 (45.139306) North</t>
  </si>
  <si>
    <t>103:54:45.5004 (-103.912639) West</t>
  </si>
  <si>
    <t>Justin Hanley</t>
  </si>
  <si>
    <t>jlhanley@blm.gov</t>
  </si>
  <si>
    <t xml:space="preserve">(406) 233-2874 </t>
  </si>
  <si>
    <t>NONE IN STATE</t>
  </si>
  <si>
    <t>INDIAN CITY</t>
  </si>
  <si>
    <t>Caddo</t>
  </si>
  <si>
    <t>32B33646</t>
  </si>
  <si>
    <t>35:02:11.0004 (35.036389) North</t>
  </si>
  <si>
    <t>98:13:56.6004 (-98.232389) West</t>
  </si>
  <si>
    <t>Southern Plains</t>
  </si>
  <si>
    <t>Sheldon Sankey</t>
  </si>
  <si>
    <t>sheldon.sankey@bia.gov</t>
  </si>
  <si>
    <t xml:space="preserve">(405) 933-2657 </t>
  </si>
  <si>
    <t>Jose Tenorio</t>
  </si>
  <si>
    <t>jose.tenorio@bia.gov</t>
  </si>
  <si>
    <t>ahester@blm.gov, cheryl.bright@bia.gov, sheldon.sankey@bia.gov</t>
  </si>
  <si>
    <t>INDIAN GRAVE</t>
  </si>
  <si>
    <t>FA419640</t>
  </si>
  <si>
    <t>35:37:26.1012 (35.623917) North</t>
  </si>
  <si>
    <t>83:48:51.5016 (-83.814306) West</t>
  </si>
  <si>
    <t>INDIAN LAKE SF</t>
  </si>
  <si>
    <t>32B8E386</t>
  </si>
  <si>
    <t>29:15:19.9008 (29.255528) North</t>
  </si>
  <si>
    <t>82:04:28.4016 (-82.074556) West</t>
  </si>
  <si>
    <t>Carl Taylor</t>
  </si>
  <si>
    <t>carl.taylor@fdacs.gov</t>
  </si>
  <si>
    <t xml:space="preserve">(352) 732-1778 </t>
  </si>
  <si>
    <t>INDIAN RIVER</t>
  </si>
  <si>
    <t>Cheboygan</t>
  </si>
  <si>
    <t>080040C8</t>
  </si>
  <si>
    <t>45:22:30 (45.375) North</t>
  </si>
  <si>
    <t>84:37:30 (-84.625) West</t>
  </si>
  <si>
    <t>Nate Stearns</t>
  </si>
  <si>
    <t>stearnsn@michigan.gov</t>
  </si>
  <si>
    <t xml:space="preserve">(989) 302-1175 </t>
  </si>
  <si>
    <t>rogersp5@michigan.gov, stearnsn@michigan.gov</t>
  </si>
  <si>
    <t>INDIAN WELL</t>
  </si>
  <si>
    <t>FA5020AA</t>
  </si>
  <si>
    <t>41:42:42.0012 (41.711667) North</t>
  </si>
  <si>
    <t>121:30:23.0004 (-121.506389) West</t>
  </si>
  <si>
    <t>LAVA BEDS NM</t>
  </si>
  <si>
    <t>Christopher Orr</t>
  </si>
  <si>
    <t>christopher_orr@nps.gov</t>
  </si>
  <si>
    <t xml:space="preserve">(530) 667-8122 </t>
  </si>
  <si>
    <t>Christopher Crowl</t>
  </si>
  <si>
    <t>INDIAN WELLS CANYON</t>
  </si>
  <si>
    <t>324B1618</t>
  </si>
  <si>
    <t>35:41:05.6004 (35.684889) North</t>
  </si>
  <si>
    <t>117:53:22.8012 (-117.889667) West</t>
  </si>
  <si>
    <t>INDIANOLA</t>
  </si>
  <si>
    <t>3234455A</t>
  </si>
  <si>
    <t>45:24:02.4012 (45.400667) North</t>
  </si>
  <si>
    <t>114:09:48.2004 (-114.163389) West</t>
  </si>
  <si>
    <t>ahester@blm.gov, andrew.traver@usda.gov, jessica.l.martin@usda.gov, riley.rhoades@usda.gov, sage.nitzel@usda.gov, timothy.bradley@usda.gov</t>
  </si>
  <si>
    <t>INDIANTOWN RUN</t>
  </si>
  <si>
    <t>Lebanon</t>
  </si>
  <si>
    <t>32A0FD1A</t>
  </si>
  <si>
    <t>40:27:32.4 (40.459) North</t>
  </si>
  <si>
    <t>76:37:01.2 (-76.617) West</t>
  </si>
  <si>
    <t>PADMVA - PA. Dept. of Military and Veterans Affairs</t>
  </si>
  <si>
    <t>Jon-Dimitri Lambrinos</t>
  </si>
  <si>
    <t>jolambrino@pa.gov</t>
  </si>
  <si>
    <t xml:space="preserve">(717) 861-8809 </t>
  </si>
  <si>
    <t>Shannon Henry</t>
  </si>
  <si>
    <t>shhenry@pa.gov</t>
  </si>
  <si>
    <t xml:space="preserve">(717) 861-2282 </t>
  </si>
  <si>
    <t>lefink@pa.gov</t>
  </si>
  <si>
    <t>INDU PORTABLE</t>
  </si>
  <si>
    <t>32B227CA</t>
  </si>
  <si>
    <t>44:43:36.3 (44.72675) North</t>
  </si>
  <si>
    <t>86:06:07.6788 (-86.102133) West</t>
  </si>
  <si>
    <t>INF04 PORTABLE</t>
  </si>
  <si>
    <t>Lucas Hurley (Cell)</t>
  </si>
  <si>
    <t xml:space="preserve">(760) 920-0500 </t>
  </si>
  <si>
    <t>INF05 PORTABLE</t>
  </si>
  <si>
    <t>36:33:16.8804 (36.554689) North</t>
  </si>
  <si>
    <t>118:08:41.3088 (-118.144808) West</t>
  </si>
  <si>
    <t>INIGOK AIRFIELD</t>
  </si>
  <si>
    <t>70:00:12.816 (70.00356) North</t>
  </si>
  <si>
    <t>153:05:01.32 (-153.0837) West</t>
  </si>
  <si>
    <t>Matthew Ferderbar</t>
  </si>
  <si>
    <t>mferderbar@blm.gov</t>
  </si>
  <si>
    <t xml:space="preserve">(262) 505-2051 </t>
  </si>
  <si>
    <t>INNOKO FLATS</t>
  </si>
  <si>
    <t>324394AA</t>
  </si>
  <si>
    <t>63:22:58.62 (63.38295) North</t>
  </si>
  <si>
    <t>158:49:25.4388 (-158.823733) West</t>
  </si>
  <si>
    <t>IPNF NORTH ZONE QD#1</t>
  </si>
  <si>
    <t>32B1E5DA</t>
  </si>
  <si>
    <t>47:35:44.3004 (47.595639) North</t>
  </si>
  <si>
    <t>116:07:09.6996 (-116.119361) West</t>
  </si>
  <si>
    <t>Ed Ohlweiler</t>
  </si>
  <si>
    <t>ed.ohlweiler@usda.gov</t>
  </si>
  <si>
    <t xml:space="preserve">(208) 265-6682 </t>
  </si>
  <si>
    <t>william.colson@usda.gov</t>
  </si>
  <si>
    <t>IPNF QD1</t>
  </si>
  <si>
    <t>Gooding</t>
  </si>
  <si>
    <t>47:39:10.5984 (47.652944) North</t>
  </si>
  <si>
    <t>116:00:20.9016 (-116.005806) West</t>
  </si>
  <si>
    <t>Daniel C Muir</t>
  </si>
  <si>
    <t>IRAWS 1</t>
  </si>
  <si>
    <t>32D006E0</t>
  </si>
  <si>
    <t>Incident RAWS</t>
  </si>
  <si>
    <t>neaton@blm.gov</t>
  </si>
  <si>
    <t>00:00, 15:00, 30:00, 45:00</t>
  </si>
  <si>
    <t>IRAWS 10 (WILSON RANCH)</t>
  </si>
  <si>
    <t>32D09382</t>
  </si>
  <si>
    <t>37:40:41.0916 (37.678081) North</t>
  </si>
  <si>
    <t>112:20:29.04 (-112.3414) West</t>
  </si>
  <si>
    <t>00:45, 15:45, 30:45, 45:45</t>
  </si>
  <si>
    <t>IRAWS 11(AHLSTROM HOLLOW)</t>
  </si>
  <si>
    <t>32D0A618</t>
  </si>
  <si>
    <t>37:40:11.2116 (37.669781) North</t>
  </si>
  <si>
    <t>112:15:33.84 (-112.2594) West</t>
  </si>
  <si>
    <t>00:50, 15:50, 30:50, 45:50</t>
  </si>
  <si>
    <t>IRAWS 12 (WEST VALLEY)</t>
  </si>
  <si>
    <t>32D0B56E</t>
  </si>
  <si>
    <t>37:23:30.9984 (37.391944) North</t>
  </si>
  <si>
    <t>113:24:56.0016 (-113.415556) West</t>
  </si>
  <si>
    <t>01:00, 16:00, 31:00, 46:00</t>
  </si>
  <si>
    <t>IRAWS 13 (BROWSE)</t>
  </si>
  <si>
    <t>32D0C3FE</t>
  </si>
  <si>
    <t>37:21:13.7196 (37.353811) North</t>
  </si>
  <si>
    <t>113:19:39.36 (-113.3276) West</t>
  </si>
  <si>
    <t xml:space="preserve">Neil Eaton </t>
  </si>
  <si>
    <t>01:05, 16:05, 31:05, 46:05</t>
  </si>
  <si>
    <t>IRAWS 14 (ENTIAT MEADOWS)</t>
  </si>
  <si>
    <t>32D0D088</t>
  </si>
  <si>
    <t>48:09:06.9804 (48.151939) North</t>
  </si>
  <si>
    <t>120:45:14.76 (-120.7541) West</t>
  </si>
  <si>
    <t>01:10, 16:10, 31:10, 46:10</t>
  </si>
  <si>
    <t>IRAWS 15 (GARLAND PEAK)</t>
  </si>
  <si>
    <t>32D0E512</t>
  </si>
  <si>
    <t>48:01:16.5684 (48.021269) North</t>
  </si>
  <si>
    <t>120:43:31.8 (-120.7255) West</t>
  </si>
  <si>
    <t>01:15, 16:15, 31:15, 46:15</t>
  </si>
  <si>
    <t>IRAWS 16</t>
  </si>
  <si>
    <t>32D0F664</t>
  </si>
  <si>
    <t>64:12:39.7404 (64.211039) North</t>
  </si>
  <si>
    <t>149:21:11.16 (-149.3531) West</t>
  </si>
  <si>
    <t>01:20, 16:20, 31:20, 46:20</t>
  </si>
  <si>
    <t>IRAWS 17</t>
  </si>
  <si>
    <t>32D1041A</t>
  </si>
  <si>
    <t>64:03:08.1 (64.05225) North</t>
  </si>
  <si>
    <t>149:12:00.3996 (-149.200111) West</t>
  </si>
  <si>
    <t>01:25, 16:25, 31:25, 46:25</t>
  </si>
  <si>
    <t xml:space="preserve">IRAWS 18 </t>
  </si>
  <si>
    <t>32D1176C</t>
  </si>
  <si>
    <t>01:30, 16:30, 31:30, 46:30</t>
  </si>
  <si>
    <t>IRAWS 19  (COTTONWOOD)</t>
  </si>
  <si>
    <t>32D122F6</t>
  </si>
  <si>
    <t>48:01:19.5204 (48.022089) North</t>
  </si>
  <si>
    <t>120:38:40.2 (-120.6445) West</t>
  </si>
  <si>
    <t>01:35, 16:35, 31:35, 46:35</t>
  </si>
  <si>
    <t>IRAWS 2</t>
  </si>
  <si>
    <t>32D01596</t>
  </si>
  <si>
    <t>neatan@blm.gov</t>
  </si>
  <si>
    <t>00:05, 15:05, 30:05, 45:05</t>
  </si>
  <si>
    <t>IRAWS 20 (HALFWAY)</t>
  </si>
  <si>
    <t>32D13180</t>
  </si>
  <si>
    <t>47:57:54.7596 (47.965211) North</t>
  </si>
  <si>
    <t>120:30:38.7684 (-120.510769) West</t>
  </si>
  <si>
    <t>01:40, 16:40, 31:40, 46:40</t>
  </si>
  <si>
    <t>IRAWS 21 (SPIKE)</t>
  </si>
  <si>
    <t>32D14710</t>
  </si>
  <si>
    <t>41:31:09.3 (41.51925) North</t>
  </si>
  <si>
    <t>123:08:41.9316 (-123.144981) West</t>
  </si>
  <si>
    <t>01:45, 16:45, 31:45, 46:45</t>
  </si>
  <si>
    <t>IRAWS 22 (JASPER)</t>
  </si>
  <si>
    <t>32D15466</t>
  </si>
  <si>
    <t>41:31:47.46 (41.52985) North</t>
  </si>
  <si>
    <t>123:07:46.56 (-123.1296) West</t>
  </si>
  <si>
    <t>01:50, 16:50, 31:50, 46:50</t>
  </si>
  <si>
    <t>IRAWS 23 (HOGBACK)</t>
  </si>
  <si>
    <t>32D161FC</t>
  </si>
  <si>
    <t>40:52:58.6884 (40.882969) North</t>
  </si>
  <si>
    <t>121:59:52.8 (-121.998) West</t>
  </si>
  <si>
    <t>01:55, 16:55, 31:55, 46:55</t>
  </si>
  <si>
    <t>IRAWS 24 (BOAT)</t>
  </si>
  <si>
    <t>32D1728A</t>
  </si>
  <si>
    <t>40:46:36.5916 (40.776831) North</t>
  </si>
  <si>
    <t>122:09:19.08 (-122.1553) West</t>
  </si>
  <si>
    <t>02:00, 17:00, 32:00, 47:00</t>
  </si>
  <si>
    <t>IRAWS 25 (HORN CREEK)</t>
  </si>
  <si>
    <t>32D1820E</t>
  </si>
  <si>
    <t>41:14:06.9 (41.23525) North</t>
  </si>
  <si>
    <t>123:21:51.12 (-123.3642) West</t>
  </si>
  <si>
    <t>02:05, 17:05, 32:05, 47:05</t>
  </si>
  <si>
    <t>IRAWS 26 (NORDHEIMER)</t>
  </si>
  <si>
    <t>32D19178</t>
  </si>
  <si>
    <t>41:17:56.2596 (41.298961) North</t>
  </si>
  <si>
    <t>123:21:34.56 (-123.3596) West</t>
  </si>
  <si>
    <t>02:10, 17:10, 32:10, 47:10</t>
  </si>
  <si>
    <t xml:space="preserve">IRAWS 27 </t>
  </si>
  <si>
    <t>32D1A4E2</t>
  </si>
  <si>
    <t>02:20, 17:20, 32:20, 47:20</t>
  </si>
  <si>
    <t>IRAWS 28  (FLAGSTAFF)</t>
  </si>
  <si>
    <t>32D1B794</t>
  </si>
  <si>
    <t>48:54:30.2004 (48.908389) North</t>
  </si>
  <si>
    <t>117:52:12 (-117.87) West</t>
  </si>
  <si>
    <t>02:25, 17:25, 32:25, 47:25</t>
  </si>
  <si>
    <t>IRAWS 29 (FIFTEEN MILS)</t>
  </si>
  <si>
    <t>32D1C104</t>
  </si>
  <si>
    <t>48:52:47.8992 (48.879972) North</t>
  </si>
  <si>
    <t>118:04:08.0004 (-118.068889) West</t>
  </si>
  <si>
    <t xml:space="preserve">IRAWS 3 </t>
  </si>
  <si>
    <t>32D0200C</t>
  </si>
  <si>
    <t>00:10, 15:10, 30:10, 45:10</t>
  </si>
  <si>
    <t>IRAWS 30 (PACK CREEK)</t>
  </si>
  <si>
    <t>32D1D272</t>
  </si>
  <si>
    <t>38:21:53.6004 (38.364889) North</t>
  </si>
  <si>
    <t>109:11:24.36 (-109.1901) West</t>
  </si>
  <si>
    <t>bfuller</t>
  </si>
  <si>
    <t>02:35, 17:35, 32:35, 47:35</t>
  </si>
  <si>
    <t>IRAWS 31 (HICKLE)</t>
  </si>
  <si>
    <t>32D1E7E8</t>
  </si>
  <si>
    <t>38:33:07.8012 (38.552167) North</t>
  </si>
  <si>
    <t>107:45:05.4 (-107.7515) West</t>
  </si>
  <si>
    <t>02:40, 17:40, 32:40, 47:40</t>
  </si>
  <si>
    <t>IRAWS 32  (COFFEE POT)</t>
  </si>
  <si>
    <t>32D1F49E</t>
  </si>
  <si>
    <t>38:31:05.0016 (38.518056) North</t>
  </si>
  <si>
    <t>107:40:36.0984 (-107.676694) West</t>
  </si>
  <si>
    <t>02:45, 17:45, 32:45, 47:45</t>
  </si>
  <si>
    <t>IRAWS 33 (SWAN LAKE)</t>
  </si>
  <si>
    <t>32D20314</t>
  </si>
  <si>
    <t>42:22:56.8992 (42.382472) North</t>
  </si>
  <si>
    <t>121:45:56.4984 (-121.765694) West</t>
  </si>
  <si>
    <t>02:50, 17:50, 32:50, 47:50</t>
  </si>
  <si>
    <t xml:space="preserve">IRAWS 34 </t>
  </si>
  <si>
    <t>32D21062</t>
  </si>
  <si>
    <t xml:space="preserve">IRAWS 35 </t>
  </si>
  <si>
    <t>32D225F8</t>
  </si>
  <si>
    <t xml:space="preserve">IRAWS 36 </t>
  </si>
  <si>
    <t>32D2368E</t>
  </si>
  <si>
    <t>IRAWS 37</t>
  </si>
  <si>
    <t>32D2401E</t>
  </si>
  <si>
    <t>03:10, 18:10, 33:10, 48:10</t>
  </si>
  <si>
    <t>IRAWS 38</t>
  </si>
  <si>
    <t>32D25368</t>
  </si>
  <si>
    <t>03:15, 18:15, 33:15, 48:15</t>
  </si>
  <si>
    <t>IRAWS 39</t>
  </si>
  <si>
    <t>32D266F2</t>
  </si>
  <si>
    <t>03:20, 18:20, 33:20, 48:20</t>
  </si>
  <si>
    <t xml:space="preserve">IRAWS 4 </t>
  </si>
  <si>
    <t>32D0337A</t>
  </si>
  <si>
    <t>00:15, 15:15, 30:15, 45:15</t>
  </si>
  <si>
    <t xml:space="preserve">IRAWS 40 </t>
  </si>
  <si>
    <t>32D27584</t>
  </si>
  <si>
    <t>03:25, 18:25, 33:25, 48:25</t>
  </si>
  <si>
    <t xml:space="preserve">IRAWS 41 </t>
  </si>
  <si>
    <t>32D28500</t>
  </si>
  <si>
    <t>03:30, 18:30, 33:30, 48:30</t>
  </si>
  <si>
    <t>IRAWS 42</t>
  </si>
  <si>
    <t>32D29676</t>
  </si>
  <si>
    <t>03:35, 18:35, 33:35, 48:35</t>
  </si>
  <si>
    <t xml:space="preserve">IRAWS 43 </t>
  </si>
  <si>
    <t>32D2A3EC</t>
  </si>
  <si>
    <t>03:40, 18:40, 33:40, 48:40</t>
  </si>
  <si>
    <t xml:space="preserve">IRAWS 44 </t>
  </si>
  <si>
    <t>32D2B09A</t>
  </si>
  <si>
    <t>03:45, 18:45, 33:45, 48:45</t>
  </si>
  <si>
    <t xml:space="preserve">IRAWS 45 </t>
  </si>
  <si>
    <t>32D2C60A</t>
  </si>
  <si>
    <t>03:50, 18:50, 33:50, 48:50</t>
  </si>
  <si>
    <t>IRAWS 46</t>
  </si>
  <si>
    <t>32D2D57C</t>
  </si>
  <si>
    <t>03:55, 18:55, 33:55, 48:55</t>
  </si>
  <si>
    <t xml:space="preserve">IRAWS 47 </t>
  </si>
  <si>
    <t>32D2E0E6</t>
  </si>
  <si>
    <t>43:33:55.0008 (43.565278) North</t>
  </si>
  <si>
    <t>04:00, 19:00, 34:00, 49:00</t>
  </si>
  <si>
    <t xml:space="preserve">IRAWS 48 </t>
  </si>
  <si>
    <t>32D2F390</t>
  </si>
  <si>
    <t>04:05, 19:05, 34:05, 49:05</t>
  </si>
  <si>
    <t xml:space="preserve">IRAWS 49 </t>
  </si>
  <si>
    <t>32D301EE</t>
  </si>
  <si>
    <t>04:10, 19:10, 34:10, 49:10</t>
  </si>
  <si>
    <t>IRAWS 5</t>
  </si>
  <si>
    <t>32D045EA</t>
  </si>
  <si>
    <t>00:20, 15:20, 30:20, 45:20</t>
  </si>
  <si>
    <t xml:space="preserve">IRAWS 50 </t>
  </si>
  <si>
    <t>32D31298</t>
  </si>
  <si>
    <t>04:15, 19:15, 34:15, 49:15</t>
  </si>
  <si>
    <t xml:space="preserve">IRAWS 51 </t>
  </si>
  <si>
    <t>3468563E</t>
  </si>
  <si>
    <t>04:20, 19:20, 34:20, 49:20</t>
  </si>
  <si>
    <t xml:space="preserve">IRAWS 52 </t>
  </si>
  <si>
    <t>346D4288</t>
  </si>
  <si>
    <t>04:25, 19:25, 34:25, 49:25</t>
  </si>
  <si>
    <t xml:space="preserve">IRAWS 53 </t>
  </si>
  <si>
    <t>346D6464</t>
  </si>
  <si>
    <t>04:30, 19:30, 34:30, 49:30</t>
  </si>
  <si>
    <t xml:space="preserve">IRAWS 54 </t>
  </si>
  <si>
    <t>346D7712</t>
  </si>
  <si>
    <t>04:35, 19:35, 34:35, 49:35</t>
  </si>
  <si>
    <t xml:space="preserve">IRAWS 55 </t>
  </si>
  <si>
    <t>346DE270</t>
  </si>
  <si>
    <t>04:40, 19:40, 34:40, 49:40</t>
  </si>
  <si>
    <t xml:space="preserve">IRAWS 56 </t>
  </si>
  <si>
    <t>346DF106</t>
  </si>
  <si>
    <t>04:45, 19:45, 34:45, 49:45</t>
  </si>
  <si>
    <t xml:space="preserve">IRAWS 57 </t>
  </si>
  <si>
    <t>346F31EC</t>
  </si>
  <si>
    <t>04:50, 19:50, 34:50, 49:50</t>
  </si>
  <si>
    <t xml:space="preserve">IRAWS 58 </t>
  </si>
  <si>
    <t>346F477C</t>
  </si>
  <si>
    <t>04:55, 19:55, 34:55, 49:55</t>
  </si>
  <si>
    <t xml:space="preserve">IRAWS 59 </t>
  </si>
  <si>
    <t>346F540A</t>
  </si>
  <si>
    <t>05:00, 20:00, 35:00, 50:00</t>
  </si>
  <si>
    <t>IRAWS 6</t>
  </si>
  <si>
    <t>32D0569C</t>
  </si>
  <si>
    <t>00:25, 15:25, 30:25, 45:25</t>
  </si>
  <si>
    <t>IRAWS 60</t>
  </si>
  <si>
    <t>346F72E6</t>
  </si>
  <si>
    <t>05:05, 20:05, 35:05, 50:05</t>
  </si>
  <si>
    <t xml:space="preserve">IRAWS 7 </t>
  </si>
  <si>
    <t>32D06306</t>
  </si>
  <si>
    <t>00:30, 15:30, 30:30, 45:30</t>
  </si>
  <si>
    <t xml:space="preserve">IRAWS 8 </t>
  </si>
  <si>
    <t>32D07070</t>
  </si>
  <si>
    <t>00:35, 15:35, 30:35, 45:35</t>
  </si>
  <si>
    <t>IRAWS 9</t>
  </si>
  <si>
    <t>32D080F4</t>
  </si>
  <si>
    <t>00:40, 15:40, 30:40, 45:40</t>
  </si>
  <si>
    <t>IRON MOUNTAIN</t>
  </si>
  <si>
    <t>333390A4</t>
  </si>
  <si>
    <t>48:33:48.9996 (48.563611) North</t>
  </si>
  <si>
    <t>118:37:13.4004 (-118.620389) West</t>
  </si>
  <si>
    <t>IRON SPRINGS</t>
  </si>
  <si>
    <t>34:35:36.9996 (34.593611) North</t>
  </si>
  <si>
    <t>112:30:41.0004 (-112.511389) West</t>
  </si>
  <si>
    <t>barry.wallace@usda.gov</t>
  </si>
  <si>
    <t xml:space="preserve">(928) 830-9543 </t>
  </si>
  <si>
    <t>IROQUOIS</t>
  </si>
  <si>
    <t>Genesee</t>
  </si>
  <si>
    <t>43:06:46.3 (43.112861) North</t>
  </si>
  <si>
    <t>78:24:15.5 (-78.404306) West</t>
  </si>
  <si>
    <t>IROQUOIS NWR</t>
  </si>
  <si>
    <t>Paul Hess</t>
  </si>
  <si>
    <t>paul_hess@fws.gov</t>
  </si>
  <si>
    <t>(585) 948-5445 08</t>
  </si>
  <si>
    <t>ISABELLA</t>
  </si>
  <si>
    <t>3286E19E</t>
  </si>
  <si>
    <t>47:37:10.9992 (47.619722) North</t>
  </si>
  <si>
    <t>91:22:39 (-91.3775) West</t>
  </si>
  <si>
    <t>Trisha Miller</t>
  </si>
  <si>
    <t>ISLAND PARK</t>
  </si>
  <si>
    <t>44:25:13.836 (44.42051) North</t>
  </si>
  <si>
    <t>111:22:02.676 (-111.36741) West</t>
  </si>
  <si>
    <t>Brian Tilly</t>
  </si>
  <si>
    <t xml:space="preserve">(208) 221-9368 </t>
  </si>
  <si>
    <t>ahester@blm.gov, bryan.tilly@noaa.gov, jarrod.zweigart@usda.gov, joshua.storrer@usda.gov</t>
  </si>
  <si>
    <t>ISLE AU HAUT</t>
  </si>
  <si>
    <t>Maine</t>
  </si>
  <si>
    <t>Knox</t>
  </si>
  <si>
    <t>FA670202</t>
  </si>
  <si>
    <t>44:04:00.0012 (44.066667) North</t>
  </si>
  <si>
    <t>68:38:30.0012 (-68.641667) West</t>
  </si>
  <si>
    <t>ACADIA NP</t>
  </si>
  <si>
    <t>Bryan Daigle</t>
  </si>
  <si>
    <t>bryan_daigle@nps.gov</t>
  </si>
  <si>
    <t xml:space="preserve">(207) 288-8778 </t>
  </si>
  <si>
    <t xml:space="preserve"> sasha_ernst@nps.gov, bryan_daigle@nps.gov</t>
  </si>
  <si>
    <t>ITASCA</t>
  </si>
  <si>
    <t>47:14:24 (47.24) North</t>
  </si>
  <si>
    <t>95:11:24 (-95.19) West</t>
  </si>
  <si>
    <t>ben.lang@state.mn.us, jolene.soltis@state.mn.us</t>
  </si>
  <si>
    <t xml:space="preserve"> jolene.soltis@state.mn.us, ben.lang@state.mn.us, travis.verdegan@state.mn.us</t>
  </si>
  <si>
    <t>J RIDGE</t>
  </si>
  <si>
    <t>3262673A</t>
  </si>
  <si>
    <t>45:06:48.7008 (45.113528) North</t>
  </si>
  <si>
    <t>118:24:18.702 (-118.405195) West</t>
  </si>
  <si>
    <t>J. CLARK SALYER</t>
  </si>
  <si>
    <t>McHenry</t>
  </si>
  <si>
    <t>837581F6</t>
  </si>
  <si>
    <t>48:36:55.0008 (48.615278) North</t>
  </si>
  <si>
    <t>100:43:45.0012 (-100.729167) West</t>
  </si>
  <si>
    <t>J CLARK SALYER NWR</t>
  </si>
  <si>
    <t>DOMINICK MARSDEN</t>
  </si>
  <si>
    <t>dominic_marsden@fws.gov</t>
  </si>
  <si>
    <t xml:space="preserve">(701) 720-0379 </t>
  </si>
  <si>
    <t>Calvin Moldenhauer</t>
  </si>
  <si>
    <t>JACK COUNTY PORT RAWS</t>
  </si>
  <si>
    <t>Jack</t>
  </si>
  <si>
    <t>EA40065C</t>
  </si>
  <si>
    <t>33:12:20.628 (33.20573) North</t>
  </si>
  <si>
    <t>98:10:06.456 (-98.16846) West</t>
  </si>
  <si>
    <t>Frank Hefner</t>
  </si>
  <si>
    <t>emc@jackcounty.org</t>
  </si>
  <si>
    <t xml:space="preserve">(940) 229-8349 </t>
  </si>
  <si>
    <t>JACKALOPE PORTABLE</t>
  </si>
  <si>
    <t>32BA3EC8</t>
  </si>
  <si>
    <t>34:23:37.7988 (34.393833) North</t>
  </si>
  <si>
    <t>111:59:15.6984 (-111.987694) West</t>
  </si>
  <si>
    <t>Matthew Lister</t>
  </si>
  <si>
    <t>matthew.lister@usda.gov</t>
  </si>
  <si>
    <t xml:space="preserve">(928) 978-5027 </t>
  </si>
  <si>
    <t>Anthony Leach</t>
  </si>
  <si>
    <t>anthony.leach@usda.gov</t>
  </si>
  <si>
    <t xml:space="preserve">(626) 688-1614 </t>
  </si>
  <si>
    <t xml:space="preserve"> rilee.nilsson@usda.gov, aaron.graeser@usda.gov, aaron.macmann@usda.gov, anthony.leach@usda.gov, juan.quiroga@usda.gov, matthew.lister@usda.gov</t>
  </si>
  <si>
    <t>JACKS CANYON</t>
  </si>
  <si>
    <t>325A137C</t>
  </si>
  <si>
    <t>38:45:11.5992 (38.753222) North</t>
  </si>
  <si>
    <t>108:34:46.8984 (-108.579694) West</t>
  </si>
  <si>
    <t>JACKSON</t>
  </si>
  <si>
    <t>Ocean</t>
  </si>
  <si>
    <t>FF1041BA</t>
  </si>
  <si>
    <t>40:05:54.9996 (40.098611) North</t>
  </si>
  <si>
    <t>74:18:57.9996 (-74.316111) West</t>
  </si>
  <si>
    <t>JACKSON CO AP</t>
  </si>
  <si>
    <t>4030305E</t>
  </si>
  <si>
    <t>37:35:30.984 (37.59194) North</t>
  </si>
  <si>
    <t>83:18:53.0856 (-83.314746) West</t>
  </si>
  <si>
    <t>Jason Hunt</t>
  </si>
  <si>
    <t>jason.hunt@ky.gov</t>
  </si>
  <si>
    <t xml:space="preserve">(606) 594-4688 </t>
  </si>
  <si>
    <t>JACKSON COUNTY</t>
  </si>
  <si>
    <t>35:18:56.9988 (35.315833) North</t>
  </si>
  <si>
    <t>83:12:24.9984 (-83.206944) West</t>
  </si>
  <si>
    <t>Scotty Comer</t>
  </si>
  <si>
    <t>scotty.comer@ncagr.gov</t>
  </si>
  <si>
    <t xml:space="preserve">(828) 586-4007 </t>
  </si>
  <si>
    <t>Benji Reece</t>
  </si>
  <si>
    <t>benji.reece@ncagr.gov</t>
  </si>
  <si>
    <t>JAMES RIVER</t>
  </si>
  <si>
    <t>8377A2EE</t>
  </si>
  <si>
    <t>37:15:34 (37.259444) North</t>
  </si>
  <si>
    <t>77:08:26 (-77.140556) West</t>
  </si>
  <si>
    <t>JAMES RIVER NWR</t>
  </si>
  <si>
    <t>Cyrus Brame</t>
  </si>
  <si>
    <t>cyrus_brame@fws.gov</t>
  </si>
  <si>
    <t xml:space="preserve">(804) 829-9020 </t>
  </si>
  <si>
    <t xml:space="preserve">(757) 986-3480 </t>
  </si>
  <si>
    <t>JAPATUL FIRE STATION</t>
  </si>
  <si>
    <t>32B46ADC</t>
  </si>
  <si>
    <t>32:44:40.0416 (32.744456) North</t>
  </si>
  <si>
    <t>116:40:23.9196 (-116.673311) West</t>
  </si>
  <si>
    <t>Matthew LaVoire</t>
  </si>
  <si>
    <t>JARBO GAP</t>
  </si>
  <si>
    <t>CA2B4516</t>
  </si>
  <si>
    <t>39:44:09.2688 (39.735908) North</t>
  </si>
  <si>
    <t>121:29:20.3388 (-121.488983) West</t>
  </si>
  <si>
    <t>JARITA MESA</t>
  </si>
  <si>
    <t>36:33:21.4992 (36.555972) North</t>
  </si>
  <si>
    <t>106:06:11.0016 (-106.103056) West</t>
  </si>
  <si>
    <t>richard.sack@usda.gov, richard_naden@nps.gov</t>
  </si>
  <si>
    <t>JARVIS CREEK</t>
  </si>
  <si>
    <t>63:56:38.2992 (63.943972) North</t>
  </si>
  <si>
    <t>145:35:49.8984 (-145.597194) West</t>
  </si>
  <si>
    <t>JATAHMUND LAKE</t>
  </si>
  <si>
    <t>1260201E</t>
  </si>
  <si>
    <t>62:35:16.26 (62.58785) North</t>
  </si>
  <si>
    <t>142:03:29.0988 (-142.058083) West</t>
  </si>
  <si>
    <t>JAWBONE</t>
  </si>
  <si>
    <t>35:17:41.6004 (35.294889) North</t>
  </si>
  <si>
    <t>118:13:36.4008 (-118.226778) West</t>
  </si>
  <si>
    <t>JAX DISTRICT</t>
  </si>
  <si>
    <t>Duval</t>
  </si>
  <si>
    <t>32B8D61C</t>
  </si>
  <si>
    <t>30:25:06.7008 (30.418528) North</t>
  </si>
  <si>
    <t>81:55:37.0992 (-81.926972) West</t>
  </si>
  <si>
    <t>Andy Lamborn</t>
  </si>
  <si>
    <t>andy.lamborn@fdacs.gov</t>
  </si>
  <si>
    <t xml:space="preserve">(904) 266-8359 </t>
  </si>
  <si>
    <t>JAY</t>
  </si>
  <si>
    <t>324AC28A</t>
  </si>
  <si>
    <t>38:50:44.0988 (38.845583) North</t>
  </si>
  <si>
    <t>107:44:18.7008 (-107.738528) West</t>
  </si>
  <si>
    <t>JAYTON</t>
  </si>
  <si>
    <t>Kent</t>
  </si>
  <si>
    <t>32B047D8</t>
  </si>
  <si>
    <t>33:13:57 (33.2325) North</t>
  </si>
  <si>
    <t>100:34:04.0008 (-100.567778) West</t>
  </si>
  <si>
    <t>JBER</t>
  </si>
  <si>
    <t>AAC3B6D0</t>
  </si>
  <si>
    <t>61:22:54.9012 (61.381917) North</t>
  </si>
  <si>
    <t>149:39:00.5004 (-149.650139) West</t>
  </si>
  <si>
    <t xml:space="preserve">(907) 384-3199 </t>
  </si>
  <si>
    <t>JEFFERSON CREEK</t>
  </si>
  <si>
    <t>Mason</t>
  </si>
  <si>
    <t>47:32:56.7708 (47.549103) North</t>
  </si>
  <si>
    <t>123:13:03.3096 (-123.217586) West</t>
  </si>
  <si>
    <t>JEMEZ</t>
  </si>
  <si>
    <t>328390CE</t>
  </si>
  <si>
    <t>35:50:28.1004 (35.841139) North</t>
  </si>
  <si>
    <t>106:37:10.8984 (-106.619694) West</t>
  </si>
  <si>
    <t>JENSEN SPRING</t>
  </si>
  <si>
    <t>3257101A</t>
  </si>
  <si>
    <t>38:02:03.3 (38.03425) North</t>
  </si>
  <si>
    <t>113:31:18.3 (-113.52175) West</t>
  </si>
  <si>
    <t>JERSEYDALE</t>
  </si>
  <si>
    <t>3272C05C</t>
  </si>
  <si>
    <t>37:32:37.4388 (37.543733) North</t>
  </si>
  <si>
    <t>119:50:22.9092 (-119.839697) West</t>
  </si>
  <si>
    <t>JESSEN STATION</t>
  </si>
  <si>
    <t>FA5063A0</t>
  </si>
  <si>
    <t>36:03:10.17 (36.052825) North</t>
  </si>
  <si>
    <t>82:22:44.6412 (-82.379067) West</t>
  </si>
  <si>
    <t>JESSIEVILLE</t>
  </si>
  <si>
    <t>Garland</t>
  </si>
  <si>
    <t>3334A70A</t>
  </si>
  <si>
    <t>34:41:30.9984 (34.691944) North</t>
  </si>
  <si>
    <t>93:13:12 (-93.22) West</t>
  </si>
  <si>
    <t>JETTE</t>
  </si>
  <si>
    <t>47:46:01.4016 (47.767056) North</t>
  </si>
  <si>
    <t>114:14:01.6008 (-114.233778) West</t>
  </si>
  <si>
    <t>JIM CREEK</t>
  </si>
  <si>
    <t>Snohomish</t>
  </si>
  <si>
    <t>FA508052</t>
  </si>
  <si>
    <t>48:10:42.6 (48.1785) North</t>
  </si>
  <si>
    <t>122:01:45.0984 (-122.029194) West</t>
  </si>
  <si>
    <t>Bruce Hanna</t>
  </si>
  <si>
    <t>bruce.hanna@dnr.wa.gov</t>
  </si>
  <si>
    <t xml:space="preserve">(360) 854-2859 </t>
  </si>
  <si>
    <t>JOES VALLEY</t>
  </si>
  <si>
    <t>Sanpete</t>
  </si>
  <si>
    <t>323C376C</t>
  </si>
  <si>
    <t>39:18:33.0012 (39.309167) North</t>
  </si>
  <si>
    <t>111:19:21.6984 (-111.322694) West</t>
  </si>
  <si>
    <t>JD Pell</t>
  </si>
  <si>
    <t>john.d.pell@usda.gov</t>
  </si>
  <si>
    <t xml:space="preserve">(435) 820-1480 </t>
  </si>
  <si>
    <t>Paul Corrigan</t>
  </si>
  <si>
    <t>JOHN CRAFT</t>
  </si>
  <si>
    <t>32D0CD2C</t>
  </si>
  <si>
    <t>29:57:01.8 (29.9505) North</t>
  </si>
  <si>
    <t>97:22:15.4992 (-97.370972) West</t>
  </si>
  <si>
    <t>JOHNSON CANYON</t>
  </si>
  <si>
    <t>32B81DD0</t>
  </si>
  <si>
    <t>41:52:18.84 (41.8719) North</t>
  </si>
  <si>
    <t>JOHNSON RIDGE</t>
  </si>
  <si>
    <t>3261D3BA</t>
  </si>
  <si>
    <t>47:47:59.7012 (47.799917) North</t>
  </si>
  <si>
    <t>121:17:09.6 (-121.286) West</t>
  </si>
  <si>
    <t>JOHNSONDALE</t>
  </si>
  <si>
    <t>324006C6</t>
  </si>
  <si>
    <t>35:58:16.0788 (35.971133) North</t>
  </si>
  <si>
    <t>118:32:26.6604 (-118.540739) West</t>
  </si>
  <si>
    <t>Darla Bush</t>
  </si>
  <si>
    <t>darla.bush@usda.gov</t>
  </si>
  <si>
    <t xml:space="preserve">(661) 548-6503 </t>
  </si>
  <si>
    <t>Aaron Woodyard</t>
  </si>
  <si>
    <t>aaron.woodyard@usda.gov</t>
  </si>
  <si>
    <t xml:space="preserve">(559) 789-4372 </t>
  </si>
  <si>
    <t xml:space="preserve"> steven.m.reyes@usda.gov, ahester@blm.gov, angel.prieto@usda.gov, shuckstep@blm.gov</t>
  </si>
  <si>
    <t>JONES HILL</t>
  </si>
  <si>
    <t>39:02:28.8996 (39.041361) North</t>
  </si>
  <si>
    <t>106:00:13.2984 (-106.003694) West</t>
  </si>
  <si>
    <t>Robert Monsen</t>
  </si>
  <si>
    <t>robert.monsen@usda.gov</t>
  </si>
  <si>
    <t xml:space="preserve">(719) 231-5908 </t>
  </si>
  <si>
    <t>Chris Rokosh</t>
  </si>
  <si>
    <t>christopher.rokosh@usda.gov</t>
  </si>
  <si>
    <t xml:space="preserve">(719) 748-8505 </t>
  </si>
  <si>
    <t>ahester@blm.gov, jeffrey.bade@usda.gov, robert.monsen@usda.gov</t>
  </si>
  <si>
    <t>JORDAN</t>
  </si>
  <si>
    <t>Linn</t>
  </si>
  <si>
    <t>44:43:03.2016 (44.717556) North</t>
  </si>
  <si>
    <t>122:41:32.1 (-122.69225) West</t>
  </si>
  <si>
    <t>Trent Tegen</t>
  </si>
  <si>
    <t>trent.tegen@odf.oregon.gov</t>
  </si>
  <si>
    <t xml:space="preserve">(503) 428-0971 </t>
  </si>
  <si>
    <t>Kyle Kaupp</t>
  </si>
  <si>
    <t>kyle.f.kaupp@odf.oregon.gov</t>
  </si>
  <si>
    <t xml:space="preserve">(503) 931-2352 </t>
  </si>
  <si>
    <t>JOSEPH PLAINS</t>
  </si>
  <si>
    <t>32BB3C32</t>
  </si>
  <si>
    <t>45:51:23.6988 (45.856583) North</t>
  </si>
  <si>
    <t>116:28:08.0004 (-116.468889) West</t>
  </si>
  <si>
    <t>ID DEPT OF LANDS</t>
  </si>
  <si>
    <t>IDLIDA - Idaho Department of Lands</t>
  </si>
  <si>
    <t>kevin chaffee</t>
  </si>
  <si>
    <t>kchaffee@idl.idaho.gov</t>
  </si>
  <si>
    <t xml:space="preserve">(208) 924-5571 </t>
  </si>
  <si>
    <t>Hunter Droegmiller</t>
  </si>
  <si>
    <t>hdroegmiller@idl.idaho.gov</t>
  </si>
  <si>
    <t>Kevin Chaffee</t>
  </si>
  <si>
    <t>JUANITA LAKE</t>
  </si>
  <si>
    <t>3238715C</t>
  </si>
  <si>
    <t>41:48:06.84 (41.8019) North</t>
  </si>
  <si>
    <t>122:06:34.92 (-122.1097) West</t>
  </si>
  <si>
    <t>Jacob Wright</t>
  </si>
  <si>
    <t>jacob.wright2@usda.gov</t>
  </si>
  <si>
    <t xml:space="preserve">(530) 643-2715 </t>
  </si>
  <si>
    <t>Sara Lee</t>
  </si>
  <si>
    <t>sarah.lee2@usda.gov</t>
  </si>
  <si>
    <t xml:space="preserve">(530) 280-1992 </t>
  </si>
  <si>
    <t>JUDITH PEAK</t>
  </si>
  <si>
    <t>AA1042A0</t>
  </si>
  <si>
    <t>47:13:03.1008 (47.217528) North</t>
  </si>
  <si>
    <t>109:13:22.1016 (-109.222806) West</t>
  </si>
  <si>
    <t>JULIAN</t>
  </si>
  <si>
    <t>CA4A45DE</t>
  </si>
  <si>
    <t>33:04:32.4696 (33.075686) North</t>
  </si>
  <si>
    <t>116:35:33.27 (-116.592575) West</t>
  </si>
  <si>
    <t>JUNCO LAKE</t>
  </si>
  <si>
    <t>32BB2196</t>
  </si>
  <si>
    <t xml:space="preserve">(303) 439-0332 </t>
  </si>
  <si>
    <t>Nicole Finch</t>
  </si>
  <si>
    <t>JUNIPER BUTTE BOMB RANGE</t>
  </si>
  <si>
    <t>32D3F16A</t>
  </si>
  <si>
    <t>42:19:47.28 (42.3298) North</t>
  </si>
  <si>
    <t>115:21:45.72 (-115.3627) West</t>
  </si>
  <si>
    <t>MT HOME AFB</t>
  </si>
  <si>
    <t>Hodge Echeverria</t>
  </si>
  <si>
    <t>hodge.echeverria@us.af.mil</t>
  </si>
  <si>
    <t xml:space="preserve">(208) 828-1784 </t>
  </si>
  <si>
    <t>JUNIPER CREEK</t>
  </si>
  <si>
    <t>41:19:57.6012 (41.332667) North</t>
  </si>
  <si>
    <t>120:28:22.1016 (-120.472806) West</t>
  </si>
  <si>
    <t>ahester@blm.gov, sewilson@blm.gov, shuckstep@blm.gov</t>
  </si>
  <si>
    <t>JUNIPER DUNES</t>
  </si>
  <si>
    <t>3264A2EA</t>
  </si>
  <si>
    <t>46:21:28.1016 (46.357806) North</t>
  </si>
  <si>
    <t>118:52:06.6 (-118.8685) West</t>
  </si>
  <si>
    <t>JUNIPER SPRINGS</t>
  </si>
  <si>
    <t>325736F6</t>
  </si>
  <si>
    <t>41:04:49.8 (41.0805) North</t>
  </si>
  <si>
    <t>119:46:36.1992 (-119.776722) West</t>
  </si>
  <si>
    <t>KABNAM</t>
  </si>
  <si>
    <t>FA63E4CA</t>
  </si>
  <si>
    <t>48:26:21.0696 (48.439186) North</t>
  </si>
  <si>
    <t>93:02:59.9604 (-93.049989) West</t>
  </si>
  <si>
    <t>VOYAGEURS NP</t>
  </si>
  <si>
    <t>Greg Carlson</t>
  </si>
  <si>
    <t>gcarlson@nps.gov</t>
  </si>
  <si>
    <t xml:space="preserve">(218) 283-6660 </t>
  </si>
  <si>
    <t>Rod Skalsky</t>
  </si>
  <si>
    <t>rskalsky@nps.gov, jolene.soltis@state.mn.us</t>
  </si>
  <si>
    <t xml:space="preserve">(701) 426-9813 </t>
  </si>
  <si>
    <t>greg_carlson@nps.gov, jolene.soltis@state.mn.us, paul_mancuso@nps.gov, rskalsky@nps.gov</t>
  </si>
  <si>
    <t>KAHIKINUI RAWS 1</t>
  </si>
  <si>
    <t>32BDBAE8</t>
  </si>
  <si>
    <t>20:41:00.6504 (20.683514) North</t>
  </si>
  <si>
    <t>156:12:45.2304 (-156.212564) West</t>
  </si>
  <si>
    <t>KAHO OLAWE 1</t>
  </si>
  <si>
    <t>32BD7124</t>
  </si>
  <si>
    <t>20:33:39.7008 (20.561028) North</t>
  </si>
  <si>
    <t>156:34:27.0984 (-156.574194) West</t>
  </si>
  <si>
    <t>KAHUKU</t>
  </si>
  <si>
    <t>19:13:55.9992 (19.232222) North</t>
  </si>
  <si>
    <t>155:46:48 (-155.78) West</t>
  </si>
  <si>
    <t>HAWAII VOLCANOES NP</t>
  </si>
  <si>
    <t>Greg Funderburk</t>
  </si>
  <si>
    <t>greg_funderburk@nps.gov</t>
  </si>
  <si>
    <t xml:space="preserve">(808) 985-6042 </t>
  </si>
  <si>
    <t>eric_johnson@fws.gov, matthew_desimone@nps.gov</t>
  </si>
  <si>
    <t>KAHUKU TRAINING AREA</t>
  </si>
  <si>
    <t>325A861E</t>
  </si>
  <si>
    <t>21:40:45.0012 (21.679167) North</t>
  </si>
  <si>
    <t>157:59:21.9984 (-157.989444) West</t>
  </si>
  <si>
    <t>KAIBAB-NK MICRO #1</t>
  </si>
  <si>
    <t>3331A0CA</t>
  </si>
  <si>
    <t>36:11:33 (36.1925) North</t>
  </si>
  <si>
    <t>111:56:43.8 (-111.9455) West</t>
  </si>
  <si>
    <t>Jimmy Flanagan (Cell)</t>
  </si>
  <si>
    <t>David Veader</t>
  </si>
  <si>
    <t xml:space="preserve">(928) 643-8145 </t>
  </si>
  <si>
    <t>andrew.leiendecker@usda.gov, quentin.ford@usda.gov, richard_naden@nps.gov</t>
  </si>
  <si>
    <t>KAIBAB-SK MICRO #3</t>
  </si>
  <si>
    <t>35:14:19.0284 (35.238619) North</t>
  </si>
  <si>
    <t>112:13:00.5196 (-112.216811) West</t>
  </si>
  <si>
    <t>James Sweeney</t>
  </si>
  <si>
    <t>james.sweeney@usda.gov</t>
  </si>
  <si>
    <t>andrew.leiendecker@usda.gov, richard_naden@nps.gov quentin.ford@usda.gov</t>
  </si>
  <si>
    <t>KAIBAB-TUS MICRO #2</t>
  </si>
  <si>
    <t>3331B3BC</t>
  </si>
  <si>
    <t>35:54:52.4484 (35.914569) North</t>
  </si>
  <si>
    <t>111:54:24.1416 (-111.906706) West</t>
  </si>
  <si>
    <t>Wyler Heffelfinger</t>
  </si>
  <si>
    <t>wyler.heffelfinger@usda.gov</t>
  </si>
  <si>
    <t xml:space="preserve">(928) 301-9155 </t>
  </si>
  <si>
    <t>KAIYUH</t>
  </si>
  <si>
    <t>837026CE</t>
  </si>
  <si>
    <t>64:25:32.0016 (64.425556) North</t>
  </si>
  <si>
    <t>158:06:20.9988 (-158.105833) West</t>
  </si>
  <si>
    <t>KAKE</t>
  </si>
  <si>
    <t>Wrangell-Petersburg</t>
  </si>
  <si>
    <t>324913EC</t>
  </si>
  <si>
    <t>56:58:26.0004 (56.973889) North</t>
  </si>
  <si>
    <t>133:39:36 (-133.66) West</t>
  </si>
  <si>
    <t xml:space="preserve">(907) 828-3233 </t>
  </si>
  <si>
    <t>ahester@blm.gov, james.scribner2@usda.gov, matthew.thompson@usda.gov</t>
  </si>
  <si>
    <t>KALA 1 CS</t>
  </si>
  <si>
    <t>32D65652</t>
  </si>
  <si>
    <t>21:10:27.8 (21.174389) North</t>
  </si>
  <si>
    <t>156:59:35.4999 (-156.993194) West</t>
  </si>
  <si>
    <t>Eric Brown</t>
  </si>
  <si>
    <t>eric_brown@nps.gov</t>
  </si>
  <si>
    <t>(808) 567-6802 502</t>
  </si>
  <si>
    <t>KALEPA</t>
  </si>
  <si>
    <t>32406DF2</t>
  </si>
  <si>
    <t>22:10:40.5804 (22.177939) North</t>
  </si>
  <si>
    <t>159:20:06.6912 (-159.335192) West</t>
  </si>
  <si>
    <t>KALOKO-HONOKOHAU</t>
  </si>
  <si>
    <t>FA667668</t>
  </si>
  <si>
    <t>19:40:22.0008 (19.672778) North</t>
  </si>
  <si>
    <t>156:01:13.0008 (-156.020278) West</t>
  </si>
  <si>
    <t>KALOKO-HONOKOHAU NHP</t>
  </si>
  <si>
    <t>Kailea Annandale</t>
  </si>
  <si>
    <t>kailea_annandale@nps.gov</t>
  </si>
  <si>
    <t>(808) 329-6881 221</t>
  </si>
  <si>
    <t>(808) 329-6881 220</t>
  </si>
  <si>
    <t>Kailea Carlson</t>
  </si>
  <si>
    <t>KALUICH</t>
  </si>
  <si>
    <t>3961B778</t>
  </si>
  <si>
    <t>67:34:24.18 (67.573383) North</t>
  </si>
  <si>
    <t>158:25:54.18 (-158.431717) West</t>
  </si>
  <si>
    <t>KAMALOMALOO</t>
  </si>
  <si>
    <t>32BD92D6</t>
  </si>
  <si>
    <t>22:08:43.9584 (22.145544) North</t>
  </si>
  <si>
    <t>159:22:10.9812 (-159.369717) West</t>
  </si>
  <si>
    <t>Scott Nelson</t>
  </si>
  <si>
    <t>scott.d.nelson@hawaii.gov</t>
  </si>
  <si>
    <t xml:space="preserve">(808) 378-8002 </t>
  </si>
  <si>
    <t>KAMANANUI</t>
  </si>
  <si>
    <t>32BCCE82</t>
  </si>
  <si>
    <t>21:31:54.6996 (21.531861) North</t>
  </si>
  <si>
    <t>158:06:50.0004 (-158.113889) West</t>
  </si>
  <si>
    <t>Jeff Tanaka</t>
  </si>
  <si>
    <t>jeffrey.k.tanaka@hawaii.gov</t>
  </si>
  <si>
    <t xml:space="preserve">(808) 277-6067 </t>
  </si>
  <si>
    <t>KAMEHAMENUI 1</t>
  </si>
  <si>
    <t>32BBF92C</t>
  </si>
  <si>
    <t>20:44:18.7008 (20.738528) North</t>
  </si>
  <si>
    <t>156:16:22.4004 (-156.272889) West</t>
  </si>
  <si>
    <t>Michael Walke</t>
  </si>
  <si>
    <t>KANE GULCH</t>
  </si>
  <si>
    <t>3255A660</t>
  </si>
  <si>
    <t>37:31:29.6004 (37.524889) North</t>
  </si>
  <si>
    <t>109:53:35.1996 (-109.893111) West</t>
  </si>
  <si>
    <t>KANE SPRINGS</t>
  </si>
  <si>
    <t>325CC5DA</t>
  </si>
  <si>
    <t>37:15:00.2016 (37.250056) North</t>
  </si>
  <si>
    <t>114:42:24.1992 (-114.706722) West</t>
  </si>
  <si>
    <t>KANELOA</t>
  </si>
  <si>
    <t>20:31:19.9992 (20.522222) North</t>
  </si>
  <si>
    <t>156:33:56.9988 (-156.565833) West</t>
  </si>
  <si>
    <t>JAMIE BRUCH   CELL #</t>
  </si>
  <si>
    <t>KANIKSU PORTABLE</t>
  </si>
  <si>
    <t>324F26B8</t>
  </si>
  <si>
    <t>48:29:56.0004 (48.498889) North</t>
  </si>
  <si>
    <t>117:14:35.9988 (-117.243333) West</t>
  </si>
  <si>
    <t>Jared Reber</t>
  </si>
  <si>
    <t>jared.reber@usda.gov</t>
  </si>
  <si>
    <t xml:space="preserve">(509) 506-0884 </t>
  </si>
  <si>
    <t>Reese Bennett</t>
  </si>
  <si>
    <t>reese.bennett@usda.gov</t>
  </si>
  <si>
    <t xml:space="preserve">(509) 671-5079 </t>
  </si>
  <si>
    <t>KANUTI NWR</t>
  </si>
  <si>
    <t>1260A60A</t>
  </si>
  <si>
    <t>66:05:35.9988 (66.093333) North</t>
  </si>
  <si>
    <t>152:10:12 (-152.17) West</t>
  </si>
  <si>
    <t>KAONIULU 1 RAWS</t>
  </si>
  <si>
    <t>32BD81A0</t>
  </si>
  <si>
    <t>20:44:40.7004 (20.744639) North</t>
  </si>
  <si>
    <t>156:21:26.1 (-156.35725) West</t>
  </si>
  <si>
    <t>KAPALUA RAWS 1</t>
  </si>
  <si>
    <t>32BDB43A</t>
  </si>
  <si>
    <t>20:57:47.1096 (20.963086) North</t>
  </si>
  <si>
    <t>156:40:28.9596 (-156.674711) West</t>
  </si>
  <si>
    <t>KAPAPALA RANCH</t>
  </si>
  <si>
    <t>AA10E258</t>
  </si>
  <si>
    <t>19:15:29.1996 (19.258111) North</t>
  </si>
  <si>
    <t>155:26:30.4116 (-155.441781) West</t>
  </si>
  <si>
    <t>KAUPULEHU LAVA FLOW</t>
  </si>
  <si>
    <t>4870E628</t>
  </si>
  <si>
    <t>19:48:12.11 (19.803364) North</t>
  </si>
  <si>
    <t>155:55:05.4999 (-155.918194) West</t>
  </si>
  <si>
    <t>KAVET CREEK</t>
  </si>
  <si>
    <t>FA60F0B2</t>
  </si>
  <si>
    <t>67:08:15 (67.1375) North</t>
  </si>
  <si>
    <t>159:02:45.9888 (-159.046108) West</t>
  </si>
  <si>
    <t>KOBUK VALLEY NP</t>
  </si>
  <si>
    <t>KAWAILOA TRAINING AREA</t>
  </si>
  <si>
    <t>3278C10E</t>
  </si>
  <si>
    <t>21:35:13.9992 (21.587222) North</t>
  </si>
  <si>
    <t>158:00:47.0016 (-158.013056) West</t>
  </si>
  <si>
    <t>KEALAKOMO #2</t>
  </si>
  <si>
    <t>19:17:34.0008 (19.292778) North</t>
  </si>
  <si>
    <t>155:06:27 (-155.1075) West</t>
  </si>
  <si>
    <t>KEALIA POND NWR</t>
  </si>
  <si>
    <t>32B2C438</t>
  </si>
  <si>
    <t>20:47:41.712 (20.79492) North</t>
  </si>
  <si>
    <t>156:28:00.48 (-156.4668) West</t>
  </si>
  <si>
    <t>calvin_willis@fws.gov</t>
  </si>
  <si>
    <t>KEALIALALO</t>
  </si>
  <si>
    <t>20:32:37 (20.543611) North</t>
  </si>
  <si>
    <t>156:38:26.9999 (-156.640833) West</t>
  </si>
  <si>
    <t>KEARNEYSVILLE</t>
  </si>
  <si>
    <t>9000F068</t>
  </si>
  <si>
    <t>39:21:22.6008 (39.356278) North</t>
  </si>
  <si>
    <t>77:52:49.1016 (-77.880306) West</t>
  </si>
  <si>
    <t>KEENEY TWO</t>
  </si>
  <si>
    <t>326C6352</t>
  </si>
  <si>
    <t>44:39:57.9996 (44.666111) North</t>
  </si>
  <si>
    <t>118:55:18.9984 (-118.921944) West</t>
  </si>
  <si>
    <t>KEENWILD</t>
  </si>
  <si>
    <t>33:42:29.97 (33.708325) North</t>
  </si>
  <si>
    <t>116:43:00.9804 (-116.716939) West</t>
  </si>
  <si>
    <t>(909) 660-0716 0957</t>
  </si>
  <si>
    <t>KELLIHER</t>
  </si>
  <si>
    <t>47:56:28 (47.941111) North</t>
  </si>
  <si>
    <t>94:27:51 (-94.464167) West</t>
  </si>
  <si>
    <t xml:space="preserve">Morgan Michels </t>
  </si>
  <si>
    <t>jolene.soltis@state.mn.us, morgan.michels@state.mn.us</t>
  </si>
  <si>
    <t>jolene.soltis@state.mn.us, morgan.michels@state.mn.us, travis.verdegan@state.mn.us</t>
  </si>
  <si>
    <t>KELLY</t>
  </si>
  <si>
    <t>3246D060</t>
  </si>
  <si>
    <t>67:55:46.9884 (67.929719) North</t>
  </si>
  <si>
    <t>162:17:44.9916 (-162.295831) West</t>
  </si>
  <si>
    <t>327E3144</t>
  </si>
  <si>
    <t>42:16:33.9996 (42.276111) North</t>
  </si>
  <si>
    <t>110:48:21.9996 (-110.806111) West</t>
  </si>
  <si>
    <t>Adam Hansen</t>
  </si>
  <si>
    <t>adam.hansen@usda.gov</t>
  </si>
  <si>
    <t xml:space="preserve">(435) 232-3943 </t>
  </si>
  <si>
    <t>Andy Norman</t>
  </si>
  <si>
    <t>andy.norman@usda.gov</t>
  </si>
  <si>
    <t xml:space="preserve">(307) 739-5571 </t>
  </si>
  <si>
    <t>323734C4</t>
  </si>
  <si>
    <t>46:43:05.16 (46.7181) North</t>
  </si>
  <si>
    <t>115:15:38.9988 (-115.260833) West</t>
  </si>
  <si>
    <t>Raechel Compton</t>
  </si>
  <si>
    <t>KELLY RIDGE</t>
  </si>
  <si>
    <t>3265D680</t>
  </si>
  <si>
    <t>45:18:48.1716 (45.313381) North</t>
  </si>
  <si>
    <t>115:48:56.9196 (-115.815811) West</t>
  </si>
  <si>
    <t>PAYETTE NF</t>
  </si>
  <si>
    <t>Jhen Williams</t>
  </si>
  <si>
    <t>jhennifer.williams@usda.gov</t>
  </si>
  <si>
    <t xml:space="preserve">(208) 634-0747 </t>
  </si>
  <si>
    <t>Molly Booth</t>
  </si>
  <si>
    <t>molly.booth@usda.gov</t>
  </si>
  <si>
    <t xml:space="preserve">(208) 634-0398 </t>
  </si>
  <si>
    <t>ahester@blm.gov, jhennifer.williams@usda.gov</t>
  </si>
  <si>
    <t>KELSEY BUTTE</t>
  </si>
  <si>
    <t>43:54:04.1004 (43.901139) North</t>
  </si>
  <si>
    <t>117:59:13.8012 (-117.987167) West</t>
  </si>
  <si>
    <t>Andrews Robertson</t>
  </si>
  <si>
    <t>KENAI LAKE</t>
  </si>
  <si>
    <t>3246A6F0</t>
  </si>
  <si>
    <t>60:24:18.18 (60.40505) North</t>
  </si>
  <si>
    <t>149:22:13.2996 (-149.370361) West</t>
  </si>
  <si>
    <t>KENAI NWR</t>
  </si>
  <si>
    <t>60:35:54.6 (60.5985) North</t>
  </si>
  <si>
    <t>150:18:29.16 (-150.3081) West</t>
  </si>
  <si>
    <t>michael_j_hill@fws.gov</t>
  </si>
  <si>
    <t>KENNEDY PRESERVE</t>
  </si>
  <si>
    <t>Clearfield</t>
  </si>
  <si>
    <t>D6804226</t>
  </si>
  <si>
    <t>41:06:16.0992 (41.104472) North</t>
  </si>
  <si>
    <t>78:29:30.0012 (-78.491667) West</t>
  </si>
  <si>
    <t>KENOSHA PASS</t>
  </si>
  <si>
    <t>3269D71C</t>
  </si>
  <si>
    <t>39:24:38.9988 (39.410833) North</t>
  </si>
  <si>
    <t>105:44:58.9992 (-105.749722) West</t>
  </si>
  <si>
    <t>Christopher Rokosh</t>
  </si>
  <si>
    <t>ahester@blm.gov, christopher.rokosh@usda.gov, jeffery.bade@usda.gov, robert.monsen@usda.gov</t>
  </si>
  <si>
    <t>KENTON</t>
  </si>
  <si>
    <t>Houghton</t>
  </si>
  <si>
    <t>3236A35C</t>
  </si>
  <si>
    <t>46:36:24.9984 (46.606944) North</t>
  </si>
  <si>
    <t>88:54:24.0012 (-88.906667) West</t>
  </si>
  <si>
    <t>KENWORTHY</t>
  </si>
  <si>
    <t>32B6FA4A</t>
  </si>
  <si>
    <t>33:37:01.092 (33.61697) North</t>
  </si>
  <si>
    <t>116:37:19.488 (-116.62208) West</t>
  </si>
  <si>
    <t>Nicolas Gillott</t>
  </si>
  <si>
    <t xml:space="preserve"> nicholas.gillott@usda.gov</t>
  </si>
  <si>
    <t>KESHENA</t>
  </si>
  <si>
    <t>Menominee</t>
  </si>
  <si>
    <t>5213C2FA</t>
  </si>
  <si>
    <t>44:51:18.1008 (44.855028) North</t>
  </si>
  <si>
    <t>88:37:31.4004 (-88.625389) West</t>
  </si>
  <si>
    <t>Menominee Agency</t>
  </si>
  <si>
    <t>Ben Bowman</t>
  </si>
  <si>
    <t>bennyb@mtewood.com</t>
  </si>
  <si>
    <t xml:space="preserve">(715) 799-3405 </t>
  </si>
  <si>
    <t>Gwen Awonohopay</t>
  </si>
  <si>
    <t>gwena@mtewood.com</t>
  </si>
  <si>
    <t>KETTLE FALLS</t>
  </si>
  <si>
    <t>FA501530</t>
  </si>
  <si>
    <t>48:34:57.2988 (48.582583) North</t>
  </si>
  <si>
    <t>118:06:30.8988 (-118.108583) West</t>
  </si>
  <si>
    <t>LAKE ROOSEVELT NRA</t>
  </si>
  <si>
    <t>benjamin.proffitt@usda.gov, tonya_neider@nps.gov</t>
  </si>
  <si>
    <t>KETTLEMAN HILLS</t>
  </si>
  <si>
    <t>Kings</t>
  </si>
  <si>
    <t>36:01:52.1004 (36.031139) North</t>
  </si>
  <si>
    <t>120:03:17.3988 (-120.054833) West</t>
  </si>
  <si>
    <t>KEYSER RIDGE</t>
  </si>
  <si>
    <t>AA110350</t>
  </si>
  <si>
    <t>39:53:26.0016 (39.890556) North</t>
  </si>
  <si>
    <t>106:02:12.0012 (-106.036667) West</t>
  </si>
  <si>
    <t>KFO KANAB QD</t>
  </si>
  <si>
    <t>3237C440</t>
  </si>
  <si>
    <t>37:02:15.18 (37.03755) North</t>
  </si>
  <si>
    <t>112:31:49.5012 (-112.530417) West</t>
  </si>
  <si>
    <t>James Holland</t>
  </si>
  <si>
    <t>jholland@blm.gov</t>
  </si>
  <si>
    <t xml:space="preserve">(435) 644-1277 </t>
  </si>
  <si>
    <t>kfoclimate@gmail.com</t>
  </si>
  <si>
    <t>KFO PORTABLE 1</t>
  </si>
  <si>
    <t>AAB1309C</t>
  </si>
  <si>
    <t>WILDLIFE AND FISHERIES</t>
  </si>
  <si>
    <t>37:02:18.8412 (37.038567) North</t>
  </si>
  <si>
    <t>112:43:48.18 (-112.73005) West</t>
  </si>
  <si>
    <t>slashveee@gmail.com</t>
  </si>
  <si>
    <t xml:space="preserve">(435) 462-2253 </t>
  </si>
  <si>
    <t>KFO PORTABLE 2</t>
  </si>
  <si>
    <t>AAB1460C</t>
  </si>
  <si>
    <t>37:19:51.78 (37.33105) North</t>
  </si>
  <si>
    <t>112:23:00.42 (-112.38345) West</t>
  </si>
  <si>
    <t xml:space="preserve">(435) 899-9224 </t>
  </si>
  <si>
    <t>KFO PORTABLE 3</t>
  </si>
  <si>
    <t>AAB1557A</t>
  </si>
  <si>
    <t>37:08:19.9212 (37.138867) North</t>
  </si>
  <si>
    <t>112:26:52.1412 (-112.447817) West</t>
  </si>
  <si>
    <t xml:space="preserve">(435) 463-1277 </t>
  </si>
  <si>
    <t xml:space="preserve">(435) 463-2253 </t>
  </si>
  <si>
    <t>KFO PORTABLE 4</t>
  </si>
  <si>
    <t>3266579A</t>
  </si>
  <si>
    <t>37:02:14.2188 (37.037283) North</t>
  </si>
  <si>
    <t>112:31:28.9812 (-112.524717) West</t>
  </si>
  <si>
    <t>Kanab Field Office</t>
  </si>
  <si>
    <t>KFO PORTABLE 5</t>
  </si>
  <si>
    <t>AAB0929E</t>
  </si>
  <si>
    <t>37:03:05.1588 (37.051433) North</t>
  </si>
  <si>
    <t>111:57:50.4 (-111.964) West</t>
  </si>
  <si>
    <t>KIAMICHI</t>
  </si>
  <si>
    <t>Le Flore</t>
  </si>
  <si>
    <t>34:46:32.0016 (34.775556) North</t>
  </si>
  <si>
    <t>94:53:52.0008 (-94.897778) West</t>
  </si>
  <si>
    <t>KIANA</t>
  </si>
  <si>
    <t>324387DC</t>
  </si>
  <si>
    <t>66:58:28.3188 (66.974533) North</t>
  </si>
  <si>
    <t>160:26:54.8412 (-160.448567) West</t>
  </si>
  <si>
    <t>KICKAPOO CAVERNS SP</t>
  </si>
  <si>
    <t>Kinney</t>
  </si>
  <si>
    <t>328B9468</t>
  </si>
  <si>
    <t>29:36:33.0012 (29.609167) North</t>
  </si>
  <si>
    <t>100:28:23.0016 (-100.473056) West</t>
  </si>
  <si>
    <t>KIDNEY CREEK</t>
  </si>
  <si>
    <t>3261C0CC</t>
  </si>
  <si>
    <t>48:55:12.7992 (48.920222) North</t>
  </si>
  <si>
    <t>121:56:33.5004 (-121.942639) West</t>
  </si>
  <si>
    <t>KII</t>
  </si>
  <si>
    <t>8375210E</t>
  </si>
  <si>
    <t>21:41:18 (21.688333) North</t>
  </si>
  <si>
    <t>157:57:09 (-157.9525) West</t>
  </si>
  <si>
    <t>JAMES CAMPBELL NWR</t>
  </si>
  <si>
    <t>KILBUCK</t>
  </si>
  <si>
    <t>Bethel</t>
  </si>
  <si>
    <t>60:19:18.9984 (60.321944) North</t>
  </si>
  <si>
    <t>160:11:16.0008 (-160.187778) West</t>
  </si>
  <si>
    <t>KILLIK PASS</t>
  </si>
  <si>
    <t>3961C1E8</t>
  </si>
  <si>
    <t>67:59:00.6 (67.9835) North</t>
  </si>
  <si>
    <t>155:00:46.8 (-155.013) West</t>
  </si>
  <si>
    <t>KING COULEE</t>
  </si>
  <si>
    <t>3276866C</t>
  </si>
  <si>
    <t>47:47:48.1992 (47.796722) North</t>
  </si>
  <si>
    <t>107:01:18.3 (-107.02175) West</t>
  </si>
  <si>
    <t>KINGS CANYON</t>
  </si>
  <si>
    <t>Dawes</t>
  </si>
  <si>
    <t>42:43:24.9996 (42.723611) North</t>
  </si>
  <si>
    <t>102:58:18.0012 (-102.971667) West</t>
  </si>
  <si>
    <t>Ben Jech</t>
  </si>
  <si>
    <t>benjamin.j.jech@usda.gov</t>
  </si>
  <si>
    <t xml:space="preserve">(308) 430-2425 </t>
  </si>
  <si>
    <t>ahester@blm.gov, brian.daunt@usda.gov</t>
  </si>
  <si>
    <t>KINGS MOUNTAIN</t>
  </si>
  <si>
    <t>FA6581E2</t>
  </si>
  <si>
    <t>35:08:44.0016 (35.145556) North</t>
  </si>
  <si>
    <t>81:24:07.9992 (-81.402222) West</t>
  </si>
  <si>
    <t>ALEX SCRONCE</t>
  </si>
  <si>
    <t>alex_scronce@nps.gov</t>
  </si>
  <si>
    <t xml:space="preserve">(864) 905-5749 </t>
  </si>
  <si>
    <t>Alex Scronce</t>
  </si>
  <si>
    <t>KINGS POINT</t>
  </si>
  <si>
    <t>327BE0EC</t>
  </si>
  <si>
    <t>40:51:35.1 (40.85975) North</t>
  </si>
  <si>
    <t>109:06:12.3984 (-109.103444) West</t>
  </si>
  <si>
    <t>KINGSTREE RAWS</t>
  </si>
  <si>
    <t>Williamsburg</t>
  </si>
  <si>
    <t>32BCB6C0</t>
  </si>
  <si>
    <t>33:43:23.3004 (33.723139) North</t>
  </si>
  <si>
    <t>79:47:25.5984 (-79.790444) West</t>
  </si>
  <si>
    <t>dbryant@scfc.gov, djones@scfc.gov, rholt@scfc.gov</t>
  </si>
  <si>
    <t>KINGWOOD</t>
  </si>
  <si>
    <t>Preston</t>
  </si>
  <si>
    <t>900086F8</t>
  </si>
  <si>
    <t>39:24:24.0012 (39.406667) North</t>
  </si>
  <si>
    <t>79:42:02.9988 (-79.700833) West</t>
  </si>
  <si>
    <t>KINZUA</t>
  </si>
  <si>
    <t>Warren</t>
  </si>
  <si>
    <t>3289919C</t>
  </si>
  <si>
    <t>41:54:00.5004 (41.900139) North</t>
  </si>
  <si>
    <t>79:07:07.6008 (-79.118778) West</t>
  </si>
  <si>
    <t>KIRBYVILLE, TX</t>
  </si>
  <si>
    <t>Jasper</t>
  </si>
  <si>
    <t>884155F0</t>
  </si>
  <si>
    <t>30:37:59.0016 (30.633056) North</t>
  </si>
  <si>
    <t>93:49:42.9996 (-93.828611) West</t>
  </si>
  <si>
    <t>KIRWIN</t>
  </si>
  <si>
    <t>Phillips</t>
  </si>
  <si>
    <t>3292F04C</t>
  </si>
  <si>
    <t>39:39:54.7992 (39.665222) North</t>
  </si>
  <si>
    <t>99:11:43.2996 (-99.195361) West</t>
  </si>
  <si>
    <t>QUIVIRA NWR</t>
  </si>
  <si>
    <t>Cody Miller</t>
  </si>
  <si>
    <t>Jeff Dunlap</t>
  </si>
  <si>
    <t>jeff_dunlap@fws.gov</t>
  </si>
  <si>
    <t>(785) 543-6673 4</t>
  </si>
  <si>
    <t xml:space="preserve"> cody_miller@fws.gov,  tate_fischer@fws.gov, deon_steinle@fws.gov</t>
  </si>
  <si>
    <t>KISATCHIE 1 QD</t>
  </si>
  <si>
    <t>32E078D2</t>
  </si>
  <si>
    <t>Josh Bryant</t>
  </si>
  <si>
    <t>joshua.bryant@usda.gov</t>
  </si>
  <si>
    <t xml:space="preserve">(601) 209-2117 </t>
  </si>
  <si>
    <t>KISATCHIE 2 QD</t>
  </si>
  <si>
    <t>32E08684</t>
  </si>
  <si>
    <t>KISSIMMEE BEND</t>
  </si>
  <si>
    <t>AAB20208</t>
  </si>
  <si>
    <t>27:28:53.0292 (27.481397) North</t>
  </si>
  <si>
    <t>81:03:36.2412 (-81.060067) West</t>
  </si>
  <si>
    <t>KITTSON</t>
  </si>
  <si>
    <t>Kittson</t>
  </si>
  <si>
    <t>AAAE4700</t>
  </si>
  <si>
    <t>48:35:31.4988 (48.592083) North</t>
  </si>
  <si>
    <t>96:29:15.1008 (-96.487528) West</t>
  </si>
  <si>
    <t>Adam Fisher</t>
  </si>
  <si>
    <t>adam.fisher@state.mn.us, jolene.soltis@state.mn.us</t>
  </si>
  <si>
    <t xml:space="preserve">(218) 386-1304 </t>
  </si>
  <si>
    <t xml:space="preserve"> jolene.soltis@state.mn.us, adam.fisher@state.mn.us, travis.verdegan@state.mn.us</t>
  </si>
  <si>
    <t>KLAMATH</t>
  </si>
  <si>
    <t>32B57582</t>
  </si>
  <si>
    <t>41:32:36.9996 (41.543611) North</t>
  </si>
  <si>
    <t>124:03:02.9988 (-124.050833) West</t>
  </si>
  <si>
    <t>Michael Thames</t>
  </si>
  <si>
    <t>Michael.Thames@PacifiCorp.com</t>
  </si>
  <si>
    <t xml:space="preserve">(503) 813-6479 </t>
  </si>
  <si>
    <t>weatherstation@pacificorp.com</t>
  </si>
  <si>
    <t>KLAMATH BASIN NWR PORT</t>
  </si>
  <si>
    <t>837A279C</t>
  </si>
  <si>
    <t>41:51:07.2 (41.852) North</t>
  </si>
  <si>
    <t>121:25:46.8516 (-121.429681) West</t>
  </si>
  <si>
    <t>TULE LAKE NWR</t>
  </si>
  <si>
    <t>Joseph "Riley" Spivey</t>
  </si>
  <si>
    <t>joseph_spivey@fws.gov</t>
  </si>
  <si>
    <t xml:space="preserve">(530) 708-7723 </t>
  </si>
  <si>
    <t>Todd Merrill</t>
  </si>
  <si>
    <t>todd_merrill@fws.gov</t>
  </si>
  <si>
    <t xml:space="preserve">(231) 383-2047 </t>
  </si>
  <si>
    <t>KLAMATH MARSH</t>
  </si>
  <si>
    <t>8374830C</t>
  </si>
  <si>
    <t>42:57:11.9988 (42.953333) North</t>
  </si>
  <si>
    <t>121:34:54.9984 (-121.581944) West</t>
  </si>
  <si>
    <t>KLAMATH MARSH NWR</t>
  </si>
  <si>
    <t xml:space="preserve"> ryan_aeby@fws.gov, james_roberts@fws.gov</t>
  </si>
  <si>
    <t>KLAWASI</t>
  </si>
  <si>
    <t>FA60504A</t>
  </si>
  <si>
    <t>62:13:00.0012 (62.216667) North</t>
  </si>
  <si>
    <t>144:59:41.46 (-144.99485) West</t>
  </si>
  <si>
    <t>KNEELAND</t>
  </si>
  <si>
    <t>CA2AB768</t>
  </si>
  <si>
    <t>40:43:11.7984 (40.719944) North</t>
  </si>
  <si>
    <t>123:55:41.8584 (-123.928294) West</t>
  </si>
  <si>
    <t>KNF PORT 4</t>
  </si>
  <si>
    <t>32B368E8</t>
  </si>
  <si>
    <t>48:50:00.4884 (48.833469) North</t>
  </si>
  <si>
    <t>115:55:31.1016 (-115.925306) West</t>
  </si>
  <si>
    <t>R. J. McDole</t>
  </si>
  <si>
    <t>Beau Macy</t>
  </si>
  <si>
    <t>beau.macy@usda.gov</t>
  </si>
  <si>
    <t xml:space="preserve">(406) 295-7477 </t>
  </si>
  <si>
    <t>tony.rebo@usda.gov</t>
  </si>
  <si>
    <t>KNF PORTABLE 2</t>
  </si>
  <si>
    <t>325D67D8</t>
  </si>
  <si>
    <t>48:34:48.8388 (48.580233) North</t>
  </si>
  <si>
    <t>115:04:14.4588 (-115.070683) West</t>
  </si>
  <si>
    <t xml:space="preserve">(406) 296-7138 </t>
  </si>
  <si>
    <t>Robert Schultz</t>
  </si>
  <si>
    <t>KNF91 PORTABLE</t>
  </si>
  <si>
    <t>3239554A</t>
  </si>
  <si>
    <t>41:45:01.8 (41.7505) North</t>
  </si>
  <si>
    <t>122:41:46.4388 (-122.696233) West</t>
  </si>
  <si>
    <t xml:space="preserve">(530) 468-1267 </t>
  </si>
  <si>
    <t>KNF92 PORTABLE</t>
  </si>
  <si>
    <t>328052DE</t>
  </si>
  <si>
    <t>41:29:50.3988 (41.497333) North</t>
  </si>
  <si>
    <t>122:59:34.0008 (-122.992778) West</t>
  </si>
  <si>
    <t>chris.ware@usda.gov</t>
  </si>
  <si>
    <t xml:space="preserve">(530) 493-1736 </t>
  </si>
  <si>
    <t>KNF95 PORTABLE</t>
  </si>
  <si>
    <t>3239463C</t>
  </si>
  <si>
    <t>41:19:40.62 (41.32795) North</t>
  </si>
  <si>
    <t>122:42:56.4012 (-122.715667) West</t>
  </si>
  <si>
    <t>Zeke Jones</t>
  </si>
  <si>
    <t>ezekiel.jones@usda.gov</t>
  </si>
  <si>
    <t xml:space="preserve">(530) 468-1264 </t>
  </si>
  <si>
    <t>KNF98 PORTABLE</t>
  </si>
  <si>
    <t>32D527CC</t>
  </si>
  <si>
    <t>41:41:29.5008 (41.691528) North</t>
  </si>
  <si>
    <t>122:09:45.9 (-122.16275) West</t>
  </si>
  <si>
    <t>Jacob.wright2@usda.gov</t>
  </si>
  <si>
    <t>KNIFE RIVER</t>
  </si>
  <si>
    <t>Mercer</t>
  </si>
  <si>
    <t>47:19:33.3912 (47.325942) North</t>
  </si>
  <si>
    <t>101:22:38.4816 (-101.377356) West</t>
  </si>
  <si>
    <t>KNIFE R. INDIAN VILL</t>
  </si>
  <si>
    <t>Daniel Angelo</t>
  </si>
  <si>
    <t>daniel_angelo@nps.gov</t>
  </si>
  <si>
    <t xml:space="preserve">(320) 297-1905 </t>
  </si>
  <si>
    <t>rod_skalsky@nps.gov</t>
  </si>
  <si>
    <t>daniel_angelo@nps.gov, paul_mancuso@nps.gov</t>
  </si>
  <si>
    <t>Dan Angelo</t>
  </si>
  <si>
    <t>KNOWLTON</t>
  </si>
  <si>
    <t>325AE3F8</t>
  </si>
  <si>
    <t>46:18:26.6004 (46.307389) North</t>
  </si>
  <si>
    <t>105:01:47.2008 (-105.029778) West</t>
  </si>
  <si>
    <t xml:space="preserve">(208) 766-3142 </t>
  </si>
  <si>
    <t>KNOX 2</t>
  </si>
  <si>
    <t>91C0052A</t>
  </si>
  <si>
    <t>39:16:22.1988 (39.272833) North</t>
  </si>
  <si>
    <t>119:57:46.8 (-119.963) West</t>
  </si>
  <si>
    <t xml:space="preserve">(218) 139-7 </t>
  </si>
  <si>
    <t>KNOXVILLE CREEK</t>
  </si>
  <si>
    <t>324C21B6</t>
  </si>
  <si>
    <t>38:51:42.9984 (38.861944) North</t>
  </si>
  <si>
    <t>122:25:01.9992 (-122.417222) West</t>
  </si>
  <si>
    <t xml:space="preserve">Dave Dolezal </t>
  </si>
  <si>
    <t>KOHALA RANCH</t>
  </si>
  <si>
    <t>4870B654</t>
  </si>
  <si>
    <t>20:05:23.6508 (20.089903) North</t>
  </si>
  <si>
    <t>155:49:34.6404 (-155.826289) West</t>
  </si>
  <si>
    <t>Jordan Lee-Loy</t>
  </si>
  <si>
    <t>jordan.k.lee-loy@hawaii.gov</t>
  </si>
  <si>
    <t xml:space="preserve">(808) 494-9715 </t>
  </si>
  <si>
    <t>jordan.k.lee-loy@hawaii.gov, michael.j.walker@hawaii.gov</t>
  </si>
  <si>
    <t>KONOCTI</t>
  </si>
  <si>
    <t>CA2BE5EE</t>
  </si>
  <si>
    <t>38:54:42.8004 (38.911889) North</t>
  </si>
  <si>
    <t>122:42:22.7304 (-122.706314) West</t>
  </si>
  <si>
    <t>KOOMER</t>
  </si>
  <si>
    <t>Wolfe</t>
  </si>
  <si>
    <t>3284A760</t>
  </si>
  <si>
    <t>37:46:52.3416 (37.781206) North</t>
  </si>
  <si>
    <t>83:37:57.0108 (-83.632503) West</t>
  </si>
  <si>
    <t>DANIEL BOONE NF</t>
  </si>
  <si>
    <t>Nathan White</t>
  </si>
  <si>
    <t>nathan.white@usda.gov</t>
  </si>
  <si>
    <t xml:space="preserve">(859) 452-9279 </t>
  </si>
  <si>
    <t>Brock Campbell</t>
  </si>
  <si>
    <t>brock.campbell@usda.gov</t>
  </si>
  <si>
    <t xml:space="preserve">(859) 556-5065 </t>
  </si>
  <si>
    <t>brock.campbell@usda.gov, conrad.mccloskey@usda.gov, nathan.white@usda.gov</t>
  </si>
  <si>
    <t>KOOTENAI PORTABLE #3</t>
  </si>
  <si>
    <t>AAB160E0</t>
  </si>
  <si>
    <t>48:05:15.1188 (48.087533) North</t>
  </si>
  <si>
    <t>115:26:43.3788 (-115.445383) West</t>
  </si>
  <si>
    <t>Tim Bumgarner</t>
  </si>
  <si>
    <t>Timothy.Bumgarner@usda.gov</t>
  </si>
  <si>
    <t xml:space="preserve">(406) 291-4841 </t>
  </si>
  <si>
    <t>KOSMOS</t>
  </si>
  <si>
    <t>3000D036</t>
  </si>
  <si>
    <t>46:31:26.0004 (46.523889) North</t>
  </si>
  <si>
    <t>122:11:24 (-122.19) West</t>
  </si>
  <si>
    <t>KOYUKUK NWR</t>
  </si>
  <si>
    <t>126045F8</t>
  </si>
  <si>
    <t>66:00:12.7008 (66.003528) North</t>
  </si>
  <si>
    <t>157:34:06.3012 (-157.568417) West</t>
  </si>
  <si>
    <t>KRAMER</t>
  </si>
  <si>
    <t>5210650C</t>
  </si>
  <si>
    <t>48:15:31.5396 (48.258761) North</t>
  </si>
  <si>
    <t>119:31:01.74 (-119.51715) West</t>
  </si>
  <si>
    <t>KRB</t>
  </si>
  <si>
    <t>Dallam</t>
  </si>
  <si>
    <t>32BC3E06</t>
  </si>
  <si>
    <t>36:26:17.9016 (36.438306) North</t>
  </si>
  <si>
    <t>102:44:16.1016 (-102.737806) West</t>
  </si>
  <si>
    <t>Drew Horning</t>
  </si>
  <si>
    <t>drew.horning@usda.gov</t>
  </si>
  <si>
    <t xml:space="preserve">(580) 818-0807 </t>
  </si>
  <si>
    <t>KRILEY CREEK</t>
  </si>
  <si>
    <t>3251F326</t>
  </si>
  <si>
    <t>45:21:21.3984 (45.355944) North</t>
  </si>
  <si>
    <t>113:53:42.1008 (-113.895028) West</t>
  </si>
  <si>
    <t>SALMON</t>
  </si>
  <si>
    <t>Tim Bradley</t>
  </si>
  <si>
    <t>timothy.bradley@usda.gov</t>
  </si>
  <si>
    <t xml:space="preserve">(208) 756-5548 </t>
  </si>
  <si>
    <t>Zac Brouillette</t>
  </si>
  <si>
    <t>zbrouillette@blm.gov</t>
  </si>
  <si>
    <t xml:space="preserve">(208) 524-7611 </t>
  </si>
  <si>
    <t>ahester@blm.gov, jessica.l.martin@usda.gov, jknudson@blm.gov, timothy.bradley@usda.gov</t>
  </si>
  <si>
    <t>KRN01 QD</t>
  </si>
  <si>
    <t>CA505064</t>
  </si>
  <si>
    <t>35:36:13.7 (35.603806) North</t>
  </si>
  <si>
    <t>118:29:08.3 (-118.485639) West</t>
  </si>
  <si>
    <t>KRN02 QD</t>
  </si>
  <si>
    <t>CA504312</t>
  </si>
  <si>
    <t>35:04:17 (35.071389) North</t>
  </si>
  <si>
    <t>118:28:52 (-118.481111) West</t>
  </si>
  <si>
    <t>Gary Blake</t>
  </si>
  <si>
    <t>KRN03 QD</t>
  </si>
  <si>
    <t>CA51C7FC</t>
  </si>
  <si>
    <t>35:14:12.0012 (35.236667) North</t>
  </si>
  <si>
    <t>118:41:04.9992 (-118.684722) West</t>
  </si>
  <si>
    <t>KSANKA PORTABLE 1</t>
  </si>
  <si>
    <t>32D0584E</t>
  </si>
  <si>
    <t>48:57:46.3788 (48.962883) North</t>
  </si>
  <si>
    <t>115:18:58.0788 (-115.316133) West</t>
  </si>
  <si>
    <t>Michael Burow</t>
  </si>
  <si>
    <t>michael.burow@usda.gov</t>
  </si>
  <si>
    <t>michael.burow@usda.gov, ronald.mcdole@usda.gov</t>
  </si>
  <si>
    <t>KUAOKALA</t>
  </si>
  <si>
    <t>21:34:13.3392 (21.570372) North</t>
  </si>
  <si>
    <t>158:15:35.6508 (-158.259903) West</t>
  </si>
  <si>
    <t xml:space="preserve">(808) 587-4188 </t>
  </si>
  <si>
    <t>KUGURUROK</t>
  </si>
  <si>
    <t>396203F8</t>
  </si>
  <si>
    <t>68:19:00.18 (68.316717) North</t>
  </si>
  <si>
    <t>161:29:31.08 (-161.491967) West</t>
  </si>
  <si>
    <t>KULA 1</t>
  </si>
  <si>
    <t>AA10F12E</t>
  </si>
  <si>
    <t>20:41:46.7016 (20.696306) North</t>
  </si>
  <si>
    <t>156:18:42.8004 (-156.311889) West</t>
  </si>
  <si>
    <t>KYLBL</t>
  </si>
  <si>
    <t>326F645C</t>
  </si>
  <si>
    <t>36:46:40.9692 (36.778047) North</t>
  </si>
  <si>
    <t>88:03:25.6716 (-88.057131) West</t>
  </si>
  <si>
    <t>LAND BETWEEN LAKES</t>
  </si>
  <si>
    <t>Zachary Buhler</t>
  </si>
  <si>
    <t>Zachary.buhler@usda.gov</t>
  </si>
  <si>
    <t xml:space="preserve">(859) 230-7206 </t>
  </si>
  <si>
    <t>Garrison Lupton</t>
  </si>
  <si>
    <t>Garrison.Lupton@usda.gov</t>
  </si>
  <si>
    <t xml:space="preserve">(573) 707-1989 </t>
  </si>
  <si>
    <t>kykic@dms.nwcg.gov</t>
  </si>
  <si>
    <t>KYLE CANYON</t>
  </si>
  <si>
    <t>326CD0DC</t>
  </si>
  <si>
    <t>36:15:53.6796 (36.264911) North</t>
  </si>
  <si>
    <t>115:36:25.0992 (-115.606972) West</t>
  </si>
  <si>
    <t>Josh Thalacker</t>
  </si>
  <si>
    <t xml:space="preserve">(702) 875-4387 </t>
  </si>
  <si>
    <t>KYLE-EAST</t>
  </si>
  <si>
    <t>32D03DA8</t>
  </si>
  <si>
    <t>30:00:34.92 (30.0097) North</t>
  </si>
  <si>
    <t>97:50:52.692 (-97.84797) West</t>
  </si>
  <si>
    <t>L-C PORTABLE #1</t>
  </si>
  <si>
    <t>3270A04E</t>
  </si>
  <si>
    <t>47:20:13.3188 (47.337033) North</t>
  </si>
  <si>
    <t>112:33:13.2228 (-112.553673) West</t>
  </si>
  <si>
    <t>Anthony Eamcio (Cell)</t>
  </si>
  <si>
    <t xml:space="preserve">(406) 562-3247 </t>
  </si>
  <si>
    <t>casey.hamilton@usda.gov</t>
  </si>
  <si>
    <t>L.A. MORAN RAWS</t>
  </si>
  <si>
    <t>32BB9218</t>
  </si>
  <si>
    <t>LA BRANCHE</t>
  </si>
  <si>
    <t>080053BE</t>
  </si>
  <si>
    <t>45:53:03.5988 (45.884333) North</t>
  </si>
  <si>
    <t>87:29:18.3012 (-87.488417) West</t>
  </si>
  <si>
    <t>Jay Osterberg</t>
  </si>
  <si>
    <t>osterbergj@michigan.gov</t>
  </si>
  <si>
    <t xml:space="preserve">(906) 235-2335 </t>
  </si>
  <si>
    <t>osterbergj@michigan.gov, rogersp5@michigan.gov</t>
  </si>
  <si>
    <t>LA CO PORTABLE 1</t>
  </si>
  <si>
    <t>CA2757FC</t>
  </si>
  <si>
    <t>34:38:13.0992 (34.636972) North</t>
  </si>
  <si>
    <t>118:21:55.5012 (-118.365417) West</t>
  </si>
  <si>
    <t>LA CO PORTABLE 2</t>
  </si>
  <si>
    <t>325D24D2</t>
  </si>
  <si>
    <t>34:38:12.9984 (34.636944) North</t>
  </si>
  <si>
    <t>118:21:55.4004 (-118.365389) West</t>
  </si>
  <si>
    <t xml:space="preserve">(213) 213-0537 </t>
  </si>
  <si>
    <t>LA CROSSE</t>
  </si>
  <si>
    <t>La Crosse</t>
  </si>
  <si>
    <t>32A29D08</t>
  </si>
  <si>
    <t>43:49:20.1 (43.82225) North</t>
  </si>
  <si>
    <t>91:11:31.884 (-91.19219) West</t>
  </si>
  <si>
    <t xml:space="preserve">(608) 896-0108 </t>
  </si>
  <si>
    <t>Rachel.Hauser@wisconsin.gov, eric.martin@wisconsin.gov</t>
  </si>
  <si>
    <t>LA GRANGE</t>
  </si>
  <si>
    <t>Fayette</t>
  </si>
  <si>
    <t>29:54:27 (29.9075) North</t>
  </si>
  <si>
    <t>96:51:36 (-96.86) West</t>
  </si>
  <si>
    <t>LA HONDA</t>
  </si>
  <si>
    <t>CA22B3CE</t>
  </si>
  <si>
    <t>37:18:18.8388 (37.305233) North</t>
  </si>
  <si>
    <t>122:15:18.9108 (-122.255253) West</t>
  </si>
  <si>
    <t>LA PANZA</t>
  </si>
  <si>
    <t>CA2397D8</t>
  </si>
  <si>
    <t>35:22:50.61 (35.380725) North</t>
  </si>
  <si>
    <t>120:11:17.1384 (-120.188094) West</t>
  </si>
  <si>
    <t xml:space="preserve"> morgan.partridge@fire.ca.gov, david.fowler@fire.ca.gov</t>
  </si>
  <si>
    <t>LA PUERTA</t>
  </si>
  <si>
    <t>Starr</t>
  </si>
  <si>
    <t>8375C2FC</t>
  </si>
  <si>
    <t>26:22:36.5988 (26.376833) North</t>
  </si>
  <si>
    <t>98:43:36.8004 (-98.726889) West</t>
  </si>
  <si>
    <t>Rey Navarro</t>
  </si>
  <si>
    <t>reynaldo_navarro@fws.gov</t>
  </si>
  <si>
    <t xml:space="preserve">(956) 566-2249 </t>
  </si>
  <si>
    <t>LA-DRR PORT 1</t>
  </si>
  <si>
    <t>327A1292</t>
  </si>
  <si>
    <t>32:49:24.6 (32.8235) North</t>
  </si>
  <si>
    <t>92:04:42.24 (-92.0784) West</t>
  </si>
  <si>
    <t>Ame New</t>
  </si>
  <si>
    <t>ame_new@fws.gov</t>
  </si>
  <si>
    <t xml:space="preserve">(318) 726-4222 </t>
  </si>
  <si>
    <t>ame_new@fws.gov, christopher_foster@fws.gov, matthew_johnson@fws.gov</t>
  </si>
  <si>
    <t>LACASSINE</t>
  </si>
  <si>
    <t>8378A47C</t>
  </si>
  <si>
    <t>30:00:06 (30.001667) North</t>
  </si>
  <si>
    <t>92:53:36 (-92.893333) West</t>
  </si>
  <si>
    <t>SABINE NWR</t>
  </si>
  <si>
    <t>Lucas Doucet</t>
  </si>
  <si>
    <t>lucas_doucet@fws.gov</t>
  </si>
  <si>
    <t xml:space="preserve">(337) 965-2471 </t>
  </si>
  <si>
    <t>Jon Westerby</t>
  </si>
  <si>
    <t>jon_westerby@fws.gov</t>
  </si>
  <si>
    <t xml:space="preserve">(337) 304-6566 </t>
  </si>
  <si>
    <t>LACY</t>
  </si>
  <si>
    <t>32D0A8CA</t>
  </si>
  <si>
    <t>30:20:03.1992 (30.334222) North</t>
  </si>
  <si>
    <t>97:19:26.6016 (-97.324056) West</t>
  </si>
  <si>
    <t>Steven.long@co.bastrop.tx.us</t>
  </si>
  <si>
    <t xml:space="preserve">(513) 303-4302 </t>
  </si>
  <si>
    <t>LADDER BUTTE</t>
  </si>
  <si>
    <t>3238E43E</t>
  </si>
  <si>
    <t>40:48:25.5816 (40.807106) North</t>
  </si>
  <si>
    <t>121:17:47.4216 (-121.296506) West</t>
  </si>
  <si>
    <t>Travis Schneider</t>
  </si>
  <si>
    <t>travis.schneider@usda.gov</t>
  </si>
  <si>
    <t xml:space="preserve">(530) 336-3323 </t>
  </si>
  <si>
    <t>Richard Davis</t>
  </si>
  <si>
    <t>richard.davis2@usda.gov</t>
  </si>
  <si>
    <t xml:space="preserve">(530) 336-3366 </t>
  </si>
  <si>
    <t>LADYSMITH</t>
  </si>
  <si>
    <t>45:26:16.0008 (45.437778) North</t>
  </si>
  <si>
    <t>91:07:01.0992 (-91.116972) West</t>
  </si>
  <si>
    <t>LAFAYETTE WORK CENTER</t>
  </si>
  <si>
    <t>36:32:27.9996 (36.541111) North</t>
  </si>
  <si>
    <t>86:00:10.0008 (-86.002778) West</t>
  </si>
  <si>
    <t>LAGRANDE 1</t>
  </si>
  <si>
    <t>6000D406</t>
  </si>
  <si>
    <t>45:33:02.0016 (45.550556) North</t>
  </si>
  <si>
    <t>118:00:47.9988 (-118.013333) West</t>
  </si>
  <si>
    <t>Teresa.Alcock@odf.oregon.gov</t>
  </si>
  <si>
    <t>LAGUNA</t>
  </si>
  <si>
    <t>5213A71C</t>
  </si>
  <si>
    <t>35:03:07.0812 (35.051967) North</t>
  </si>
  <si>
    <t>107:25:13.0008 (-107.420278) West</t>
  </si>
  <si>
    <t>Laguna Agency</t>
  </si>
  <si>
    <t>Anthony Thompson Jr</t>
  </si>
  <si>
    <t xml:space="preserve">(505) 563-3662 </t>
  </si>
  <si>
    <t>LAGUNA ATASCOSA</t>
  </si>
  <si>
    <t>8373C232</t>
  </si>
  <si>
    <t>26:13:41.9988 (26.228333) North</t>
  </si>
  <si>
    <t>97:20:57.0012 (-97.349167) West</t>
  </si>
  <si>
    <t>LAHAINALUNA 1</t>
  </si>
  <si>
    <t>32BC054E</t>
  </si>
  <si>
    <t>20:53:27.0096 (20.890836) North</t>
  </si>
  <si>
    <t>156:39:17.73 (-156.654925) West</t>
  </si>
  <si>
    <t>LAKE</t>
  </si>
  <si>
    <t>327E47D4</t>
  </si>
  <si>
    <t>37:17:42.1044 (37.295029) North</t>
  </si>
  <si>
    <t>111:08:23.2836 (-111.139801) West</t>
  </si>
  <si>
    <t>LAKE ANDES</t>
  </si>
  <si>
    <t>Charles Mix</t>
  </si>
  <si>
    <t>43:15:30.9996 (43.258611) North</t>
  </si>
  <si>
    <t>98:45:33.0012 (-98.759167) West</t>
  </si>
  <si>
    <t>LAKE ANDES NWR</t>
  </si>
  <si>
    <t xml:space="preserve"> kathryn_sebes@fws.gov,  todd_ruzicka@fws.gov, tate_fischer@fws.gov</t>
  </si>
  <si>
    <t>LAKE COUNTY RAWS1</t>
  </si>
  <si>
    <t>C6000110</t>
  </si>
  <si>
    <t>38:48:23.22 (38.80645) North</t>
  </si>
  <si>
    <t>122:44:25.836 (-122.74051) West</t>
  </si>
  <si>
    <t>LCAQMD - Lake County Air Quality Management District</t>
  </si>
  <si>
    <t>Douglas Gearhart</t>
  </si>
  <si>
    <t>dougg@lcaqmd.net</t>
  </si>
  <si>
    <t xml:space="preserve">(707) 263-7000 </t>
  </si>
  <si>
    <t>Frank Ley</t>
  </si>
  <si>
    <t>frankl@lcaqmd.net</t>
  </si>
  <si>
    <t>LAKE FORESTRY CTR</t>
  </si>
  <si>
    <t>32B8D8CE</t>
  </si>
  <si>
    <t>28:51:44.1792 (28.862272) North</t>
  </si>
  <si>
    <t>81:47:47.9796 (-81.796661) West</t>
  </si>
  <si>
    <t>Roy Cribb</t>
  </si>
  <si>
    <t>roy.cribb@fdacs.gov</t>
  </si>
  <si>
    <t xml:space="preserve">(352) 360-6678 </t>
  </si>
  <si>
    <t>LAKE GEORGE</t>
  </si>
  <si>
    <t>3240C3D8</t>
  </si>
  <si>
    <t>38:58:42.9996 (38.978611) North</t>
  </si>
  <si>
    <t>105:21:15.9984 (-105.354444) West</t>
  </si>
  <si>
    <t>ahester@blm.gov, christopher.rokosh@usda.gov, robert.monsen@usda.gov</t>
  </si>
  <si>
    <t>3286B1E2</t>
  </si>
  <si>
    <t>29:23:54.9996 (29.398611) North</t>
  </si>
  <si>
    <t>81:48:20.0016 (-81.805556) West</t>
  </si>
  <si>
    <t>Maggie Bordas(Cell)</t>
  </si>
  <si>
    <t>LAKE MATHEWS</t>
  </si>
  <si>
    <t>3267F598</t>
  </si>
  <si>
    <t>33:49:00.9984 (33.816944) North</t>
  </si>
  <si>
    <t>117:27:48.9996 (-117.463611) West</t>
  </si>
  <si>
    <t>Brian Shomo</t>
  </si>
  <si>
    <t xml:space="preserve">(951) 840-8070 </t>
  </si>
  <si>
    <t>LAKE MINCHUMINA</t>
  </si>
  <si>
    <t>FA613756</t>
  </si>
  <si>
    <t>63:53:15.2 (63.887556) North</t>
  </si>
  <si>
    <t>152:18:20.9999 (-152.305833) West</t>
  </si>
  <si>
    <t>Shannon Coykendall</t>
  </si>
  <si>
    <t>LAKE PALMDALE</t>
  </si>
  <si>
    <t>CA295394</t>
  </si>
  <si>
    <t>34:32:13.02 (34.53695) North</t>
  </si>
  <si>
    <t>118:06:08.3916 (-118.102331) West</t>
  </si>
  <si>
    <t>Daniel.Sheng@fire.lacounty.gov</t>
  </si>
  <si>
    <t>LAKE PLEASANT</t>
  </si>
  <si>
    <t>Hamilton</t>
  </si>
  <si>
    <t>6250900A</t>
  </si>
  <si>
    <t>43:28:12.5688 (43.470158) North</t>
  </si>
  <si>
    <t>74:24:47.0412 (-74.413067) West</t>
  </si>
  <si>
    <t>Ranger David NALLY</t>
  </si>
  <si>
    <t>david.nally@dec.ny.gov</t>
  </si>
  <si>
    <t xml:space="preserve">(518) 866-4509 </t>
  </si>
  <si>
    <t>LAKE SKINNER</t>
  </si>
  <si>
    <t>32B310AA</t>
  </si>
  <si>
    <t>33:34:41.3796 (33.578161) North</t>
  </si>
  <si>
    <t>117:03:51.8688 (-117.064408) West</t>
  </si>
  <si>
    <t>LAKE WALES</t>
  </si>
  <si>
    <t>27:26:11 (27.436389) North</t>
  </si>
  <si>
    <t>81:23:23 (-81.389722) West</t>
  </si>
  <si>
    <t>LAKE WALES NWR</t>
  </si>
  <si>
    <t>David Moran</t>
  </si>
  <si>
    <t>David_Moran@fws.gov</t>
  </si>
  <si>
    <t xml:space="preserve">(321) 861-2814 </t>
  </si>
  <si>
    <t>LAKE WOODRUFF</t>
  </si>
  <si>
    <t>Volusia</t>
  </si>
  <si>
    <t>32B0F456</t>
  </si>
  <si>
    <t>29:05:53.34 (29.09815) North</t>
  </si>
  <si>
    <t>81:21:59.4684 (-81.366519) West</t>
  </si>
  <si>
    <t>LAKE WOODRUFF NWR</t>
  </si>
  <si>
    <t>Trevor Canada</t>
  </si>
  <si>
    <t>gsuszek@gmail.com</t>
  </si>
  <si>
    <t xml:space="preserve">(321) 704-4423 </t>
  </si>
  <si>
    <t>LAKE WOODRUFF QD</t>
  </si>
  <si>
    <t>27:03:06.7608 (27.051878) North</t>
  </si>
  <si>
    <t>80:07:27.8004 (-80.124389) West</t>
  </si>
  <si>
    <t>david_moran@fws.gov</t>
  </si>
  <si>
    <t xml:space="preserve">(321) 302-4327 </t>
  </si>
  <si>
    <t>greg_suzek@fws.gov</t>
  </si>
  <si>
    <t>LAKESIDE</t>
  </si>
  <si>
    <t>34:09:46.1988 (34.162833) North</t>
  </si>
  <si>
    <t>109:52:35.0004 (-109.876389) West</t>
  </si>
  <si>
    <t>Justin Gabler</t>
  </si>
  <si>
    <t>Justin.gabler@usda.gov</t>
  </si>
  <si>
    <t xml:space="preserve">(928) 587-6020 </t>
  </si>
  <si>
    <t>Kasey Miller</t>
  </si>
  <si>
    <t>Kasey.miller@usda.gov</t>
  </si>
  <si>
    <t xml:space="preserve">(928) 368-3306 </t>
  </si>
  <si>
    <t>LAKEVIEW BLM FUELS QD#1</t>
  </si>
  <si>
    <t>32B2E2D4</t>
  </si>
  <si>
    <t>43:03:16.02 (43.05445) North</t>
  </si>
  <si>
    <t>120:46:36.1812 (-120.776717) West</t>
  </si>
  <si>
    <t>Matt Haskins</t>
  </si>
  <si>
    <t>mhaskins@blm.gov</t>
  </si>
  <si>
    <t xml:space="preserve">(541) 947-6117 </t>
  </si>
  <si>
    <t>Shane Thames</t>
  </si>
  <si>
    <t>sthames@blm.gov</t>
  </si>
  <si>
    <t xml:space="preserve">(541) 947-6189 </t>
  </si>
  <si>
    <t>LAKEVIEW BLM FUELS QD#2</t>
  </si>
  <si>
    <t>AAC34654</t>
  </si>
  <si>
    <t>42:14:35.52 (42.2432) North</t>
  </si>
  <si>
    <t>119:59:38.8212 (-119.994117) West</t>
  </si>
  <si>
    <t>LANAI 1</t>
  </si>
  <si>
    <t>20:52:23.9988 (20.873333) North</t>
  </si>
  <si>
    <t>157:00:23.0004 (-157.006389) West</t>
  </si>
  <si>
    <t>LANCASTER</t>
  </si>
  <si>
    <t>32B07C90</t>
  </si>
  <si>
    <t>42:49:35.04 (42.8264) North</t>
  </si>
  <si>
    <t>90:41:11.4 (-90.6865) West</t>
  </si>
  <si>
    <t>328D6422</t>
  </si>
  <si>
    <t>44:31:34.5216 (44.526256) North</t>
  </si>
  <si>
    <t>71:34:20.8596 (-71.572461) West</t>
  </si>
  <si>
    <t>Adrian.l.reyes</t>
  </si>
  <si>
    <t>Nathan.l.blanchard@dncr.nh.gov</t>
  </si>
  <si>
    <t>LANE CREEK</t>
  </si>
  <si>
    <t>48:36:39.3012 (48.610917) North</t>
  </si>
  <si>
    <t>118:16:44.0004 (-118.278889) West</t>
  </si>
  <si>
    <t>LAONA</t>
  </si>
  <si>
    <t>3284818C</t>
  </si>
  <si>
    <t>45:27:43.7004 (45.462139) North</t>
  </si>
  <si>
    <t>88:40:47.1396 (-88.679761) West</t>
  </si>
  <si>
    <t>Joseph Lobdell</t>
  </si>
  <si>
    <t>joseph.lobdell@usda.gov</t>
  </si>
  <si>
    <t xml:space="preserve">(815) 291-7798 </t>
  </si>
  <si>
    <t>Timothy Sauter</t>
  </si>
  <si>
    <t>timothy.sauter@usda.gov</t>
  </si>
  <si>
    <t xml:space="preserve">(715) 479-2827 </t>
  </si>
  <si>
    <t>jesse.harrand@usda.gov, joseph.lobdell.usda.gov, steve.radaj@usda.gov, timothy.sauter@usda.gov, zachary.parmentier@usda.gov</t>
  </si>
  <si>
    <t>LARB HOLLOW</t>
  </si>
  <si>
    <t>333560EE</t>
  </si>
  <si>
    <t>38:06:57.0888 (38.115858) North</t>
  </si>
  <si>
    <t>111:19:14.7792 (-111.320772) West</t>
  </si>
  <si>
    <t>LARCH MT.</t>
  </si>
  <si>
    <t>3008B176</t>
  </si>
  <si>
    <t>45:43:23.0016 (45.723056) North</t>
  </si>
  <si>
    <t>122:20:43.0008 (-122.345278) West</t>
  </si>
  <si>
    <t>LAS FLORES</t>
  </si>
  <si>
    <t>923046D2</t>
  </si>
  <si>
    <t>33:18:35.3592 (33.309822) North</t>
  </si>
  <si>
    <t>117:25:25.2012 (-117.423667) West</t>
  </si>
  <si>
    <t>James Asmus</t>
  </si>
  <si>
    <t>LAS TABLAS</t>
  </si>
  <si>
    <t>CA23742A</t>
  </si>
  <si>
    <t>35:39:23.2092 (35.656447) North</t>
  </si>
  <si>
    <t>120:55:26.76 (-120.9241) West</t>
  </si>
  <si>
    <t xml:space="preserve"> david.fowler@fire.ca.gov,  morgan.partridge@fire.ca.gov</t>
  </si>
  <si>
    <t>LAS TRAMPAS</t>
  </si>
  <si>
    <t>CA415500</t>
  </si>
  <si>
    <t>37:50:02.0004 (37.833889) North</t>
  </si>
  <si>
    <t>122:04:00.9984 (-122.066944) West</t>
  </si>
  <si>
    <t>LASSEN LODGE</t>
  </si>
  <si>
    <t>CA20F530</t>
  </si>
  <si>
    <t>40:20:38.9184 (40.344144) North</t>
  </si>
  <si>
    <t>121:42:49.4388 (-121.713733) West</t>
  </si>
  <si>
    <t>LAUDERDALE</t>
  </si>
  <si>
    <t>Lauderdale</t>
  </si>
  <si>
    <t>32:22:03 (32.3675) North</t>
  </si>
  <si>
    <t>88:27:24.0012 (-88.456667) West</t>
  </si>
  <si>
    <t>LAUFMAN</t>
  </si>
  <si>
    <t>3234C34E</t>
  </si>
  <si>
    <t>40:08:30.0012 (40.141667) North</t>
  </si>
  <si>
    <t>120:21:11.9988 (-120.353333) West</t>
  </si>
  <si>
    <t>LAURAL MOUNTAIN</t>
  </si>
  <si>
    <t>324AF710</t>
  </si>
  <si>
    <t>35:28:41.0988 (35.478083) North</t>
  </si>
  <si>
    <t>117:41:57.5988 (-117.699333) West</t>
  </si>
  <si>
    <t>LAVA BUTTE</t>
  </si>
  <si>
    <t>323582BE</t>
  </si>
  <si>
    <t>43:55:30.7992 (43.925222) North</t>
  </si>
  <si>
    <t>121:20:35.3004 (-121.343139) West</t>
  </si>
  <si>
    <t>ahester@blm.gov, jessie.creech@usda.gov</t>
  </si>
  <si>
    <t>LAVA POINT RAWS</t>
  </si>
  <si>
    <t>FA61745C</t>
  </si>
  <si>
    <t>37:23:30.0012 (37.391667) North</t>
  </si>
  <si>
    <t>113:02:20.0004 (-113.038889) West</t>
  </si>
  <si>
    <t>ZION NP</t>
  </si>
  <si>
    <t>kayla_ronsani@nps.gov</t>
  </si>
  <si>
    <t xml:space="preserve">(239) 919-6835 </t>
  </si>
  <si>
    <t>LAWSON</t>
  </si>
  <si>
    <t>F8E00A18</t>
  </si>
  <si>
    <t>31:54:15.624 (31.90434) North</t>
  </si>
  <si>
    <t>81:35:40.848 (-81.59468) West</t>
  </si>
  <si>
    <t>04:10, 34:10</t>
  </si>
  <si>
    <t>LAYTONVILLE</t>
  </si>
  <si>
    <t>CA2BC302</t>
  </si>
  <si>
    <t>39:42:08.3808 (39.702328) North</t>
  </si>
  <si>
    <t>123:29:05.6616 (-123.484906) West</t>
  </si>
  <si>
    <t>Anna Jones</t>
  </si>
  <si>
    <t xml:space="preserve">(707) 391-5088 </t>
  </si>
  <si>
    <t>LBJ</t>
  </si>
  <si>
    <t>326B54FC</t>
  </si>
  <si>
    <t>33:16:57.612 (33.28267) North</t>
  </si>
  <si>
    <t>97:37:55.416 (-97.63206) West</t>
  </si>
  <si>
    <t>Chris Adamcik</t>
  </si>
  <si>
    <t>LEADORE CREEK</t>
  </si>
  <si>
    <t>325D975C</t>
  </si>
  <si>
    <t>44:42:06.9012 (44.701917) North</t>
  </si>
  <si>
    <t>113:20:48.9012 (-113.346917) West</t>
  </si>
  <si>
    <t>LEAVITT LAKE</t>
  </si>
  <si>
    <t>328EF64E</t>
  </si>
  <si>
    <t>38:17:08.0016 (38.285556) North</t>
  </si>
  <si>
    <t>119:37:18.0012 (-119.621667) West</t>
  </si>
  <si>
    <t>LEECHER</t>
  </si>
  <si>
    <t>326284C8</t>
  </si>
  <si>
    <t>48:15:02.0016 (48.250556) North</t>
  </si>
  <si>
    <t>120:00:11.9988 (-120.003333) West</t>
  </si>
  <si>
    <t>LEIGH CREEK</t>
  </si>
  <si>
    <t>Washakie</t>
  </si>
  <si>
    <t>44:06:24.1164 (44.106699) North</t>
  </si>
  <si>
    <t>107:13:27.5772 (-107.224327) West</t>
  </si>
  <si>
    <t>Matt Weakland</t>
  </si>
  <si>
    <t>matthew.weakland@usda.gov</t>
  </si>
  <si>
    <t xml:space="preserve">(307) 684-4644 </t>
  </si>
  <si>
    <t>LEJEUNE SOIL MONITOR</t>
  </si>
  <si>
    <t>AAB1E6F4</t>
  </si>
  <si>
    <t>34:35:33.9 (34.59275) North</t>
  </si>
  <si>
    <t>77:28:54.66 (-77.48185) West</t>
  </si>
  <si>
    <t>jamie.dunbar@ncagr.gov, jimmy.meadows@ncagr.gov</t>
  </si>
  <si>
    <t>LENOIR CITY</t>
  </si>
  <si>
    <t>Loudon</t>
  </si>
  <si>
    <t>026034EC</t>
  </si>
  <si>
    <t>35:50:39.0012 (35.844167) North</t>
  </si>
  <si>
    <t>84:19:54.0012 (-84.331667) West</t>
  </si>
  <si>
    <t>LEO CARRILLO</t>
  </si>
  <si>
    <t>CA424178</t>
  </si>
  <si>
    <t>34:02:42.4104 (34.045114) North</t>
  </si>
  <si>
    <t>118:56:09.5604 (-118.935989) West</t>
  </si>
  <si>
    <t>LEOTA</t>
  </si>
  <si>
    <t>Clare</t>
  </si>
  <si>
    <t>44:07:06.9996 (44.118611) North</t>
  </si>
  <si>
    <t>84:55:05.9988 (-84.918333) West</t>
  </si>
  <si>
    <t>Steve Schummer</t>
  </si>
  <si>
    <t>schummers@michigan.gov</t>
  </si>
  <si>
    <t xml:space="preserve">(906) 291-0412 </t>
  </si>
  <si>
    <t>rogersp5@michigan.gov, schummers@michigan.gov</t>
  </si>
  <si>
    <t>LESTER</t>
  </si>
  <si>
    <t>3261E620</t>
  </si>
  <si>
    <t>47:12:36 (47.21) North</t>
  </si>
  <si>
    <t>121:29:22.9992 (-121.489722) West</t>
  </si>
  <si>
    <t>LEWIS-CLARK PORTABLE #2</t>
  </si>
  <si>
    <t>Meagher</t>
  </si>
  <si>
    <t>47:05:28.2012 (47.091167) North</t>
  </si>
  <si>
    <t>110:49:31.8 (-110.8255) West</t>
  </si>
  <si>
    <t>Jacob Hoppe</t>
  </si>
  <si>
    <t>jacob.hoppe@usda.gov</t>
  </si>
  <si>
    <t xml:space="preserve">(406) 431-4400 </t>
  </si>
  <si>
    <t>Kip Colby</t>
  </si>
  <si>
    <t>kip.colby@usda.gov</t>
  </si>
  <si>
    <t xml:space="preserve">(406) 547-3361 </t>
  </si>
  <si>
    <t>LEWISBURG TOWER</t>
  </si>
  <si>
    <t>35:22:54.0012 (35.381667) North</t>
  </si>
  <si>
    <t>86:45:56.9988 (-86.765833) West</t>
  </si>
  <si>
    <t xml:space="preserve">(615) 797-3113 </t>
  </si>
  <si>
    <t>LEWISTOWN PORT #1</t>
  </si>
  <si>
    <t>326810F8</t>
  </si>
  <si>
    <t>47:25:51.1212 (47.430867) North</t>
  </si>
  <si>
    <t>108:12:40.9788 (-108.211383) West</t>
  </si>
  <si>
    <t xml:space="preserve"> jpeterman@blm.gov, cparker@blm.gov</t>
  </si>
  <si>
    <t>LEWISTOWN PORT #2</t>
  </si>
  <si>
    <t>3268F30A</t>
  </si>
  <si>
    <t>47:11:34.1988 (47.192833) North</t>
  </si>
  <si>
    <t>108:05:17.4012 (-108.088167) West</t>
  </si>
  <si>
    <t>LEXINGTON</t>
  </si>
  <si>
    <t>Davidson</t>
  </si>
  <si>
    <t>4070B596</t>
  </si>
  <si>
    <t>35:47:31.5384 (35.792094) North</t>
  </si>
  <si>
    <t>80:18:41.6592 (-80.311572) West</t>
  </si>
  <si>
    <t>Sam Griffith</t>
  </si>
  <si>
    <t>sam.griffith@ncagr.gov</t>
  </si>
  <si>
    <t xml:space="preserve">(336) 956-2111 </t>
  </si>
  <si>
    <t>LIBBY</t>
  </si>
  <si>
    <t>3272E6B0</t>
  </si>
  <si>
    <t>48:24:12.9996 (48.403611) North</t>
  </si>
  <si>
    <t>115:32:21.0012 (-115.539167) West</t>
  </si>
  <si>
    <t>LIME KILN</t>
  </si>
  <si>
    <t>Bath</t>
  </si>
  <si>
    <t>328C033E</t>
  </si>
  <si>
    <t>37:59:11.0004 (37.986389) North</t>
  </si>
  <si>
    <t>79:45:33.9984 (-79.759444) West</t>
  </si>
  <si>
    <t>Aaron  Bennigton</t>
  </si>
  <si>
    <t>aaron.bennigton@usda.gov</t>
  </si>
  <si>
    <t xml:space="preserve">(540) 460-5260 </t>
  </si>
  <si>
    <t>LIMESTONE CANYON</t>
  </si>
  <si>
    <t>5211D478</t>
  </si>
  <si>
    <t>34:10:40.2816 (34.177856) North</t>
  </si>
  <si>
    <t>110:16:35.8788 (-110.276633) West</t>
  </si>
  <si>
    <t xml:space="preserve">(928) 205-1823 </t>
  </si>
  <si>
    <t>Carlos Nosie, Jr.</t>
  </si>
  <si>
    <t>LINCOLN</t>
  </si>
  <si>
    <t>326EE0B2</t>
  </si>
  <si>
    <t>46:57:18.54 (46.95515) North</t>
  </si>
  <si>
    <t>112:39:08.9388 (-112.652483) West</t>
  </si>
  <si>
    <t>Nick Boucher</t>
  </si>
  <si>
    <t>nicholas.boucher@usda.gov</t>
  </si>
  <si>
    <t xml:space="preserve">(406) 390-0794 </t>
  </si>
  <si>
    <t>Sam Sulser</t>
  </si>
  <si>
    <t>Samuel.Sulser@usda.gov</t>
  </si>
  <si>
    <t xml:space="preserve">(406) 220-1750 </t>
  </si>
  <si>
    <t>ahester@blm.gov, nicholas.boucher@usda.gov, samuel.sulser@usda.gov</t>
  </si>
  <si>
    <t>Nick  Boucher</t>
  </si>
  <si>
    <t>CA21922C</t>
  </si>
  <si>
    <t>38:52:51.7116 (38.881031) North</t>
  </si>
  <si>
    <t>121:16:00.0804 (-121.266689) West</t>
  </si>
  <si>
    <t>LINCOLN PORTABLE</t>
  </si>
  <si>
    <t>3246F68C</t>
  </si>
  <si>
    <t>34:00:57.6 (34.016) North</t>
  </si>
  <si>
    <t>108:27:12.6 (-108.4535) West</t>
  </si>
  <si>
    <t>LINCOLN PORTABLE #2</t>
  </si>
  <si>
    <t>32:57:52.9992 (32.964722) North</t>
  </si>
  <si>
    <t>105:28:40.0008 (-105.477778) West</t>
  </si>
  <si>
    <t>AARON FARMER</t>
  </si>
  <si>
    <t>robert.a.farmer@usda.gov</t>
  </si>
  <si>
    <t xml:space="preserve">(575) 434-7200 </t>
  </si>
  <si>
    <t>Abie Carabajal</t>
  </si>
  <si>
    <t>LIND</t>
  </si>
  <si>
    <t>Burnett</t>
  </si>
  <si>
    <t>5370C664</t>
  </si>
  <si>
    <t>45:44:22.9992 (45.739722) North</t>
  </si>
  <si>
    <t>92:47:44.0016 (-92.795556) West</t>
  </si>
  <si>
    <t>LINDBERGH HILL</t>
  </si>
  <si>
    <t>FA45156E</t>
  </si>
  <si>
    <t>36:17:08.0016 (36.285556) North</t>
  </si>
  <si>
    <t>112:04:42.9996 (-112.078611) West</t>
  </si>
  <si>
    <t>LINDEN</t>
  </si>
  <si>
    <t>8841606A</t>
  </si>
  <si>
    <t>33:00:18 (33.005) North</t>
  </si>
  <si>
    <t>94:21:28.0008 (-94.357778) West</t>
  </si>
  <si>
    <t>LINES CREEK</t>
  </si>
  <si>
    <t>3273D1D0</t>
  </si>
  <si>
    <t>47:06:39.3084 (47.110919) North</t>
  </si>
  <si>
    <t>116:13:30.63 (-116.225175) West</t>
  </si>
  <si>
    <t>LINN-SAN MANUEL</t>
  </si>
  <si>
    <t>8375D18A</t>
  </si>
  <si>
    <t>26:32:11.0004 (26.536389) North</t>
  </si>
  <si>
    <t>98:05:16.0008 (-98.087778) West</t>
  </si>
  <si>
    <t>lety handy@fws.gov</t>
  </si>
  <si>
    <t>LIRI</t>
  </si>
  <si>
    <t>FA509324</t>
  </si>
  <si>
    <t>34:27:37.5444 (34.460429) North</t>
  </si>
  <si>
    <t>85:35:50.1036 (-85.597251) West</t>
  </si>
  <si>
    <t>LITTLE R. CANYON NP</t>
  </si>
  <si>
    <t>Mary Shew</t>
  </si>
  <si>
    <t>mary_shew@nps.gov</t>
  </si>
  <si>
    <t>(256) 845-9605 06</t>
  </si>
  <si>
    <t>LITCHFIELD</t>
  </si>
  <si>
    <t>Meeker</t>
  </si>
  <si>
    <t>45:04:18.9984 (45.071944) North</t>
  </si>
  <si>
    <t>94:31:49.0008 (-94.530278) West</t>
  </si>
  <si>
    <t>LITCHFIELD WMD</t>
  </si>
  <si>
    <t>Jared Culbertson</t>
  </si>
  <si>
    <t>jared_culbertson@fws.gov</t>
  </si>
  <si>
    <t>(320) 693-2849 17</t>
  </si>
  <si>
    <t>Kris Larson</t>
  </si>
  <si>
    <t>kris_larson@fws.gov</t>
  </si>
  <si>
    <t xml:space="preserve">(769) 389-3323 </t>
  </si>
  <si>
    <t>LITTLE ANDERSON</t>
  </si>
  <si>
    <t>326BE772</t>
  </si>
  <si>
    <t>44:05:24.1008 (44.090028) North</t>
  </si>
  <si>
    <t>115:52:50.9016 (-115.880806) West</t>
  </si>
  <si>
    <t>Justin Yankey</t>
  </si>
  <si>
    <t>justin.yankey@usda.gov</t>
  </si>
  <si>
    <t xml:space="preserve">(208) 365-7015 </t>
  </si>
  <si>
    <t>ahester@blm.gov, christopher.hightower@usda.gov, tim.dulhanty@usda.gov</t>
  </si>
  <si>
    <t>LITTLE BIGHORN</t>
  </si>
  <si>
    <t>3257668A</t>
  </si>
  <si>
    <t>45:34:11.7084 (45.569919) North</t>
  </si>
  <si>
    <t>107:26:10.41 (-107.436225) West</t>
  </si>
  <si>
    <t>Randy Prettyontop</t>
  </si>
  <si>
    <t xml:space="preserve">(406) 395-4207 </t>
  </si>
  <si>
    <t>lee.oldbear@bia.gov</t>
  </si>
  <si>
    <t>LITTLE BLACK</t>
  </si>
  <si>
    <t>1260C3EC</t>
  </si>
  <si>
    <t>66:05:29.0004 (66.091389) North</t>
  </si>
  <si>
    <t>143:22:01.9992 (-143.367222) West</t>
  </si>
  <si>
    <t>LITTLE BULLWHACKER CREEK</t>
  </si>
  <si>
    <t>3256C488</t>
  </si>
  <si>
    <t>47:49:53.1984 (47.831444) North</t>
  </si>
  <si>
    <t>109:00:30.2004 (-109.008389) West</t>
  </si>
  <si>
    <t>LITTLE CREEK</t>
  </si>
  <si>
    <t>44:43:22.1988 (44.722833) North</t>
  </si>
  <si>
    <t>114:59:46.8996 (-114.996361) West</t>
  </si>
  <si>
    <t>ahester@blm.gov, jace.james@usda.gov, jessica.l.martin@usda.gov, maegan.maughan@usda.gov, riley.rhoades@usda.gov</t>
  </si>
  <si>
    <t>LITTLE DOLORES</t>
  </si>
  <si>
    <t>38:58:06.7008 (38.968528) North</t>
  </si>
  <si>
    <t>108:56:39.5016 (-108.944306) West</t>
  </si>
  <si>
    <t>LITTLE FALLS</t>
  </si>
  <si>
    <t>Morrison</t>
  </si>
  <si>
    <t>7070A0BE</t>
  </si>
  <si>
    <t>45:57:05 (45.951389) North</t>
  </si>
  <si>
    <t>94:20:40 (-94.344444) West</t>
  </si>
  <si>
    <t>JASON KERN</t>
  </si>
  <si>
    <t xml:space="preserve">jason.kern@state.mn.us, jolene.soltis@state.mn.us </t>
  </si>
  <si>
    <t xml:space="preserve">(320) 232-1074 </t>
  </si>
  <si>
    <t xml:space="preserve"> jolene.soltis@state.mn.us, jason.kern@state.mn.us, travis.verdegan@state.mn.us</t>
  </si>
  <si>
    <t>LITTLE GRANITE CREEK</t>
  </si>
  <si>
    <t>9A70305C</t>
  </si>
  <si>
    <t>61:44:01.3812 (61.733717) North</t>
  </si>
  <si>
    <t>148:49:03.9 (-148.81775) West</t>
  </si>
  <si>
    <t>LITTLE MCCOY CREEK</t>
  </si>
  <si>
    <t>3279B564</t>
  </si>
  <si>
    <t>42:42:29.0016 (42.708056) North</t>
  </si>
  <si>
    <t>118:30:36 (-118.51) West</t>
  </si>
  <si>
    <t>LITTLE PEND OREILLE NWR</t>
  </si>
  <si>
    <t>48:27:38.9988 (48.460833) North</t>
  </si>
  <si>
    <t>117:43:59.0016 (-117.733056) West</t>
  </si>
  <si>
    <t>LITTLE PEND OREILLE</t>
  </si>
  <si>
    <t>LITTLE ROCK CREEK</t>
  </si>
  <si>
    <t>3282E4A4</t>
  </si>
  <si>
    <t>46:02:16.1808 (46.037828) North</t>
  </si>
  <si>
    <t>114:15:45.7488 (-114.262708) West</t>
  </si>
  <si>
    <t>LITTLE SNOWY</t>
  </si>
  <si>
    <t>3256277A</t>
  </si>
  <si>
    <t>46:45:04.6008 (46.751278) North</t>
  </si>
  <si>
    <t>109:01:23.4012 (-109.023167) West</t>
  </si>
  <si>
    <t>LITTLE TUJUNGA</t>
  </si>
  <si>
    <t>3332C222</t>
  </si>
  <si>
    <t>34:17:36.9996 (34.293611) North</t>
  </si>
  <si>
    <t>118:21:38.9988 (-118.360833) West</t>
  </si>
  <si>
    <t>Harry Oh (cell)</t>
  </si>
  <si>
    <t>LITTLE VALLEY (WRCC)</t>
  </si>
  <si>
    <t>326424FE</t>
  </si>
  <si>
    <t>39:14:39.9984 (39.244444) North</t>
  </si>
  <si>
    <t>119:52:50.9988 (-119.880833) West</t>
  </si>
  <si>
    <t>GREG MCCURDY</t>
  </si>
  <si>
    <t>GREG.MCCURDY@DRI.EDU</t>
  </si>
  <si>
    <t xml:space="preserve">(775) 674-7010 </t>
  </si>
  <si>
    <t xml:space="preserve">(775) 674-7165 </t>
  </si>
  <si>
    <t>LITTLEFORK</t>
  </si>
  <si>
    <t>Koochiching</t>
  </si>
  <si>
    <t>7070B3C8</t>
  </si>
  <si>
    <t>48:23:21.9984 (48.389444) North</t>
  </si>
  <si>
    <t>93:33:51.0012 (-93.564167) West</t>
  </si>
  <si>
    <t>Jon McDonald</t>
  </si>
  <si>
    <t>jon.mcdonald@state.mn.us, jolene.soltis@state.mn.us</t>
  </si>
  <si>
    <t>(218) 276-2237 22</t>
  </si>
  <si>
    <t xml:space="preserve"> jolene.soltis@state.mn.us, jon.mcdonald@state.mn.us, travis.verdegan@state.mn.us</t>
  </si>
  <si>
    <t>LITUYA BAY</t>
  </si>
  <si>
    <t>58:37:35.616 (58.62656) North</t>
  </si>
  <si>
    <t>137:39:28.5984 (-137.657944) West</t>
  </si>
  <si>
    <t>LIUN PORTABLE</t>
  </si>
  <si>
    <t>32BC0B9C</t>
  </si>
  <si>
    <t>raechel.compton@usda.gov</t>
  </si>
  <si>
    <t xml:space="preserve">(208) 451-3934 </t>
  </si>
  <si>
    <t>Graydon Galloway</t>
  </si>
  <si>
    <t>graydon.galloway@usda.gov</t>
  </si>
  <si>
    <t xml:space="preserve">(208) 983-4035 </t>
  </si>
  <si>
    <t>LIVENGOOD</t>
  </si>
  <si>
    <t>324C62BC</t>
  </si>
  <si>
    <t>65:25:24.9996 (65.423611) North</t>
  </si>
  <si>
    <t>148:43:18.0012 (-148.721667) West</t>
  </si>
  <si>
    <t>LNF00 PORTABLE</t>
  </si>
  <si>
    <t>48:18:18.72 (48.3052) North</t>
  </si>
  <si>
    <t>120:39:03.7188 (-120.651033) West</t>
  </si>
  <si>
    <t>donald.r.lee@usda.gov, shuckstep@blm.gov</t>
  </si>
  <si>
    <t>LNF01 PORTABLE</t>
  </si>
  <si>
    <t>3234A6A8</t>
  </si>
  <si>
    <t>40:16:09.7212 (40.269367) North</t>
  </si>
  <si>
    <t>121:52:04.5012 (-121.867917) West</t>
  </si>
  <si>
    <t>donald.r.lee@usda.gov, michael.deblois@usda.gov, shuckstep@blm.gov</t>
  </si>
  <si>
    <t>LNF04 PORTABLE</t>
  </si>
  <si>
    <t>323463B6</t>
  </si>
  <si>
    <t>40:25:18.4188 (40.421783) North</t>
  </si>
  <si>
    <t>120:42:07.02 (-120.70195) West</t>
  </si>
  <si>
    <t>LNF05 PORTABLE</t>
  </si>
  <si>
    <t>324056BA</t>
  </si>
  <si>
    <t>40:33:24.7788 (40.556883) North</t>
  </si>
  <si>
    <t>121:00:25.8012 (-121.007167) West</t>
  </si>
  <si>
    <t>LNF07 PORTABLE</t>
  </si>
  <si>
    <t>3294359C</t>
  </si>
  <si>
    <t>40:46:58.2996 (40.782861) North</t>
  </si>
  <si>
    <t>121:21:00.2988 (-121.350083) West</t>
  </si>
  <si>
    <t>LNF08 PORTABLE</t>
  </si>
  <si>
    <t>AAC0F2D4</t>
  </si>
  <si>
    <t>40:46:41.2212 (40.778117) North</t>
  </si>
  <si>
    <t>121:17:27.1788 (-121.290883) West</t>
  </si>
  <si>
    <t>LNF09 PORTABLE</t>
  </si>
  <si>
    <t>AAC143A0</t>
  </si>
  <si>
    <t>40:21:39.8988 (40.361083) North</t>
  </si>
  <si>
    <t>121:19:42.4812 (-121.328467) West</t>
  </si>
  <si>
    <t>LNP01 PORTABLE</t>
  </si>
  <si>
    <t>40:20:52.3716 (40.347881) North</t>
  </si>
  <si>
    <t>121:36:41.6196 (-121.611561) West</t>
  </si>
  <si>
    <t>LASSEN NP</t>
  </si>
  <si>
    <t>Mike Klimek</t>
  </si>
  <si>
    <t>mike_klimek@nps.gov</t>
  </si>
  <si>
    <t xml:space="preserve">(530) 595-6161 </t>
  </si>
  <si>
    <t>Sara Martinez</t>
  </si>
  <si>
    <t>sara_martinez@nps.gov</t>
  </si>
  <si>
    <t xml:space="preserve">(530) 200-6419 </t>
  </si>
  <si>
    <t>daniel_ostmann@nps.gov</t>
  </si>
  <si>
    <t>LOCH LOMOND</t>
  </si>
  <si>
    <t>FA63A7C0</t>
  </si>
  <si>
    <t>41:12:14.0004 (41.203889) North</t>
  </si>
  <si>
    <t>74:53:22.9992 (-74.889722) West</t>
  </si>
  <si>
    <t>LOCUST GAP</t>
  </si>
  <si>
    <t>3336527A</t>
  </si>
  <si>
    <t>35:10:51.3984 (35.180944) North</t>
  </si>
  <si>
    <t>83:31:36.6996 (-83.526861) West</t>
  </si>
  <si>
    <t>Greg Philipp</t>
  </si>
  <si>
    <t>gphilipp@fs.fed.us</t>
  </si>
  <si>
    <t xml:space="preserve">(828) 460-0049 </t>
  </si>
  <si>
    <t>LODGE POLE FLATS</t>
  </si>
  <si>
    <t>328F9152</t>
  </si>
  <si>
    <t>39:09:13.1004 (39.153639) North</t>
  </si>
  <si>
    <t>106:20:59.3016 (-106.349806) West</t>
  </si>
  <si>
    <t>ahester@blm.gov, christopher.naccarato@usda.gov, edwin.clark@usda.gov</t>
  </si>
  <si>
    <t>LODGEPOLE</t>
  </si>
  <si>
    <t>325E9052</t>
  </si>
  <si>
    <t>45:22:42.1212 (45.378367) North</t>
  </si>
  <si>
    <t>115:11:17.52 (-115.1882) West</t>
  </si>
  <si>
    <t>Jhennifer Williams</t>
  </si>
  <si>
    <t>LODORE</t>
  </si>
  <si>
    <t>325A4300</t>
  </si>
  <si>
    <t>40:44:18.8016 (40.738556) North</t>
  </si>
  <si>
    <t>108:50:11.6988 (-108.836583) West</t>
  </si>
  <si>
    <t>LOESS HILLS HITCHCOCK</t>
  </si>
  <si>
    <t>Pottawattamie</t>
  </si>
  <si>
    <t>FD1001F4</t>
  </si>
  <si>
    <t>41:25:18.0012 (41.421667) North</t>
  </si>
  <si>
    <t>95:51:12.9996 (-95.853611) West</t>
  </si>
  <si>
    <t>IOWA</t>
  </si>
  <si>
    <t>IAFDRN - Iowa DNR</t>
  </si>
  <si>
    <t>CHAD GRAEVE</t>
  </si>
  <si>
    <t>chad.graeve@pottcounty-ia.gov</t>
  </si>
  <si>
    <t xml:space="preserve">(402) 504-0182 </t>
  </si>
  <si>
    <t>LOESS HILLS STATE FOREST</t>
  </si>
  <si>
    <t>FD102718</t>
  </si>
  <si>
    <t>41:49:55.9992 (41.832222) North</t>
  </si>
  <si>
    <t>95:55:41.0016 (-95.928056) West</t>
  </si>
  <si>
    <t>Ryan Schlater</t>
  </si>
  <si>
    <t>Ryan.Schlater@dnr.iowa.gov</t>
  </si>
  <si>
    <t xml:space="preserve">(515) 233-8067 </t>
  </si>
  <si>
    <t>Chase Durfee</t>
  </si>
  <si>
    <t>Chase.Durfee@dnr.iowa.gov</t>
  </si>
  <si>
    <t>ryan.schlater@dnr.iowa.gov</t>
  </si>
  <si>
    <t>LOESS HILLS TNC BROKEN</t>
  </si>
  <si>
    <t>Plymouth</t>
  </si>
  <si>
    <t>FD101282</t>
  </si>
  <si>
    <t>42:41:50.2296 (42.697286) North</t>
  </si>
  <si>
    <t>96:34:32.9988 (-96.575833) West</t>
  </si>
  <si>
    <t>Scott Moats</t>
  </si>
  <si>
    <t>smoats@tnc.org</t>
  </si>
  <si>
    <t xml:space="preserve">(712) 568-2596 </t>
  </si>
  <si>
    <t>James Baker</t>
  </si>
  <si>
    <t>james.baker@tnc.org</t>
  </si>
  <si>
    <t>LOG CHUTE</t>
  </si>
  <si>
    <t>328A538C</t>
  </si>
  <si>
    <t>37:21:07.9992 (37.352222) North</t>
  </si>
  <si>
    <t>107:54:52.9992 (-107.914722) West</t>
  </si>
  <si>
    <t>LOG CREEK</t>
  </si>
  <si>
    <t>Multnomah</t>
  </si>
  <si>
    <t>32403D8E</t>
  </si>
  <si>
    <t>45:29:47.6808 (45.496578) North</t>
  </si>
  <si>
    <t>121:53:47.2596 (-121.896461) West</t>
  </si>
  <si>
    <t>MT. HOOD NF</t>
  </si>
  <si>
    <t>LOGAN</t>
  </si>
  <si>
    <t>900000EC</t>
  </si>
  <si>
    <t>37:51:18 (37.855) North</t>
  </si>
  <si>
    <t>81:54:51.9984 (-81.914444) West</t>
  </si>
  <si>
    <t>LOLO PORTABLE #1</t>
  </si>
  <si>
    <t>326E533C</t>
  </si>
  <si>
    <t>47:06:21.9996 (47.106111) North</t>
  </si>
  <si>
    <t>114:22:18.1992 (-114.371722) West</t>
  </si>
  <si>
    <t>Samuel Brownlee</t>
  </si>
  <si>
    <t>samuel.brownlee@usda.gov</t>
  </si>
  <si>
    <t xml:space="preserve">(406) 531-9670 </t>
  </si>
  <si>
    <t>dani.johnson@usda.gov, erin.oloughlin@usda.gov, samuel.brownlee@usda.gov</t>
  </si>
  <si>
    <t>LOLO PORTABLE #10</t>
  </si>
  <si>
    <t>32BC835A</t>
  </si>
  <si>
    <t>47:09:13.0212 (47.153617) North</t>
  </si>
  <si>
    <t>114:44:39.48 (-114.7443) West</t>
  </si>
  <si>
    <t xml:space="preserve">(406) 529-8019 </t>
  </si>
  <si>
    <t>Daniel Campbell</t>
  </si>
  <si>
    <t>daniel.campbell@usda.gov</t>
  </si>
  <si>
    <t>LOLO PORTABLE #2</t>
  </si>
  <si>
    <t>326F01BA</t>
  </si>
  <si>
    <t>47:22:31.5012 (47.375417) North</t>
  </si>
  <si>
    <t>115:25:24.6 (-115.4235) West</t>
  </si>
  <si>
    <t>Dan Campbell</t>
  </si>
  <si>
    <t>lorie.cotter@usda.gov</t>
  </si>
  <si>
    <t>LOLO PORTABLE #3</t>
  </si>
  <si>
    <t>47:36:46.5012 (47.612917) North</t>
  </si>
  <si>
    <t>115:27:06.7212 (-115.451867) West</t>
  </si>
  <si>
    <t>Trevor Unsworth</t>
  </si>
  <si>
    <t>trevor.unsworth@usda.gov</t>
  </si>
  <si>
    <t xml:space="preserve">(406) 826-4325 </t>
  </si>
  <si>
    <t>LOLO PORTABLE #4</t>
  </si>
  <si>
    <t>3289C1E0</t>
  </si>
  <si>
    <t>47:07:34.7016 (47.126306) North</t>
  </si>
  <si>
    <t>113:09:05.4 (-113.1515) West</t>
  </si>
  <si>
    <t>Donovan Suko</t>
  </si>
  <si>
    <t>donovan.suko@usda.gov</t>
  </si>
  <si>
    <t xml:space="preserve">(406) 544-9562 </t>
  </si>
  <si>
    <t>LOLO PORTABLE #5</t>
  </si>
  <si>
    <t>32B21C82</t>
  </si>
  <si>
    <t>46:33:56.2212 (46.565617) North</t>
  </si>
  <si>
    <t>113:48:43.9812 (-113.812217) West</t>
  </si>
  <si>
    <t>Theoden Johnson</t>
  </si>
  <si>
    <t>theoden.m.johnson@usda.gov</t>
  </si>
  <si>
    <t>theoden.m.johnson@usda.gov, travis.pfister@usda.gov</t>
  </si>
  <si>
    <t>LOLO PORTABLE #6</t>
  </si>
  <si>
    <t>32B7CD2A</t>
  </si>
  <si>
    <t>46:46:51.78 (46.78105) North</t>
  </si>
  <si>
    <t>114:35:20.04 (-114.5889) West</t>
  </si>
  <si>
    <t>Sam Brownlee</t>
  </si>
  <si>
    <t>LOLO PORTABLE #7</t>
  </si>
  <si>
    <t>32B55DBC</t>
  </si>
  <si>
    <t>47:15:59.58 (47.26655) North</t>
  </si>
  <si>
    <t>113:37:12.9 (-113.62025) West</t>
  </si>
  <si>
    <t>LOLO PORTABLE #8</t>
  </si>
  <si>
    <t>323685B0</t>
  </si>
  <si>
    <t>47:21:22.7988 (47.356333) North</t>
  </si>
  <si>
    <t>115:15:31.32 (-115.2587) West</t>
  </si>
  <si>
    <t>LOLO PORTABLE #9</t>
  </si>
  <si>
    <t>326C93D6</t>
  </si>
  <si>
    <t>46:59:18.2004 (46.988389) North</t>
  </si>
  <si>
    <t>114:01:30 (-114.025) West</t>
  </si>
  <si>
    <t>theoden.m.johnson</t>
  </si>
  <si>
    <t>LONE ISLAND</t>
  </si>
  <si>
    <t>396008DE</t>
  </si>
  <si>
    <t>58:43:18.7248 (58.721868) North</t>
  </si>
  <si>
    <t>136:17:42.1152 (-136.295032) West</t>
  </si>
  <si>
    <t>LONG CANE</t>
  </si>
  <si>
    <t>Edgefield</t>
  </si>
  <si>
    <t>328750EA</t>
  </si>
  <si>
    <t>33:55:22.0008 (33.922778) North</t>
  </si>
  <si>
    <t>82:08:33 (-82.1425) West</t>
  </si>
  <si>
    <t>STEPHEN POLK</t>
  </si>
  <si>
    <t>stephen.polk@usda.gov</t>
  </si>
  <si>
    <t xml:space="preserve">(803) 561-4057 </t>
  </si>
  <si>
    <t>LONG CANE PORTABLE</t>
  </si>
  <si>
    <t>32B0B98E</t>
  </si>
  <si>
    <t>33:42:51.1992 (33.714222) North</t>
  </si>
  <si>
    <t>82:02:07.1988 (-82.035333) West</t>
  </si>
  <si>
    <t>Stephen Polk</t>
  </si>
  <si>
    <t xml:space="preserve">(803) 561-4086 </t>
  </si>
  <si>
    <t>Jamie Atkins</t>
  </si>
  <si>
    <t>james.atkins@usda.gov</t>
  </si>
  <si>
    <t xml:space="preserve">(706) 955-5986 </t>
  </si>
  <si>
    <t>LONG HOLLOW</t>
  </si>
  <si>
    <t>325BA208</t>
  </si>
  <si>
    <t>41:32:18.9996 (41.538611) North</t>
  </si>
  <si>
    <t>116:13:05.9988 (-116.218333) West</t>
  </si>
  <si>
    <t>LONG LAKE NWR</t>
  </si>
  <si>
    <t>Burleigh</t>
  </si>
  <si>
    <t>837A9412</t>
  </si>
  <si>
    <t>46:40:53.0004 (46.681389) North</t>
  </si>
  <si>
    <t>100:14:17.9988 (-100.238333) West</t>
  </si>
  <si>
    <t xml:space="preserve"> jason_wagner@fws.gov,  jeff_dion@fws.gov,  tate_fischer@fws.gov, candvik@usda.gov</t>
  </si>
  <si>
    <t>LONG PRAIRIE</t>
  </si>
  <si>
    <t>124:13:23.9988 (-124.223333) West</t>
  </si>
  <si>
    <t xml:space="preserve">(541) 572-2796 </t>
  </si>
  <si>
    <t>LOOKOUT MOUNTAIN</t>
  </si>
  <si>
    <t>328F8224</t>
  </si>
  <si>
    <t>39:43:27.0012 (39.724167) North</t>
  </si>
  <si>
    <t>105:15:01.0008 (-105.250278) West</t>
  </si>
  <si>
    <t>LOS ALTOS</t>
  </si>
  <si>
    <t>CA41F5F8</t>
  </si>
  <si>
    <t>37:21:16.9992 (37.354722) North</t>
  </si>
  <si>
    <t>122:08:30.0012 (-122.141667) West</t>
  </si>
  <si>
    <t>ROBERT SMITH</t>
  </si>
  <si>
    <t>bob.smith@cnt.sccgov.org</t>
  </si>
  <si>
    <t xml:space="preserve">(408) 378-4010 </t>
  </si>
  <si>
    <t>LOS BANOS</t>
  </si>
  <si>
    <t>Merced</t>
  </si>
  <si>
    <t>CA2311CC</t>
  </si>
  <si>
    <t>37:03:17.28 (37.0548) North</t>
  </si>
  <si>
    <t>121:03:11.1384 (-121.053094) West</t>
  </si>
  <si>
    <t>LOS GATOS</t>
  </si>
  <si>
    <t>CA4A56A8</t>
  </si>
  <si>
    <t>37:12:15.0012 (37.204167) North</t>
  </si>
  <si>
    <t>121:57:02.9988 (-121.950833) West</t>
  </si>
  <si>
    <t>BOB SMITH</t>
  </si>
  <si>
    <t>LOS PRIETOS</t>
  </si>
  <si>
    <t>3267907E</t>
  </si>
  <si>
    <t>34:32:39.8292 (34.544397) North</t>
  </si>
  <si>
    <t>119:47:28.6296 (-119.791286) West</t>
  </si>
  <si>
    <t>Timothy Hearson</t>
  </si>
  <si>
    <t>timothy.hearson@usda.gov</t>
  </si>
  <si>
    <t xml:space="preserve">(805) 705-8134 </t>
  </si>
  <si>
    <t>cassandra.buckley</t>
  </si>
  <si>
    <t>LOS VAQUEROS</t>
  </si>
  <si>
    <t>CA270780</t>
  </si>
  <si>
    <t>37:47:17.9988 (37.788333) North</t>
  </si>
  <si>
    <t>121:44:04.9992 (-121.734722) West</t>
  </si>
  <si>
    <t>CONTRA COSTA COUNTY</t>
  </si>
  <si>
    <t>John Howard</t>
  </si>
  <si>
    <t>jhoward@ccwater.com</t>
  </si>
  <si>
    <t xml:space="preserve">(925) 240-2370 </t>
  </si>
  <si>
    <t>Watershed &amp; Lands Station</t>
  </si>
  <si>
    <t xml:space="preserve">(925) 688-8000 </t>
  </si>
  <si>
    <t>LOST CREEK</t>
  </si>
  <si>
    <t>3254F4E6</t>
  </si>
  <si>
    <t>38:46:49.5012 (38.780417) North</t>
  </si>
  <si>
    <t>111:51:55.6992 (-111.865472) West</t>
  </si>
  <si>
    <t>66:02:33 (66.0425) North</t>
  </si>
  <si>
    <t>147:58:17.0004 (-147.971389) West</t>
  </si>
  <si>
    <t>LOST HORSE</t>
  </si>
  <si>
    <t>FA6065D0</t>
  </si>
  <si>
    <t>34:01:04.0512 (34.017792) North</t>
  </si>
  <si>
    <t>116:11:18.8484 (-116.188569) West</t>
  </si>
  <si>
    <t>JOSHUA TREE NM</t>
  </si>
  <si>
    <t>LOST LAKE</t>
  </si>
  <si>
    <t>3249D6F2</t>
  </si>
  <si>
    <t>48:52:31.0008 (48.875278) North</t>
  </si>
  <si>
    <t>119:04:00.0012 (-119.066667) West</t>
  </si>
  <si>
    <t>Krissy Call</t>
  </si>
  <si>
    <t>krissy.call@usda.gov</t>
  </si>
  <si>
    <t xml:space="preserve">(509) 486-5151 </t>
  </si>
  <si>
    <t xml:space="preserve">Taylor Orteg </t>
  </si>
  <si>
    <t>taylor.orteg@usda.gov</t>
  </si>
  <si>
    <t xml:space="preserve">(509) 486-5127 </t>
  </si>
  <si>
    <t>edwin.wall@usda.gov, scott.s.smith@usda.gov, shane.robson@usda.gov</t>
  </si>
  <si>
    <t>LOST MAPLES SNA</t>
  </si>
  <si>
    <t>Bandera</t>
  </si>
  <si>
    <t>32B06134</t>
  </si>
  <si>
    <t>29:49:26.0004 (29.823889) North</t>
  </si>
  <si>
    <t>99:35:57.9984 (-99.599444) West</t>
  </si>
  <si>
    <t>LOST PARK</t>
  </si>
  <si>
    <t>3290053C</t>
  </si>
  <si>
    <t>39:18:24.9984 (39.306944) North</t>
  </si>
  <si>
    <t>105:32:34.0008 (-105.542778) West</t>
  </si>
  <si>
    <t>LOSTWOOD</t>
  </si>
  <si>
    <t>Burke</t>
  </si>
  <si>
    <t>48:38:53.0016 (48.648056) North</t>
  </si>
  <si>
    <t>102:24:23.0004 (-102.406389) West</t>
  </si>
  <si>
    <t>LOUISVILLE</t>
  </si>
  <si>
    <t>3100716C</t>
  </si>
  <si>
    <t>32:59:09.9996 (32.986111) North</t>
  </si>
  <si>
    <t>82:22:55.9992 (-82.382222) West</t>
  </si>
  <si>
    <t>Chjones@gfc.state.ga.us</t>
  </si>
  <si>
    <t>LOWER KAHUKU CS</t>
  </si>
  <si>
    <t>32D620C2</t>
  </si>
  <si>
    <t>19:06:02.7 (19.10075) North</t>
  </si>
  <si>
    <t>155:40:10.5996 (-155.669611) West</t>
  </si>
  <si>
    <t>eric_johnson@fws.gov, greg.mccurdy@dri.edu</t>
  </si>
  <si>
    <t>LOWER KLAMATH - FTS</t>
  </si>
  <si>
    <t>41:59:57.0012 (41.999167) North</t>
  </si>
  <si>
    <t>121:42:01.0008 (-121.700278) West</t>
  </si>
  <si>
    <t>LOWER KLAMATH NWR</t>
  </si>
  <si>
    <t>Joseph Spivey</t>
  </si>
  <si>
    <t>james_roberts@fws.gov, john_brodbeck@fws.gov, philip_bordelon@fws.gov, ryan_aeby@fws.gov</t>
  </si>
  <si>
    <t>LOWER SUWANNEE</t>
  </si>
  <si>
    <t>837724FA</t>
  </si>
  <si>
    <t>29:22:22.0008 (29.372778) North</t>
  </si>
  <si>
    <t>83:02:40.9992 (-83.044722) West</t>
  </si>
  <si>
    <t>LOWER SUWANNEE NWR</t>
  </si>
  <si>
    <t>VICTOR DOIG</t>
  </si>
  <si>
    <t>victor_doig@fws.gov</t>
  </si>
  <si>
    <t xml:space="preserve">(352) 493-0238 </t>
  </si>
  <si>
    <t>LOWVILLE</t>
  </si>
  <si>
    <t>6250B6E6</t>
  </si>
  <si>
    <t>43:48:34.9992 (43.809722) North</t>
  </si>
  <si>
    <t>75:28:23.9988 (-75.473333) West</t>
  </si>
  <si>
    <t>Gregory Rutley</t>
  </si>
  <si>
    <t>gregory.rutley@dec.ny.gov</t>
  </si>
  <si>
    <t>(315) 265-3090 6131</t>
  </si>
  <si>
    <t>LOXAHATCHEE</t>
  </si>
  <si>
    <t>8379931C</t>
  </si>
  <si>
    <t>26:29:17 (26.488056) North</t>
  </si>
  <si>
    <t>80:25:37 (-80.426944) West</t>
  </si>
  <si>
    <t>Jon Wallace</t>
  </si>
  <si>
    <t xml:space="preserve">(561) 436-2067 </t>
  </si>
  <si>
    <t>LPF01 PORTABLE</t>
  </si>
  <si>
    <t>AAB6C22C</t>
  </si>
  <si>
    <t>36:18:40.5 (36.31125) North</t>
  </si>
  <si>
    <t>121:34:05.9016 (-121.568306) West</t>
  </si>
  <si>
    <t>LPF02 PORTABLE</t>
  </si>
  <si>
    <t>34:26:42.2016 (34.445056) North</t>
  </si>
  <si>
    <t>119:37:34.2012 (-119.626167) West</t>
  </si>
  <si>
    <t>Chris Massanari</t>
  </si>
  <si>
    <t>chris.massanari@usda.gov</t>
  </si>
  <si>
    <t xml:space="preserve">(805) 967-3481 </t>
  </si>
  <si>
    <t>rayfield.dilonardo@usda.gov</t>
  </si>
  <si>
    <t xml:space="preserve">(805) 438-5711 </t>
  </si>
  <si>
    <t>LPF03 PORTABLE</t>
  </si>
  <si>
    <t>35:06:47.1996 (35.113111) North</t>
  </si>
  <si>
    <t>120:05:33.6984 (-120.092694) West</t>
  </si>
  <si>
    <t>Owen Clift</t>
  </si>
  <si>
    <t>owen.clift@usda.gov</t>
  </si>
  <si>
    <t xml:space="preserve">(805) 720-0518 </t>
  </si>
  <si>
    <t xml:space="preserve">LPF04 PORTABLE </t>
  </si>
  <si>
    <t>327167AA</t>
  </si>
  <si>
    <t>34:46:02.3304 (34.767314) North</t>
  </si>
  <si>
    <t>118:58:52.2192 (-118.981172) West</t>
  </si>
  <si>
    <t>Luis Orellana</t>
  </si>
  <si>
    <t>LPF05 PORTABLE (FRAZIER)</t>
  </si>
  <si>
    <t>AAB6E4C0</t>
  </si>
  <si>
    <t>34:46:36.5016 (34.776806) North</t>
  </si>
  <si>
    <t>118:57:50.6016 (-118.964056) West</t>
  </si>
  <si>
    <t xml:space="preserve"> Joseph Romero</t>
  </si>
  <si>
    <t>Joseph.Romero@usda.gov</t>
  </si>
  <si>
    <t xml:space="preserve">(805) 804-7386 </t>
  </si>
  <si>
    <t>LPF06 PORTABLE</t>
  </si>
  <si>
    <t>3286A294</t>
  </si>
  <si>
    <t>34:44:23.7012 (34.739917) North</t>
  </si>
  <si>
    <t>119:58:54.5016 (-119.981806) West</t>
  </si>
  <si>
    <t>Owen.clift@usda.gov</t>
  </si>
  <si>
    <t>LPF88 PORTABLE</t>
  </si>
  <si>
    <t>327EC1C0</t>
  </si>
  <si>
    <t>36:00:02.5992 (36.000722) North</t>
  </si>
  <si>
    <t>121:14:08.1996 (-121.235611) West</t>
  </si>
  <si>
    <t>LSFO 1 QD</t>
  </si>
  <si>
    <t>32A03804</t>
  </si>
  <si>
    <t>33:08:24.8064 (33.140224) North</t>
  </si>
  <si>
    <t>112:37:33.2004 (-112.625889) West</t>
  </si>
  <si>
    <t>ARIZONA STATE OFFICE</t>
  </si>
  <si>
    <t>Michael Deahler</t>
  </si>
  <si>
    <t>mdeahler@blm.gov</t>
  </si>
  <si>
    <t xml:space="preserve">(623) 580-5645 </t>
  </si>
  <si>
    <t>wayne Monger</t>
  </si>
  <si>
    <t>dmonger@blm.gov</t>
  </si>
  <si>
    <t xml:space="preserve">(623) 580-5683 </t>
  </si>
  <si>
    <t>Campbell Scientific - CR10 (CR10)</t>
  </si>
  <si>
    <t>LSFO 10 QD</t>
  </si>
  <si>
    <t>32A16A82</t>
  </si>
  <si>
    <t>mdaehler@blm.gov</t>
  </si>
  <si>
    <t xml:space="preserve">(623) 580-5646 </t>
  </si>
  <si>
    <t>Wayne Monger</t>
  </si>
  <si>
    <t>LSFO 2 QD</t>
  </si>
  <si>
    <t>32A04E94</t>
  </si>
  <si>
    <t>LSFO 3 QD</t>
  </si>
  <si>
    <t>32A05DE2</t>
  </si>
  <si>
    <t>LSFO 4 QD</t>
  </si>
  <si>
    <t>32A06878</t>
  </si>
  <si>
    <t>LSFO 5 QD</t>
  </si>
  <si>
    <t>32A07B0E</t>
  </si>
  <si>
    <t>LSFO 6 QD</t>
  </si>
  <si>
    <t>32A08B8A</t>
  </si>
  <si>
    <t>LSFO 7 QD</t>
  </si>
  <si>
    <t>32A098FC</t>
  </si>
  <si>
    <t>LSFO 8 QD</t>
  </si>
  <si>
    <t>32A1342C</t>
  </si>
  <si>
    <t>LSFO 9 QD</t>
  </si>
  <si>
    <t>32A13AFE</t>
  </si>
  <si>
    <t>LUFKIN</t>
  </si>
  <si>
    <t>Angelina</t>
  </si>
  <si>
    <t>31:18:43.9992 (31.312222) North</t>
  </si>
  <si>
    <t>94:49:32.9988 (-94.825833) West</t>
  </si>
  <si>
    <t>LUJAN</t>
  </si>
  <si>
    <t>3240D0AE</t>
  </si>
  <si>
    <t>38:15:16.8012 (38.254667) North</t>
  </si>
  <si>
    <t>106:34:03.9 (-106.56775) West</t>
  </si>
  <si>
    <t xml:space="preserve">(970) 200-4565 </t>
  </si>
  <si>
    <t>ahester@blm.gov, david.carr@usda.gov, james.ramirez2@usda.gov, pat.medina@usda.gov</t>
  </si>
  <si>
    <t>LUMBERJACK</t>
  </si>
  <si>
    <t>Nacogdoches</t>
  </si>
  <si>
    <t>32B082C6</t>
  </si>
  <si>
    <t>31:45:33.0012 (31.759167) North</t>
  </si>
  <si>
    <t>94:39:29.0016 (-94.658056) West</t>
  </si>
  <si>
    <t>LUMBERTON</t>
  </si>
  <si>
    <t>Robeson</t>
  </si>
  <si>
    <t>AAB0A704</t>
  </si>
  <si>
    <t>34:35:42.2988 (34.595083) North</t>
  </si>
  <si>
    <t>79:05:05.7984 (-79.084944) West</t>
  </si>
  <si>
    <t>LUNA</t>
  </si>
  <si>
    <t>AAC074C0</t>
  </si>
  <si>
    <t>33:49:22.4004 (33.822889) North</t>
  </si>
  <si>
    <t>108:56:35.1996 (-108.943111) West</t>
  </si>
  <si>
    <t>LUNDY</t>
  </si>
  <si>
    <t>32B33894</t>
  </si>
  <si>
    <t>38:02:18.2004 (38.038389) North</t>
  </si>
  <si>
    <t>119:10:09.6996 (-119.169361) West</t>
  </si>
  <si>
    <t>Lance Rosen</t>
  </si>
  <si>
    <t xml:space="preserve">(760) 937-1806 </t>
  </si>
  <si>
    <t>shuckstep@blm.gov, tmcguire@blm.gov</t>
  </si>
  <si>
    <t>LYNCH CANYON</t>
  </si>
  <si>
    <t>CA51D48A</t>
  </si>
  <si>
    <t>35:36:42.0012 (35.611667) North</t>
  </si>
  <si>
    <t>118:24:18 (-118.405) West</t>
  </si>
  <si>
    <t>LYNX</t>
  </si>
  <si>
    <t>32B661FA</t>
  </si>
  <si>
    <t>64:39:15.0012 (64.654167) North</t>
  </si>
  <si>
    <t>146:55:33.8016 (-146.926056) West</t>
  </si>
  <si>
    <t>LYONS VALLEY</t>
  </si>
  <si>
    <t>39:07:32.9988 (39.125833) North</t>
  </si>
  <si>
    <t>123:04:23.9988 (-123.073333) West</t>
  </si>
  <si>
    <t>LYTLE CREEK</t>
  </si>
  <si>
    <t>3275E484</t>
  </si>
  <si>
    <t>34:14:02.0004 (34.233889) North</t>
  </si>
  <si>
    <t>117:28:49.0008 (-117.480278) West</t>
  </si>
  <si>
    <t xml:space="preserve">(951) 849-8110 </t>
  </si>
  <si>
    <t xml:space="preserve"> shuckstep@blm.gov, ahester@blm.gov, bryan.vergne@usda.gov</t>
  </si>
  <si>
    <t>MACON (BACKUP)</t>
  </si>
  <si>
    <t>Bibb</t>
  </si>
  <si>
    <t>32:48:18.4212 (32.805117) North</t>
  </si>
  <si>
    <t>83:32:19.32 (-83.5387) West</t>
  </si>
  <si>
    <t xml:space="preserve"> - </t>
  </si>
  <si>
    <t>MAD RIVER</t>
  </si>
  <si>
    <t>3242B0BC</t>
  </si>
  <si>
    <t>40:27:46.8792 (40.463022) North</t>
  </si>
  <si>
    <t>123:31:25.6296 (-123.523786) West</t>
  </si>
  <si>
    <t>Jamie Willburn</t>
  </si>
  <si>
    <t>Jamie.Willburn@usda.gov</t>
  </si>
  <si>
    <t xml:space="preserve">(530) 254-4098 </t>
  </si>
  <si>
    <t>MAGDALENA</t>
  </si>
  <si>
    <t>33:51:03.9996 (33.851111) North</t>
  </si>
  <si>
    <t>107:32:21.0012 (-107.539167) West</t>
  </si>
  <si>
    <t xml:space="preserve">Melissa Olsen </t>
  </si>
  <si>
    <t>MAGEE PEAK</t>
  </si>
  <si>
    <t>3273F73C</t>
  </si>
  <si>
    <t>47:53:01.41 (47.883725) North</t>
  </si>
  <si>
    <t>116:17:56.3316 (-116.298981) West</t>
  </si>
  <si>
    <t>MAGPIE CREEK</t>
  </si>
  <si>
    <t>Todd</t>
  </si>
  <si>
    <t>521167F6</t>
  </si>
  <si>
    <t>43:19:06.0312 (43.318342) North</t>
  </si>
  <si>
    <t>101:08:43.17 (-101.145325) West</t>
  </si>
  <si>
    <t>Rosebud Agency</t>
  </si>
  <si>
    <t>Bert Shields</t>
  </si>
  <si>
    <t>bert.shields@bia.gov</t>
  </si>
  <si>
    <t xml:space="preserve">(605) 747-2700 </t>
  </si>
  <si>
    <t>MAIN BOULDER</t>
  </si>
  <si>
    <t>323FE60A</t>
  </si>
  <si>
    <t>45:27:29.25 (45.458125) North</t>
  </si>
  <si>
    <t>110:11:51.6516 (-110.197681) West</t>
  </si>
  <si>
    <t>MAJUBA</t>
  </si>
  <si>
    <t>325027B4</t>
  </si>
  <si>
    <t>40:46:21.9 (40.77275) North</t>
  </si>
  <si>
    <t>118:31:11.6004 (-118.519889) West</t>
  </si>
  <si>
    <t>MAKAHA RIDGE</t>
  </si>
  <si>
    <t>3286026C</t>
  </si>
  <si>
    <t>22:07:47.1 (22.12975) North</t>
  </si>
  <si>
    <t>159:43:20.4708 (-159.722353) West</t>
  </si>
  <si>
    <t>MAKAPULAPAI</t>
  </si>
  <si>
    <t>Kalawao</t>
  </si>
  <si>
    <t>FA9024CE</t>
  </si>
  <si>
    <t>21:12:12 (21.203333) North</t>
  </si>
  <si>
    <t>156:57:58 (-156.966111) West</t>
  </si>
  <si>
    <t>KALAUPAPA NHP</t>
  </si>
  <si>
    <t>Kelly Moore</t>
  </si>
  <si>
    <t>kelly_moore@nps.gov</t>
  </si>
  <si>
    <t>(808) 572-6802 502</t>
  </si>
  <si>
    <t>Glauco Puig-Santana</t>
  </si>
  <si>
    <t>glauco_puigsantana@nps.gov</t>
  </si>
  <si>
    <t>(808) 572-6802 510</t>
  </si>
  <si>
    <t>MAKUA RANGE</t>
  </si>
  <si>
    <t>3266B468</t>
  </si>
  <si>
    <t>21:31:42.9996 (21.528611) North</t>
  </si>
  <si>
    <t>158:13:33.9996 (-158.226111) West</t>
  </si>
  <si>
    <t>MAKUA RIDGE</t>
  </si>
  <si>
    <t>3266C2F8</t>
  </si>
  <si>
    <t>21:32:34.0008 (21.542778) North</t>
  </si>
  <si>
    <t>158:11:56.0004 (-158.198889) West</t>
  </si>
  <si>
    <t>MAKUA VALLEY</t>
  </si>
  <si>
    <t>324C075A</t>
  </si>
  <si>
    <t>21:31:33.9996 (21.526111) North</t>
  </si>
  <si>
    <t>158:12:15.0012 (-158.204167) West</t>
  </si>
  <si>
    <t>MALHEUR PORTABLE</t>
  </si>
  <si>
    <t>8375579E</t>
  </si>
  <si>
    <t>42:49:37.7004 (42.827139) North</t>
  </si>
  <si>
    <t>118:53:20.0004 (-118.888889) West</t>
  </si>
  <si>
    <t>MALHEUR NWR</t>
  </si>
  <si>
    <t>Shane Theall (Cell)</t>
  </si>
  <si>
    <t>shane_theall@fws.gov</t>
  </si>
  <si>
    <t xml:space="preserve">(541) 413-0098 </t>
  </si>
  <si>
    <t>Dan Yturriondobeitia</t>
  </si>
  <si>
    <t>daniel_yturriondobeitia@fws.gov</t>
  </si>
  <si>
    <t xml:space="preserve">(541) 589-5221 </t>
  </si>
  <si>
    <t>MALHEUR PORTABLE 1</t>
  </si>
  <si>
    <t>32BA468A</t>
  </si>
  <si>
    <t>44:39:26.3988 (44.657333) North</t>
  </si>
  <si>
    <t>118:34:13.98 (-118.57055) West</t>
  </si>
  <si>
    <t>Aaron Kienzle (Cell)</t>
  </si>
  <si>
    <t>Dave Maynard</t>
  </si>
  <si>
    <t xml:space="preserve">(541) 820-3815 </t>
  </si>
  <si>
    <t>MALHEUR PORTABLE 2</t>
  </si>
  <si>
    <t>32BA4858</t>
  </si>
  <si>
    <t>44:11:27.4992 (44.190972) North</t>
  </si>
  <si>
    <t>118:24:11.9016 (-118.403306) West</t>
  </si>
  <si>
    <t>MALIBU CANYON</t>
  </si>
  <si>
    <t>CA29660E</t>
  </si>
  <si>
    <t>34:05:02.1804 (34.083939) North</t>
  </si>
  <si>
    <t>118:42:12.42 (-118.70345) West</t>
  </si>
  <si>
    <t>MALIBU HILLS</t>
  </si>
  <si>
    <t>CA4173EC</t>
  </si>
  <si>
    <t>34:03:41.62 (34.061561) North</t>
  </si>
  <si>
    <t>118:38:42.7899 (-118.645219) West</t>
  </si>
  <si>
    <t>MALLORY RIDGE</t>
  </si>
  <si>
    <t>CA40B408</t>
  </si>
  <si>
    <t>37:49:01.9992 (37.817222) North</t>
  </si>
  <si>
    <t>121:46:44.0004 (-121.778889) West</t>
  </si>
  <si>
    <t>Watershed &amp; Lands Dept</t>
  </si>
  <si>
    <t>MALPAIS LAVA FLOW</t>
  </si>
  <si>
    <t>324B837A</t>
  </si>
  <si>
    <t>34:51:06.5016 (34.851806) North</t>
  </si>
  <si>
    <t>108:10:28.4016 (-108.174556) West</t>
  </si>
  <si>
    <t>MAMMOTH</t>
  </si>
  <si>
    <t>44:58:37.9992 (44.977222) North</t>
  </si>
  <si>
    <t>110:41:43.0008 (-110.695278) West</t>
  </si>
  <si>
    <t>MANA</t>
  </si>
  <si>
    <t>4870603C</t>
  </si>
  <si>
    <t>22:01:45.9084 (22.029419) North</t>
  </si>
  <si>
    <t>159:45:44.4384 (-159.762344) West</t>
  </si>
  <si>
    <t>MANADA GAP</t>
  </si>
  <si>
    <t>Dauphin</t>
  </si>
  <si>
    <t>3333E634</t>
  </si>
  <si>
    <t>40:24:39.6 (40.411) North</t>
  </si>
  <si>
    <t>76:42:39.6 (-76.711) West</t>
  </si>
  <si>
    <t xml:space="preserve">(717) 861-2882 </t>
  </si>
  <si>
    <t>MANCHESTER</t>
  </si>
  <si>
    <t>326A067A</t>
  </si>
  <si>
    <t>39:06:19.0008 (39.105278) North</t>
  </si>
  <si>
    <t>105:08:17.0016 (-105.138056) West</t>
  </si>
  <si>
    <t>MANCHU</t>
  </si>
  <si>
    <t>D0D0264E</t>
  </si>
  <si>
    <t>64:41:48.4512 (64.696792) North</t>
  </si>
  <si>
    <t>147:01:00.5304 (-147.016814) West</t>
  </si>
  <si>
    <t>MANNING CORRAL DOGTOWN</t>
  </si>
  <si>
    <t>3276659E</t>
  </si>
  <si>
    <t>47:42:05.9004 (47.701639) North</t>
  </si>
  <si>
    <t>108:28:41.0988 (-108.478083) West</t>
  </si>
  <si>
    <t>MANTI - PORTABLE #1</t>
  </si>
  <si>
    <t>326D825A</t>
  </si>
  <si>
    <t>37:49:49.2996 (37.830361) North</t>
  </si>
  <si>
    <t>109:23:57.0012 (-109.399167) West</t>
  </si>
  <si>
    <t>Chris Strobl</t>
  </si>
  <si>
    <t>christopher.a.strobl@usda.gov</t>
  </si>
  <si>
    <t xml:space="preserve">(435) 636-3363 </t>
  </si>
  <si>
    <t>MANTI - PORTABLE #3</t>
  </si>
  <si>
    <t>010345A6</t>
  </si>
  <si>
    <t>38:56:56.76 (38.9491) North</t>
  </si>
  <si>
    <t>111:20:28.0716 (-111.341131) West</t>
  </si>
  <si>
    <t>Chris Stroble</t>
  </si>
  <si>
    <t xml:space="preserve">(436) 636-3363 </t>
  </si>
  <si>
    <t>MANTI - PORTABLE #4</t>
  </si>
  <si>
    <t>32D6934C</t>
  </si>
  <si>
    <t>37:49:49.1016 (37.830306) North</t>
  </si>
  <si>
    <t>109:23:56.9004 (-109.399139) West</t>
  </si>
  <si>
    <t>MANZANITA LAKE</t>
  </si>
  <si>
    <t>323470C0</t>
  </si>
  <si>
    <t>40:32:24.4104 (40.540114) North</t>
  </si>
  <si>
    <t>121:34:48.5904 (-121.580164) West</t>
  </si>
  <si>
    <t>MARBLEMOUNT</t>
  </si>
  <si>
    <t>FA64739C</t>
  </si>
  <si>
    <t>48:32:21.9984 (48.539444) North</t>
  </si>
  <si>
    <t>121:26:45.9996 (-121.446111) West</t>
  </si>
  <si>
    <t>MARIAH</t>
  </si>
  <si>
    <t>32419F8C</t>
  </si>
  <si>
    <t>45:32:12.0012 (45.536667) North</t>
  </si>
  <si>
    <t>115:18:38.0016 (-115.310556) West</t>
  </si>
  <si>
    <t>Jordan Byram</t>
  </si>
  <si>
    <t>jordan.j.byram@usda.gov</t>
  </si>
  <si>
    <t xml:space="preserve">(208) 842-2118 </t>
  </si>
  <si>
    <t>MARIANNA</t>
  </si>
  <si>
    <t>3275219A</t>
  </si>
  <si>
    <t>34:45:23.0004 (34.756389) North</t>
  </si>
  <si>
    <t>90:43:21 (-90.7225) West</t>
  </si>
  <si>
    <t>MARICAO</t>
  </si>
  <si>
    <t>Maricao</t>
  </si>
  <si>
    <t>78A01308</t>
  </si>
  <si>
    <t>18:09:42.0012 (18.161667) North</t>
  </si>
  <si>
    <t>67:01:33.9996 (-67.026111) West</t>
  </si>
  <si>
    <t xml:space="preserve"> Magaly Figueroa</t>
  </si>
  <si>
    <t>MARION</t>
  </si>
  <si>
    <t>391003A0</t>
  </si>
  <si>
    <t>31:12:41.0004 (31.211389) North</t>
  </si>
  <si>
    <t>89:55:21 (-89.9225) West</t>
  </si>
  <si>
    <t>MARION 01</t>
  </si>
  <si>
    <t>AAA26070</t>
  </si>
  <si>
    <t>34:11:09 (34.185833) North</t>
  </si>
  <si>
    <t>79:20:10.4 (-79.336222) West</t>
  </si>
  <si>
    <t xml:space="preserve">(843) 662-5571 </t>
  </si>
  <si>
    <t>MARIPOSA</t>
  </si>
  <si>
    <t>CA2235DA</t>
  </si>
  <si>
    <t>37:30:14.49 (37.504025) North</t>
  </si>
  <si>
    <t>119:59:12.4584 (-119.986794) West</t>
  </si>
  <si>
    <t>MARK TWAIN PORTABLE</t>
  </si>
  <si>
    <t>32B90C5C</t>
  </si>
  <si>
    <t>36:38:56.0004 (36.648889) North</t>
  </si>
  <si>
    <t>93:44:36.996 (-93.74361) West</t>
  </si>
  <si>
    <t>MARKLEEVILLE</t>
  </si>
  <si>
    <t>Alpine</t>
  </si>
  <si>
    <t>326D4744</t>
  </si>
  <si>
    <t>38:41:25.5984 (38.690444) North</t>
  </si>
  <si>
    <t>119:46:29.8992 (-119.774972) West</t>
  </si>
  <si>
    <t>MARLINTON</t>
  </si>
  <si>
    <t>Pocahontas</t>
  </si>
  <si>
    <t>38:13:27.9984 (38.224444) North</t>
  </si>
  <si>
    <t>80:02:16.0008 (-80.037778) West</t>
  </si>
  <si>
    <t>Colleen Urffer</t>
  </si>
  <si>
    <t>colleen.urffer@usda.gov</t>
  </si>
  <si>
    <t xml:space="preserve">(304) 992-5828 </t>
  </si>
  <si>
    <t>colleen.urffer@usda.gov, conor.shanahan@usda.gov</t>
  </si>
  <si>
    <t>MARQUEZ 2011</t>
  </si>
  <si>
    <t>325CF040</t>
  </si>
  <si>
    <t>36:21:34.8984 (36.359694) North</t>
  </si>
  <si>
    <t>120:46:22.8 (-120.773) West</t>
  </si>
  <si>
    <t>Keegan Guillory</t>
  </si>
  <si>
    <t>kguillory@blm.gov</t>
  </si>
  <si>
    <t xml:space="preserve">(831) 334-0419 </t>
  </si>
  <si>
    <t>MARSHALL CO</t>
  </si>
  <si>
    <t>8376A014</t>
  </si>
  <si>
    <t>45:48:14.0004 (45.803889) North</t>
  </si>
  <si>
    <t>97:27:02.9988 (-97.450833) West</t>
  </si>
  <si>
    <t>TEWAUKON NW</t>
  </si>
  <si>
    <t>MARTIN CREEK</t>
  </si>
  <si>
    <t>32A1F132</t>
  </si>
  <si>
    <t>41:40:39 (41.6775) North</t>
  </si>
  <si>
    <t>117:18:25.8984 (-117.307194) West</t>
  </si>
  <si>
    <t>Derek Messmer</t>
  </si>
  <si>
    <t>dmessmer@blm.gov</t>
  </si>
  <si>
    <t xml:space="preserve">(775) 623-1583 </t>
  </si>
  <si>
    <t>MASON</t>
  </si>
  <si>
    <t>30:44:08.9988 (30.735833) North</t>
  </si>
  <si>
    <t>99:11:11.0004 (-99.186389) West</t>
  </si>
  <si>
    <t>MATADOR</t>
  </si>
  <si>
    <t>Cottle</t>
  </si>
  <si>
    <t>884252FE</t>
  </si>
  <si>
    <t>34:07:03.1404 (34.117539) North</t>
  </si>
  <si>
    <t>100:20:40.4916 (-100.344581) West</t>
  </si>
  <si>
    <t>MATAGORDA ISLAND</t>
  </si>
  <si>
    <t>8378478E</t>
  </si>
  <si>
    <t>28:07:22.4004 (28.122889) North</t>
  </si>
  <si>
    <t>96:48:07.8984 (-96.802194) West</t>
  </si>
  <si>
    <t>MATEO RIDGE</t>
  </si>
  <si>
    <t>923005D8</t>
  </si>
  <si>
    <t>33:24:56.4336 (33.415676) North</t>
  </si>
  <si>
    <t>117:31:28.5528 (-117.524598) West</t>
  </si>
  <si>
    <t>MATHER</t>
  </si>
  <si>
    <t>FA6290A0</t>
  </si>
  <si>
    <t>39:01:22.0008 (39.022778) North</t>
  </si>
  <si>
    <t>114:16:19.9992 (-114.272222) West</t>
  </si>
  <si>
    <t>ELIZABETH CRISTOBAL</t>
  </si>
  <si>
    <t>beth_cristobal@nps.gov</t>
  </si>
  <si>
    <t xml:space="preserve">(775) 234-7542 </t>
  </si>
  <si>
    <t>Elizabeth Cristobal</t>
  </si>
  <si>
    <t>MAUMEE</t>
  </si>
  <si>
    <t>6140506C</t>
  </si>
  <si>
    <t>41:31:50 (41.530556) North</t>
  </si>
  <si>
    <t>83:55:46 (-83.929444) West</t>
  </si>
  <si>
    <t>Thomas.Shuman@dnr.state.oh.us</t>
  </si>
  <si>
    <t xml:space="preserve">(740) 774-1596 </t>
  </si>
  <si>
    <t>MAUNA LOA</t>
  </si>
  <si>
    <t>FA4447E8</t>
  </si>
  <si>
    <t>19:28:24.9996 (19.473611) North</t>
  </si>
  <si>
    <t>155:21:32.0004 (-155.358889) West</t>
  </si>
  <si>
    <t>MAY CREEK</t>
  </si>
  <si>
    <t>FA60433C</t>
  </si>
  <si>
    <t>61:20:51 (61.3475) North</t>
  </si>
  <si>
    <t>142:42:20.58 (-142.705717) West</t>
  </si>
  <si>
    <t>MAYAGUEZ</t>
  </si>
  <si>
    <t>Mayaguez</t>
  </si>
  <si>
    <t>32B43AA0</t>
  </si>
  <si>
    <t>Lt. Joel Figueroa</t>
  </si>
  <si>
    <t>jfigueroa@bomberos.pr.gov</t>
  </si>
  <si>
    <t xml:space="preserve">(787) 461-3500 </t>
  </si>
  <si>
    <t>MAYHILL</t>
  </si>
  <si>
    <t>3283C0B2</t>
  </si>
  <si>
    <t>32:54:34.0992 (32.909472) North</t>
  </si>
  <si>
    <t>105:28:11.3016 (-105.469806) West</t>
  </si>
  <si>
    <t>MBOT</t>
  </si>
  <si>
    <t>32D3A116</t>
  </si>
  <si>
    <t>38:36:46.0008 (38.612778) North</t>
  </si>
  <si>
    <t>90:15:38.9988 (-90.260833) West</t>
  </si>
  <si>
    <t>Kayla Flamm</t>
  </si>
  <si>
    <t>kayla.flamm@mobot.org</t>
  </si>
  <si>
    <t xml:space="preserve">(314) 577-9473 </t>
  </si>
  <si>
    <t>MBR PORTABLE 1</t>
  </si>
  <si>
    <t>837854F8</t>
  </si>
  <si>
    <t>41:16:58.9188 (41.283033) North</t>
  </si>
  <si>
    <t>105:22:22.8 (-105.373) West</t>
  </si>
  <si>
    <t>Parker Johnson</t>
  </si>
  <si>
    <t>Parker.Johnson@usda.gov</t>
  </si>
  <si>
    <t xml:space="preserve">(307) 460-0968 </t>
  </si>
  <si>
    <t>MBRTBNZ QD-1</t>
  </si>
  <si>
    <t>Weston</t>
  </si>
  <si>
    <t>32E11FCE</t>
  </si>
  <si>
    <t>44:03:16.8696 (44.054686) North</t>
  </si>
  <si>
    <t>104:28:22.3608 (-104.472878) West</t>
  </si>
  <si>
    <t>MCARTHUR PASS</t>
  </si>
  <si>
    <t>3280244E</t>
  </si>
  <si>
    <t>59:28:21 (59.4725) North</t>
  </si>
  <si>
    <t>150:20:00.9996 (-150.333611) West</t>
  </si>
  <si>
    <t>MCCOOK RIDGE</t>
  </si>
  <si>
    <t>324CD132</t>
  </si>
  <si>
    <t>39:38:01.2984 (39.633694) North</t>
  </si>
  <si>
    <t>109:15:54.9 (-109.26525) West</t>
  </si>
  <si>
    <t>MCCRADY TRAINING CENTER</t>
  </si>
  <si>
    <t>AAAB2526</t>
  </si>
  <si>
    <t>34:02:22.6968 (34.039638) North</t>
  </si>
  <si>
    <t>80:44:21.9732 (-80.739437) West</t>
  </si>
  <si>
    <t>SCARNG - South Carolina Army National Guard</t>
  </si>
  <si>
    <t>Layne Anderson</t>
  </si>
  <si>
    <t>andersonll@tag.scmd.state.sc.us</t>
  </si>
  <si>
    <t xml:space="preserve">(803) 299-2237 </t>
  </si>
  <si>
    <t>MCFADDIN</t>
  </si>
  <si>
    <t>837184CC</t>
  </si>
  <si>
    <t>29:42:25.9992 (29.707222) North</t>
  </si>
  <si>
    <t>94:07:15.9996 (-94.121111) West</t>
  </si>
  <si>
    <t>MCFADDIN NWR</t>
  </si>
  <si>
    <t>MCFARLAND HILL</t>
  </si>
  <si>
    <t>FA62E630</t>
  </si>
  <si>
    <t>44:22:36.9984 (44.376944) North</t>
  </si>
  <si>
    <t>68:15:38.9988 (-68.260833) West</t>
  </si>
  <si>
    <t>MCGREGGOR RANGE</t>
  </si>
  <si>
    <t>326335BC</t>
  </si>
  <si>
    <t>32:25:52.7988 (32.431333) North</t>
  </si>
  <si>
    <t>105:37:18.5016 (-105.621806) West</t>
  </si>
  <si>
    <t>MCGREGOR</t>
  </si>
  <si>
    <t>McLennan</t>
  </si>
  <si>
    <t>884190EE</t>
  </si>
  <si>
    <t>31:23:02.0004 (31.383889) North</t>
  </si>
  <si>
    <t>97:24:46.0008 (-97.412778) West</t>
  </si>
  <si>
    <t>MCGUIRES</t>
  </si>
  <si>
    <t>CA2BB592</t>
  </si>
  <si>
    <t>39:21:56.9988 (39.365833) North</t>
  </si>
  <si>
    <t>123:39:14.0004 (-123.653889) West</t>
  </si>
  <si>
    <t>MCKELVIE</t>
  </si>
  <si>
    <t>Cherry</t>
  </si>
  <si>
    <t>32D0EBC0</t>
  </si>
  <si>
    <t>42:41:21.84 (42.6894) North</t>
  </si>
  <si>
    <t>101:07:41.664 (-101.12824) West</t>
  </si>
  <si>
    <t>MCKENZIE PORTABLE</t>
  </si>
  <si>
    <t>32A112C0</t>
  </si>
  <si>
    <t>44:09:37.3788 (44.160383) North</t>
  </si>
  <si>
    <t>122:04:20.5788 (-122.072383) West</t>
  </si>
  <si>
    <t>Frank Heilman</t>
  </si>
  <si>
    <t>frank.heilman@usda.gov</t>
  </si>
  <si>
    <t xml:space="preserve">(541) 822-7243 </t>
  </si>
  <si>
    <t>Brian Maier</t>
  </si>
  <si>
    <t>MCKINLEY RIVER</t>
  </si>
  <si>
    <t>FA6035AC</t>
  </si>
  <si>
    <t>63:38:55.4388 (63.648733) North</t>
  </si>
  <si>
    <t>151:38:30.3 (-151.64175) West</t>
  </si>
  <si>
    <t>MCRAE</t>
  </si>
  <si>
    <t>3100A704</t>
  </si>
  <si>
    <t>32:05:39.0012 (32.094167) North</t>
  </si>
  <si>
    <t>82:52:54.9984 (-82.881944) West</t>
  </si>
  <si>
    <t>MDF07 PORTABLE</t>
  </si>
  <si>
    <t>32B1C336</t>
  </si>
  <si>
    <t>41:26:49.1568 (41.446988) North</t>
  </si>
  <si>
    <t>121:29:35.6784 (-121.493244) West</t>
  </si>
  <si>
    <t>Chris Crowl</t>
  </si>
  <si>
    <t>christopher.crowl@usda.gov</t>
  </si>
  <si>
    <t xml:space="preserve">(541) 891-7158 </t>
  </si>
  <si>
    <t>MDF08 PORTABLE</t>
  </si>
  <si>
    <t>32D747DE</t>
  </si>
  <si>
    <t>41:36:21.1212 (41.605867) North</t>
  </si>
  <si>
    <t>121:03:03.8988 (-121.051083) West</t>
  </si>
  <si>
    <t>Jeffrey Gouveia</t>
  </si>
  <si>
    <t>jeffrey.gouveia@usda.gov</t>
  </si>
  <si>
    <t xml:space="preserve">(530) 708-0820 </t>
  </si>
  <si>
    <t>MDF09 PORTABLE</t>
  </si>
  <si>
    <t>32B6C102</t>
  </si>
  <si>
    <t>41:17:13.0812 (41.286967) North</t>
  </si>
  <si>
    <t>120:55:03.9 (-120.91775) West</t>
  </si>
  <si>
    <t>Trevor Hill</t>
  </si>
  <si>
    <t>trevor.hill@usda.gov</t>
  </si>
  <si>
    <t xml:space="preserve">(203) 216-8350 </t>
  </si>
  <si>
    <t>MDF10 PORTABLE</t>
  </si>
  <si>
    <t>32B6CFD0</t>
  </si>
  <si>
    <t>41:51:33.5988 (41.859333) North</t>
  </si>
  <si>
    <t>120:35:00.3012 (-120.583417) West</t>
  </si>
  <si>
    <t>Jeff Gouveia</t>
  </si>
  <si>
    <t>james.brogan@usda.gov, shuckstep@blm.gov</t>
  </si>
  <si>
    <t>MEAD</t>
  </si>
  <si>
    <t>Marathon</t>
  </si>
  <si>
    <t>537112F6</t>
  </si>
  <si>
    <t>44:41:49.9992 (44.697222) North</t>
  </si>
  <si>
    <t>89:51:56.9988 (-89.865833) West</t>
  </si>
  <si>
    <t xml:space="preserve">(715) 582-5040 </t>
  </si>
  <si>
    <t xml:space="preserve"> eric.martin@wisconsin.gov,  john.goldschmidt@wisconsin.gov, mark.conkey@wisconsin.gov</t>
  </si>
  <si>
    <t>MEAN PEAK</t>
  </si>
  <si>
    <t>323A975A</t>
  </si>
  <si>
    <t>38:23:50.6004 (38.397389) North</t>
  </si>
  <si>
    <t>119:31:30.7992 (-119.525222) West</t>
  </si>
  <si>
    <t>MEANDER</t>
  </si>
  <si>
    <t>48:07:12 (48.12) North</t>
  </si>
  <si>
    <t>92:09:32.0004 (-92.158889) West</t>
  </si>
  <si>
    <t>Jamie Chopp</t>
  </si>
  <si>
    <t>MEANS LAKE</t>
  </si>
  <si>
    <t>325333CC</t>
  </si>
  <si>
    <t>34:23:03.0984 (34.384194) North</t>
  </si>
  <si>
    <t>116:31:26.4 (-116.524) West</t>
  </si>
  <si>
    <t>GEORGE MIOCH (LAND OWNER)</t>
  </si>
  <si>
    <t xml:space="preserve">(760) 364-4328 </t>
  </si>
  <si>
    <t>MEDFORD PORT #1</t>
  </si>
  <si>
    <t>327DE022</t>
  </si>
  <si>
    <t>42:21:42.6996 (42.361861) North</t>
  </si>
  <si>
    <t>122:52:17.7996 (-122.871611) West</t>
  </si>
  <si>
    <t>Matt Watson</t>
  </si>
  <si>
    <t>mwatson@blm.gov</t>
  </si>
  <si>
    <t xml:space="preserve">(541) 618-2241 </t>
  </si>
  <si>
    <t xml:space="preserve">(541) 618-2506 </t>
  </si>
  <si>
    <t>MEDFORD PORT #2</t>
  </si>
  <si>
    <t>3254D20A</t>
  </si>
  <si>
    <t>42:09:58.5 (42.16625) North</t>
  </si>
  <si>
    <t>123:12:39.6 (-123.211) West</t>
  </si>
  <si>
    <t>MEDICINE LAKE</t>
  </si>
  <si>
    <t>8376958E</t>
  </si>
  <si>
    <t>48:29:13.9992 (48.487222) North</t>
  </si>
  <si>
    <t>104:28:32.9988 (-104.475833) West</t>
  </si>
  <si>
    <t>MEDICINE LAKE NWR</t>
  </si>
  <si>
    <t>Cody Whitney</t>
  </si>
  <si>
    <t>cody_whitney@fws.gov</t>
  </si>
  <si>
    <t xml:space="preserve">(406) 366-1405 </t>
  </si>
  <si>
    <t>Andy Schell</t>
  </si>
  <si>
    <t>andrew_schell@fws.gov</t>
  </si>
  <si>
    <t xml:space="preserve">(406) 366-4309 </t>
  </si>
  <si>
    <t>cody_whitney@fws.gov, tate_fischer@fws.gov</t>
  </si>
  <si>
    <t>MELROSE RANGE</t>
  </si>
  <si>
    <t>AF100680</t>
  </si>
  <si>
    <t>34:17:03.1776 (34.284216) North</t>
  </si>
  <si>
    <t>103:42:53.8776 (-103.714966) West</t>
  </si>
  <si>
    <t>James Kratzer</t>
  </si>
  <si>
    <t>Kerry.gregg@glacier-tech.com</t>
  </si>
  <si>
    <t>MENDOCINO PASS</t>
  </si>
  <si>
    <t>39:48:26.7012 (39.807417) North</t>
  </si>
  <si>
    <t>122:56:42.3996 (-122.945111) West</t>
  </si>
  <si>
    <t>ahester@blm.gov, flavia.munarskidexheimer@usda.gov, shuckstep@blm.gov</t>
  </si>
  <si>
    <t>MERIWETHER LEWIS</t>
  </si>
  <si>
    <t>FA6216B4</t>
  </si>
  <si>
    <t>35:30:09 (35.5025) North</t>
  </si>
  <si>
    <t>87:27:29.0016 (-87.458056) West</t>
  </si>
  <si>
    <t>MERLIN</t>
  </si>
  <si>
    <t>324D05A0</t>
  </si>
  <si>
    <t>42:29:59.1 (42.49975) North</t>
  </si>
  <si>
    <t>123:22:09.0012 (-123.369167) West</t>
  </si>
  <si>
    <t>Ross Ballou</t>
  </si>
  <si>
    <t>ross.r.ballou@odf.oregon.gov</t>
  </si>
  <si>
    <t xml:space="preserve">(541) 761-0495 </t>
  </si>
  <si>
    <t xml:space="preserve">Jacob Kurzyniec </t>
  </si>
  <si>
    <t>jacob.kurzyniec@odf.oregon.gov</t>
  </si>
  <si>
    <t xml:space="preserve">(541) 471-4255 </t>
  </si>
  <si>
    <t>MERRELL RIDGE</t>
  </si>
  <si>
    <t>32B6F498</t>
  </si>
  <si>
    <t>39:36:33.4008 (39.609278) North</t>
  </si>
  <si>
    <t>81:10:01.7004 (-81.167139) West</t>
  </si>
  <si>
    <t>MERRILL</t>
  </si>
  <si>
    <t>Edwards</t>
  </si>
  <si>
    <t>32B054AE</t>
  </si>
  <si>
    <t>30:16:48 (30.28) North</t>
  </si>
  <si>
    <t>100:33:38.9988 (-100.560833) West</t>
  </si>
  <si>
    <t>MERRITT ISLAND</t>
  </si>
  <si>
    <t>Brevard</t>
  </si>
  <si>
    <t>327D53AC</t>
  </si>
  <si>
    <t>28:38:27 (28.640833) North</t>
  </si>
  <si>
    <t>80:43:51 (-80.730833) West</t>
  </si>
  <si>
    <t>MERRITT ISLAND NWR</t>
  </si>
  <si>
    <t>MESA MTN</t>
  </si>
  <si>
    <t>5210A012</t>
  </si>
  <si>
    <t>37:03:23.1012 (37.056417) North</t>
  </si>
  <si>
    <t>107:42:31.7016 (-107.708806) West</t>
  </si>
  <si>
    <t>Richard.Gustafson@bia.gov</t>
  </si>
  <si>
    <t>Howard Richards</t>
  </si>
  <si>
    <t xml:space="preserve">(907) 769-0882 </t>
  </si>
  <si>
    <t>MESCAL</t>
  </si>
  <si>
    <t>5212B690</t>
  </si>
  <si>
    <t>33:09:29.0016 (33.158056) North</t>
  </si>
  <si>
    <t>105:46:08.0004 (-105.768889) West</t>
  </si>
  <si>
    <t>Mescalero Agency</t>
  </si>
  <si>
    <t>Aldon Coriz</t>
  </si>
  <si>
    <t>aldon.coriz@bia.gov</t>
  </si>
  <si>
    <t xml:space="preserve">(575) 937-7835 </t>
  </si>
  <si>
    <t>Valdis.neha@bia.gov</t>
  </si>
  <si>
    <t xml:space="preserve">(505) 870-4081 </t>
  </si>
  <si>
    <t>METCALF GAP</t>
  </si>
  <si>
    <t>CA2226AC</t>
  </si>
  <si>
    <t>37:24:33.84 (37.4094) North</t>
  </si>
  <si>
    <t>119:46:04.4184 (-119.767894) West</t>
  </si>
  <si>
    <t>METOLIUS ARM</t>
  </si>
  <si>
    <t>5211A2E8</t>
  </si>
  <si>
    <t>44:37:39.5184 (44.627644) North</t>
  </si>
  <si>
    <t>121:36:53.3988 (-121.614833) West</t>
  </si>
  <si>
    <t>METTER</t>
  </si>
  <si>
    <t>Candler</t>
  </si>
  <si>
    <t>3100B472</t>
  </si>
  <si>
    <t>32:23:29.0004 (32.391389) North</t>
  </si>
  <si>
    <t>82:02:13.9992 (-82.037222) West</t>
  </si>
  <si>
    <t>MIAMI</t>
  </si>
  <si>
    <t>324015B0</t>
  </si>
  <si>
    <t>37:25:09.3108 (37.419253) North</t>
  </si>
  <si>
    <t>119:44:43.5912 (-119.745442) West</t>
  </si>
  <si>
    <t>MICRO BLM #1 (WORLAND)</t>
  </si>
  <si>
    <t>327AC4FA</t>
  </si>
  <si>
    <t>43:12:04.6008 (43.201278) North</t>
  </si>
  <si>
    <t>108:33:15.8004 (-108.554389) West</t>
  </si>
  <si>
    <t>jellington@blm.gov, rneighbo@blm.gov, roldenburg@blm.gov, scoffin@blm.gov, smphillips@blm.gov</t>
  </si>
  <si>
    <t>MICRO BLM #3 (ROCK TUNP)</t>
  </si>
  <si>
    <t>327B5362</t>
  </si>
  <si>
    <t>42:02:48.3684 (42.046769) North</t>
  </si>
  <si>
    <t>110:50:00.3804 (-110.833439) West</t>
  </si>
  <si>
    <t>Phillip Lockwood</t>
  </si>
  <si>
    <t>mwengert@blm.gov, rputnam@blm.gov</t>
  </si>
  <si>
    <t xml:space="preserve">MICRO BLM #4 </t>
  </si>
  <si>
    <t>3256D7FE</t>
  </si>
  <si>
    <t>42:21:14.22 (42.35395) North</t>
  </si>
  <si>
    <t>110:23:02.22 (-110.38395) West</t>
  </si>
  <si>
    <t>MID HILLS</t>
  </si>
  <si>
    <t>3254C17C</t>
  </si>
  <si>
    <t>35:07:23.4012 (35.123167) North</t>
  </si>
  <si>
    <t>115:24:40.7016 (-115.411306) West</t>
  </si>
  <si>
    <t>MIDDLE MTN</t>
  </si>
  <si>
    <t>6000970C</t>
  </si>
  <si>
    <t>45:34:45.9984 (45.579444) North</t>
  </si>
  <si>
    <t>121:35:48.9984 (-121.596944) West</t>
  </si>
  <si>
    <t>ben.duda@odf.oregon.gov</t>
  </si>
  <si>
    <t>MIDDLE PEAK</t>
  </si>
  <si>
    <t>CA28D77A</t>
  </si>
  <si>
    <t>37:55:40.0008 (37.927778) North</t>
  </si>
  <si>
    <t>122:35:13.9992 (-122.587222) West</t>
  </si>
  <si>
    <t>MARIN COUNTY</t>
  </si>
  <si>
    <t>Jordan Reeser</t>
  </si>
  <si>
    <t>Jordan.Reeser@MarinCounty.gov</t>
  </si>
  <si>
    <t xml:space="preserve">(415) 233-0715 </t>
  </si>
  <si>
    <t xml:space="preserve"> shuckstep@blm.gov, jordan.reeser@marincounty.gov</t>
  </si>
  <si>
    <t>MIDEWIN TALLGRASS PRAIRIE</t>
  </si>
  <si>
    <t>Will</t>
  </si>
  <si>
    <t>326F42B0</t>
  </si>
  <si>
    <t>41:20:30.0012 (41.341667) North</t>
  </si>
  <si>
    <t>88:07:50.9988 (-88.130833) West</t>
  </si>
  <si>
    <t>MIDEWIN TALL GRASS</t>
  </si>
  <si>
    <t>Josh Strohmeyer</t>
  </si>
  <si>
    <t>joshua.strohmeyer@usda.gov</t>
  </si>
  <si>
    <t xml:space="preserve">(779) 240-0194 </t>
  </si>
  <si>
    <t>jnaugle@fs.fed.us, joshua.strohmeyer@usda.gov</t>
  </si>
  <si>
    <t>MIDLAND</t>
  </si>
  <si>
    <t>Midland</t>
  </si>
  <si>
    <t>8841C092</t>
  </si>
  <si>
    <t>31:56:35.0016 (31.943056) North</t>
  </si>
  <si>
    <t>102:11:22.9992 (-102.189722) West</t>
  </si>
  <si>
    <t>MIDNIGHT</t>
  </si>
  <si>
    <t>32BC30D4</t>
  </si>
  <si>
    <t>36:46:41.4984 (36.778194) North</t>
  </si>
  <si>
    <t>105:20:28.7016 (-105.341306) West</t>
  </si>
  <si>
    <t>MIDWAY</t>
  </si>
  <si>
    <t>3100C2E2</t>
  </si>
  <si>
    <t>31:47:03.0012 (31.784167) North</t>
  </si>
  <si>
    <t>81:26:18.9996 (-81.438611) West</t>
  </si>
  <si>
    <t>MILES CITY PORTABLE 2019</t>
  </si>
  <si>
    <t>32A1D7DE</t>
  </si>
  <si>
    <t>45:55:03.8388 (45.917733) North</t>
  </si>
  <si>
    <t>105:36:42.3612 (-105.611767) West</t>
  </si>
  <si>
    <t>MILES CITY PORTABLE_2014</t>
  </si>
  <si>
    <t>Stark</t>
  </si>
  <si>
    <t>327AF160</t>
  </si>
  <si>
    <t>46:53:24.72 (46.8902) North</t>
  </si>
  <si>
    <t>102:15:46.1988 (-102.262833) West</t>
  </si>
  <si>
    <t>MILES CITY RAWS</t>
  </si>
  <si>
    <t>FA62232E</t>
  </si>
  <si>
    <t>26:14:53.9016 (26.248306) North</t>
  </si>
  <si>
    <t>81:17:43.1988 (-81.295333) West</t>
  </si>
  <si>
    <t>MILL CANYON</t>
  </si>
  <si>
    <t>3231340A</t>
  </si>
  <si>
    <t>38:28:12 (38.47) North</t>
  </si>
  <si>
    <t>119:30:20.8008 (-119.505778) West</t>
  </si>
  <si>
    <t>MILL CREEK</t>
  </si>
  <si>
    <t>46:15:45.2016 (46.262556) North</t>
  </si>
  <si>
    <t>120:51:44.55 (-120.862375) West</t>
  </si>
  <si>
    <t>323A0238</t>
  </si>
  <si>
    <t>44:27:21.492 (44.45597) North</t>
  </si>
  <si>
    <t>107:26:58.344 (-107.44954) West</t>
  </si>
  <si>
    <t>JON WARDER</t>
  </si>
  <si>
    <t>Sage Decker</t>
  </si>
  <si>
    <t>justin.decker@usda.gov</t>
  </si>
  <si>
    <t xml:space="preserve">(307) 548-5313 </t>
  </si>
  <si>
    <t>MILL CREEK (ANF)</t>
  </si>
  <si>
    <t>3248416A</t>
  </si>
  <si>
    <t>34:23:25.0008 (34.390278) North</t>
  </si>
  <si>
    <t>118:04:57 (-118.0825) West</t>
  </si>
  <si>
    <t>MILL CREEK (BDF)</t>
  </si>
  <si>
    <t>3230B0E4</t>
  </si>
  <si>
    <t>34:04:47.4348 (34.079843) North</t>
  </si>
  <si>
    <t>117:02:48.3396 (-117.046761) West</t>
  </si>
  <si>
    <t>MILLEDGEVILLE</t>
  </si>
  <si>
    <t>33:00:37.0008 (33.010278) North</t>
  </si>
  <si>
    <t>83:12:25.9992 (-83.207222) West</t>
  </si>
  <si>
    <t>MILLER</t>
  </si>
  <si>
    <t>6000E19C</t>
  </si>
  <si>
    <t>46:01:21 (46.0225) North</t>
  </si>
  <si>
    <t>123:16:18.0012 (-123.271667) West</t>
  </si>
  <si>
    <t>kelly.r.niles@oregon.gov</t>
  </si>
  <si>
    <t>Kelly Niles - Cell</t>
  </si>
  <si>
    <t xml:space="preserve">(503) 410-0813 </t>
  </si>
  <si>
    <t>MILLER CREEK</t>
  </si>
  <si>
    <t>Baylor</t>
  </si>
  <si>
    <t>8840B4F8</t>
  </si>
  <si>
    <t>33:24:48.9996 (33.413611) North</t>
  </si>
  <si>
    <t>99:24:02.0016 (-99.400556) West</t>
  </si>
  <si>
    <t>MILLER RANCH</t>
  </si>
  <si>
    <t>32A2D0D0</t>
  </si>
  <si>
    <t>34:08:54.15 (34.148375) North</t>
  </si>
  <si>
    <t>119:00:39.8196 (-119.011061) West</t>
  </si>
  <si>
    <t xml:space="preserve">(805) 388-4589 </t>
  </si>
  <si>
    <t xml:space="preserve">(805) 914-4874 </t>
  </si>
  <si>
    <t>MILLS CANYON</t>
  </si>
  <si>
    <t>Harding</t>
  </si>
  <si>
    <t>328904FE</t>
  </si>
  <si>
    <t>36:03:16.3008 (36.054528) North</t>
  </si>
  <si>
    <t>104:19:30.3996 (-104.325111) West</t>
  </si>
  <si>
    <t>MILO</t>
  </si>
  <si>
    <t>CA258460</t>
  </si>
  <si>
    <t>36:13:52.2408 (36.231178) North</t>
  </si>
  <si>
    <t>118:52:08.49 (-118.869025) West</t>
  </si>
  <si>
    <t>MINARETS</t>
  </si>
  <si>
    <t>326252A0</t>
  </si>
  <si>
    <t>37:24:25.74 (37.40715) North</t>
  </si>
  <si>
    <t>119:20:45.0708 (-119.345853) West</t>
  </si>
  <si>
    <t>MINONG</t>
  </si>
  <si>
    <t>Washburn</t>
  </si>
  <si>
    <t>46:08:08.9988 (46.135833) North</t>
  </si>
  <si>
    <t>91:58:50.9988 (-91.980833) West</t>
  </si>
  <si>
    <t>MINOT PEAK</t>
  </si>
  <si>
    <t>3000C340</t>
  </si>
  <si>
    <t>46:53:31.9992 (46.892222) North</t>
  </si>
  <si>
    <t>123:25:00.9984 (-123.416944) West</t>
  </si>
  <si>
    <t>MIO</t>
  </si>
  <si>
    <t>Oscoda</t>
  </si>
  <si>
    <t>3285238E</t>
  </si>
  <si>
    <t>44:40:33.9996 (44.676111) North</t>
  </si>
  <si>
    <t>84:07:41.9988 (-84.128333) West</t>
  </si>
  <si>
    <t>MIRAMAR EAST</t>
  </si>
  <si>
    <t>32D4C6C4</t>
  </si>
  <si>
    <t>32:52:31.6992 (32.875472) North</t>
  </si>
  <si>
    <t>117:03:34.4016 (-117.059556) West</t>
  </si>
  <si>
    <t>MISSION CREEK</t>
  </si>
  <si>
    <t>328C36A4</t>
  </si>
  <si>
    <t>46:17:17.61 (46.288225) North</t>
  </si>
  <si>
    <t>116:41:15.9612 (-116.687767) West</t>
  </si>
  <si>
    <t>North. Idaho Agency</t>
  </si>
  <si>
    <t>Tim Droegmiller</t>
  </si>
  <si>
    <t>timd@nezperce.org</t>
  </si>
  <si>
    <t xml:space="preserve">(208) 791-8872 </t>
  </si>
  <si>
    <t>Kip Kemak</t>
  </si>
  <si>
    <t>kipk@nezperce.org</t>
  </si>
  <si>
    <t xml:space="preserve">(208) 791-5511 </t>
  </si>
  <si>
    <t>MISSION VALLEY</t>
  </si>
  <si>
    <t>CA801094</t>
  </si>
  <si>
    <t>32:46:58.8 (32.783) North</t>
  </si>
  <si>
    <t>117:08:09.6 (-117.136) West</t>
  </si>
  <si>
    <t>Steve Vandenburg</t>
  </si>
  <si>
    <t>MISSOULA QD1</t>
  </si>
  <si>
    <t>3290D354</t>
  </si>
  <si>
    <t>46:57:59.58 (46.96655) North</t>
  </si>
  <si>
    <t>113:32:38.58 (-113.54405) West</t>
  </si>
  <si>
    <t>Geoffery Farinholt</t>
  </si>
  <si>
    <t>gfarinholt@blm.gov</t>
  </si>
  <si>
    <t xml:space="preserve">(406) 529-5671 </t>
  </si>
  <si>
    <t>Caleb Olander</t>
  </si>
  <si>
    <t>colander@blm.gov</t>
  </si>
  <si>
    <t xml:space="preserve">(406) 270-4952 </t>
  </si>
  <si>
    <t>MISSOULA QD2</t>
  </si>
  <si>
    <t>328A7560</t>
  </si>
  <si>
    <t>46:54:59.8788 (46.916633) North</t>
  </si>
  <si>
    <t>113:39:23.58 (-113.65655) West</t>
  </si>
  <si>
    <t>DAKOTAS</t>
  </si>
  <si>
    <t>MN VALLEY</t>
  </si>
  <si>
    <t>Carver</t>
  </si>
  <si>
    <t>837AA188</t>
  </si>
  <si>
    <t>44:42:59.0004 (44.716389) North</t>
  </si>
  <si>
    <t>93:38:08.9988 (-93.635833) West</t>
  </si>
  <si>
    <t>MINNESOTA VALLEY NWR</t>
  </si>
  <si>
    <t>Daniel Paulson</t>
  </si>
  <si>
    <t>daniel_paulson@fws.gov</t>
  </si>
  <si>
    <t xml:space="preserve">(952) 361-4508 </t>
  </si>
  <si>
    <t>Ryan Williams</t>
  </si>
  <si>
    <t>ryan_williams@fws.gov</t>
  </si>
  <si>
    <t xml:space="preserve">(612) 398-9851 </t>
  </si>
  <si>
    <t>MNF02 PORTABLE</t>
  </si>
  <si>
    <t>3230C674</t>
  </si>
  <si>
    <t>shuckstep@blm.gov, terry.nickerson@usda.gov</t>
  </si>
  <si>
    <t>MNF04 PORTABLE</t>
  </si>
  <si>
    <t>328674FC</t>
  </si>
  <si>
    <t>39:43:25.3884 (39.723719) North</t>
  </si>
  <si>
    <t>122:54:08.2584 (-122.902294) West</t>
  </si>
  <si>
    <t>MNS QD #1</t>
  </si>
  <si>
    <t>Mille Lacs</t>
  </si>
  <si>
    <t>707111CA</t>
  </si>
  <si>
    <t>45:59:38.4 (45.994) North</t>
  </si>
  <si>
    <t>93:34:22.2996 (-93.572861) West</t>
  </si>
  <si>
    <t xml:space="preserve">(218) 244-5690 </t>
  </si>
  <si>
    <t>Steve Piepgras</t>
  </si>
  <si>
    <t>steve.piepgras@state.mn.us</t>
  </si>
  <si>
    <t xml:space="preserve">(320) 532-3537 </t>
  </si>
  <si>
    <t>MNS QD #2</t>
  </si>
  <si>
    <t>47:14:36.4992 (47.243472) North</t>
  </si>
  <si>
    <t>93:29:42.9 (-93.49525) West</t>
  </si>
  <si>
    <t>diane.nygaard@state.mn.us</t>
  </si>
  <si>
    <t>MOAB FUELS PORTABLE</t>
  </si>
  <si>
    <t>AA11532C</t>
  </si>
  <si>
    <t>38:18:24.0012 (38.306667) North</t>
  </si>
  <si>
    <t>109:03:38.9988 (-109.060833) West</t>
  </si>
  <si>
    <t>Charles Fischer</t>
  </si>
  <si>
    <t>cfischer@blm.gov</t>
  </si>
  <si>
    <t xml:space="preserve">(435) 259-2114 </t>
  </si>
  <si>
    <t>Paul Plemons</t>
  </si>
  <si>
    <t>pplemons@blm.gov</t>
  </si>
  <si>
    <t xml:space="preserve">(435) 587-1537 </t>
  </si>
  <si>
    <t>MOBURG CANYON</t>
  </si>
  <si>
    <t>325EB6BE</t>
  </si>
  <si>
    <t>42:02:35.0016 (42.043056) North</t>
  </si>
  <si>
    <t>113:09:12.9996 (-113.153611) West</t>
  </si>
  <si>
    <t>ahester@blm.gov, christopher.belliston@usda.gov, stacy.tyler@usda.gov</t>
  </si>
  <si>
    <t>MOCKINGBIRD</t>
  </si>
  <si>
    <t>37:28:21.3996 (37.472611) North</t>
  </si>
  <si>
    <t>108:53:04.2 (-108.8845) West</t>
  </si>
  <si>
    <t>CARY NEWMAN</t>
  </si>
  <si>
    <t>cary.newman@usda.gov</t>
  </si>
  <si>
    <t xml:space="preserve">(970) 385-1388 </t>
  </si>
  <si>
    <t>MOFD PORTABLE</t>
  </si>
  <si>
    <t>32B31E78</t>
  </si>
  <si>
    <t>37:49:38.8092 (37.827447) North</t>
  </si>
  <si>
    <t>122:09:12.1212 (-122.153367) West</t>
  </si>
  <si>
    <t>MORAGA - Moraga-Orinda Fire District</t>
  </si>
  <si>
    <t>Dennis Rein</t>
  </si>
  <si>
    <t>drein@mofd.org</t>
  </si>
  <si>
    <t xml:space="preserve">(925) 698-4575 </t>
  </si>
  <si>
    <t>MOGOLLON</t>
  </si>
  <si>
    <t>326C15C2</t>
  </si>
  <si>
    <t>33:23:26.3004 (33.390639) North</t>
  </si>
  <si>
    <t>108:48:29.4984 (-108.808194) West</t>
  </si>
  <si>
    <t>Shane Manning</t>
  </si>
  <si>
    <t>shane.manning@usda.gov</t>
  </si>
  <si>
    <t xml:space="preserve">(575) 539-2481 </t>
  </si>
  <si>
    <t>MOHAWK DUNES</t>
  </si>
  <si>
    <t>32BA8394</t>
  </si>
  <si>
    <t>32:41:19.6008 (32.688778) North</t>
  </si>
  <si>
    <t>113:44:56.0004 (-113.748889) West</t>
  </si>
  <si>
    <t>MOKOLELAU 1</t>
  </si>
  <si>
    <t>32BD591A</t>
  </si>
  <si>
    <t>21:04:12.81 (21.070225) North</t>
  </si>
  <si>
    <t>156:55:04.4508 (-156.917903) West</t>
  </si>
  <si>
    <t>MOLOAA DAIRY</t>
  </si>
  <si>
    <t>AAB6D15A</t>
  </si>
  <si>
    <t>22:10:59.9988 (22.183333) North</t>
  </si>
  <si>
    <t>159:20:15 (-159.3375) West</t>
  </si>
  <si>
    <t>MOLOKAI 1</t>
  </si>
  <si>
    <t>487016AC</t>
  </si>
  <si>
    <t>21:06:54 (21.115) North</t>
  </si>
  <si>
    <t>156:56:51 (-156.9475) West</t>
  </si>
  <si>
    <t>MOLOKAI BASE 1</t>
  </si>
  <si>
    <t>32BD6252</t>
  </si>
  <si>
    <t>21:05:44.4696 (21.095686) North</t>
  </si>
  <si>
    <t>157:01:47.4384 (-157.029844) West</t>
  </si>
  <si>
    <t>MONADNOCK</t>
  </si>
  <si>
    <t>Cheshire</t>
  </si>
  <si>
    <t>32B8F0F0</t>
  </si>
  <si>
    <t>42:50:34.1484 (42.842819) North</t>
  </si>
  <si>
    <t>72:05:17.9484 (-72.088319) West</t>
  </si>
  <si>
    <t xml:space="preserve">(603) 227-8738 </t>
  </si>
  <si>
    <t>MONROE</t>
  </si>
  <si>
    <t>3910B02E</t>
  </si>
  <si>
    <t>33:47:38.0004 (33.793889) North</t>
  </si>
  <si>
    <t>88:20:48.0012 (-88.346667) West</t>
  </si>
  <si>
    <t>MONTANO</t>
  </si>
  <si>
    <t>333221D0</t>
  </si>
  <si>
    <t>35:08:44.9988 (35.145833) North</t>
  </si>
  <si>
    <t>106:40:50.9988 (-106.680833) West</t>
  </si>
  <si>
    <t>MONTECITO</t>
  </si>
  <si>
    <t>3237E2AC</t>
  </si>
  <si>
    <t>34:27:41.0292 (34.461397) North</t>
  </si>
  <si>
    <t>119:38:56.4504 (-119.649014) West</t>
  </si>
  <si>
    <t>MONTECITO #2</t>
  </si>
  <si>
    <t>EEE00682</t>
  </si>
  <si>
    <t>34:26:42 (34.445) North</t>
  </si>
  <si>
    <t>119:37:32.9999 (-119.625833) West</t>
  </si>
  <si>
    <t>Montecito F.P.D.</t>
  </si>
  <si>
    <t>MNCITO - Montecito Fire Protection District</t>
  </si>
  <si>
    <t>Jess Moran</t>
  </si>
  <si>
    <t>jmoran@montecitofire.com</t>
  </si>
  <si>
    <t xml:space="preserve">(805) 305-7756 </t>
  </si>
  <si>
    <t>Aaron Briner</t>
  </si>
  <si>
    <t>abriner@montecitofire.com</t>
  </si>
  <si>
    <t xml:space="preserve">(805) 895-7896 </t>
  </si>
  <si>
    <t>AA10C4B4</t>
  </si>
  <si>
    <t>42:55:22.6992 (42.922972) North</t>
  </si>
  <si>
    <t>103:42:34.7004 (-103.709639) West</t>
  </si>
  <si>
    <t>MOODY</t>
  </si>
  <si>
    <t>325EF5B4</t>
  </si>
  <si>
    <t>43:39:02.0988 (43.650583) North</t>
  </si>
  <si>
    <t>111:31:54.5988 (-111.531833) West</t>
  </si>
  <si>
    <t>Ryan Baum</t>
  </si>
  <si>
    <t>ryan.baum@usda.gov</t>
  </si>
  <si>
    <t xml:space="preserve">(435) 881-2144 </t>
  </si>
  <si>
    <t>MOODY FIRE WEATHER</t>
  </si>
  <si>
    <t>Lowndes</t>
  </si>
  <si>
    <t>32B76DD2</t>
  </si>
  <si>
    <t>30:58:56.1 (30.98225) North</t>
  </si>
  <si>
    <t>83:10:33.5 (-83.175972) West</t>
  </si>
  <si>
    <t>MOODYF - Moody AFB GA</t>
  </si>
  <si>
    <t>John Crain</t>
  </si>
  <si>
    <t>john.crain@us.af.mil</t>
  </si>
  <si>
    <t xml:space="preserve">(912) 288-7243 </t>
  </si>
  <si>
    <t>Gregory Lee</t>
  </si>
  <si>
    <t>gregory.lee.5@us.af.mil</t>
  </si>
  <si>
    <t xml:space="preserve">(229) 257-5881 </t>
  </si>
  <si>
    <t>MOON HILL</t>
  </si>
  <si>
    <t>42:51:33.0012 (42.859167) North</t>
  </si>
  <si>
    <t>118:40:44.0004 (-118.678889) West</t>
  </si>
  <si>
    <t>MOOSE CREEK</t>
  </si>
  <si>
    <t>323A24D4</t>
  </si>
  <si>
    <t>46:07:41.0016 (46.128056) North</t>
  </si>
  <si>
    <t>114:55:00.0012 (-114.916667) West</t>
  </si>
  <si>
    <t xml:space="preserve">(208) 926-8953 </t>
  </si>
  <si>
    <t>MOOSE LAKE</t>
  </si>
  <si>
    <t>Carlton</t>
  </si>
  <si>
    <t>7070C558</t>
  </si>
  <si>
    <t>46:25:13.0008 (46.420278) North</t>
  </si>
  <si>
    <t>92:48:02.9988 (-92.800833) West</t>
  </si>
  <si>
    <t>Mike Trierweiler</t>
  </si>
  <si>
    <t xml:space="preserve">michael.trierweiler@state.mn.us, jolene.soltis@state.mn.us </t>
  </si>
  <si>
    <t>(320) 245-6789 31</t>
  </si>
  <si>
    <t>jolene.soltis@state.mn.us, michael.trierweiler@state.mn.us, travis.verdegan@state.mn.us</t>
  </si>
  <si>
    <t>MOOSEHORN</t>
  </si>
  <si>
    <t>45:06:51.6 (45.114333) North</t>
  </si>
  <si>
    <t>67:16:50.15 (-67.280597) West</t>
  </si>
  <si>
    <t>MOOSEHORN NWR</t>
  </si>
  <si>
    <t>Michael Pagoaga</t>
  </si>
  <si>
    <t xml:space="preserve">(413) 800-6517 </t>
  </si>
  <si>
    <t>Maurice Mills</t>
  </si>
  <si>
    <t>Maurice_Mills@fws.gov</t>
  </si>
  <si>
    <t xml:space="preserve">(207) 454-7161 </t>
  </si>
  <si>
    <t>MORA</t>
  </si>
  <si>
    <t>Kanabec</t>
  </si>
  <si>
    <t>7070D62E</t>
  </si>
  <si>
    <t>45:53:24 (45.89) North</t>
  </si>
  <si>
    <t>93:16:10.9992 (-93.269722) West</t>
  </si>
  <si>
    <t xml:space="preserve">David Fraundorf </t>
  </si>
  <si>
    <t xml:space="preserve">david.fraundorf@state.mn.us, jolene.soltis@state.mn.us </t>
  </si>
  <si>
    <t xml:space="preserve">(218) 308-2060 </t>
  </si>
  <si>
    <t>david.fraundorf@state.mn.uss, jolene.soltis@state.mn.us, travis.verdegan@state.mn.us</t>
  </si>
  <si>
    <t>MORAINE STATE PARK</t>
  </si>
  <si>
    <t>Butler</t>
  </si>
  <si>
    <t>32D81130</t>
  </si>
  <si>
    <t>40:56:06.7596 (40.935211) North</t>
  </si>
  <si>
    <t>80:06:01.5192 (-80.100422) West</t>
  </si>
  <si>
    <t>MOREFIELD</t>
  </si>
  <si>
    <t>FA630738</t>
  </si>
  <si>
    <t>37:17:49.9992 (37.297222) North</t>
  </si>
  <si>
    <t>108:24:46.0008 (-108.412778) West</t>
  </si>
  <si>
    <t>MOREY CREEK</t>
  </si>
  <si>
    <t>325C00C4</t>
  </si>
  <si>
    <t>41:27:12.8016 (41.453556) North</t>
  </si>
  <si>
    <t>117:37:18.9012 (-117.621917) West</t>
  </si>
  <si>
    <t>MORGAN MOUNTAIN</t>
  </si>
  <si>
    <t>3253A6AE</t>
  </si>
  <si>
    <t>44:30:04.7988 (44.501333) North</t>
  </si>
  <si>
    <t>117:17:53.8008 (-117.298278) West</t>
  </si>
  <si>
    <t>Andrew Roberts</t>
  </si>
  <si>
    <t>MORGANS TOWER</t>
  </si>
  <si>
    <t>Bryan</t>
  </si>
  <si>
    <t>32BD57C8</t>
  </si>
  <si>
    <t>32:05:22.3116 (32.089531) North</t>
  </si>
  <si>
    <t>81:24:16.6608 (-81.404628) West</t>
  </si>
  <si>
    <t>MORMON LAKE</t>
  </si>
  <si>
    <t>34:54:34.9992 (34.909722) North</t>
  </si>
  <si>
    <t>111:26:18.3012 (-111.438417) West</t>
  </si>
  <si>
    <t>MORMON ROCK</t>
  </si>
  <si>
    <t>34:18:57.5604 (34.315989) North</t>
  </si>
  <si>
    <t>117:30:13.32 (-117.5037) West</t>
  </si>
  <si>
    <t>MOSS BASIN</t>
  </si>
  <si>
    <t>3258B670</t>
  </si>
  <si>
    <t>35:02:02.2992 (35.033972) North</t>
  </si>
  <si>
    <t>113:53:38.6016 (-113.894056) West</t>
  </si>
  <si>
    <t>MOTHER GOOSE</t>
  </si>
  <si>
    <t>Lake and Peninsula</t>
  </si>
  <si>
    <t>8372D3BE</t>
  </si>
  <si>
    <t>57:10:55.56 (57.1821) North</t>
  </si>
  <si>
    <t>157:16:15.1212 (-157.270867) West</t>
  </si>
  <si>
    <t>MOUNT ELIZABETH</t>
  </si>
  <si>
    <t>326DE7BC</t>
  </si>
  <si>
    <t>38:03:46.53 (38.062925) North</t>
  </si>
  <si>
    <t>120:14:50.1108 (-120.247253) West</t>
  </si>
  <si>
    <t>Daniel Guse</t>
  </si>
  <si>
    <t>daniel.guse2@usda.gov</t>
  </si>
  <si>
    <t xml:space="preserve">(209) 984-6419 </t>
  </si>
  <si>
    <t>ahester@blm.gov, brent.kaiser@usda.gov, daniel.guse2@usda.gov, kellin.brown@usda.gov, shaun.craig@usda.gov; bridget.pisciotta@usda.com, shuckstep@blm.gov</t>
  </si>
  <si>
    <t>MOUNT LOGAN</t>
  </si>
  <si>
    <t>3258C0E0</t>
  </si>
  <si>
    <t>36:21:11.0016 (36.353056) North</t>
  </si>
  <si>
    <t>113:11:57.0012 (-113.199167) West</t>
  </si>
  <si>
    <t>MOUNT STELLA</t>
  </si>
  <si>
    <t>32402EF8</t>
  </si>
  <si>
    <t>42:56:09.9996 (42.936111) North</t>
  </si>
  <si>
    <t>122:26:04.9992 (-122.434722) West</t>
  </si>
  <si>
    <t>Joseph Welburn</t>
  </si>
  <si>
    <t>joseph.welburn@usda.gov</t>
  </si>
  <si>
    <t xml:space="preserve">(541) 560-3446 </t>
  </si>
  <si>
    <t>MOUNT TOM</t>
  </si>
  <si>
    <t>326DD226</t>
  </si>
  <si>
    <t>37:22:35.1084 (37.376419) North</t>
  </si>
  <si>
    <t>119:10:45.3612 (-119.179267) West</t>
  </si>
  <si>
    <t>MOUNT ZION</t>
  </si>
  <si>
    <t>CA21C250</t>
  </si>
  <si>
    <t>38:23:24.2304 (38.390064) North</t>
  </si>
  <si>
    <t>120:39:08.6508 (-120.652403) West</t>
  </si>
  <si>
    <t>MOUNTAIN</t>
  </si>
  <si>
    <t>Oconto</t>
  </si>
  <si>
    <t>3250943A</t>
  </si>
  <si>
    <t>45:07:26.292 (45.12397) North</t>
  </si>
  <si>
    <t>88:22:17.796 (-88.37161) West</t>
  </si>
  <si>
    <t>MOUNTAIN GROVE</t>
  </si>
  <si>
    <t>Wright</t>
  </si>
  <si>
    <t>AAB6574E</t>
  </si>
  <si>
    <t>37:09:13.8 (37.153833) North</t>
  </si>
  <si>
    <t>92:16:07.8 (-92.268833) West</t>
  </si>
  <si>
    <t>Ben Webster (Cell)</t>
  </si>
  <si>
    <t xml:space="preserve">(573) 821-5003 </t>
  </si>
  <si>
    <t>MOUNTAIN HOME</t>
  </si>
  <si>
    <t>3252C1B2</t>
  </si>
  <si>
    <t>43:01:42.0996 (43.028361) North</t>
  </si>
  <si>
    <t>115:52:16.3992 (-115.871222) West</t>
  </si>
  <si>
    <t>MOUNTAIN LION</t>
  </si>
  <si>
    <t>327C012A</t>
  </si>
  <si>
    <t>33:41:42.3996 (33.695111) North</t>
  </si>
  <si>
    <t>109:42:38.8008 (-109.710778) West</t>
  </si>
  <si>
    <t>MOUNTAIN REST</t>
  </si>
  <si>
    <t>324312BE</t>
  </si>
  <si>
    <t>37:03:14.8104 (37.054114) North</t>
  </si>
  <si>
    <t>119:22:19.5204 (-119.372089) West</t>
  </si>
  <si>
    <t>(559) 855-5355 367</t>
  </si>
  <si>
    <t>MOUNTAIN SPRINGS</t>
  </si>
  <si>
    <t>326CE546</t>
  </si>
  <si>
    <t>36:01:20.1 (36.02225) North</t>
  </si>
  <si>
    <t>115:30:27 (-115.5075) West</t>
  </si>
  <si>
    <t>MOUNTAIN SPRINGS GRADE</t>
  </si>
  <si>
    <t>CA8040E8</t>
  </si>
  <si>
    <t>32:40:29.1 (32.67475) North</t>
  </si>
  <si>
    <t>116:05:40.0992 (-116.094472) West</t>
  </si>
  <si>
    <t>MOUNTAIN VIEW</t>
  </si>
  <si>
    <t>Howell</t>
  </si>
  <si>
    <t>AAB64438</t>
  </si>
  <si>
    <t>36:59:28.5 (36.99125) North</t>
  </si>
  <si>
    <t>91:42:36.6 (-91.710167) West</t>
  </si>
  <si>
    <t>Ben Webster (CELL)</t>
  </si>
  <si>
    <t>MOUNTAINAIR</t>
  </si>
  <si>
    <t>3283A554</t>
  </si>
  <si>
    <t>34:31:14.0016 (34.520556) North</t>
  </si>
  <si>
    <t>106:15:42.0012 (-106.261667) West</t>
  </si>
  <si>
    <t>MS PORTABLE #1</t>
  </si>
  <si>
    <t>Rankin</t>
  </si>
  <si>
    <t>3910254C</t>
  </si>
  <si>
    <t>32:14:27.3804 (32.240939) North</t>
  </si>
  <si>
    <t>90:05:45.3516 (-90.095931) West</t>
  </si>
  <si>
    <t>MS SANDHILL CRANE - FTS</t>
  </si>
  <si>
    <t>30:27:10.0008 (30.452778) North</t>
  </si>
  <si>
    <t>88:39:42.0012 (-88.661667) West</t>
  </si>
  <si>
    <t>(228) 497-5781 1</t>
  </si>
  <si>
    <t>MS-MSR PORT#1</t>
  </si>
  <si>
    <t>837A77E0</t>
  </si>
  <si>
    <t>30:37:26.4504 (30.624014) North</t>
  </si>
  <si>
    <t>88:42:30.8196 (-88.708561) West</t>
  </si>
  <si>
    <t>MS-MSR PORT#2</t>
  </si>
  <si>
    <t>32:49:23.1204 (32.823089) North</t>
  </si>
  <si>
    <t>92:04:14.9016 (-92.070806) West</t>
  </si>
  <si>
    <t>MT DNRC PORTABLE #1</t>
  </si>
  <si>
    <t>32BC23A2</t>
  </si>
  <si>
    <t>48:38:52.9008 (48.648028) North</t>
  </si>
  <si>
    <t>114:34:59.9988 (-114.583333) West</t>
  </si>
  <si>
    <t xml:space="preserve">(406) 531-9424 </t>
  </si>
  <si>
    <t>Cory Calnan</t>
  </si>
  <si>
    <t>calnan@mt.gov</t>
  </si>
  <si>
    <t xml:space="preserve">(406) 788-7718 </t>
  </si>
  <si>
    <t>MT DNRC PORTABLE #2</t>
  </si>
  <si>
    <t>32BC2D70</t>
  </si>
  <si>
    <t>45:22:26.5404 (45.374039) North</t>
  </si>
  <si>
    <t>111:57:51.5484 (-111.964319) West</t>
  </si>
  <si>
    <t>MT HOOD PORTABLE #1</t>
  </si>
  <si>
    <t>AAAFC3EE</t>
  </si>
  <si>
    <t>45:26:42.0396 (45.445011) North</t>
  </si>
  <si>
    <t>122:06:52.3008 (-122.114528) West</t>
  </si>
  <si>
    <t>MT HOOD PORTABLE #2</t>
  </si>
  <si>
    <t>AA1012DC</t>
  </si>
  <si>
    <t>46:08:24.6012 (46.140167) North</t>
  </si>
  <si>
    <t>121:35:50.1 (-121.59725) West</t>
  </si>
  <si>
    <t>MT VANHOEVENBERG</t>
  </si>
  <si>
    <t>Essex</t>
  </si>
  <si>
    <t>6250837C</t>
  </si>
  <si>
    <t>44:12:00 (44.2) North</t>
  </si>
  <si>
    <t>73:54:00 (-73.9) West</t>
  </si>
  <si>
    <t>Ranger Sarah Bode</t>
  </si>
  <si>
    <t>sarah.bode@dec.ny.gov</t>
  </si>
  <si>
    <t xml:space="preserve">(518) 335-5405 </t>
  </si>
  <si>
    <t>MT VERNON</t>
  </si>
  <si>
    <t>573063C8</t>
  </si>
  <si>
    <t>37:11:20 (37.188889) North</t>
  </si>
  <si>
    <t>93:55:47 (-93.929722) West</t>
  </si>
  <si>
    <t>Logan Baker</t>
  </si>
  <si>
    <t>Logan.Baker@mdc.mo.gov</t>
  </si>
  <si>
    <t xml:space="preserve">(417) 988-6791 </t>
  </si>
  <si>
    <t>Ben.Buckner@mdc.mo.gov</t>
  </si>
  <si>
    <t>MT. ISABELLE</t>
  </si>
  <si>
    <t>32B58BD4</t>
  </si>
  <si>
    <t>MT. ISLAND LAKE</t>
  </si>
  <si>
    <t>Gaston</t>
  </si>
  <si>
    <t>4071F466</t>
  </si>
  <si>
    <t>35:22:45.0192 (35.379172) North</t>
  </si>
  <si>
    <t>80:59:33.2196 (-80.992561) West</t>
  </si>
  <si>
    <t>Matthew Barker</t>
  </si>
  <si>
    <t>matthew.barker@ncagr.gov</t>
  </si>
  <si>
    <t>(704) 827-7576 8</t>
  </si>
  <si>
    <t>Jason Marlowe</t>
  </si>
  <si>
    <t>jason.marlowe@ncagr.gov</t>
  </si>
  <si>
    <t xml:space="preserve">(704) 827-7576 </t>
  </si>
  <si>
    <t>MT. LAGUNA</t>
  </si>
  <si>
    <t>326B6166</t>
  </si>
  <si>
    <t>32:52:52.3812 (32.881217) North</t>
  </si>
  <si>
    <t>116:25:43.6908 (-116.428803) West</t>
  </si>
  <si>
    <t>MT. LONGLEAF</t>
  </si>
  <si>
    <t>837A8764</t>
  </si>
  <si>
    <t>33:43:02 (33.717222) North</t>
  </si>
  <si>
    <t>85:45:44 (-85.762222) West</t>
  </si>
  <si>
    <t>ST MARKS NWR</t>
  </si>
  <si>
    <t>Billy Lord</t>
  </si>
  <si>
    <t>billy_lord@fws.gov</t>
  </si>
  <si>
    <t xml:space="preserve">(850) 925-0544 </t>
  </si>
  <si>
    <t>MT. NOAK</t>
  </si>
  <si>
    <t>67:08:29.16 (67.141433) North</t>
  </si>
  <si>
    <t>162:59:40.3199 (-162.994533) West</t>
  </si>
  <si>
    <t>MT. RUSHMORE</t>
  </si>
  <si>
    <t>FA66138E</t>
  </si>
  <si>
    <t>43:52:40.08 (43.8778) North</t>
  </si>
  <si>
    <t>103:26:58.0499 (-103.449458) West</t>
  </si>
  <si>
    <t>MOUNT RUSHMORE NM</t>
  </si>
  <si>
    <t>alan_stover@nps.gov</t>
  </si>
  <si>
    <t>MT. SAN JACINTO</t>
  </si>
  <si>
    <t>329181D2</t>
  </si>
  <si>
    <t>33:48:55.0008 (33.815278) North</t>
  </si>
  <si>
    <t>116:38:30.9984 (-116.641944) West</t>
  </si>
  <si>
    <t>Ken Kietzer</t>
  </si>
  <si>
    <t>ken.kietzer@parks.ca.gov</t>
  </si>
  <si>
    <t xml:space="preserve">(951) 453-4250 </t>
  </si>
  <si>
    <t>MT. SHASTA</t>
  </si>
  <si>
    <t>41:18:55.2096 (41.315336) North</t>
  </si>
  <si>
    <t>122:18:59.6196 (-122.316561) West</t>
  </si>
  <si>
    <t>MT. TABOR</t>
  </si>
  <si>
    <t>43:20:54.3984 (43.348444) North</t>
  </si>
  <si>
    <t>72:59:02.6988 (-72.984083) West</t>
  </si>
  <si>
    <t>lindsay.r.silvia@usda.gov</t>
  </si>
  <si>
    <t xml:space="preserve">(802) 353-8898 </t>
  </si>
  <si>
    <t>Jen Edmonds</t>
  </si>
  <si>
    <t>jennifer.edmonds@usda.gov</t>
  </si>
  <si>
    <t>(802) 767-4261 29</t>
  </si>
  <si>
    <t>lindsay.r.silvia@usda.gov, robert.goulding@usda.gov</t>
  </si>
  <si>
    <t>MT. WASHINGTON</t>
  </si>
  <si>
    <t>2E914602</t>
  </si>
  <si>
    <t>34:06:14.94 (34.10415) North</t>
  </si>
  <si>
    <t>118:12:53.8884 (-118.214969) West</t>
  </si>
  <si>
    <t>J. Lopez</t>
  </si>
  <si>
    <t>jlopez@fire.lacounty.gov</t>
  </si>
  <si>
    <t xml:space="preserve">(818) 890-5783 </t>
  </si>
  <si>
    <t>MT. WILSON</t>
  </si>
  <si>
    <t>5211C70E</t>
  </si>
  <si>
    <t>45:02:22.4916 (45.039581) North</t>
  </si>
  <si>
    <t>121:40:24.7512 (-121.673542) West</t>
  </si>
  <si>
    <t>MT. YONCALLA</t>
  </si>
  <si>
    <t>324BC070</t>
  </si>
  <si>
    <t>43:38:17.9016 (43.638306) North</t>
  </si>
  <si>
    <t>123:19:36.9984 (-123.326944) West</t>
  </si>
  <si>
    <t>ROSEBURG</t>
  </si>
  <si>
    <t>kkosel@blm.gov</t>
  </si>
  <si>
    <t>ahester@blm.gov, kkosel@blm.gov</t>
  </si>
  <si>
    <t>MTCRA_PORT1-BIA</t>
  </si>
  <si>
    <t>5212051E</t>
  </si>
  <si>
    <t>45:25:50.0988 (45.430583) North</t>
  </si>
  <si>
    <t>108:31:59.0016 (-108.533056) West</t>
  </si>
  <si>
    <t>MTFHA_PORT1</t>
  </si>
  <si>
    <t>521446DA</t>
  </si>
  <si>
    <t>47:45:57.9996 (47.766111) North</t>
  </si>
  <si>
    <t>114:00:11.9988 (-114.003333) West</t>
  </si>
  <si>
    <t>MTN HOME</t>
  </si>
  <si>
    <t>32A151CA</t>
  </si>
  <si>
    <t>36:13:26.4612 (36.224017) North</t>
  </si>
  <si>
    <t>118:39:55.62 (-118.66545) West</t>
  </si>
  <si>
    <t>MTNCA_PORT1</t>
  </si>
  <si>
    <t>45:32:59.1 (45.54975) North</t>
  </si>
  <si>
    <t>106:32:13.4016 (-106.537056) West</t>
  </si>
  <si>
    <t>Mario Pretty Boy</t>
  </si>
  <si>
    <t xml:space="preserve">(406) 665-7121 </t>
  </si>
  <si>
    <t>Tracy Spang</t>
  </si>
  <si>
    <t>tracy.spang@bia.gov</t>
  </si>
  <si>
    <t>MTRMA_PORT1</t>
  </si>
  <si>
    <t>45:27:01.5012 (45.450417) North</t>
  </si>
  <si>
    <t>106:42:20.9016 (-106.705806) West</t>
  </si>
  <si>
    <t>Rocky Mt. Reg. Off.</t>
  </si>
  <si>
    <t>Bryce Rogers</t>
  </si>
  <si>
    <t>bryce.rogers@bia.gov</t>
  </si>
  <si>
    <t>Robert Jones</t>
  </si>
  <si>
    <t>MUD SPRING</t>
  </si>
  <si>
    <t>39:51:40.8996 (39.861361) North</t>
  </si>
  <si>
    <t>112:14:36.8016 (-112.243556) West</t>
  </si>
  <si>
    <t xml:space="preserve">(801) 320-8335 </t>
  </si>
  <si>
    <t>MUDDY CREEK</t>
  </si>
  <si>
    <t>Uinta</t>
  </si>
  <si>
    <t>327861F6</t>
  </si>
  <si>
    <t>41:24:01.0008 (41.400278) North</t>
  </si>
  <si>
    <t>110:33:05.0004 (-110.551389) West</t>
  </si>
  <si>
    <t>mwengert@blm.gov, plockwood@blm.gov, roldenburg@blm.gov, rputnam@blm.gov</t>
  </si>
  <si>
    <t>MULE MOUNTAIN</t>
  </si>
  <si>
    <t>FA61C7D2</t>
  </si>
  <si>
    <t>40:34:09.0012 (40.569167) North</t>
  </si>
  <si>
    <t>122:30:11.0016 (-122.503056) West</t>
  </si>
  <si>
    <t>WHISKEYTOWN NRA</t>
  </si>
  <si>
    <t>Jake Akerberg</t>
  </si>
  <si>
    <t>jake_akerberg@nps.gov</t>
  </si>
  <si>
    <t xml:space="preserve">(530) 638-5605 </t>
  </si>
  <si>
    <t>Adam Zaharris</t>
  </si>
  <si>
    <t>adam_zaharris@nps.gov</t>
  </si>
  <si>
    <t xml:space="preserve">(530) 410-467 </t>
  </si>
  <si>
    <t>MULESHOE RANCH</t>
  </si>
  <si>
    <t>3258D396</t>
  </si>
  <si>
    <t>32:24:13.7988 (32.403833) North</t>
  </si>
  <si>
    <t>110:16:18.9984 (-110.271944) West</t>
  </si>
  <si>
    <t>MUNISING</t>
  </si>
  <si>
    <t>FA66C5E6</t>
  </si>
  <si>
    <t>46:25:32.9988 (46.425833) North</t>
  </si>
  <si>
    <t>86:37:12 (-86.62) West</t>
  </si>
  <si>
    <t>PICTURE ROCKS NLS</t>
  </si>
  <si>
    <t>Cyrus Hester</t>
  </si>
  <si>
    <t>cyrus_hester@nps.gov</t>
  </si>
  <si>
    <t xml:space="preserve">(708) 897-5425 </t>
  </si>
  <si>
    <t>cyrus_hester@nps.gov, paul_mancuso@nps.gov</t>
  </si>
  <si>
    <t>MURPHY HOT SPRINGS</t>
  </si>
  <si>
    <t>328AE002</t>
  </si>
  <si>
    <t xml:space="preserve">(208) 334-9850 </t>
  </si>
  <si>
    <t>MUSIC MOUNTAIN</t>
  </si>
  <si>
    <t>3258E60C</t>
  </si>
  <si>
    <t>35:36:53.8992 (35.614972) North</t>
  </si>
  <si>
    <t>113:47:39.4008 (-113.794278) West</t>
  </si>
  <si>
    <t>JSAON POTTHOFF</t>
  </si>
  <si>
    <t>MUTTON MOUNTAIN</t>
  </si>
  <si>
    <t>5211B19E</t>
  </si>
  <si>
    <t>44:55:31.71 (44.925475) North</t>
  </si>
  <si>
    <t>121:11:51.72 (-121.1977) West</t>
  </si>
  <si>
    <t>NA KULA</t>
  </si>
  <si>
    <t>FA45A6E0</t>
  </si>
  <si>
    <t>20:38:45.4992 (20.645972) North</t>
  </si>
  <si>
    <t>156:11:11.4 (-156.1865) West</t>
  </si>
  <si>
    <t>HALEAKALA NP</t>
  </si>
  <si>
    <t>NATCHITOCHES</t>
  </si>
  <si>
    <t>Natchitoches</t>
  </si>
  <si>
    <t>31:29:29.0004 (31.491389) North</t>
  </si>
  <si>
    <t>93:11:31.9992 (-93.192222) West</t>
  </si>
  <si>
    <t>NATIONAL KEY DEER NWR</t>
  </si>
  <si>
    <t>837A0170</t>
  </si>
  <si>
    <t>24:43:27.1956 (24.724221) North</t>
  </si>
  <si>
    <t>81:23:19.1004 (-81.388639) West</t>
  </si>
  <si>
    <t>NAT'L KEY DEER NWR</t>
  </si>
  <si>
    <t>greg_suszek@fws.gov, jon_wallace@fws.gov</t>
  </si>
  <si>
    <t>NATR PORTABLE</t>
  </si>
  <si>
    <t>32B264C0</t>
  </si>
  <si>
    <t>NATURE CONSERVANCY</t>
  </si>
  <si>
    <t>Brunswick</t>
  </si>
  <si>
    <t>327124A0</t>
  </si>
  <si>
    <t>34:05:24.0396 (34.090011) North</t>
  </si>
  <si>
    <t>78:18:28.8504 (-78.308014) West</t>
  </si>
  <si>
    <t>NAVAJO MONUMENT</t>
  </si>
  <si>
    <t>32D5E2D2</t>
  </si>
  <si>
    <t>36:40:36.0012 (36.676667) North</t>
  </si>
  <si>
    <t>110:32:38.0004 (-110.543889) West</t>
  </si>
  <si>
    <t>Dominick Chicharello</t>
  </si>
  <si>
    <t>dominick.chicharello@bia.gov</t>
  </si>
  <si>
    <t xml:space="preserve">(928) 729-7385 </t>
  </si>
  <si>
    <t>Navajo Disp</t>
  </si>
  <si>
    <t xml:space="preserve">(928) 729-2307 </t>
  </si>
  <si>
    <t>NAVAL LIVE OAKS</t>
  </si>
  <si>
    <t>FA64E6FE</t>
  </si>
  <si>
    <t>30:21:59.0004 (30.366389) North</t>
  </si>
  <si>
    <t>87:08:15 (-87.1375) West</t>
  </si>
  <si>
    <t>GULF ISLANDS N.SEASH</t>
  </si>
  <si>
    <t>Jennifer Manis</t>
  </si>
  <si>
    <t>jennifer_manis@nps.gov</t>
  </si>
  <si>
    <t xml:space="preserve">(850) 934-2604 </t>
  </si>
  <si>
    <t>Scott Johnson</t>
  </si>
  <si>
    <t>scott_johnson@nps.gov</t>
  </si>
  <si>
    <t xml:space="preserve">(662) 680-4052 </t>
  </si>
  <si>
    <t>NC FIRE RAWS #1</t>
  </si>
  <si>
    <t>35:04:24.3516 (35.073431) North</t>
  </si>
  <si>
    <t>79:46:11.5788 (-79.769883) West</t>
  </si>
  <si>
    <t>NC FIRE RAWS #2</t>
  </si>
  <si>
    <t>35:18:18.4788 (35.305133) North</t>
  </si>
  <si>
    <t>82:42:43.9812 (-82.712217) West</t>
  </si>
  <si>
    <t>NC FIRE RAWS #3</t>
  </si>
  <si>
    <t>Duplin</t>
  </si>
  <si>
    <t>407063FE</t>
  </si>
  <si>
    <t>34:59:09.9996 (34.986111) North</t>
  </si>
  <si>
    <t>77:59:42 (-77.995) West</t>
  </si>
  <si>
    <t>NC FIRE RAWS #4</t>
  </si>
  <si>
    <t>4070E5EA</t>
  </si>
  <si>
    <t>35:38:28.3992 (35.641222) North</t>
  </si>
  <si>
    <t>76:48:02.4012 (-76.800667) West</t>
  </si>
  <si>
    <t>Dale Sutphin (Moble)</t>
  </si>
  <si>
    <t>dale.sutphin@ncagr.gov</t>
  </si>
  <si>
    <t xml:space="preserve">(743) 267-0842 </t>
  </si>
  <si>
    <t>bill.collins@ncgr.gov, daniel.collins@ncagr.gov, jamie.dunbar@ncagr.gov, jimmy.meadows@ncagr.gov</t>
  </si>
  <si>
    <t>NC FIRE RAWS #5</t>
  </si>
  <si>
    <t>328C965C</t>
  </si>
  <si>
    <t>35:07:58.2708 (35.132853) North</t>
  </si>
  <si>
    <t>83:47:17.3688 (-83.788158) West</t>
  </si>
  <si>
    <t>NC FIRE RAWS #6</t>
  </si>
  <si>
    <t>Northampton</t>
  </si>
  <si>
    <t>32B76300</t>
  </si>
  <si>
    <t>36:24:45.2016 (36.412556) North</t>
  </si>
  <si>
    <t>77:20:37.6008 (-77.343778) West</t>
  </si>
  <si>
    <t>NCSB</t>
  </si>
  <si>
    <t>3249C584</t>
  </si>
  <si>
    <t>48:25:31.0008 (48.425278) North</t>
  </si>
  <si>
    <t>120:08:30.9984 (-120.141944) West</t>
  </si>
  <si>
    <t>NEAL SMITH</t>
  </si>
  <si>
    <t>41:34:00.0012 (41.566667) North</t>
  </si>
  <si>
    <t>93:15:29.9988 (-93.258333) West</t>
  </si>
  <si>
    <t>NEAL SMITH NWR</t>
  </si>
  <si>
    <t>Ryan Harr</t>
  </si>
  <si>
    <t>ryan_harr@fws.gov</t>
  </si>
  <si>
    <t xml:space="preserve">(515) 928-2523 </t>
  </si>
  <si>
    <t>NEASLONEY WMA RAWS</t>
  </si>
  <si>
    <t>Gonzales</t>
  </si>
  <si>
    <t>AAC08444</t>
  </si>
  <si>
    <t>29:33:25.7004 (29.557139) North</t>
  </si>
  <si>
    <t>97:41:02.2992 (-97.683972) West</t>
  </si>
  <si>
    <t>NEBRASKA PORTABLE</t>
  </si>
  <si>
    <t>32A0C652</t>
  </si>
  <si>
    <t>42:39:07.3008 (42.652028) North</t>
  </si>
  <si>
    <t>103:01:59.8008 (-103.033278) West</t>
  </si>
  <si>
    <t>brian.daunt@usda.gov</t>
  </si>
  <si>
    <t>NECEDAH</t>
  </si>
  <si>
    <t>8376139A</t>
  </si>
  <si>
    <t>44:01:43 (44.028611) North</t>
  </si>
  <si>
    <t>90:04:59 (-90.083056) West</t>
  </si>
  <si>
    <t>NEEDLE CREEK</t>
  </si>
  <si>
    <t>38:23:21.0012 (38.389167) North</t>
  </si>
  <si>
    <t>106:31:50.9988 (-106.530833) West</t>
  </si>
  <si>
    <t>NEFIRE PORTABLE 1</t>
  </si>
  <si>
    <t>DAA00588</t>
  </si>
  <si>
    <t>44:03:47.8188 (44.063283) North</t>
  </si>
  <si>
    <t>69:47:41.1684 (-69.794769) West</t>
  </si>
  <si>
    <t>RHODE ISLAND</t>
  </si>
  <si>
    <t>NFFPC1</t>
  </si>
  <si>
    <t>NFFPC1 - NE Forest Protection Compact</t>
  </si>
  <si>
    <t>Daniel Perkins</t>
  </si>
  <si>
    <t>daniel.m.perkins@maine.gov</t>
  </si>
  <si>
    <t xml:space="preserve">(207) 307-4710 </t>
  </si>
  <si>
    <t>karyn.lothrop@state.ma.us</t>
  </si>
  <si>
    <t>NEFIRE PORTABLE 2</t>
  </si>
  <si>
    <t>47F005CE</t>
  </si>
  <si>
    <t>43:20:24.3996 (43.340111) North</t>
  </si>
  <si>
    <t>71:06:57.6 (-71.116) West</t>
  </si>
  <si>
    <t>Nathan Blancahrd</t>
  </si>
  <si>
    <t>douglas.miner@dncr.nh.gov, karyn.lothrop@state.ma.us</t>
  </si>
  <si>
    <t>NEFIRE PORTABLE 3</t>
  </si>
  <si>
    <t>Conneticut</t>
  </si>
  <si>
    <t>New Haven</t>
  </si>
  <si>
    <t>47F016B8</t>
  </si>
  <si>
    <t>41:34:27.7716 (41.574381) North</t>
  </si>
  <si>
    <t>72:45:58.2804 (-72.766189) West</t>
  </si>
  <si>
    <t>VERMONT</t>
  </si>
  <si>
    <t>NEFIRE PORTABLE 4</t>
  </si>
  <si>
    <t>47F02322</t>
  </si>
  <si>
    <t>42:34:09.12 (42.5692) North</t>
  </si>
  <si>
    <t>72:31:51.24 (-72.5309) West</t>
  </si>
  <si>
    <t xml:space="preserve">(603) 419-9147 </t>
  </si>
  <si>
    <t>karyn.lothrop@state.ma.gov</t>
  </si>
  <si>
    <t>NEMO</t>
  </si>
  <si>
    <t>3230668C</t>
  </si>
  <si>
    <t>44:11:24 (44.19) North</t>
  </si>
  <si>
    <t>103:30:38.0016 (-103.510556) West</t>
  </si>
  <si>
    <t xml:space="preserve">(507) 539-3275 </t>
  </si>
  <si>
    <t>NENE CABIN CS</t>
  </si>
  <si>
    <t>32D64524</t>
  </si>
  <si>
    <t>19:15:23.0004 (19.256389) North</t>
  </si>
  <si>
    <t>155:36:51.9984 (-155.614444) West</t>
  </si>
  <si>
    <t>NESHOBA</t>
  </si>
  <si>
    <t>Neshoba</t>
  </si>
  <si>
    <t>32:47:53.0016 (32.798056) North</t>
  </si>
  <si>
    <t>89:07:28.9992 (-89.124722) West</t>
  </si>
  <si>
    <t>NESPELEM</t>
  </si>
  <si>
    <t>48:08:10.41 (48.136225) North</t>
  </si>
  <si>
    <t>118:58:20.6904 (-118.972414) West</t>
  </si>
  <si>
    <t>Seth.Labro.mtf@colvilletribes.com</t>
  </si>
  <si>
    <t>NEU PORTABLE 23-1</t>
  </si>
  <si>
    <t>32BC18EA</t>
  </si>
  <si>
    <t>39:01:21.2088 (39.022558) North</t>
  </si>
  <si>
    <t>121:16:52.8996 (-121.281361) West</t>
  </si>
  <si>
    <t>Steven Garcia</t>
  </si>
  <si>
    <t>steven.garcia@fire.ca.gov</t>
  </si>
  <si>
    <t xml:space="preserve">(530) 277-2306 </t>
  </si>
  <si>
    <t>NEVERSHINE</t>
  </si>
  <si>
    <t>3244D594</t>
  </si>
  <si>
    <t>36:14:51.1188 (36.247533) North</t>
  </si>
  <si>
    <t>113:53:18.6504 (-113.888514) West</t>
  </si>
  <si>
    <t>NEW BERN</t>
  </si>
  <si>
    <t>407020F4</t>
  </si>
  <si>
    <t>35:05:48.6996 (35.096861) North</t>
  </si>
  <si>
    <t>77:06:39.5712 (-77.110992) West</t>
  </si>
  <si>
    <t>jimmy.meadows@ncagr.gov; josh.bell@ncagr.gov</t>
  </si>
  <si>
    <t>NEW MIDDLESEX COUNTY</t>
  </si>
  <si>
    <t>Middlesex</t>
  </si>
  <si>
    <t>FF10372A</t>
  </si>
  <si>
    <t>40:24:25.9992 (40.407222) North</t>
  </si>
  <si>
    <t>74:29:39.0012 (-74.494167) West</t>
  </si>
  <si>
    <t>NEW PORTABLE #2</t>
  </si>
  <si>
    <t>32B8CBB8</t>
  </si>
  <si>
    <t>NEW ULM</t>
  </si>
  <si>
    <t>Brown</t>
  </si>
  <si>
    <t>32BA6066</t>
  </si>
  <si>
    <t>44:16:37.1496 (44.276986) North</t>
  </si>
  <si>
    <t>94:26:14.5284 (-94.437369) West</t>
  </si>
  <si>
    <t>Jake Froyum</t>
  </si>
  <si>
    <t>mailto:jacob.froyum@state.mn.us</t>
  </si>
  <si>
    <t xml:space="preserve">(507) 497-1350 </t>
  </si>
  <si>
    <t>NEWHALL PASS</t>
  </si>
  <si>
    <t>CA293672</t>
  </si>
  <si>
    <t>34:20:13.0884 (34.336969) North</t>
  </si>
  <si>
    <t>118:31:13.8 (-118.5205) West</t>
  </si>
  <si>
    <t>NEWLAN CREEK</t>
  </si>
  <si>
    <t>32D77244</t>
  </si>
  <si>
    <t>46:44:12.9012 (46.736917) North</t>
  </si>
  <si>
    <t>110:51:04.32 (-110.8512) West</t>
  </si>
  <si>
    <t>(406) 562-3247 04</t>
  </si>
  <si>
    <t>Mike Long</t>
  </si>
  <si>
    <t>michael.long@usda.gov</t>
  </si>
  <si>
    <t xml:space="preserve">(406) 547-6002 </t>
  </si>
  <si>
    <t>ahester@blm.gov, jacob.hoppe@usda.gov</t>
  </si>
  <si>
    <t>NEWNAN</t>
  </si>
  <si>
    <t>Coweta</t>
  </si>
  <si>
    <t>310044F6</t>
  </si>
  <si>
    <t>33:21:55.0008 (33.365278) North</t>
  </si>
  <si>
    <t>84:51:34.9992 (-84.859722) West</t>
  </si>
  <si>
    <t>Clayton Jones (Cell)</t>
  </si>
  <si>
    <t>NGPA PORTABLE</t>
  </si>
  <si>
    <t>43:44:04 (43.734444) North</t>
  </si>
  <si>
    <t>103:49:45.9999 (-103.829444) West</t>
  </si>
  <si>
    <t>WIND CAVE NP</t>
  </si>
  <si>
    <t>NINE MILE</t>
  </si>
  <si>
    <t>3232E56C</t>
  </si>
  <si>
    <t>47:04:16.7988 (47.071333) North</t>
  </si>
  <si>
    <t>114:24:05.0004 (-114.401389) West</t>
  </si>
  <si>
    <t xml:space="preserve">(406) 626-5432 </t>
  </si>
  <si>
    <t>ahester@blm.gov, dani.johnson@usda.gov, erin.oloughlin@usda.gov, martin.jacob@usda.gov, samuel.brownlee@usda.gov</t>
  </si>
  <si>
    <t>NINIGRET</t>
  </si>
  <si>
    <t>Rhode Island</t>
  </si>
  <si>
    <t>41:22:45.4008 (41.379278) North</t>
  </si>
  <si>
    <t>71:34:55.8984 (-71.582194) West</t>
  </si>
  <si>
    <t>NINIGRET NWR</t>
  </si>
  <si>
    <t>Matthew Pavlak</t>
  </si>
  <si>
    <t>Matthew_Pavlak@fws.gov</t>
  </si>
  <si>
    <t xml:space="preserve">(401) 519-8030 </t>
  </si>
  <si>
    <t>NINILCHIK</t>
  </si>
  <si>
    <t>3390A466</t>
  </si>
  <si>
    <t>60:00:35.64 (60.0099) North</t>
  </si>
  <si>
    <t>151:32:23.82 (-151.53995) West</t>
  </si>
  <si>
    <t>NIXON FLATS</t>
  </si>
  <si>
    <t>327C4220</t>
  </si>
  <si>
    <t>36:23:17.9988 (36.388333) North</t>
  </si>
  <si>
    <t>113:09:29.0016 (-113.158056) West</t>
  </si>
  <si>
    <t>NMJIA_PORT1</t>
  </si>
  <si>
    <t>36:35:52.0008 (36.597778) North</t>
  </si>
  <si>
    <t>106:55:42.9996 (-106.928611) West</t>
  </si>
  <si>
    <t xml:space="preserve">Chistopher Moore  </t>
  </si>
  <si>
    <t>christopher.moore@bia.gov</t>
  </si>
  <si>
    <t xml:space="preserve">(928) 890-4066 </t>
  </si>
  <si>
    <t>ahester@blm.gov, cheryl.bright@bia.gov, valdis.neha@bia.gov</t>
  </si>
  <si>
    <t>NMMEA_PORT1</t>
  </si>
  <si>
    <t>33:02:53.8188 (33.048283) North</t>
  </si>
  <si>
    <t>105:46:11.8812 (-105.769967) West</t>
  </si>
  <si>
    <t>Aldon Coriz (Cell)</t>
  </si>
  <si>
    <t xml:space="preserve"> Valdis Neha</t>
  </si>
  <si>
    <t xml:space="preserve">(505) 782-3357 </t>
  </si>
  <si>
    <t>ahester@blm.gov, cheryl.bright@bia.gov, rnaden@fs.fed.us</t>
  </si>
  <si>
    <t>NMSPA_PORT1</t>
  </si>
  <si>
    <t>3293524E</t>
  </si>
  <si>
    <t>35:31:32.0016 (35.525556) North</t>
  </si>
  <si>
    <t>106:35:36.9996 (-106.593611) West</t>
  </si>
  <si>
    <t>anthony.thompson@bia.gov</t>
  </si>
  <si>
    <t>Neha Valdis</t>
  </si>
  <si>
    <t>valdis_neha@bia.gov</t>
  </si>
  <si>
    <t>ahester@blm.gov, cheryl.bright@bia.gov, cwestbrook01@fs.fed.us, valdis.neha@bia.gov</t>
  </si>
  <si>
    <t>NOATAK</t>
  </si>
  <si>
    <t>FA601340</t>
  </si>
  <si>
    <t>68:04:14.9916 (68.070831) North</t>
  </si>
  <si>
    <t>158:42:15.0084 (-158.704169) West</t>
  </si>
  <si>
    <t>NOLICHUCKY</t>
  </si>
  <si>
    <t>3261F556</t>
  </si>
  <si>
    <t>35:58:54.9984 (35.981944) North</t>
  </si>
  <si>
    <t>82:50:35.9988 (-82.843333) West</t>
  </si>
  <si>
    <t>CHEROKEE NF</t>
  </si>
  <si>
    <t>Christopher Wilson</t>
  </si>
  <si>
    <t>christopher.wilson@usda.gov</t>
  </si>
  <si>
    <t xml:space="preserve">(423) 457-0375 </t>
  </si>
  <si>
    <t>Mike Bot</t>
  </si>
  <si>
    <t>mbot@fs.fed.us</t>
  </si>
  <si>
    <t xml:space="preserve">(423) 476-9761 </t>
  </si>
  <si>
    <t>NOME CREEK</t>
  </si>
  <si>
    <t>325FF74E</t>
  </si>
  <si>
    <t>65:21:47.0016 (65.363056) North</t>
  </si>
  <si>
    <t>147:02:16.0008 (-147.037778) West</t>
  </si>
  <si>
    <t>ARTIC</t>
  </si>
  <si>
    <t>Ben Kennedy</t>
  </si>
  <si>
    <t>bkennedy@blm.gov</t>
  </si>
  <si>
    <t xml:space="preserve">(907) 474-2323 </t>
  </si>
  <si>
    <t>NOON CREEK</t>
  </si>
  <si>
    <t>32:40:04.0008 (32.667778) North</t>
  </si>
  <si>
    <t>109:47:17.0016 (-109.788056) West</t>
  </si>
  <si>
    <t>NORTH BANK</t>
  </si>
  <si>
    <t>327E54A2</t>
  </si>
  <si>
    <t>43:21:19.9008 (43.355528) North</t>
  </si>
  <si>
    <t>123:11:29.6016 (-123.191556) West</t>
  </si>
  <si>
    <t>NORTH COVE PINNACLE (FR1)</t>
  </si>
  <si>
    <t>324E41A4</t>
  </si>
  <si>
    <t>35:48:59.6988 (35.816583) North</t>
  </si>
  <si>
    <t>81:56:13.9992 (-81.937222) West</t>
  </si>
  <si>
    <t>NORTH FORK</t>
  </si>
  <si>
    <t>326CA64C</t>
  </si>
  <si>
    <t>37:13:59.0484 (37.233069) North</t>
  </si>
  <si>
    <t>119:30:21.0492 (-119.505847) West</t>
  </si>
  <si>
    <t>3270D6DE</t>
  </si>
  <si>
    <t>43:47:24.9 (43.79025) North</t>
  </si>
  <si>
    <t>114:25:18.48 (-114.4218) West</t>
  </si>
  <si>
    <t>NORTH LONG POINT</t>
  </si>
  <si>
    <t>3241174A</t>
  </si>
  <si>
    <t>37:51:17.1 (37.85475) North</t>
  </si>
  <si>
    <t>109:50:21.8004 (-109.839389) West</t>
  </si>
  <si>
    <t>NORTH MANITOU</t>
  </si>
  <si>
    <t>3274D3E4</t>
  </si>
  <si>
    <t>45:07:21.72 (45.1227) North</t>
  </si>
  <si>
    <t>85:58:41.52 (-85.9782) West</t>
  </si>
  <si>
    <t>NORTH POLE RIDGE</t>
  </si>
  <si>
    <t>325291CE</t>
  </si>
  <si>
    <t>45:01:38.6004 (45.027389) North</t>
  </si>
  <si>
    <t>120:32:10.3992 (-120.536222) West</t>
  </si>
  <si>
    <t>NORTH STERLING</t>
  </si>
  <si>
    <t>32A23DF0</t>
  </si>
  <si>
    <t>40:47:18.8988 (40.788583) North</t>
  </si>
  <si>
    <t>103:15:46.1016 (-103.262806) West</t>
  </si>
  <si>
    <t>NORTH ZONE PORTABLE</t>
  </si>
  <si>
    <t>Rockingham</t>
  </si>
  <si>
    <t>AAC3E6AC</t>
  </si>
  <si>
    <t>38:28:27.0012 (38.474167) North</t>
  </si>
  <si>
    <t>79:12:20.0988 (-79.205583) West</t>
  </si>
  <si>
    <t xml:space="preserve">(540) 290-0461 </t>
  </si>
  <si>
    <t>Joe Emswiler</t>
  </si>
  <si>
    <t>joseph.emswiler@usda.gov</t>
  </si>
  <si>
    <t xml:space="preserve">(540) 746-1781 </t>
  </si>
  <si>
    <t>NORTH ZONE QD</t>
  </si>
  <si>
    <t>32B4F16C</t>
  </si>
  <si>
    <t>35:03:18 (35.055) North</t>
  </si>
  <si>
    <t>84:34:17.4684 (-84.571519) West</t>
  </si>
  <si>
    <t>Chris Wilson (Cell)</t>
  </si>
  <si>
    <t>NORUTAK LAKE</t>
  </si>
  <si>
    <t>3246B586</t>
  </si>
  <si>
    <t>66:49:42.3 (66.828417) North</t>
  </si>
  <si>
    <t>154:19:24.42 (-154.32345) West</t>
  </si>
  <si>
    <t>NORWAY</t>
  </si>
  <si>
    <t>40:36:45 (40.6125) North</t>
  </si>
  <si>
    <t>111:05:53.9988 (-111.098333) West</t>
  </si>
  <si>
    <t>NORWOOD PORTABLE #1</t>
  </si>
  <si>
    <t>3289E70C</t>
  </si>
  <si>
    <t>38:18:24.5016 (38.306806) North</t>
  </si>
  <si>
    <t>107:57:45 (-107.9625) West</t>
  </si>
  <si>
    <t>NOTCHKO</t>
  </si>
  <si>
    <t>15C19352</t>
  </si>
  <si>
    <t>41:17:22.9992 (41.289722) North</t>
  </si>
  <si>
    <t>123:51:27 (-123.8575) West</t>
  </si>
  <si>
    <t>North. Calif. Agency</t>
  </si>
  <si>
    <t>Joe Hostler</t>
  </si>
  <si>
    <t>jhostler@yuroktribe.nsn.us</t>
  </si>
  <si>
    <t xml:space="preserve">(707) 499-3811 </t>
  </si>
  <si>
    <t>(707) 482-1350 010</t>
  </si>
  <si>
    <t>NOVATO FIRE - ROBINHOOD</t>
  </si>
  <si>
    <t>38:06:45 (38.1125) North</t>
  </si>
  <si>
    <t>122:32:59.3016 (-122.549806) West</t>
  </si>
  <si>
    <t>gmccarthy@navatofire.org</t>
  </si>
  <si>
    <t>NOXUBEE - FTS</t>
  </si>
  <si>
    <t>Noxubee</t>
  </si>
  <si>
    <t>33:15:58 (33.266111) North</t>
  </si>
  <si>
    <t>88:47:36 (-88.793333) West</t>
  </si>
  <si>
    <t>NOXUBEE NWR</t>
  </si>
  <si>
    <t>PAUL REYNOLDS</t>
  </si>
  <si>
    <t>paul_reynolds@fws.gov</t>
  </si>
  <si>
    <t>(662) 323-5548 4217</t>
  </si>
  <si>
    <t>Paul Reynolds</t>
  </si>
  <si>
    <t>NPS ENGLISH CAMP</t>
  </si>
  <si>
    <t>32A025A0</t>
  </si>
  <si>
    <t>48:35:17.0988 (48.588083) North</t>
  </si>
  <si>
    <t>123:08:54.96 (-123.1486) West</t>
  </si>
  <si>
    <t>SAN JUAN ISLAND NHP</t>
  </si>
  <si>
    <t>Bill Baccus</t>
  </si>
  <si>
    <t>bill_baccus@nps.gov</t>
  </si>
  <si>
    <t xml:space="preserve">(360) 565-3061 </t>
  </si>
  <si>
    <t>William Baccus</t>
  </si>
  <si>
    <t>NRAWS 1 (Reno)</t>
  </si>
  <si>
    <t>Carson City</t>
  </si>
  <si>
    <t>3269427E</t>
  </si>
  <si>
    <t>39:32:29.88 (39.541633) North</t>
  </si>
  <si>
    <t>119:40:30 (-119.675) West</t>
  </si>
  <si>
    <t>Mike Freitas</t>
  </si>
  <si>
    <t>mike.freitas@noaa.gov</t>
  </si>
  <si>
    <t xml:space="preserve">(775) 673-8100 </t>
  </si>
  <si>
    <t>14:40, 29:40, 44:40, 59:40</t>
  </si>
  <si>
    <t>NRAWS 10 (IDA1)</t>
  </si>
  <si>
    <t>327BA3E6</t>
  </si>
  <si>
    <t>43:31:13.6 (43.520444) North</t>
  </si>
  <si>
    <t>112:04:03.2 (-112.067556) West</t>
  </si>
  <si>
    <t xml:space="preserve">(208) 232-9212 </t>
  </si>
  <si>
    <t>bryan.tilly@noaa.gov, robert.mccullagh@noaa.gov</t>
  </si>
  <si>
    <t>Bryan Tilly</t>
  </si>
  <si>
    <t>NRAWS 11</t>
  </si>
  <si>
    <t>327DA328</t>
  </si>
  <si>
    <t>43:33:55 (43.565278) North</t>
  </si>
  <si>
    <t>116:12:31 (-116.208611) West</t>
  </si>
  <si>
    <t>NRAWS 12</t>
  </si>
  <si>
    <t>327DC6CE</t>
  </si>
  <si>
    <t>38:38:43.98 (38.64555) North</t>
  </si>
  <si>
    <t>78:56:06.4788 (-78.935133) West</t>
  </si>
  <si>
    <t>NRAWS 13 (LESTER CREEK)</t>
  </si>
  <si>
    <t>15D07B16</t>
  </si>
  <si>
    <t>43:26:46.7016 (43.446306) North</t>
  </si>
  <si>
    <t>115:21:23.0004 (-115.356389) West</t>
  </si>
  <si>
    <t>Chuck Redman</t>
  </si>
  <si>
    <t>chuck.redman@noaa.gov</t>
  </si>
  <si>
    <t xml:space="preserve">(208) 334-9508 </t>
  </si>
  <si>
    <t>chuck.redman@noaa.gov, paul.mitchell@usda.gov, sophia.adams@noaa.gov, spencer.tangen@noaa.gov</t>
  </si>
  <si>
    <t>07:10, 22:10, 37:10, 52:10</t>
  </si>
  <si>
    <t>NRAWS 14</t>
  </si>
  <si>
    <t>3269F1F0</t>
  </si>
  <si>
    <t>NRAWS 15</t>
  </si>
  <si>
    <t>32D6E5DC</t>
  </si>
  <si>
    <t>NRAWS 16 (CENTERVILLE)</t>
  </si>
  <si>
    <t>AA11405A</t>
  </si>
  <si>
    <t>43:53:58.9884 (43.899719) North</t>
  </si>
  <si>
    <t>115:54:16.7796 (-115.904661) West</t>
  </si>
  <si>
    <t>ERIC JOHNSON</t>
  </si>
  <si>
    <t xml:space="preserve">(208) 344-9508 </t>
  </si>
  <si>
    <t xml:space="preserve">(208) 344-9060 </t>
  </si>
  <si>
    <t>eric.d.johnson@noaa.gov, joshua.garrow@noaa.gov</t>
  </si>
  <si>
    <t>13:20, 28:20, 43:20, 58:20</t>
  </si>
  <si>
    <t>NRAWS 17 (OLA SCHOOL)</t>
  </si>
  <si>
    <t>Gem</t>
  </si>
  <si>
    <t>15C120DC</t>
  </si>
  <si>
    <t>44:10:37.38 (44.17705) North</t>
  </si>
  <si>
    <t>116:17:25.2996 (-116.290361) West</t>
  </si>
  <si>
    <t xml:space="preserve">(208) 334-9838 </t>
  </si>
  <si>
    <t>Amy Davis</t>
  </si>
  <si>
    <t>adavis@isd221.net</t>
  </si>
  <si>
    <t xml:space="preserve">(208) 584-3589 </t>
  </si>
  <si>
    <t>adavis@isd221.net, eric.d.johnson@noaa.gov, sophia.adams@noaa.gov, travis.mayer@noaa.gov</t>
  </si>
  <si>
    <t>07:15, 22:15, 37:15, 52:15</t>
  </si>
  <si>
    <t>NRAWS 18 (PILOT PEAK)</t>
  </si>
  <si>
    <t>15C12E0E</t>
  </si>
  <si>
    <t>43:57:36.2988 (43.960083) North</t>
  </si>
  <si>
    <t>115:41:13.2 (-115.687) West</t>
  </si>
  <si>
    <t xml:space="preserve">(208) 334-9528 </t>
  </si>
  <si>
    <t>joshua.garrow@noaa.gov, troy.lindquist@noaa.gov</t>
  </si>
  <si>
    <t>06:45, 21:45, 36:45, 51:45</t>
  </si>
  <si>
    <t>NRAWS 2</t>
  </si>
  <si>
    <t>32:13:40.6308 (32.227953) North</t>
  </si>
  <si>
    <t>110:57:20.79 (-110.955775) West</t>
  </si>
  <si>
    <t>Carl Cerniglia</t>
  </si>
  <si>
    <t>carl.cerniglia@noaa.gov</t>
  </si>
  <si>
    <t xml:space="preserve">(520) 670-5156 </t>
  </si>
  <si>
    <t>carl.cerniglia@noaa.gov, george.buckwold@noaa.gov, travis.mayer@noaa.gov</t>
  </si>
  <si>
    <t>NRAWS 3 (DODSON)</t>
  </si>
  <si>
    <t>3269B2FA</t>
  </si>
  <si>
    <t>45:36:15.48 (45.6043) North</t>
  </si>
  <si>
    <t>122:02:35.88 (-122.0433) West</t>
  </si>
  <si>
    <t>Joseph Hannon</t>
  </si>
  <si>
    <t>joseph.hannon@noaa.gov</t>
  </si>
  <si>
    <t>(503) 326-2340 60</t>
  </si>
  <si>
    <t>brian.alley@noaa.gov</t>
  </si>
  <si>
    <t>NRAWS 4 (TANNER)</t>
  </si>
  <si>
    <t>45:36:45.2 (45.612556) North</t>
  </si>
  <si>
    <t>121:56:35.4999 (-121.943194) West</t>
  </si>
  <si>
    <t>brian.alley@noaa.gov, joseph.hannon@noaa.gov</t>
  </si>
  <si>
    <t>NRAWS 5 (LINDQUIST RANCH)</t>
  </si>
  <si>
    <t>32D6F6AA</t>
  </si>
  <si>
    <t>43:22:56.6004 (43.382389) North</t>
  </si>
  <si>
    <t>115:58:29.7984 (-115.974944) West</t>
  </si>
  <si>
    <t>troy.lindquist@noaa.gov</t>
  </si>
  <si>
    <t>06:25, 21:25, 36:25, 51:25</t>
  </si>
  <si>
    <t>NRAWS 6 (HIGHLAND VALLEY)</t>
  </si>
  <si>
    <t>15D6B014</t>
  </si>
  <si>
    <t>43:34:37.5996 (43.577111) North</t>
  </si>
  <si>
    <t>116:04:05.2284 (-116.068119) West</t>
  </si>
  <si>
    <t>joshua.garrow@noaa.gov, travis.mayer@noaa.gov, troy.lindquist@noaa.gov</t>
  </si>
  <si>
    <t>07:20, 22:20, 37:20, 52:20</t>
  </si>
  <si>
    <t>NRAWS 7 (APACHE STATION)</t>
  </si>
  <si>
    <t>15C0FA9C</t>
  </si>
  <si>
    <t>32:04:08.7888 (32.069108) North</t>
  </si>
  <si>
    <t>109:52:33.6108 (-109.876003) West</t>
  </si>
  <si>
    <t xml:space="preserve">(509) 670-5156 </t>
  </si>
  <si>
    <t>christopher.cavassa@noaa.gov, lance.tripoli@noaa.gov, michael.teer@noaa.gov, raymond.hitt@noaa.gov</t>
  </si>
  <si>
    <t>06:30, 21:30, 36:30, 51:30</t>
  </si>
  <si>
    <t>NRAWS 8 DOUGLAS AIRPORT</t>
  </si>
  <si>
    <t>327C5156</t>
  </si>
  <si>
    <t>31:27:29.9916 (31.458331) North</t>
  </si>
  <si>
    <t>109:36:24.3108 (-109.606753) West</t>
  </si>
  <si>
    <t>carl.cerniglia@noaa.gov, lance.tripoli@noaa.gov</t>
  </si>
  <si>
    <t>NRAWS 9 (WARM SPG AIRSTP)</t>
  </si>
  <si>
    <t>15C108E2</t>
  </si>
  <si>
    <t>44:08:35.97 (44.143325) North</t>
  </si>
  <si>
    <t>115:18:48.7296 (-115.313536) West</t>
  </si>
  <si>
    <t>Troy Lindquist</t>
  </si>
  <si>
    <t>anthony.han@noaa.gov, troy.lindquist@noaa.gov</t>
  </si>
  <si>
    <t>06:35, 21:35, 36:35, 51:35</t>
  </si>
  <si>
    <t>NUCKOLS</t>
  </si>
  <si>
    <t>3273C2A6</t>
  </si>
  <si>
    <t>47:30:14.9292 (47.504147) North</t>
  </si>
  <si>
    <t>115:56:12.6888 (-115.936858) West</t>
  </si>
  <si>
    <t>NUCLA</t>
  </si>
  <si>
    <t>3251D5CA</t>
  </si>
  <si>
    <t>38:14:00.2004 (38.233389) North</t>
  </si>
  <si>
    <t>108:33:42.1992 (-108.561722) West</t>
  </si>
  <si>
    <t xml:space="preserve">(970) 240-5393 </t>
  </si>
  <si>
    <t>NULHEGAN</t>
  </si>
  <si>
    <t>44:46:01.9992 (44.767222) North</t>
  </si>
  <si>
    <t>71:42:05.0004 (-71.701389) West</t>
  </si>
  <si>
    <t>Dann Dillner</t>
  </si>
  <si>
    <t>NUNATAK LOWER</t>
  </si>
  <si>
    <t>3962B076</t>
  </si>
  <si>
    <t>58:58:39.9396 (58.977761) North</t>
  </si>
  <si>
    <t>136:06:03.5496 (-136.100986) West</t>
  </si>
  <si>
    <t>NUNATAK UPPER</t>
  </si>
  <si>
    <t>3962C6E6</t>
  </si>
  <si>
    <t>58:59:01.5288 (58.983758) North</t>
  </si>
  <si>
    <t>136:06:01.386 (-136.100385) West</t>
  </si>
  <si>
    <t>NWS IWOS 1(JAY'S CABIN)</t>
  </si>
  <si>
    <t>AAB705C8</t>
  </si>
  <si>
    <t>44:32:30.0984 (44.541694) North</t>
  </si>
  <si>
    <t>116:03:27.1008 (-116.057528) West</t>
  </si>
  <si>
    <t>jay.breidenbach@noaa.gov</t>
  </si>
  <si>
    <t>NWS IWOS 2 (PIH)</t>
  </si>
  <si>
    <t>328E45C0</t>
  </si>
  <si>
    <t>42:53:54.1608 (42.898378) North</t>
  </si>
  <si>
    <t>112:36:10.26 (-112.60285) West</t>
  </si>
  <si>
    <t>Philip Manhart</t>
  </si>
  <si>
    <t>philip.manhart@noaa.gov</t>
  </si>
  <si>
    <t>bryan.tilly@noaa.gov, philip.manhart@noaa.gov</t>
  </si>
  <si>
    <t>NWS IWOS 3 (GO BRONCOS!)</t>
  </si>
  <si>
    <t>328E56B6</t>
  </si>
  <si>
    <t>43:36:13.6008 (43.603778) North</t>
  </si>
  <si>
    <t>116:11:42.7488 (-116.195208) West</t>
  </si>
  <si>
    <t>NWS IWOS 4 (BSU STADIUM)</t>
  </si>
  <si>
    <t>CA5065FE</t>
  </si>
  <si>
    <t xml:space="preserve">(208) 334-9865 </t>
  </si>
  <si>
    <t>eric.d.johnson@noaa.gov, jay.breidenbach@noaa.gov, joshua.garrow@noaa.gov, travis.mayer@noaa.gov</t>
  </si>
  <si>
    <t>NWS IWOS 5 (OUTREACH)</t>
  </si>
  <si>
    <t>CA507688</t>
  </si>
  <si>
    <t>NWS PORT#1</t>
  </si>
  <si>
    <t>3252E75E</t>
  </si>
  <si>
    <t>NYS PORTABLE #1</t>
  </si>
  <si>
    <t>3271D424</t>
  </si>
  <si>
    <t>40:51:51.0984 (40.864194) North</t>
  </si>
  <si>
    <t>72:38:42.6984 (-72.645194) West</t>
  </si>
  <si>
    <t>Jaime Laczko</t>
  </si>
  <si>
    <t>jaime.laczko@dec.ny.gov</t>
  </si>
  <si>
    <t xml:space="preserve">(518) 335-3429 </t>
  </si>
  <si>
    <t>bryan.gallagher@dec.ny.gov, john.franceschina@dec.ny.gov, timothy.byrnes@dex.ny.gov</t>
  </si>
  <si>
    <t>O'BRIEN</t>
  </si>
  <si>
    <t>32B5B09C</t>
  </si>
  <si>
    <t>42:01:05.142 (42.018095) North</t>
  </si>
  <si>
    <t>123:46:27.3288 (-123.774258) West</t>
  </si>
  <si>
    <t>Dave Schober</t>
  </si>
  <si>
    <t>david.schober@pacificorp.com</t>
  </si>
  <si>
    <t xml:space="preserve">(541) 955-7900 </t>
  </si>
  <si>
    <t>OAHU FOREST NWR</t>
  </si>
  <si>
    <t>8379F6FA</t>
  </si>
  <si>
    <t>21:28:38.9 (21.477472) North</t>
  </si>
  <si>
    <t>157:56:12.9999 (-157.936944) West</t>
  </si>
  <si>
    <t>OAHU NWR</t>
  </si>
  <si>
    <t>OAK CREEK</t>
  </si>
  <si>
    <t>3265650E</t>
  </si>
  <si>
    <t>36:50:36.9996 (36.843611) North</t>
  </si>
  <si>
    <t>118:15:56.0016 (-118.265556) West</t>
  </si>
  <si>
    <t>326326CA</t>
  </si>
  <si>
    <t>34:56:48.6996 (34.946861) North</t>
  </si>
  <si>
    <t>111:45:15.9984 (-111.754444) West</t>
  </si>
  <si>
    <t>OAK FLATS</t>
  </si>
  <si>
    <t>323372F4</t>
  </si>
  <si>
    <t>35:00:22.1004 (35.006139) North</t>
  </si>
  <si>
    <t>106:18:56.9988 (-106.315833) West</t>
  </si>
  <si>
    <t>OAK GROVE</t>
  </si>
  <si>
    <t>33:23:09.4812 (33.385967) North</t>
  </si>
  <si>
    <t>116:47:48.6096 (-116.796836) West</t>
  </si>
  <si>
    <t>OAK KNOLL</t>
  </si>
  <si>
    <t>3238622A</t>
  </si>
  <si>
    <t>41:50:18.0888 (41.838358) North</t>
  </si>
  <si>
    <t>122:51:00.5508 (-122.850153) West</t>
  </si>
  <si>
    <t>OAK MOUNTAIN</t>
  </si>
  <si>
    <t>323AD450</t>
  </si>
  <si>
    <t>41:00:22.7916 (41.006331) North</t>
  </si>
  <si>
    <t>121:59:03.9516 (-121.984431) West</t>
  </si>
  <si>
    <t>Thomas Buckner</t>
  </si>
  <si>
    <t>thomas.buckner@usda.gov</t>
  </si>
  <si>
    <t>Timothy Alridge</t>
  </si>
  <si>
    <t>timothy.aldridge@usda.gov</t>
  </si>
  <si>
    <t xml:space="preserve">(530) 356-6538 </t>
  </si>
  <si>
    <t>ahester@blm.gov, jethompson21@peoplepc.com, nicholas.price@usda.gov, shuckstep@blm.gov, timothy.aldridge@usda.gov</t>
  </si>
  <si>
    <t>OAK OPENING</t>
  </si>
  <si>
    <t>36:10:31.0584 (36.175294) North</t>
  </si>
  <si>
    <t>118:42:06.1812 (-118.701717) West</t>
  </si>
  <si>
    <t>OAK RIDGE</t>
  </si>
  <si>
    <t>32B525FE</t>
  </si>
  <si>
    <t>38:44:17.0016 (38.738056) North</t>
  </si>
  <si>
    <t>123:18:30.2004 (-123.308389) West</t>
  </si>
  <si>
    <t>OAK SPRINGS</t>
  </si>
  <si>
    <t>32D3948C</t>
  </si>
  <si>
    <t>40:24:23.5188 (40.406533) North</t>
  </si>
  <si>
    <t>112:04:37.4592 (-112.077072) West</t>
  </si>
  <si>
    <t>CAMP WILLIAMS</t>
  </si>
  <si>
    <t>Sean Hammond</t>
  </si>
  <si>
    <t>hammond.se@gmail.com</t>
  </si>
  <si>
    <t xml:space="preserve">(801) 633-3678 </t>
  </si>
  <si>
    <t>AGCW Range Control</t>
  </si>
  <si>
    <t xml:space="preserve">(801) 878-5421 </t>
  </si>
  <si>
    <t>OAKLAND</t>
  </si>
  <si>
    <t>32B49A58</t>
  </si>
  <si>
    <t>32:28:02.2008 (32.467278) North</t>
  </si>
  <si>
    <t>84:33:19.9404 (-84.555539) West</t>
  </si>
  <si>
    <t>OAKLAND NORTH</t>
  </si>
  <si>
    <t>CA4A06D4</t>
  </si>
  <si>
    <t>37:51:54 (37.865) North</t>
  </si>
  <si>
    <t>122:13:14.9988 (-122.220833) West</t>
  </si>
  <si>
    <t>Leroy Griffin</t>
  </si>
  <si>
    <t>lgriffin@oaklandnet.com</t>
  </si>
  <si>
    <t xml:space="preserve">(510) 238-7759 </t>
  </si>
  <si>
    <t>OAKLAND SOUTH</t>
  </si>
  <si>
    <t>CA4A15A2</t>
  </si>
  <si>
    <t>37:47:09.9996 (37.786111) North</t>
  </si>
  <si>
    <t>122:08:40.9992 (-122.144722) West</t>
  </si>
  <si>
    <t>OAKMULGEE</t>
  </si>
  <si>
    <t>3273B436</t>
  </si>
  <si>
    <t>32:55:24.8916 (32.923581) North</t>
  </si>
  <si>
    <t>87:11:16.1196 (-87.187811) West</t>
  </si>
  <si>
    <t>Trevor Callaghan</t>
  </si>
  <si>
    <t>trevor.callaghan@usda.gov</t>
  </si>
  <si>
    <t xml:space="preserve">(659) 336-0907 </t>
  </si>
  <si>
    <t>cdcline@fs.fed.us</t>
  </si>
  <si>
    <t>OASIS</t>
  </si>
  <si>
    <t>325DC720</t>
  </si>
  <si>
    <t>25:51:37.4004 (25.860389) North</t>
  </si>
  <si>
    <t>81:01:58.8 (-81.033) West</t>
  </si>
  <si>
    <t xml:space="preserve">(520) 954-8539 </t>
  </si>
  <si>
    <t>OATMAN</t>
  </si>
  <si>
    <t>328BF18E</t>
  </si>
  <si>
    <t>33:02:59.7984 (33.049944) North</t>
  </si>
  <si>
    <t>113:08:19.2012 (-113.138667) West</t>
  </si>
  <si>
    <t>DANIEL PHILBIN</t>
  </si>
  <si>
    <t>OBRIEN RIDGE</t>
  </si>
  <si>
    <t>32B0C1CC</t>
  </si>
  <si>
    <t>46:00:02.34 (46.00065) North</t>
  </si>
  <si>
    <t>113:39:59.8212 (-113.666617) West</t>
  </si>
  <si>
    <t>Richard.reneau@usda.gov</t>
  </si>
  <si>
    <t xml:space="preserve"> richard.reneau@usda.gov, ahester@blm.gov, matthew.latray@usda.gov</t>
  </si>
  <si>
    <t>OCALA PORTABLE</t>
  </si>
  <si>
    <t>32B9741E</t>
  </si>
  <si>
    <t>29:10:14.88 (29.1708) North</t>
  </si>
  <si>
    <t>81:49:10.92 (-81.8197) West</t>
  </si>
  <si>
    <t>Travis Aho (Cell)</t>
  </si>
  <si>
    <t>travis.aho@usda.gov</t>
  </si>
  <si>
    <t xml:space="preserve">(407) 409-1777 </t>
  </si>
  <si>
    <t>OCHOCO PORTABLE</t>
  </si>
  <si>
    <t>32A17726</t>
  </si>
  <si>
    <t>44:23:36.1788 (44.393383) North</t>
  </si>
  <si>
    <t>120:18:07.4988 (-120.302083) West</t>
  </si>
  <si>
    <t>orcoc@firenet.gov</t>
  </si>
  <si>
    <t>OCHOPEE RAWS</t>
  </si>
  <si>
    <t>FA6246C8</t>
  </si>
  <si>
    <t>25:53:55.2984 (25.898694) North</t>
  </si>
  <si>
    <t>81:19:11.2008 (-81.319778) West</t>
  </si>
  <si>
    <t>OCOEE</t>
  </si>
  <si>
    <t>32A04046</t>
  </si>
  <si>
    <t>35:09:20.9988 (35.155833) North</t>
  </si>
  <si>
    <t>84:35:40.9992 (-84.594722) West</t>
  </si>
  <si>
    <t>Matthew Derstine</t>
  </si>
  <si>
    <t>matthew.derstine@usda.gov</t>
  </si>
  <si>
    <t xml:space="preserve">(762) 231-8951 </t>
  </si>
  <si>
    <t>OCONEE</t>
  </si>
  <si>
    <t>3273625E</t>
  </si>
  <si>
    <t>33:12:29.9988 (33.208333) North</t>
  </si>
  <si>
    <t>83:42:48.9996 (-83.713611) West</t>
  </si>
  <si>
    <t>ODEN</t>
  </si>
  <si>
    <t>3284F71C</t>
  </si>
  <si>
    <t>34:37:27.0012 (34.624167) North</t>
  </si>
  <si>
    <t>93:48:21.9996 (-93.806111) West</t>
  </si>
  <si>
    <t>OFU</t>
  </si>
  <si>
    <t>American Samoa</t>
  </si>
  <si>
    <t>Manu'a</t>
  </si>
  <si>
    <t>32B6D274</t>
  </si>
  <si>
    <t>14:10:29.6652 (-14.174907) South</t>
  </si>
  <si>
    <t>169:39:33.912 (-169.65942) West</t>
  </si>
  <si>
    <t>NP OF AMERICAN SAMOA</t>
  </si>
  <si>
    <t>OHANAPECOSH</t>
  </si>
  <si>
    <t>FA65211A</t>
  </si>
  <si>
    <t>46:43:51.9996 (46.731111) North</t>
  </si>
  <si>
    <t>121:34:15.9996 (-121.571111) West</t>
  </si>
  <si>
    <t>MT. RAINIER NP</t>
  </si>
  <si>
    <t>Shannon Hagen</t>
  </si>
  <si>
    <t>shannon_hagen@nps.gov</t>
  </si>
  <si>
    <t xml:space="preserve">(360) 569-6759 </t>
  </si>
  <si>
    <t>Rebecca Lofgren</t>
  </si>
  <si>
    <t>rebecca_a_lofgren@nps.gov</t>
  </si>
  <si>
    <t xml:space="preserve">(360) 569-6752 </t>
  </si>
  <si>
    <t>OHIO GULCH</t>
  </si>
  <si>
    <t>3252614A</t>
  </si>
  <si>
    <t>43:36:01.6992 (43.600472) North</t>
  </si>
  <si>
    <t>114:19:00.4008 (-114.316778) West</t>
  </si>
  <si>
    <t>OJIBWAY</t>
  </si>
  <si>
    <t>Keweenaw</t>
  </si>
  <si>
    <t>FA4125CE</t>
  </si>
  <si>
    <t>48:06:32.7 (48.109083) North</t>
  </si>
  <si>
    <t>88:36:26.16 (-88.607267) West</t>
  </si>
  <si>
    <t>ISLE ROYALE NP</t>
  </si>
  <si>
    <t>Lynette Potvin</t>
  </si>
  <si>
    <t>lynette_potvin@nps.gov</t>
  </si>
  <si>
    <t xml:space="preserve">(906) 487-7159 </t>
  </si>
  <si>
    <t>OKE-EAST</t>
  </si>
  <si>
    <t>30:44:25.0008 (30.740278) North</t>
  </si>
  <si>
    <t>82:07:40.0008 (-82.127778) West</t>
  </si>
  <si>
    <t>ROBERT HEISEY (Cell)</t>
  </si>
  <si>
    <t>robert_heisey@fws.gov</t>
  </si>
  <si>
    <t xml:space="preserve">(912) 602-9317 </t>
  </si>
  <si>
    <t>ROBERT HEISEY (OFFICE)</t>
  </si>
  <si>
    <t xml:space="preserve">(912) 496-1266 </t>
  </si>
  <si>
    <t>Robert Heisey</t>
  </si>
  <si>
    <t>OKE-NW</t>
  </si>
  <si>
    <t>32B00A00</t>
  </si>
  <si>
    <t>30:58:30.846 (30.975235) North</t>
  </si>
  <si>
    <t>82:23:46.9572 (-82.396377) West</t>
  </si>
  <si>
    <t>ROBERT HEISEY</t>
  </si>
  <si>
    <t>OKE-WEST</t>
  </si>
  <si>
    <t>8372A52E</t>
  </si>
  <si>
    <t>30:47:26.4012 (30.790667) North</t>
  </si>
  <si>
    <t>82:22:41.4984 (-82.378194) West</t>
  </si>
  <si>
    <t xml:space="preserve">(912) 496-4177 </t>
  </si>
  <si>
    <t>32B81302</t>
  </si>
  <si>
    <t>30:49:45.192 (30.82922) North</t>
  </si>
  <si>
    <t>82:21:37.8252 (-82.360507) West</t>
  </si>
  <si>
    <t>OKEOA</t>
  </si>
  <si>
    <t>Pittsburg</t>
  </si>
  <si>
    <t>32D50120</t>
  </si>
  <si>
    <t>34:28:40.0008 (34.477778) North</t>
  </si>
  <si>
    <t>96:13:06.9996 (-96.218611) West</t>
  </si>
  <si>
    <t>Sean Nichols</t>
  </si>
  <si>
    <t>snichols@choctawnation.com</t>
  </si>
  <si>
    <t xml:space="preserve">(580) 740-7259 </t>
  </si>
  <si>
    <t xml:space="preserve">(918) 781-4642 </t>
  </si>
  <si>
    <t>ahester@blm.gov, cheryl.bright@bia.gov, forrest.blackbear@bia.gov, joshuad.williams@bia.gov, shamlet@choctawnation.com</t>
  </si>
  <si>
    <t>OKLAHOMA</t>
  </si>
  <si>
    <t>D0D050DE</t>
  </si>
  <si>
    <t>63:58:28.38 (63.97455) North</t>
  </si>
  <si>
    <t>146:33:01.0188 (-146.550283) West</t>
  </si>
  <si>
    <t>OLAF KNOLLS</t>
  </si>
  <si>
    <t>3258F57A</t>
  </si>
  <si>
    <t>36:30:25.9992 (36.507222) North</t>
  </si>
  <si>
    <t>113:48:57.9996 (-113.816111) West</t>
  </si>
  <si>
    <t>OLD FAITHFUL</t>
  </si>
  <si>
    <t>328F72A0</t>
  </si>
  <si>
    <t>44:27:24.0012 (44.456667) North</t>
  </si>
  <si>
    <t>110:50:57.9984 (-110.849444) West</t>
  </si>
  <si>
    <t>Jim Fahey</t>
  </si>
  <si>
    <t xml:space="preserve">(307) 709-8779 </t>
  </si>
  <si>
    <t>Ann Rodman</t>
  </si>
  <si>
    <t>ann_rodman@nps.gov</t>
  </si>
  <si>
    <t xml:space="preserve">(307) 344-2216 </t>
  </si>
  <si>
    <t>OLD MOUNTAIN</t>
  </si>
  <si>
    <t>Tioga</t>
  </si>
  <si>
    <t>3294430C</t>
  </si>
  <si>
    <t>41:33:51.9984 (41.564444) North</t>
  </si>
  <si>
    <t>77:24:30.9996 (-77.408611) West</t>
  </si>
  <si>
    <t>OLEMA VALLEY</t>
  </si>
  <si>
    <t>3287D6FE</t>
  </si>
  <si>
    <t>38:02:33 (38.0425) North</t>
  </si>
  <si>
    <t>122:47:44.9988 (-122.795833) West</t>
  </si>
  <si>
    <t>Taylor Ellis (Cell)</t>
  </si>
  <si>
    <t>taylor_ellis@nps.gov</t>
  </si>
  <si>
    <t xml:space="preserve">(850) 728-1682 </t>
  </si>
  <si>
    <t>Dave Press</t>
  </si>
  <si>
    <t>dave_press@nps.gov</t>
  </si>
  <si>
    <t xml:space="preserve">(415) 464-5202 </t>
  </si>
  <si>
    <t>OLOWALU 1</t>
  </si>
  <si>
    <t>32BBE488</t>
  </si>
  <si>
    <t>20:49:37.0992 (20.826972) North</t>
  </si>
  <si>
    <t>156:37:11.6004 (-156.619889) West</t>
  </si>
  <si>
    <t>Abraham.mh.puz@hawaii.gov</t>
  </si>
  <si>
    <t>OLUSTEE</t>
  </si>
  <si>
    <t>3271113A</t>
  </si>
  <si>
    <t>30:15:05.4216 (30.251506) North</t>
  </si>
  <si>
    <t>82:25:15.33 (-82.420925) West</t>
  </si>
  <si>
    <t>(386) 752-2577 536</t>
  </si>
  <si>
    <t>ONEONTA</t>
  </si>
  <si>
    <t>Blount</t>
  </si>
  <si>
    <t>32B3ADF6</t>
  </si>
  <si>
    <t>33:56:19.5 (33.93875) North</t>
  </si>
  <si>
    <t>86:23:21.0012 (-86.389167) West</t>
  </si>
  <si>
    <t>ethan.barrett@forestry.alabama.gov</t>
  </si>
  <si>
    <t>ONION MOUNTAIN LOOKOUT</t>
  </si>
  <si>
    <t>3245517A</t>
  </si>
  <si>
    <t>42:27:14.6988 (42.454083) North</t>
  </si>
  <si>
    <t>123:36:58.0788 (-123.616133) West</t>
  </si>
  <si>
    <t>ahester@blm.gov, ruthmjohnson02@usda.gov</t>
  </si>
  <si>
    <t>OP1 (SAN CLEMENTE ISLAND)</t>
  </si>
  <si>
    <t>9330D212</t>
  </si>
  <si>
    <t>32:50:01.1004 (32.833639) North</t>
  </si>
  <si>
    <t>118:22:51.0996 (-118.380861) West</t>
  </si>
  <si>
    <t>OP3 (SAN CLEMENTE ISLAND)</t>
  </si>
  <si>
    <t>9330E788</t>
  </si>
  <si>
    <t>32:50:16.4004 (32.837889) North</t>
  </si>
  <si>
    <t>118:26:15.3996 (-118.437611) West</t>
  </si>
  <si>
    <t>OPAL MOUNTAIN</t>
  </si>
  <si>
    <t>3257960E</t>
  </si>
  <si>
    <t>35:09:15.4008 (35.154278) North</t>
  </si>
  <si>
    <t>117:10:32.4984 (-117.175694) West</t>
  </si>
  <si>
    <t>OPENSHAW</t>
  </si>
  <si>
    <t>CA215732</t>
  </si>
  <si>
    <t>39:35:23.3988 (39.589833) North</t>
  </si>
  <si>
    <t>121:38:06.576 (-121.63516) West</t>
  </si>
  <si>
    <t>Gus Boston</t>
  </si>
  <si>
    <t>OPHELIA PORTABLE</t>
  </si>
  <si>
    <t>323E8116</t>
  </si>
  <si>
    <t>46:49:39.6012 (46.827667) North</t>
  </si>
  <si>
    <t>115:00:56.4012 (-115.015667) West</t>
  </si>
  <si>
    <t>brian.russell@usda.gov, idgvc@firenet.gov</t>
  </si>
  <si>
    <t>OPNPND</t>
  </si>
  <si>
    <t>327E82CA</t>
  </si>
  <si>
    <t>31:05:39.9984 (31.094444) North</t>
  </si>
  <si>
    <t>86:32:54.9996 (-86.548611) West</t>
  </si>
  <si>
    <t>ORANGEBURG</t>
  </si>
  <si>
    <t>Orangeburg</t>
  </si>
  <si>
    <t>32B73DAE</t>
  </si>
  <si>
    <t>33:32:45.0996 (33.545861) North</t>
  </si>
  <si>
    <t>80:50:28.1004 (-80.841139) West</t>
  </si>
  <si>
    <t>Mike Thomas</t>
  </si>
  <si>
    <t>mthomas@scfc.gov</t>
  </si>
  <si>
    <t xml:space="preserve">(803) 667-1042 </t>
  </si>
  <si>
    <t>ORESTIMBA CREEK</t>
  </si>
  <si>
    <t>32B5FD44</t>
  </si>
  <si>
    <t>37:10:37.128 (37.17698) North</t>
  </si>
  <si>
    <t>121:23:47.7384 (-121.396594) West</t>
  </si>
  <si>
    <t>mike.voss@sjsu.,edu</t>
  </si>
  <si>
    <t>OROVILLE</t>
  </si>
  <si>
    <t>3243F14C</t>
  </si>
  <si>
    <t>48:57:47.1996 (48.963111) North</t>
  </si>
  <si>
    <t>119:29:29.7996 (-119.491611) West</t>
  </si>
  <si>
    <t>ORR</t>
  </si>
  <si>
    <t>7070E3B4</t>
  </si>
  <si>
    <t>48:01:02.3 (48.017306) North</t>
  </si>
  <si>
    <t>92:51:16.7 (-92.854639) West</t>
  </si>
  <si>
    <t>Joseph Weflen</t>
  </si>
  <si>
    <t xml:space="preserve">joseph.weflen@state.mn.us, jolene.soltis@state.mn.us </t>
  </si>
  <si>
    <t xml:space="preserve">(218) 300-7823 </t>
  </si>
  <si>
    <t xml:space="preserve"> jolene.soltis@state.mn.us, joseph.weflen@state.mn.us, travis.verdegan@state.mn.us</t>
  </si>
  <si>
    <t>ORR CREEK</t>
  </si>
  <si>
    <t>326C56C8</t>
  </si>
  <si>
    <t>46:21:14.0004 (46.353889) North</t>
  </si>
  <si>
    <t>121:36:15.0012 (-121.604167) West</t>
  </si>
  <si>
    <t>ORWSA_PORT1</t>
  </si>
  <si>
    <t>521455AC</t>
  </si>
  <si>
    <t>44:46:43.7016 (44.778806) North</t>
  </si>
  <si>
    <t>121:14:49.8984 (-121.247194) West</t>
  </si>
  <si>
    <t>Bob Sjolund</t>
  </si>
  <si>
    <t>bob.sjolund@ctwsbnr.org</t>
  </si>
  <si>
    <t xml:space="preserve">(541) 553-8197 </t>
  </si>
  <si>
    <t>OSAGE</t>
  </si>
  <si>
    <t>Osage</t>
  </si>
  <si>
    <t>32D7D2BC</t>
  </si>
  <si>
    <t>36:35:50.7012 (36.597417) North</t>
  </si>
  <si>
    <t>96:17:52.5984 (-96.297944) West</t>
  </si>
  <si>
    <t>Osage Agency</t>
  </si>
  <si>
    <t>Forrest Blackbear</t>
  </si>
  <si>
    <t>forrest.blackbear@bia.gov</t>
  </si>
  <si>
    <t>ahester@blm.gov, cheryl.bright@bia.gov, forrest.blackbear@bia.gov, simeon.gipson@bia.gov, walkerr@osagenation-nsn.gov</t>
  </si>
  <si>
    <t>OTAY MOUNTAIN</t>
  </si>
  <si>
    <t>32:36:03.3012 (32.600917) North</t>
  </si>
  <si>
    <t>116:50:27.7008 (-116.841028) West</t>
  </si>
  <si>
    <t>U.S. Border Patrol</t>
  </si>
  <si>
    <t xml:space="preserve">(619) 671-1800 </t>
  </si>
  <si>
    <t>OTHELLO</t>
  </si>
  <si>
    <t>46:52:53.0004 (46.881389) North</t>
  </si>
  <si>
    <t>119:19:27.0012 (-119.324167) West</t>
  </si>
  <si>
    <t>COLUMBIA NWR</t>
  </si>
  <si>
    <t>Bruce Jackson</t>
  </si>
  <si>
    <t>bruce_jackson@fws.gov</t>
  </si>
  <si>
    <t xml:space="preserve">(509) 378-0281 </t>
  </si>
  <si>
    <t xml:space="preserve"> josh_oconnor@fws.gov, bruce_jackson@fws.gov</t>
  </si>
  <si>
    <t>OTTAWA PORTABLE</t>
  </si>
  <si>
    <t>3258909C</t>
  </si>
  <si>
    <t>46:25:07.6188 (46.418783) North</t>
  </si>
  <si>
    <t>86:50:54.4812 (-86.848467) West</t>
  </si>
  <si>
    <t>OTTER CREEK</t>
  </si>
  <si>
    <t>Rich</t>
  </si>
  <si>
    <t>3268D5E6</t>
  </si>
  <si>
    <t>41:45:11.9988 (41.753333) North</t>
  </si>
  <si>
    <t>111:16:50.0016 (-111.280556) West</t>
  </si>
  <si>
    <t>OU3 PORTABLE</t>
  </si>
  <si>
    <t>32BC8D88</t>
  </si>
  <si>
    <t>48:27:25.3008 (48.457028) North</t>
  </si>
  <si>
    <t>115:23:03.9012 (-115.384417) West</t>
  </si>
  <si>
    <t>tim.bumgarner@usda.gov</t>
  </si>
  <si>
    <t>OUACHITA PORTABLE #1</t>
  </si>
  <si>
    <t>328AF374</t>
  </si>
  <si>
    <t>35:58:28.29 (35.974525) North</t>
  </si>
  <si>
    <t>92:11:39.3684 (-92.194269) West</t>
  </si>
  <si>
    <t xml:space="preserve">(501) 321-5239 </t>
  </si>
  <si>
    <t>Dustin Kingwell (Cell)</t>
  </si>
  <si>
    <t xml:space="preserve">(501) 625-2038 </t>
  </si>
  <si>
    <t>OUACHITA PORTABLE #2</t>
  </si>
  <si>
    <t>328AD598</t>
  </si>
  <si>
    <t>34:43:47.4996 (34.729861) North</t>
  </si>
  <si>
    <t>93:13:34.1004 (-93.226139) West</t>
  </si>
  <si>
    <t>araoc@firenet.gov</t>
  </si>
  <si>
    <t>OVD QD #1</t>
  </si>
  <si>
    <t>325FA732</t>
  </si>
  <si>
    <t>37:41:46.5684 (37.696269) North</t>
  </si>
  <si>
    <t>118:56:35.2392 (-118.943122) West</t>
  </si>
  <si>
    <t>Heather Stone</t>
  </si>
  <si>
    <t>hstone@blm.gov</t>
  </si>
  <si>
    <t xml:space="preserve">(760) 872-5015 </t>
  </si>
  <si>
    <t>mingram@blm.gov, shuckstep@blm.gov</t>
  </si>
  <si>
    <t>OWENS CAMP</t>
  </si>
  <si>
    <t>38:44:08.9484 (38.735819) North</t>
  </si>
  <si>
    <t>120:14:29.6988 (-120.241583) West</t>
  </si>
  <si>
    <t xml:space="preserve">(530) 647-5467 </t>
  </si>
  <si>
    <t>OWENS VALLEY</t>
  </si>
  <si>
    <t>CA49F15E</t>
  </si>
  <si>
    <t>37:23:27.6216 (37.391006) North</t>
  </si>
  <si>
    <t>118:33:09.2592 (-118.552572) West</t>
  </si>
  <si>
    <t>OWL MOUNTAIN</t>
  </si>
  <si>
    <t>3262C7C2</t>
  </si>
  <si>
    <t>48:56:07.1016 (48.935306) North</t>
  </si>
  <si>
    <t>118:17:50.1 (-118.29725) West</t>
  </si>
  <si>
    <t>OWL MT</t>
  </si>
  <si>
    <t>300033C4</t>
  </si>
  <si>
    <t>123:57:55.0008 (-123.965278) West</t>
  </si>
  <si>
    <t>OWYHEE RIDGE</t>
  </si>
  <si>
    <t>3252A454</t>
  </si>
  <si>
    <t>43:31:03.7992 (43.517722) North</t>
  </si>
  <si>
    <t>117:14:22.5996 (-117.239611) West</t>
  </si>
  <si>
    <t>OX RANCH</t>
  </si>
  <si>
    <t>32D5F1A4</t>
  </si>
  <si>
    <t>35:12:08.1684 (35.202269) North</t>
  </si>
  <si>
    <t>115:11:53.7612 (-115.198267) West</t>
  </si>
  <si>
    <t>OXBOW</t>
  </si>
  <si>
    <t>AAB632A8</t>
  </si>
  <si>
    <t>42:30:52.8984 (42.514694) North</t>
  </si>
  <si>
    <t>71:36:55.5012 (-71.615417) West</t>
  </si>
  <si>
    <t>Tom Eagle</t>
  </si>
  <si>
    <t>tom_eagle@fws.gov</t>
  </si>
  <si>
    <t xml:space="preserve">(978) 580-0183 </t>
  </si>
  <si>
    <t>OZENA</t>
  </si>
  <si>
    <t>327F0624</t>
  </si>
  <si>
    <t>34:40:54.4116 (34.681781) North</t>
  </si>
  <si>
    <t>119:21:13.4388 (-119.353733) West</t>
  </si>
  <si>
    <t>David Smith</t>
  </si>
  <si>
    <t>david.i.smith@usda.gov</t>
  </si>
  <si>
    <t xml:space="preserve">(661) 302-1841 </t>
  </si>
  <si>
    <t>P HILL</t>
  </si>
  <si>
    <t>42:49:23.9988 (42.823333) North</t>
  </si>
  <si>
    <t>118:56:07.0008 (-118.935278) West</t>
  </si>
  <si>
    <t>PA PORTABLE #1</t>
  </si>
  <si>
    <t>32B4AFC2</t>
  </si>
  <si>
    <t>39:59:20.2488 (39.988958) North</t>
  </si>
  <si>
    <t>77:27:49.1508 (-77.463653) West</t>
  </si>
  <si>
    <t>PADRE</t>
  </si>
  <si>
    <t>Kleberg</t>
  </si>
  <si>
    <t>32B5536E</t>
  </si>
  <si>
    <t>27:26:35.0016 (27.443056) North</t>
  </si>
  <si>
    <t>97:17:35.9988 (-97.293333) West</t>
  </si>
  <si>
    <t>BIG THICKET N.PRESER</t>
  </si>
  <si>
    <t>Rodney Monk</t>
  </si>
  <si>
    <t>rodney_monk@nps.gov</t>
  </si>
  <si>
    <t xml:space="preserve">(409) 283-0775 </t>
  </si>
  <si>
    <t>Travis Clapp</t>
  </si>
  <si>
    <t>travis_clapp@nps.gov</t>
  </si>
  <si>
    <t xml:space="preserve">(361) 949-8173 </t>
  </si>
  <si>
    <t>PADUCA</t>
  </si>
  <si>
    <t>Lea</t>
  </si>
  <si>
    <t>325B6716</t>
  </si>
  <si>
    <t>32:10:47.3988 (32.179833) North</t>
  </si>
  <si>
    <t>103:43:19.2 (-103.722) West</t>
  </si>
  <si>
    <t>ahester@blm.gov, amermigkas@blm.gov, rnaden@fs.fed.us</t>
  </si>
  <si>
    <t>PAINT CREEK</t>
  </si>
  <si>
    <t>Coke</t>
  </si>
  <si>
    <t>31:54:21.9996 (31.906111) North</t>
  </si>
  <si>
    <t>100:34:54.0012 (-100.581667) West</t>
  </si>
  <si>
    <t>PAINTED CANYON</t>
  </si>
  <si>
    <t>Billings</t>
  </si>
  <si>
    <t>FA663562</t>
  </si>
  <si>
    <t>46:53:41.6796 (46.894911) North</t>
  </si>
  <si>
    <t>103:22:40.0404 (-103.377789) West</t>
  </si>
  <si>
    <t>THEODORE ROOSEVELT</t>
  </si>
  <si>
    <t xml:space="preserve">daniel_angelo@nps.gov </t>
  </si>
  <si>
    <t>ROD SKALSKY</t>
  </si>
  <si>
    <t>Rod_Skalsky@nps.gov</t>
  </si>
  <si>
    <t>PAISLEY</t>
  </si>
  <si>
    <t>AAC0E1A2</t>
  </si>
  <si>
    <t>28:59:44.0412 (28.995567) North</t>
  </si>
  <si>
    <t>81:32:12.7212 (-81.536867) West</t>
  </si>
  <si>
    <t>PAL MOORE ORCHARD</t>
  </si>
  <si>
    <t>48:23:25.1988 (48.390333) North</t>
  </si>
  <si>
    <t>117:35:07.6992 (-117.585472) West</t>
  </si>
  <si>
    <t>PALA</t>
  </si>
  <si>
    <t>CA80250E</t>
  </si>
  <si>
    <t>33:21:39.9996 (33.361111) North</t>
  </si>
  <si>
    <t>117:06:20.9988 (-117.105833) West</t>
  </si>
  <si>
    <t>PALEHUA</t>
  </si>
  <si>
    <t>4870F55E</t>
  </si>
  <si>
    <t>21:23:05.68 (21.384911) North</t>
  </si>
  <si>
    <t>158:06:15.18 (-158.104217) West</t>
  </si>
  <si>
    <t>Ryan Peralta</t>
  </si>
  <si>
    <t>ryan.k.peralta@hawaii.gov</t>
  </si>
  <si>
    <t xml:space="preserve">(808) 973-9784 </t>
  </si>
  <si>
    <t>PALESTINE</t>
  </si>
  <si>
    <t>Anderson</t>
  </si>
  <si>
    <t>8840447C</t>
  </si>
  <si>
    <t>31:44:33 (31.7425) North</t>
  </si>
  <si>
    <t>95:34:18.0012 (-95.571667) West</t>
  </si>
  <si>
    <t>PALI2</t>
  </si>
  <si>
    <t>FA900222</t>
  </si>
  <si>
    <t>19:19:03 (19.3175) North</t>
  </si>
  <si>
    <t>155:17:31.9992 (-155.292222) West</t>
  </si>
  <si>
    <t>PALOMAR</t>
  </si>
  <si>
    <t>328637F6</t>
  </si>
  <si>
    <t>33:21:07.4484 (33.352069) North</t>
  </si>
  <si>
    <t>116:51:45.8316 (-116.862731) West</t>
  </si>
  <si>
    <t>PAMICHTUK LAKE</t>
  </si>
  <si>
    <t>3961E704</t>
  </si>
  <si>
    <t>67:45:58.68 (67.7663) North</t>
  </si>
  <si>
    <t>152:09:51.12 (-152.1642) West</t>
  </si>
  <si>
    <t>PANAMINT 2</t>
  </si>
  <si>
    <t>32B2D99C</t>
  </si>
  <si>
    <t>Marcus Lorosso</t>
  </si>
  <si>
    <t>mlorosso@blm.gov</t>
  </si>
  <si>
    <t xml:space="preserve">(760) 384-5429 </t>
  </si>
  <si>
    <t>PANCAKE</t>
  </si>
  <si>
    <t>325C86D0</t>
  </si>
  <si>
    <t>38:18:10.5012 (38.302917) North</t>
  </si>
  <si>
    <t>116:11:36.3012 (-116.193417) West</t>
  </si>
  <si>
    <t>PANOCHE ROAD</t>
  </si>
  <si>
    <t>CA2265A6</t>
  </si>
  <si>
    <t>36:43:37.6896 (36.727136) North</t>
  </si>
  <si>
    <t>120:45:57.1392 (-120.765872) West</t>
  </si>
  <si>
    <t>PANTHER EAST</t>
  </si>
  <si>
    <t>26:10:07 (26.168611) North</t>
  </si>
  <si>
    <t>81:21:52 (-81.364444) West</t>
  </si>
  <si>
    <t>FLORIDA PANTHER NWR</t>
  </si>
  <si>
    <t>PANTHER JUNCTION</t>
  </si>
  <si>
    <t>FA63D150</t>
  </si>
  <si>
    <t>29:19:39 (29.3275) North</t>
  </si>
  <si>
    <t>103:12:27 (-103.2075) West</t>
  </si>
  <si>
    <t>PANTHER PORTABLE #1</t>
  </si>
  <si>
    <t>327532EC</t>
  </si>
  <si>
    <t>28:48:43.9992 (28.812222) North</t>
  </si>
  <si>
    <t>80:49:08.0004 (-80.818889) West</t>
  </si>
  <si>
    <t>Dave Moran</t>
  </si>
  <si>
    <t>PANTHER SPRINGS</t>
  </si>
  <si>
    <t>32D4F35E</t>
  </si>
  <si>
    <t>40:14:31.6284 (40.242119) North</t>
  </si>
  <si>
    <t>121:46:32.6388 (-121.775733) West</t>
  </si>
  <si>
    <t>PANTHER WEST</t>
  </si>
  <si>
    <t>3281132E</t>
  </si>
  <si>
    <t>26:10:18 (26.171667) North</t>
  </si>
  <si>
    <t>81:28:44 (-81.478889) West</t>
  </si>
  <si>
    <t>PARDEE</t>
  </si>
  <si>
    <t>3233476E</t>
  </si>
  <si>
    <t>47:16:05.9988 (47.268333) North</t>
  </si>
  <si>
    <t>114:55:00.9984 (-114.916944) West</t>
  </si>
  <si>
    <t>ahester@blm.gov, dani.johnson@usda.gov, daniel.campbell@usda.gov, lorie.cotter@usda.gov, martin.jacob@usda.gov</t>
  </si>
  <si>
    <t>PARDEEVILLE</t>
  </si>
  <si>
    <t>537075EA</t>
  </si>
  <si>
    <t>43:33:29.0484 (43.558069) North</t>
  </si>
  <si>
    <t>89:18:22.8996 (-89.306361) West</t>
  </si>
  <si>
    <t>PARIA POINT</t>
  </si>
  <si>
    <t>36:43:39.1008 (36.727528) North</t>
  </si>
  <si>
    <t>111:49:19.2 (-111.822) West</t>
  </si>
  <si>
    <t>PARK RIDGE</t>
  </si>
  <si>
    <t>FA50A6BE</t>
  </si>
  <si>
    <t>36:43:27.0012 (36.724167) North</t>
  </si>
  <si>
    <t>118:56:33 (-118.9425) West</t>
  </si>
  <si>
    <t>PARKER MOUNTAIN</t>
  </si>
  <si>
    <t>42:06:18 (42.105) North</t>
  </si>
  <si>
    <t>122:16:44.2992 (-122.278972) West</t>
  </si>
  <si>
    <t>PARKFIELD</t>
  </si>
  <si>
    <t>CA2352C6</t>
  </si>
  <si>
    <t>35:53:53.9016 (35.898306) North</t>
  </si>
  <si>
    <t>120:25:59.8296 (-120.433286) West</t>
  </si>
  <si>
    <t>Navreet Kaur</t>
  </si>
  <si>
    <t>PATJENS</t>
  </si>
  <si>
    <t>Sherman</t>
  </si>
  <si>
    <t>3253562A</t>
  </si>
  <si>
    <t>45:19:19.2 (45.322) North</t>
  </si>
  <si>
    <t>120:55:44.7996 (-120.929111) West</t>
  </si>
  <si>
    <t xml:space="preserve">Rory Hiett </t>
  </si>
  <si>
    <t xml:space="preserve">rhiett@blm.gov </t>
  </si>
  <si>
    <t>PATTYMOCUS</t>
  </si>
  <si>
    <t>324093A4</t>
  </si>
  <si>
    <t>40:17:09.8952 (40.286082) North</t>
  </si>
  <si>
    <t>122:52:28.8768 (-122.874688) West</t>
  </si>
  <si>
    <t>RyanWheeler</t>
  </si>
  <si>
    <t>ahester@blm.gov, elliot.groo@usda.gov, jethompson21@peoplepc.com, keith.rohrs@usda.gov, shuckstep@blm.gov</t>
  </si>
  <si>
    <t>PATUXENT</t>
  </si>
  <si>
    <t>8377411C</t>
  </si>
  <si>
    <t>39:03:17.7012 (39.054917) North</t>
  </si>
  <si>
    <t>76:49:25.7988 (-76.823833) West</t>
  </si>
  <si>
    <t>PATUXENT RR</t>
  </si>
  <si>
    <t>Martin Brockman</t>
  </si>
  <si>
    <t>martin_brockman@fws.gov</t>
  </si>
  <si>
    <t xml:space="preserve">(301) 497-5584 </t>
  </si>
  <si>
    <t>PAXSON</t>
  </si>
  <si>
    <t>62:56:43.0008 (62.945278) North</t>
  </si>
  <si>
    <t>145:30:05.0004 (-145.501389) West</t>
  </si>
  <si>
    <t>PAYETTE PORTABLE #1</t>
  </si>
  <si>
    <t>3275F7F2</t>
  </si>
  <si>
    <t>45:04:18.1812 (45.071717) North</t>
  </si>
  <si>
    <t>116:24:07.4988 (-116.402083) West</t>
  </si>
  <si>
    <t>Jhennifer Williams (Cell)</t>
  </si>
  <si>
    <t xml:space="preserve">(406) 396-4418 </t>
  </si>
  <si>
    <t>PAYETTE PORTABLE #2</t>
  </si>
  <si>
    <t>44:41:03.0012 (44.684167) North</t>
  </si>
  <si>
    <t>116:52:55.9992 (-116.882222) West</t>
  </si>
  <si>
    <t>PAYETTE PORTABLE #3</t>
  </si>
  <si>
    <t>3288339E</t>
  </si>
  <si>
    <t>PAYSON</t>
  </si>
  <si>
    <t>3260F7AC</t>
  </si>
  <si>
    <t>34:14:46.1004 (34.246139) North</t>
  </si>
  <si>
    <t>111:17:36.6 (-111.2935) West</t>
  </si>
  <si>
    <t>Andrew Nordquist</t>
  </si>
  <si>
    <t>Andrew.Nordquist@usda.gov</t>
  </si>
  <si>
    <t xml:space="preserve">(928) 301-5061 </t>
  </si>
  <si>
    <t>gsawyer@fs.fed.us, richard_naden@nps.gov</t>
  </si>
  <si>
    <t>PEABODY</t>
  </si>
  <si>
    <t>Clay</t>
  </si>
  <si>
    <t>3284C286</t>
  </si>
  <si>
    <t>37:08:15.6984 (37.137694) North</t>
  </si>
  <si>
    <t>83:34:40.4004 (-83.577889) West</t>
  </si>
  <si>
    <t>brock.cmapbell@usda.gov</t>
  </si>
  <si>
    <t>brock.campbell@usda.gov, mitchell.scates@usda.gov, nathan.white@usda.gov</t>
  </si>
  <si>
    <t>PEARSALL</t>
  </si>
  <si>
    <t>Frio</t>
  </si>
  <si>
    <t>28:53:06 (28.885) North</t>
  </si>
  <si>
    <t>99:06:38.0016 (-99.110556) West</t>
  </si>
  <si>
    <t>PEBBLE</t>
  </si>
  <si>
    <t>3262D4B4</t>
  </si>
  <si>
    <t>44:14:12.0012 (44.236667) North</t>
  </si>
  <si>
    <t>121:59:42 (-121.995) West</t>
  </si>
  <si>
    <t>Ken Gabriel</t>
  </si>
  <si>
    <t>kenneth.gabriel@usda.gov</t>
  </si>
  <si>
    <t xml:space="preserve">(541) 822-7221 </t>
  </si>
  <si>
    <t>ahester@blm.gov, eicc@gmail.com</t>
  </si>
  <si>
    <t>PECOS</t>
  </si>
  <si>
    <t>3246E5FA</t>
  </si>
  <si>
    <t>35:32:44.0988 (35.545583) North</t>
  </si>
  <si>
    <t>105:29:39.8004 (-105.494389) West</t>
  </si>
  <si>
    <t>PEDERSEN LAGOON</t>
  </si>
  <si>
    <t>326AD012</t>
  </si>
  <si>
    <t>59:53:39.84 (59.8944) North</t>
  </si>
  <si>
    <t>149:43:50.52 (-149.7307) West</t>
  </si>
  <si>
    <t>PELKIE</t>
  </si>
  <si>
    <t>080085D6</t>
  </si>
  <si>
    <t>46:46:46.9992 (46.779722) North</t>
  </si>
  <si>
    <t>88:39:47.0016 (-88.663056) West</t>
  </si>
  <si>
    <t>Brian Mensch</t>
  </si>
  <si>
    <t>menschb@michigan.gov</t>
  </si>
  <si>
    <t xml:space="preserve">(906) 353-6651 </t>
  </si>
  <si>
    <t>menschb@michigan.gov, rogersp5@michigan.gov</t>
  </si>
  <si>
    <t>PELONA MOUNTAIN</t>
  </si>
  <si>
    <t>324BE69C</t>
  </si>
  <si>
    <t>33:41:37.5 (33.69375) North</t>
  </si>
  <si>
    <t>108:03:41.7996 (-108.061611) West</t>
  </si>
  <si>
    <t xml:space="preserve">(575) 838-1269 </t>
  </si>
  <si>
    <t>Manuel Martinez</t>
  </si>
  <si>
    <t>manuelmartinez@blm.gov</t>
  </si>
  <si>
    <t xml:space="preserve">(505) 616-6842 </t>
  </si>
  <si>
    <t>PEMBROKE</t>
  </si>
  <si>
    <t>F8E017BC</t>
  </si>
  <si>
    <t>32:06:06.912 (32.10192) North</t>
  </si>
  <si>
    <t>81:37:34.716 (-81.62631) West</t>
  </si>
  <si>
    <t>04:20, 34:20</t>
  </si>
  <si>
    <t>PENINSULA RAWS</t>
  </si>
  <si>
    <t>FA65E404</t>
  </si>
  <si>
    <t>41:13:56.5212 (41.232367) North</t>
  </si>
  <si>
    <t>81:31:09.0012 (-81.519167) West</t>
  </si>
  <si>
    <t>CUYAHOGA VALLEY</t>
  </si>
  <si>
    <t>PEOH POINT</t>
  </si>
  <si>
    <t>Kittitas</t>
  </si>
  <si>
    <t>3000804A</t>
  </si>
  <si>
    <t>47:09:07.9992 (47.152222) North</t>
  </si>
  <si>
    <t>120:56:48.0012 (-120.946667) West</t>
  </si>
  <si>
    <t>PEONY</t>
  </si>
  <si>
    <t>3260813C</t>
  </si>
  <si>
    <t>48:36:11.0016 (48.603056) North</t>
  </si>
  <si>
    <t>119:12:59.0004 (-119.216389) West</t>
  </si>
  <si>
    <t>Taylor Orteg</t>
  </si>
  <si>
    <t>PEPPERDINE RAWS</t>
  </si>
  <si>
    <t>32BACE4C</t>
  </si>
  <si>
    <t>34:02:53.1996 (34.048111) North</t>
  </si>
  <si>
    <t>118:42:57.2004 (-118.715889) West</t>
  </si>
  <si>
    <t>PEPPERDINE</t>
  </si>
  <si>
    <t>Jason Jensen</t>
  </si>
  <si>
    <t>jason.jensen@pepperdine.edu</t>
  </si>
  <si>
    <t xml:space="preserve">(310) 506-6113 </t>
  </si>
  <si>
    <t>PEPPERMINT</t>
  </si>
  <si>
    <t>3231A168</t>
  </si>
  <si>
    <t>36:04:24.2292 (36.073397) North</t>
  </si>
  <si>
    <t>118:32:28.9104 (-118.541364) West</t>
  </si>
  <si>
    <t>PERMANENT RAWS 2</t>
  </si>
  <si>
    <t>32BAF504</t>
  </si>
  <si>
    <t>PERMANENT RAWS 3</t>
  </si>
  <si>
    <t>32BAFBD6</t>
  </si>
  <si>
    <t>PERMANENT RAWS 4</t>
  </si>
  <si>
    <t>32BB077A</t>
  </si>
  <si>
    <t>PERMANENT RAWS 5</t>
  </si>
  <si>
    <t>32BB09A8</t>
  </si>
  <si>
    <t>PFAFF MINE</t>
  </si>
  <si>
    <t>FA65578A</t>
  </si>
  <si>
    <t>59:06:38.9988 (59.110833) North</t>
  </si>
  <si>
    <t>154:50:12.0012 (-154.836667) West</t>
  </si>
  <si>
    <t>PHELPS</t>
  </si>
  <si>
    <t>Vilas</t>
  </si>
  <si>
    <t>3336410C</t>
  </si>
  <si>
    <t>46:02:22.7004 (46.039639) North</t>
  </si>
  <si>
    <t>89:05:44.7 (-89.09575) West</t>
  </si>
  <si>
    <t>PHILIPSBURG</t>
  </si>
  <si>
    <t>323FA500</t>
  </si>
  <si>
    <t>46:19:00.0012 (46.316667) North</t>
  </si>
  <si>
    <t>113:18:00 (-113.3) West</t>
  </si>
  <si>
    <t>Matthew La Tray</t>
  </si>
  <si>
    <t>matthew.latray@usda.gov</t>
  </si>
  <si>
    <t xml:space="preserve">(406) 859-3211 </t>
  </si>
  <si>
    <t xml:space="preserve"> matthew.latray@usda.gov,  richard.reneau@usda.gov, ahester@blm.gov</t>
  </si>
  <si>
    <t>PICACHO PEAK</t>
  </si>
  <si>
    <t>32E12A54</t>
  </si>
  <si>
    <t>32:39:47.3184 (32.663144) North</t>
  </si>
  <si>
    <t>111:25:17.5296 (-111.421536) West</t>
  </si>
  <si>
    <t>PICKETT STATE FOREST</t>
  </si>
  <si>
    <t>Fentress</t>
  </si>
  <si>
    <t>32A1E244</t>
  </si>
  <si>
    <t>36:32:06 (36.535) North</t>
  </si>
  <si>
    <t>84:48:36 (-84.81) West</t>
  </si>
  <si>
    <t>PICKLE GULCH</t>
  </si>
  <si>
    <t>Gilpin</t>
  </si>
  <si>
    <t>39:50:39.9984 (39.844444) North</t>
  </si>
  <si>
    <t>105:31:01.9992 (-105.517222) West</t>
  </si>
  <si>
    <t>PIEDMONT</t>
  </si>
  <si>
    <t>37:14:25.8 (37.2405) North</t>
  </si>
  <si>
    <t>90:16:25 (-90.273611) West</t>
  </si>
  <si>
    <t>Ed Hovis</t>
  </si>
  <si>
    <t>edward.hovis@mdc.mo.gov</t>
  </si>
  <si>
    <t xml:space="preserve">(573) 223-4525 </t>
  </si>
  <si>
    <t>PIERCE</t>
  </si>
  <si>
    <t>46:29:47.1588 (46.496433) North</t>
  </si>
  <si>
    <t>115:47:44.0196 (-115.795561) West</t>
  </si>
  <si>
    <t>Neil Cox</t>
  </si>
  <si>
    <t>3248248C</t>
  </si>
  <si>
    <t>40:14:45.9996 (40.246111) North</t>
  </si>
  <si>
    <t>120:38:31.9992 (-120.642222) West</t>
  </si>
  <si>
    <t>PIKE</t>
  </si>
  <si>
    <t>391040AA</t>
  </si>
  <si>
    <t>31:11:12.9984 (31.186944) North</t>
  </si>
  <si>
    <t>90:28:41.0016 (-90.478056) West</t>
  </si>
  <si>
    <t>rgiachelli@mfc.ms.gov</t>
  </si>
  <si>
    <t>hyates@mfc.ms.gov, rgiachelli@mfc.ms.gov</t>
  </si>
  <si>
    <t>PIKE COUNTY LOOKOUT</t>
  </si>
  <si>
    <t>Yuba</t>
  </si>
  <si>
    <t>39:28:28.8696 (39.474686) North</t>
  </si>
  <si>
    <t>121:12:08.6904 (-121.202414) West</t>
  </si>
  <si>
    <t>Ryan Bauer</t>
  </si>
  <si>
    <t>ryan.bauer@usda.gov</t>
  </si>
  <si>
    <t xml:space="preserve">(530) 283-7832 </t>
  </si>
  <si>
    <t>Jason Vermillion</t>
  </si>
  <si>
    <t>jason.vermillion@usda.gov</t>
  </si>
  <si>
    <t xml:space="preserve">(530) 532-7434 </t>
  </si>
  <si>
    <t>PILOT HILL</t>
  </si>
  <si>
    <t>CA21D126</t>
  </si>
  <si>
    <t>38:49:54.0516 (38.831681) North</t>
  </si>
  <si>
    <t>121:00:33.12 (-121.0092) West</t>
  </si>
  <si>
    <t>PILOT MOUNTAIN</t>
  </si>
  <si>
    <t>Surry</t>
  </si>
  <si>
    <t>326A9318</t>
  </si>
  <si>
    <t>36:21:23.3568 (36.356488) North</t>
  </si>
  <si>
    <t>80:29:32.9352 (-80.492482) West</t>
  </si>
  <si>
    <t>PILOT ROCK FIRE CENTER</t>
  </si>
  <si>
    <t>32B9FCD8</t>
  </si>
  <si>
    <t>34:16:22.44 (34.2729) North</t>
  </si>
  <si>
    <t>117:17:02.4 (-117.284) West</t>
  </si>
  <si>
    <t>david.haas@fire.ca.gov</t>
  </si>
  <si>
    <t>PINE</t>
  </si>
  <si>
    <t>325B7460</t>
  </si>
  <si>
    <t>34:22:18.1992 (34.371722) North</t>
  </si>
  <si>
    <t>111:27:20.4984 (-111.455694) West</t>
  </si>
  <si>
    <t>Gregory.sawyer@usda.gov</t>
  </si>
  <si>
    <t>gsawyer@fs.fed.us, jplain@fs.fed.us</t>
  </si>
  <si>
    <t>PINE CREEK</t>
  </si>
  <si>
    <t>3241DC86</t>
  </si>
  <si>
    <t>44:15:01.0008 (44.250278) North</t>
  </si>
  <si>
    <t>116:11:54.9996 (-116.198611) West</t>
  </si>
  <si>
    <t>PINE CREEK PASS</t>
  </si>
  <si>
    <t>3285C07C</t>
  </si>
  <si>
    <t>43:32:23.7012 (43.539917) North</t>
  </si>
  <si>
    <t>111:12:06.6996 (-111.201861) West</t>
  </si>
  <si>
    <t>PINE HILL</t>
  </si>
  <si>
    <t>Wibaux</t>
  </si>
  <si>
    <t>324B2382</t>
  </si>
  <si>
    <t>46:46:33.6 (46.776) North</t>
  </si>
  <si>
    <t>104:34:48.6984 (-104.580194) West</t>
  </si>
  <si>
    <t>PINE HILLS</t>
  </si>
  <si>
    <t>3230036A</t>
  </si>
  <si>
    <t>33:00:59.9616 (33.016656) North</t>
  </si>
  <si>
    <t>116:38:07.5912 (-116.635442) West</t>
  </si>
  <si>
    <t>PINE RIDGE</t>
  </si>
  <si>
    <t>39:14:17.0016 (39.238056) North</t>
  </si>
  <si>
    <t>108:22:59.1996 (-108.383111) West</t>
  </si>
  <si>
    <t>PINE VALLEY</t>
  </si>
  <si>
    <t>32BBC264</t>
  </si>
  <si>
    <t>37:23:08.0016 (37.385556) North</t>
  </si>
  <si>
    <t>113:30:08.6004 (-113.502389) West</t>
  </si>
  <si>
    <t>PINECREST 2</t>
  </si>
  <si>
    <t>AA103430</t>
  </si>
  <si>
    <t>38:11:10.1796 (38.186161) North</t>
  </si>
  <si>
    <t>120:00:38.1096 (-120.010586) West</t>
  </si>
  <si>
    <t xml:space="preserve">(209) 459-0528 </t>
  </si>
  <si>
    <t>ahester@blm.gov, brent.kaiser@usda.gov, bridget.pisciotta@usda.gov, daniel.guse2@usda.gov, kellin.brown@usda.gov, shaun.craig@usda.gov, shuckstep@blm.gov</t>
  </si>
  <si>
    <t>PINEDALE</t>
  </si>
  <si>
    <t>32BC5532</t>
  </si>
  <si>
    <t>34:18:22.2012 (34.306167) North</t>
  </si>
  <si>
    <t>110:14:11.7996 (-110.236611) West</t>
  </si>
  <si>
    <t>justin.gabler@usda.gov</t>
  </si>
  <si>
    <t>PINEHURST</t>
  </si>
  <si>
    <t>327223AE</t>
  </si>
  <si>
    <t>36:41:50.4024 (36.697334) North</t>
  </si>
  <si>
    <t>119:01:07.3344 (-119.018704) West</t>
  </si>
  <si>
    <t>Nora Ratto</t>
  </si>
  <si>
    <t>nora.ratto@usda.gov</t>
  </si>
  <si>
    <t xml:space="preserve">(559) 336-2582 </t>
  </si>
  <si>
    <t>Dalton Workman</t>
  </si>
  <si>
    <t>dalton.workman@usda.gov</t>
  </si>
  <si>
    <t xml:space="preserve">(559) 909-8821 </t>
  </si>
  <si>
    <t xml:space="preserve"> james.seymour@usda.gov, ahester@blm.gov, angel.prieto@usda.gov, shuckstep@blm.gov</t>
  </si>
  <si>
    <t>PINERY</t>
  </si>
  <si>
    <t>FA40D7B0</t>
  </si>
  <si>
    <t>31:53:39.9984 (31.894444) North</t>
  </si>
  <si>
    <t>104:47:52.0008 (-104.797778) West</t>
  </si>
  <si>
    <t>richard_gatewood@nps.gov</t>
  </si>
  <si>
    <t>PINEY HILL</t>
  </si>
  <si>
    <t>327A01E4</t>
  </si>
  <si>
    <t>35:45:39.9996 (35.761111) North</t>
  </si>
  <si>
    <t>109:10:01.8984 (-109.167194) West</t>
  </si>
  <si>
    <t>Darryl Wilson</t>
  </si>
  <si>
    <t>Darryl.Wilson@bia.gov</t>
  </si>
  <si>
    <t xml:space="preserve">(928) 729-7232 </t>
  </si>
  <si>
    <t>PINION CANYON</t>
  </si>
  <si>
    <t>3241E7CE</t>
  </si>
  <si>
    <t>37:32:33 (37.5425) North</t>
  </si>
  <si>
    <t>104:01:54.9984 (-104.031944) West</t>
  </si>
  <si>
    <t>PINNACLES</t>
  </si>
  <si>
    <t>FA61672A</t>
  </si>
  <si>
    <t>36:28:14.7 (36.47075) North</t>
  </si>
  <si>
    <t>121:08:50.2008 (-121.147278) West</t>
  </si>
  <si>
    <t>FA64C012</t>
  </si>
  <si>
    <t>43:52:50.0016 (43.880556) North</t>
  </si>
  <si>
    <t>102:14:16.0008 (-102.237778) West</t>
  </si>
  <si>
    <t>BADLANDS NP</t>
  </si>
  <si>
    <t>PINTO</t>
  </si>
  <si>
    <t>325A65EC</t>
  </si>
  <si>
    <t>40:01:15.3012 (40.020917) North</t>
  </si>
  <si>
    <t>108:23:53.1996 (-108.398111) West</t>
  </si>
  <si>
    <t>PINYON</t>
  </si>
  <si>
    <t>327C77BA</t>
  </si>
  <si>
    <t>33:34:40.0008 (33.577778) North</t>
  </si>
  <si>
    <t>116:27:14.6988 (-116.454083) West</t>
  </si>
  <si>
    <t>PIPESTEM</t>
  </si>
  <si>
    <t>Summers</t>
  </si>
  <si>
    <t>9000767C</t>
  </si>
  <si>
    <t>37:31:35.0004 (37.526389) North</t>
  </si>
  <si>
    <t>80:59:57.0012 (-80.999167) West</t>
  </si>
  <si>
    <t>PISTOL CREEK</t>
  </si>
  <si>
    <t>327BC600</t>
  </si>
  <si>
    <t>47:12:53.7012 (47.214917) North</t>
  </si>
  <si>
    <t>114:01:43.3308 (-114.028703) West</t>
  </si>
  <si>
    <t>PISTOL DRAW</t>
  </si>
  <si>
    <t>32B23A6E</t>
  </si>
  <si>
    <t>43:50:57.0012 (43.849167) North</t>
  </si>
  <si>
    <t>107:55:22.0008 (-107.922778) West</t>
  </si>
  <si>
    <t xml:space="preserve"> jellington@blm.gov, dtrauntv@blm.gov, rneighbo@blm.gov, roldenburg@blm.gov</t>
  </si>
  <si>
    <t>PITTSBURG LANDING</t>
  </si>
  <si>
    <t>837035B8</t>
  </si>
  <si>
    <t>45:38:14.8992 (45.637472) North</t>
  </si>
  <si>
    <t>116:28:08.1984 (-116.468944) West</t>
  </si>
  <si>
    <t xml:space="preserve">(208) 983-4038 </t>
  </si>
  <si>
    <t>PIUTES</t>
  </si>
  <si>
    <t>35:26:40.2288 (35.444508) North</t>
  </si>
  <si>
    <t>118:16:43.77 (-118.278825) West</t>
  </si>
  <si>
    <t>Matthew Stockwell</t>
  </si>
  <si>
    <t>matthew.stockwell@usda.gov</t>
  </si>
  <si>
    <t>(760) 376-3781 24</t>
  </si>
  <si>
    <t>PLAINS</t>
  </si>
  <si>
    <t>323F46F2</t>
  </si>
  <si>
    <t>47:27:58.3992 (47.466222) North</t>
  </si>
  <si>
    <t>114:52:46.5996 (-114.879611) West</t>
  </si>
  <si>
    <t>ahester@blm.gov, travis.pfister@usda.gov</t>
  </si>
  <si>
    <t>PLAINWELL</t>
  </si>
  <si>
    <t>Allegan</t>
  </si>
  <si>
    <t>080010B4</t>
  </si>
  <si>
    <t>42:39:47.088 (42.66308) North</t>
  </si>
  <si>
    <t>85:38:49.0524 (-85.646959) West</t>
  </si>
  <si>
    <t>Jeff Corser</t>
  </si>
  <si>
    <t>corserj@michigan.gov</t>
  </si>
  <si>
    <t xml:space="preserve">(616) 685-6851 </t>
  </si>
  <si>
    <t>PLEASANT GROVE</t>
  </si>
  <si>
    <t>3231277C</t>
  </si>
  <si>
    <t>40:25:51.9996 (40.431111) North</t>
  </si>
  <si>
    <t>111:45:03.4992 (-111.750972) West</t>
  </si>
  <si>
    <t>Gary Ravenberg</t>
  </si>
  <si>
    <t>PLEASANT VALLEY</t>
  </si>
  <si>
    <t>34:05:18.8988 (34.088583) North</t>
  </si>
  <si>
    <t>110:56:32.1 (-110.94225) West</t>
  </si>
  <si>
    <t>richard_naden@nps.gov, wdudley@fs.fed.us</t>
  </si>
  <si>
    <t>PNF13 PORTABLE</t>
  </si>
  <si>
    <t>324874F0</t>
  </si>
  <si>
    <t>39:51:20.3796 (39.855661) North</t>
  </si>
  <si>
    <t>120:44:07.3608 (-120.735378) West</t>
  </si>
  <si>
    <t xml:space="preserve">(530) 836-7131 </t>
  </si>
  <si>
    <t>Chris Enriquez</t>
  </si>
  <si>
    <t>christian.enriquez@usda.gov, shuckstep@blm.gov</t>
  </si>
  <si>
    <t>PNF21 PORTABLE</t>
  </si>
  <si>
    <t>3247D29A</t>
  </si>
  <si>
    <t>40:01:18.7896 (40.021886) North</t>
  </si>
  <si>
    <t>121:13:20.6508 (-121.222403) West</t>
  </si>
  <si>
    <t>lucas.pascucci@usda.gov, shuckstep@blm.gov</t>
  </si>
  <si>
    <t>PNF22 PORTABLE</t>
  </si>
  <si>
    <t>39:57:25.8012 (39.957167) North</t>
  </si>
  <si>
    <t>121:03:55.1988 (-121.065333) West</t>
  </si>
  <si>
    <t>Edward.badalamenti@usda.gov</t>
  </si>
  <si>
    <t xml:space="preserve">(530) 927-8970 </t>
  </si>
  <si>
    <t>PNF23 PORTABLE</t>
  </si>
  <si>
    <t>3239A5CE</t>
  </si>
  <si>
    <t>39:39:30.8016 (39.658556) North</t>
  </si>
  <si>
    <t>121:00:28.4004 (-121.007889) West</t>
  </si>
  <si>
    <t>Jason Miller</t>
  </si>
  <si>
    <t>jason.t.miller@usda.gov</t>
  </si>
  <si>
    <t xml:space="preserve">(530) 394-8139 </t>
  </si>
  <si>
    <t>Mark Cresalia</t>
  </si>
  <si>
    <t>mark.cresalia@usda.Gov</t>
  </si>
  <si>
    <t xml:space="preserve">(530) 588-3298 </t>
  </si>
  <si>
    <t>jason.t.miller@usda.gov;  erik.apland@usda.gov, shuckstep@blm.gov</t>
  </si>
  <si>
    <t>PNF33 PORTABLE</t>
  </si>
  <si>
    <t>327D6636</t>
  </si>
  <si>
    <t>39:28:57.7812 (39.482717) North</t>
  </si>
  <si>
    <t>121:13:27.1812 (-121.224217) West</t>
  </si>
  <si>
    <t xml:space="preserve">(530) 532-7431 </t>
  </si>
  <si>
    <t>Erik Apland</t>
  </si>
  <si>
    <t>erik.apland@usda.gov</t>
  </si>
  <si>
    <t xml:space="preserve">(530) 532-7436 </t>
  </si>
  <si>
    <t>POCOSIN LAKES</t>
  </si>
  <si>
    <t>8376E31E</t>
  </si>
  <si>
    <t>35:44:14 (35.737222) North</t>
  </si>
  <si>
    <t>76:30:52 (-76.514444) West</t>
  </si>
  <si>
    <t>POCOSIN LAKES NWR</t>
  </si>
  <si>
    <t>c_plante@fws.gov</t>
  </si>
  <si>
    <t>c_plante@fws.gov, vince_carver@fws.gov</t>
  </si>
  <si>
    <t>POHAKEA 1</t>
  </si>
  <si>
    <t>32BBEA5A</t>
  </si>
  <si>
    <t>20:48:41.5008 (20.811528) North</t>
  </si>
  <si>
    <t>156:30:35.5896 (-156.509886) West</t>
  </si>
  <si>
    <t>POINSETT</t>
  </si>
  <si>
    <t>Poinsett</t>
  </si>
  <si>
    <t>0720468A</t>
  </si>
  <si>
    <t>35:34:04.5192 (35.567922) North</t>
  </si>
  <si>
    <t>90:42:41.9184 (-90.711644) West</t>
  </si>
  <si>
    <t>POINT 6</t>
  </si>
  <si>
    <t>326ED528</t>
  </si>
  <si>
    <t>47:02:28.8996 (47.041361) North</t>
  </si>
  <si>
    <t>113:59:10.7016 (-113.986306) West</t>
  </si>
  <si>
    <t>ahester@blm.gov, andrew.bidwell@usda.gov, dani.johnson@usda.gov, geoffrey.farinholt@usda.gov</t>
  </si>
  <si>
    <t>POINT PROM II</t>
  </si>
  <si>
    <t>326B7210</t>
  </si>
  <si>
    <t>45:21:16.9992 (45.354722) North</t>
  </si>
  <si>
    <t>117:42:15.9984 (-117.704444) West</t>
  </si>
  <si>
    <t>POKER CREEK</t>
  </si>
  <si>
    <t>3264E1E0</t>
  </si>
  <si>
    <t>43:34:09.9984 (43.569444) North</t>
  </si>
  <si>
    <t>106:58:41.9988 (-106.978333) West</t>
  </si>
  <si>
    <t>echapman@blm.gov, oldenburg@blm.gov, rputnam@blm.gov</t>
  </si>
  <si>
    <t>POLE CANYON</t>
  </si>
  <si>
    <t>3253455C</t>
  </si>
  <si>
    <t>42:53:56.1984 (42.898944) North</t>
  </si>
  <si>
    <t>111:49:59.7 (-111.83325) West</t>
  </si>
  <si>
    <t>POLE CREEK</t>
  </si>
  <si>
    <t>326AC364</t>
  </si>
  <si>
    <t>41:52:36.3612 (41.876767) North</t>
  </si>
  <si>
    <t>115:15:29.4012 (-115.258167) West</t>
  </si>
  <si>
    <t>Joseph Powell</t>
  </si>
  <si>
    <t>joseph.powell@usda.gov</t>
  </si>
  <si>
    <t xml:space="preserve">(775) 778-6121 </t>
  </si>
  <si>
    <t>Stefan Goehring</t>
  </si>
  <si>
    <t>stefan.goehring@usda.gov</t>
  </si>
  <si>
    <t>ahester@blm.gov, dustin.zahrt@usda.gov, joseph.powell@usda.gov, stefan.goehring@usda.gov</t>
  </si>
  <si>
    <t>3251B02C</t>
  </si>
  <si>
    <t>42:04:09.9984 (42.069444) North</t>
  </si>
  <si>
    <t>115:47:09.9996 (-115.786111) West</t>
  </si>
  <si>
    <t xml:space="preserve">(208) 384-3481 </t>
  </si>
  <si>
    <t>POLE MT</t>
  </si>
  <si>
    <t>AAB5E3CE</t>
  </si>
  <si>
    <t>41:13:37.9992 (41.227222) North</t>
  </si>
  <si>
    <t>105:25:59.0016 (-105.433056) West</t>
  </si>
  <si>
    <t>POLEBRIDGE</t>
  </si>
  <si>
    <t>FA4175B2</t>
  </si>
  <si>
    <t>48:47:05.46 (48.78485) North</t>
  </si>
  <si>
    <t>114:16:47.874 (-114.279965) West</t>
  </si>
  <si>
    <t>POLHEMUS</t>
  </si>
  <si>
    <t>326A150C</t>
  </si>
  <si>
    <t>39:15:16.9992 (39.254722) North</t>
  </si>
  <si>
    <t>105:07:54.9984 (-105.131944) West</t>
  </si>
  <si>
    <t>POLLYWOG</t>
  </si>
  <si>
    <t>45:27:30.9996 (45.458611) North</t>
  </si>
  <si>
    <t>121:26:47.0004 (-121.446389) West</t>
  </si>
  <si>
    <t>PONY CREEK</t>
  </si>
  <si>
    <t>AA118544</t>
  </si>
  <si>
    <t>47:37:32.9988 (47.625833) North</t>
  </si>
  <si>
    <t>113:41:31.9992 (-113.692222) West</t>
  </si>
  <si>
    <t>POORMAN</t>
  </si>
  <si>
    <t>3244A304</t>
  </si>
  <si>
    <t>64:04:53.1984 (64.081444) North</t>
  </si>
  <si>
    <t>155:34:20.1 (-155.57225) West</t>
  </si>
  <si>
    <t>POPLAR</t>
  </si>
  <si>
    <t>Roosevelt</t>
  </si>
  <si>
    <t>48:07:37.4988 (48.127083) North</t>
  </si>
  <si>
    <t>105:04:24.06 (-105.07335) West</t>
  </si>
  <si>
    <t>Fort Peck Agency</t>
  </si>
  <si>
    <t xml:space="preserve">Adam Wolf </t>
  </si>
  <si>
    <t>adam.wolf@bia.gov</t>
  </si>
  <si>
    <t xml:space="preserve">(406) 768-3662 </t>
  </si>
  <si>
    <t>POPPET FLAT</t>
  </si>
  <si>
    <t>324F76C4</t>
  </si>
  <si>
    <t>33:51:22.8996 (33.856361) North</t>
  </si>
  <si>
    <t>116:51:35.8992 (-116.859972) West</t>
  </si>
  <si>
    <t>POPPY PARK</t>
  </si>
  <si>
    <t>CA41B6F2</t>
  </si>
  <si>
    <t>34:43:41.9484 (34.728319) North</t>
  </si>
  <si>
    <t>118:23:38.6088 (-118.394058) West</t>
  </si>
  <si>
    <t>PORCUPINE</t>
  </si>
  <si>
    <t>Shannon</t>
  </si>
  <si>
    <t>43:17:22.1604 (43.289489) North</t>
  </si>
  <si>
    <t>102:16:15.7404 (-102.271039) West</t>
  </si>
  <si>
    <t>Pine Ridge Agency</t>
  </si>
  <si>
    <t>Marjoe Janis</t>
  </si>
  <si>
    <t>marjoe.janis@bia.gov</t>
  </si>
  <si>
    <t xml:space="preserve">(605) 407-8138 </t>
  </si>
  <si>
    <t>Justin Bauer</t>
  </si>
  <si>
    <t>justin.bauer@bia.gov</t>
  </si>
  <si>
    <t xml:space="preserve">(605) 441-8395 </t>
  </si>
  <si>
    <t>PORCUPINE CR.</t>
  </si>
  <si>
    <t>3235D2C2</t>
  </si>
  <si>
    <t>40:05:53.0988 (40.098083) North</t>
  </si>
  <si>
    <t>106:40:50.1996 (-106.680611) West</t>
  </si>
  <si>
    <t xml:space="preserve">(970) 870-2182 </t>
  </si>
  <si>
    <t>PORPHYRY</t>
  </si>
  <si>
    <t>326E36DA</t>
  </si>
  <si>
    <t>46:50:17.5416 (46.838206) North</t>
  </si>
  <si>
    <t>110:43:05.2608 (-110.718128) West</t>
  </si>
  <si>
    <t>JACOB HOPPE</t>
  </si>
  <si>
    <t xml:space="preserve">(406) 547-6003 </t>
  </si>
  <si>
    <t>PORT ALSWORTH</t>
  </si>
  <si>
    <t>FA6102CC</t>
  </si>
  <si>
    <t>60:11:46.2012 (60.196167) North</t>
  </si>
  <si>
    <t>154:19:12.2988 (-154.320083) West</t>
  </si>
  <si>
    <t>PORTABLE 41</t>
  </si>
  <si>
    <t>32B3E02E</t>
  </si>
  <si>
    <t>36:12:33.0012 (36.209167) North</t>
  </si>
  <si>
    <t>118:50:03.9012 (-118.834417) West</t>
  </si>
  <si>
    <t>David Shy</t>
  </si>
  <si>
    <t>david.shy@fire.ca.gov</t>
  </si>
  <si>
    <t xml:space="preserve">(559) 732-5954 </t>
  </si>
  <si>
    <t>PORTER RANCH</t>
  </si>
  <si>
    <t>32B353A0</t>
  </si>
  <si>
    <t>34:18:12.2004 (34.303389) North</t>
  </si>
  <si>
    <t>118:34:35.7996 (-118.576611) West</t>
  </si>
  <si>
    <t>LOS ANGELES CITY</t>
  </si>
  <si>
    <t>Adam Knabe</t>
  </si>
  <si>
    <t>adam.knabe@lacity.org</t>
  </si>
  <si>
    <t xml:space="preserve">(805) 660-9374 </t>
  </si>
  <si>
    <t>Daniel Curry, BC (ret.)</t>
  </si>
  <si>
    <t>lafdweather@gmail.com</t>
  </si>
  <si>
    <t xml:space="preserve">(818) 470-6838 </t>
  </si>
  <si>
    <t>POSSUM KINGDOM</t>
  </si>
  <si>
    <t>Palo Pinto</t>
  </si>
  <si>
    <t>8840A78E</t>
  </si>
  <si>
    <t>32:52:01.9992 (32.867222) North</t>
  </si>
  <si>
    <t>98:33:42.0012 (-98.561667) West</t>
  </si>
  <si>
    <t>POTAWATOMI</t>
  </si>
  <si>
    <t>3274A574</t>
  </si>
  <si>
    <t>39:20:35.2284 (39.343119) North</t>
  </si>
  <si>
    <t>95:51:14.1588 (-95.853933) West</t>
  </si>
  <si>
    <t>Horton Agency</t>
  </si>
  <si>
    <t>Adam Rogers</t>
  </si>
  <si>
    <t>adam.rogers@bia.gov</t>
  </si>
  <si>
    <t xml:space="preserve">(785) 486-2161 </t>
  </si>
  <si>
    <t>Rick Jones</t>
  </si>
  <si>
    <t>Rick.jones@bia.gov</t>
  </si>
  <si>
    <t xml:space="preserve">(785) 547-5921 </t>
  </si>
  <si>
    <t>POTLATCH</t>
  </si>
  <si>
    <t>Latah</t>
  </si>
  <si>
    <t>323764B8</t>
  </si>
  <si>
    <t>46:55:47.4996 (46.929861) North</t>
  </si>
  <si>
    <t>116:54:31.7016 (-116.908806) West</t>
  </si>
  <si>
    <t>Doug Colaprete</t>
  </si>
  <si>
    <t>douglas.colaprete@usda.gov</t>
  </si>
  <si>
    <t xml:space="preserve">(208) 875-1737 </t>
  </si>
  <si>
    <t>POTRERO</t>
  </si>
  <si>
    <t>CA4535DC</t>
  </si>
  <si>
    <t>32:36:21.0996 (32.605861) North</t>
  </si>
  <si>
    <t>116:36:31.7592 (-116.608822) West</t>
  </si>
  <si>
    <t>POTTER BUTTE</t>
  </si>
  <si>
    <t>325320BA</t>
  </si>
  <si>
    <t>43:13:32.5992 (43.225722) North</t>
  </si>
  <si>
    <t>113:34:29.3988 (-113.574833) West</t>
  </si>
  <si>
    <t>POVERTY</t>
  </si>
  <si>
    <t>CA4092E4</t>
  </si>
  <si>
    <t>37:26:35.0016 (37.443056) North</t>
  </si>
  <si>
    <t>121:46:14.0016 (-121.770556) West</t>
  </si>
  <si>
    <t>POWELL</t>
  </si>
  <si>
    <t>46:30:42.4116 (46.511781) North</t>
  </si>
  <si>
    <t>114:41:08.9808 (-114.685828) West</t>
  </si>
  <si>
    <t>POWELLVILLE</t>
  </si>
  <si>
    <t>Wicomico</t>
  </si>
  <si>
    <t>B800376E</t>
  </si>
  <si>
    <t>38:21:28.1988 (38.357833) North</t>
  </si>
  <si>
    <t>75:25:51.24 (-75.4309) West</t>
  </si>
  <si>
    <t xml:space="preserve">PRAWS 1 </t>
  </si>
  <si>
    <t>346F9114</t>
  </si>
  <si>
    <t>44:25:56.2692 (44.432297) North</t>
  </si>
  <si>
    <t>116:03:57.0492 (-116.065847) West</t>
  </si>
  <si>
    <t>Project RAWS</t>
  </si>
  <si>
    <t>05:10, 20:10, 35:10, 50:10</t>
  </si>
  <si>
    <t>PRAWS 10</t>
  </si>
  <si>
    <t>AAB0E40E</t>
  </si>
  <si>
    <t>05:55, 20:55, 35:55, 50:55</t>
  </si>
  <si>
    <t xml:space="preserve">PRAWS 11 </t>
  </si>
  <si>
    <t>AAB6B4BC</t>
  </si>
  <si>
    <t>06:00, 21:00, 36:00, 51:00</t>
  </si>
  <si>
    <t xml:space="preserve">PRAWS 12 </t>
  </si>
  <si>
    <t>325515EE</t>
  </si>
  <si>
    <t>06:05, 21:05, 36:05, 51:05</t>
  </si>
  <si>
    <t>PRAWS 13</t>
  </si>
  <si>
    <t>010EF54E</t>
  </si>
  <si>
    <t>06:10, 21:10, 36:10, 51:10</t>
  </si>
  <si>
    <t>PRAWS 14</t>
  </si>
  <si>
    <t>3268038E</t>
  </si>
  <si>
    <t>06:15, 21:15, 36:15, 51:15</t>
  </si>
  <si>
    <t>PRAWS 15</t>
  </si>
  <si>
    <t>32416F08</t>
  </si>
  <si>
    <t>06:20, 21:20, 36:20, 51:20</t>
  </si>
  <si>
    <t xml:space="preserve">PRAWS 2 </t>
  </si>
  <si>
    <t>346FA48E</t>
  </si>
  <si>
    <t>05:15, 20:15, 35:15, 50:15</t>
  </si>
  <si>
    <t xml:space="preserve">PRAWS 3 </t>
  </si>
  <si>
    <t>3470609C</t>
  </si>
  <si>
    <t>05:20, 20:20, 35:20, 50:20</t>
  </si>
  <si>
    <t xml:space="preserve">PRAWS 4 </t>
  </si>
  <si>
    <t>AAB007FC</t>
  </si>
  <si>
    <t>05:25, 20:25, 35:25, 50:25</t>
  </si>
  <si>
    <t xml:space="preserve">PRAWS 5  </t>
  </si>
  <si>
    <t>32D410AC</t>
  </si>
  <si>
    <t>05:30, 20:30, 35:30, 50:30</t>
  </si>
  <si>
    <t>PRAWS 6</t>
  </si>
  <si>
    <t>32D4D5B2</t>
  </si>
  <si>
    <t>05:35, 20:35, 35:35, 50:35</t>
  </si>
  <si>
    <t xml:space="preserve">PRAWS 7 </t>
  </si>
  <si>
    <t>0103F628</t>
  </si>
  <si>
    <t>05:40, 20:40, 35:40, 50:40</t>
  </si>
  <si>
    <t>PRAWS 8</t>
  </si>
  <si>
    <t>AAC44460</t>
  </si>
  <si>
    <t>05:45, 20:45, 35:45, 50:45</t>
  </si>
  <si>
    <t>PRAWS 9</t>
  </si>
  <si>
    <t>AAB0D194</t>
  </si>
  <si>
    <t>05:50, 20:50, 35:50, 50:50</t>
  </si>
  <si>
    <t>PREACHER CREEK</t>
  </si>
  <si>
    <t>65:55:11.28 (65.9198) North</t>
  </si>
  <si>
    <t>145:01:34.86 (-145.02635) West</t>
  </si>
  <si>
    <t>PRENTICE COOPER SF</t>
  </si>
  <si>
    <t>35:07:49.0008 (35.130278) North</t>
  </si>
  <si>
    <t>85:25:40.0008 (-85.427778) West</t>
  </si>
  <si>
    <t>PRESCOTT PORTABLE #1</t>
  </si>
  <si>
    <t>324D234C</t>
  </si>
  <si>
    <t>34:55:18.8004 (34.921889) North</t>
  </si>
  <si>
    <t>112:50:43.1016 (-112.845306) West</t>
  </si>
  <si>
    <t>Anthony Ballou</t>
  </si>
  <si>
    <t>anthony.ballou@usda.gov</t>
  </si>
  <si>
    <t xml:space="preserve">(928) 777-2235 </t>
  </si>
  <si>
    <t>Levi Guffey</t>
  </si>
  <si>
    <t>levi.guffey@usda.gov</t>
  </si>
  <si>
    <t xml:space="preserve">(928) 777-2263 </t>
  </si>
  <si>
    <t>PRESTON</t>
  </si>
  <si>
    <t>32BDA99E</t>
  </si>
  <si>
    <t xml:space="preserve">(218) 254-5690 </t>
  </si>
  <si>
    <t>Joe Brown</t>
  </si>
  <si>
    <t>joseph.r.brown@state.mn.us</t>
  </si>
  <si>
    <t xml:space="preserve">(651) 341-0124 </t>
  </si>
  <si>
    <t>PRIEST LAKE</t>
  </si>
  <si>
    <t>327416FA</t>
  </si>
  <si>
    <t>48:34:27.0516 (48.574181) North</t>
  </si>
  <si>
    <t>116:57:28.3284 (-116.957869) West</t>
  </si>
  <si>
    <t>PRINCE WILLIAM</t>
  </si>
  <si>
    <t>Prince William</t>
  </si>
  <si>
    <t>FA64906E</t>
  </si>
  <si>
    <t>38:33:52.4988 (38.564583) North</t>
  </si>
  <si>
    <t>77:22:16.0788 (-77.371133) West</t>
  </si>
  <si>
    <t>PRINCE WILLIAM FORST</t>
  </si>
  <si>
    <t>Gregg Kneipp</t>
  </si>
  <si>
    <t>gregg_kneipp@nps.gov</t>
  </si>
  <si>
    <t xml:space="preserve">(571) 262-9468 </t>
  </si>
  <si>
    <t>Timothy Culbreth</t>
  </si>
  <si>
    <t>timothy_culbreth@NPS.gov</t>
  </si>
  <si>
    <t xml:space="preserve">(304) 839-3155 </t>
  </si>
  <si>
    <t>PROMONTORY</t>
  </si>
  <si>
    <t>326BD2E8</t>
  </si>
  <si>
    <t>34:21:55.0008 (34.365278) North</t>
  </si>
  <si>
    <t>111:00:51.9984 (-111.014444) West</t>
  </si>
  <si>
    <t>PROVOLT SEED ORCHARD</t>
  </si>
  <si>
    <t>3267738C</t>
  </si>
  <si>
    <t>42:17:24.6984 (42.290194) North</t>
  </si>
  <si>
    <t>123:14:00.2004 (-123.233389) West</t>
  </si>
  <si>
    <t>PRYOR MOUNTAIN</t>
  </si>
  <si>
    <t>521124FC</t>
  </si>
  <si>
    <t>45:20:13.8192 (45.337172) North</t>
  </si>
  <si>
    <t>108:29:31.7688 (-108.492158) West</t>
  </si>
  <si>
    <t>PSF1 SOUTH PLATTE QD</t>
  </si>
  <si>
    <t>3272553E</t>
  </si>
  <si>
    <t>39:30:44.8488 (39.512458) North</t>
  </si>
  <si>
    <t>105:32:27.9096 (-105.541086) West</t>
  </si>
  <si>
    <t>PSF2 SALIDA QD</t>
  </si>
  <si>
    <t>Chaffee</t>
  </si>
  <si>
    <t>323EF786</t>
  </si>
  <si>
    <t>38:39:40.3812 (38.661217) North</t>
  </si>
  <si>
    <t>106:09:14.8212 (-106.154117) West</t>
  </si>
  <si>
    <t>Christopher.naccarato@usda.gov</t>
  </si>
  <si>
    <t>christopher.naccarato@usda.gov, edwin.clark@usda.gov, jeffrey.bade@usda.gov</t>
  </si>
  <si>
    <t>PSF3 CANON CITY QD</t>
  </si>
  <si>
    <t>327260A4</t>
  </si>
  <si>
    <t>38:02:29.4 (38.0415) North</t>
  </si>
  <si>
    <t>105:11:08.9988 (-105.185833) West</t>
  </si>
  <si>
    <t>PSF4 PORTABLE</t>
  </si>
  <si>
    <t>328271C6</t>
  </si>
  <si>
    <t>38:57:40.0104 (38.961114) North</t>
  </si>
  <si>
    <t>105:24:28.0188 (-105.407783) West</t>
  </si>
  <si>
    <t>christopher.rokosh@usda.gov, robert.monson@usda.gov</t>
  </si>
  <si>
    <t>PSF5 PORTABLE RX</t>
  </si>
  <si>
    <t>32B85008</t>
  </si>
  <si>
    <t>38:54:41.6988 (38.911583) North</t>
  </si>
  <si>
    <t>105:01:02.4996 (-105.017361) West</t>
  </si>
  <si>
    <t>Christina Barba</t>
  </si>
  <si>
    <t>christina.j.barba@usda.gov</t>
  </si>
  <si>
    <t xml:space="preserve">(909) 522-0359 </t>
  </si>
  <si>
    <t>PT MAC</t>
  </si>
  <si>
    <t>61:25:19.92 (61.4222) North</t>
  </si>
  <si>
    <t>150:05:33.2412 (-150.092567) West</t>
  </si>
  <si>
    <t>PTA EAST</t>
  </si>
  <si>
    <t>3266D18E</t>
  </si>
  <si>
    <t>19:40:58.0008 (19.682778) North</t>
  </si>
  <si>
    <t>155:32:43.0008 (-155.545278) West</t>
  </si>
  <si>
    <t>James Stringfellow</t>
  </si>
  <si>
    <t>james.d.stringfellow.civ@army.mil</t>
  </si>
  <si>
    <t xml:space="preserve">(307) 690-4416 </t>
  </si>
  <si>
    <t>PTA KEAMUKU</t>
  </si>
  <si>
    <t>328FB7BE</t>
  </si>
  <si>
    <t>19:54:07.9992 (19.902222) North</t>
  </si>
  <si>
    <t>155:40:42.9996 (-155.678611) West</t>
  </si>
  <si>
    <t>PTA KIPUKA ALALA</t>
  </si>
  <si>
    <t>19:40:00.9984 (19.666944) North</t>
  </si>
  <si>
    <t>155:42:28.0008 (-155.707778) West</t>
  </si>
  <si>
    <t>bryson.kamakura,civ@army.mil</t>
  </si>
  <si>
    <t>JAMES STRINGFELLOW</t>
  </si>
  <si>
    <t>james,d.stringfellow.civ@army.mil</t>
  </si>
  <si>
    <t>PTA PORTABLE</t>
  </si>
  <si>
    <t>19:44:44.0016 (19.745556) North</t>
  </si>
  <si>
    <t>155:37:37.9992 (-155.627222) West</t>
  </si>
  <si>
    <t>PTA PORTABLE FTS</t>
  </si>
  <si>
    <t>3284627E</t>
  </si>
  <si>
    <t>PTA RANGE 17</t>
  </si>
  <si>
    <t>3279630C</t>
  </si>
  <si>
    <t>19:44:44.9988 (19.745833) North</t>
  </si>
  <si>
    <t>155:37:33.9996 (-155.626111) West</t>
  </si>
  <si>
    <t>PTA WEST</t>
  </si>
  <si>
    <t>19:46:18.0012 (19.771667) North</t>
  </si>
  <si>
    <t>155:42:07.9992 (-155.702222) West</t>
  </si>
  <si>
    <t>PUAAHALA 1</t>
  </si>
  <si>
    <t>32BD6C80</t>
  </si>
  <si>
    <t>21:04:16.1004 (21.071139) North</t>
  </si>
  <si>
    <t>156:51:50.1912 (-156.863942) West</t>
  </si>
  <si>
    <t>PUAKO PORTABLE</t>
  </si>
  <si>
    <t>AA1125BC</t>
  </si>
  <si>
    <t>19:28:43.2984 (19.478694) North</t>
  </si>
  <si>
    <t>154:53:14.3052 (-154.887307) West</t>
  </si>
  <si>
    <t>PUHE CS</t>
  </si>
  <si>
    <t>32D6803A</t>
  </si>
  <si>
    <t>20:01:30 (20.025) North</t>
  </si>
  <si>
    <t>155:49:16.5 (-155.82125) West</t>
  </si>
  <si>
    <t>PUUKOHOLA NHP</t>
  </si>
  <si>
    <t>PUHO CS</t>
  </si>
  <si>
    <t>32D61558</t>
  </si>
  <si>
    <t>19:25:18.9012 (19.421917) North</t>
  </si>
  <si>
    <t>155:54:26.7012 (-155.907417) West</t>
  </si>
  <si>
    <t>PUU HONUA O HON. NHP</t>
  </si>
  <si>
    <t>PULGAS</t>
  </si>
  <si>
    <t>CA41C062</t>
  </si>
  <si>
    <t>37:28:23.2212 (37.473117) North</t>
  </si>
  <si>
    <t>122:17:52.8 (-122.298) West</t>
  </si>
  <si>
    <t>PURISIMA HILLS</t>
  </si>
  <si>
    <t>32A206B8</t>
  </si>
  <si>
    <t>34:42:43.9812 (34.712217) North</t>
  </si>
  <si>
    <t>120:23:29.04 (-120.3914) West</t>
  </si>
  <si>
    <t>PUU ALII</t>
  </si>
  <si>
    <t>32D6062E</t>
  </si>
  <si>
    <t>21:08:26.9988 (21.140833) North</t>
  </si>
  <si>
    <t>156:54:08.3412 (-156.902317) West</t>
  </si>
  <si>
    <t>PUU LUA</t>
  </si>
  <si>
    <t>487083CE</t>
  </si>
  <si>
    <t>22:05:21.2712 (22.089242) North</t>
  </si>
  <si>
    <t>159:40:44.5584 (-159.679044) West</t>
  </si>
  <si>
    <t>PUU MALI</t>
  </si>
  <si>
    <t>3181742E</t>
  </si>
  <si>
    <t>19:54:59.66 (19.916572) North</t>
  </si>
  <si>
    <t>155:25:15.17 (-155.420881) West</t>
  </si>
  <si>
    <t xml:space="preserve">(808) 974-2433 </t>
  </si>
  <si>
    <t>PUU OPAE</t>
  </si>
  <si>
    <t>4870734A</t>
  </si>
  <si>
    <t>22:02:26.9988 (22.040833) North</t>
  </si>
  <si>
    <t>159:41:44.9988 (-159.695833) West</t>
  </si>
  <si>
    <t>PUU WAAWAA</t>
  </si>
  <si>
    <t>487046D0</t>
  </si>
  <si>
    <t>19:47:42.35 (19.795097) North</t>
  </si>
  <si>
    <t>155:50:43.58 (-155.845439) West</t>
  </si>
  <si>
    <t>PUUANAHULU</t>
  </si>
  <si>
    <t>19:49:57.7992 (19.832722) North</t>
  </si>
  <si>
    <t>155:46:11.0316 (-155.769731) West</t>
  </si>
  <si>
    <t>PX WELL</t>
  </si>
  <si>
    <t>Hudspeth</t>
  </si>
  <si>
    <t>3241A4C4</t>
  </si>
  <si>
    <t>31:58:20.4888 (31.972358) North</t>
  </si>
  <si>
    <t>104:56:52.4904 (-104.947914) West</t>
  </si>
  <si>
    <t>QD-1</t>
  </si>
  <si>
    <t>32E1026A</t>
  </si>
  <si>
    <t>43:54:52.5996 (43.914611) North</t>
  </si>
  <si>
    <t>109:00:28.4004 (-109.007889) West</t>
  </si>
  <si>
    <t xml:space="preserve">(307) 431-8598 </t>
  </si>
  <si>
    <t>dtrauntv@blm.gov, rneighbo@blm.gov</t>
  </si>
  <si>
    <t>QD-2</t>
  </si>
  <si>
    <t>32E10CB8</t>
  </si>
  <si>
    <t>42:23:09.6 (42.386) North</t>
  </si>
  <si>
    <t>110:24:49.32 (-110.4137) West</t>
  </si>
  <si>
    <t>WYOMING STATE OFFICE</t>
  </si>
  <si>
    <t>Ross Dary</t>
  </si>
  <si>
    <t>rdary@blm.gov</t>
  </si>
  <si>
    <t xml:space="preserve">(920) 318-6515 </t>
  </si>
  <si>
    <t>QUAD CREEK</t>
  </si>
  <si>
    <t>324DB62E</t>
  </si>
  <si>
    <t>45:02:04.7004 (45.034639) North</t>
  </si>
  <si>
    <t>109:24:32.4 (-109.409) West</t>
  </si>
  <si>
    <t>QUADRANT</t>
  </si>
  <si>
    <t>FA4012AE</t>
  </si>
  <si>
    <t>44:55:39.432 (44.92762) North</t>
  </si>
  <si>
    <t>110:59:24.936 (-110.99026) West</t>
  </si>
  <si>
    <t>QUAIL PRAIRIE LOOKOUT</t>
  </si>
  <si>
    <t>3245420C</t>
  </si>
  <si>
    <t>42:14:31.9992 (42.242222) North</t>
  </si>
  <si>
    <t>124:02:43.0008 (-124.045278) West</t>
  </si>
  <si>
    <t>QUARRY TRAIL</t>
  </si>
  <si>
    <t>Westmoreland</t>
  </si>
  <si>
    <t>D6805150</t>
  </si>
  <si>
    <t>40:07:51.9996 (40.131111) North</t>
  </si>
  <si>
    <t>79:12:57.9996 (-79.216111) West</t>
  </si>
  <si>
    <t>QUARTZ CREEK</t>
  </si>
  <si>
    <t>3244B072</t>
  </si>
  <si>
    <t>65:24:36.54 (65.41015) North</t>
  </si>
  <si>
    <t>164:39:51.3 (-164.66425) West</t>
  </si>
  <si>
    <t>QUARTZ HILL</t>
  </si>
  <si>
    <t>CA20302E</t>
  </si>
  <si>
    <t>41:35:56.8284 (41.599119) North</t>
  </si>
  <si>
    <t>122:56:01.23 (-122.933675) West</t>
  </si>
  <si>
    <t>QUEEN</t>
  </si>
  <si>
    <t>3287C588</t>
  </si>
  <si>
    <t>32:12:12.9996 (32.203611) North</t>
  </si>
  <si>
    <t>104:41:25.1016 (-104.690306) West</t>
  </si>
  <si>
    <t>QUEEN INLET</t>
  </si>
  <si>
    <t>3962969A</t>
  </si>
  <si>
    <t>58:55:02.136 (58.91726) North</t>
  </si>
  <si>
    <t>136:35:04.7724 (-136.584659) West</t>
  </si>
  <si>
    <t>QUILCENE</t>
  </si>
  <si>
    <t>47:49:23.0016 (47.823056) North</t>
  </si>
  <si>
    <t>122:52:59.0016 (-122.883056) West</t>
  </si>
  <si>
    <t>QUIMA PEAK</t>
  </si>
  <si>
    <t>3287350C</t>
  </si>
  <si>
    <t>38:29:12.0012 (38.486667) North</t>
  </si>
  <si>
    <t>117:05:42 (-117.095) West</t>
  </si>
  <si>
    <t>QUINCY RD</t>
  </si>
  <si>
    <t>39:58:23.9988 (39.973333) North</t>
  </si>
  <si>
    <t>120:56:30.9984 (-120.941944) West</t>
  </si>
  <si>
    <t>RABBIT CREEK</t>
  </si>
  <si>
    <t>9A7005C6</t>
  </si>
  <si>
    <t>61:05:18.9996 (61.088611) North</t>
  </si>
  <si>
    <t>149:44:18.9996 (-149.738611) West</t>
  </si>
  <si>
    <t>RACCOON POINT RAWS</t>
  </si>
  <si>
    <t>FA50C358</t>
  </si>
  <si>
    <t>25:58:41.0016 (25.978056) North</t>
  </si>
  <si>
    <t>80:54:14.9004 (-80.904139) West</t>
  </si>
  <si>
    <t>RACHEL CARSON - FTS</t>
  </si>
  <si>
    <t>York</t>
  </si>
  <si>
    <t>43:16:44.5008 (43.279028) North</t>
  </si>
  <si>
    <t>70:35:24.1008 (-70.590028) West</t>
  </si>
  <si>
    <t>RACHEL CARSON NWR</t>
  </si>
  <si>
    <t>Michael Pagoaga (Cell)</t>
  </si>
  <si>
    <t>Colin McKevitt (Cell)</t>
  </si>
  <si>
    <t>colin_mckevitt@fws.gov</t>
  </si>
  <si>
    <t xml:space="preserve">(908) 489-8125 </t>
  </si>
  <si>
    <t>RACO</t>
  </si>
  <si>
    <t>Chippewa</t>
  </si>
  <si>
    <t>3283733C</t>
  </si>
  <si>
    <t>46:21:29.0016 (46.358056) North</t>
  </si>
  <si>
    <t>84:48:14.0004 (-84.803889) West</t>
  </si>
  <si>
    <t>Brian Wolvert</t>
  </si>
  <si>
    <t>brian.wolvert@usda.gov</t>
  </si>
  <si>
    <t>(906) 643-7900 58</t>
  </si>
  <si>
    <t>Jesse Custer</t>
  </si>
  <si>
    <t>jesse.custer@usda.gov</t>
  </si>
  <si>
    <t xml:space="preserve">(906) 428-5278 </t>
  </si>
  <si>
    <t>brian.wolvert@usda.gov, jesse.custer@usda.gov, paul.koehler@usda.gov, pcarrick@fs.fed.us</t>
  </si>
  <si>
    <t>RAFT RIVER</t>
  </si>
  <si>
    <t>325CE336</t>
  </si>
  <si>
    <t>42:32:52.5984 (42.547944) North</t>
  </si>
  <si>
    <t>113:15:34.0992 (-113.259472) West</t>
  </si>
  <si>
    <t>RAGLAND HILLS</t>
  </si>
  <si>
    <t>Forrest</t>
  </si>
  <si>
    <t>328BE2F8</t>
  </si>
  <si>
    <t>31:12:15.12 (31.2042) North</t>
  </si>
  <si>
    <t>89:10:41.9988 (-89.178333) West</t>
  </si>
  <si>
    <t>clifton.willis@usda.gov</t>
  </si>
  <si>
    <t>cody.l.evans@usda.gov, rebecca.goosman@usda.gov</t>
  </si>
  <si>
    <t>RAM CREEK</t>
  </si>
  <si>
    <t>3961D29E</t>
  </si>
  <si>
    <t>67:37:27.48 (67.6243) North</t>
  </si>
  <si>
    <t>154:20:40.56 (-154.3446) West</t>
  </si>
  <si>
    <t>RAMAH</t>
  </si>
  <si>
    <t>5213F760</t>
  </si>
  <si>
    <t>34:49:10.8984 (34.819694) North</t>
  </si>
  <si>
    <t>108:17:40.8012 (-108.294667) West</t>
  </si>
  <si>
    <t>Ramah Navajo Agency</t>
  </si>
  <si>
    <t>Troy Cachini</t>
  </si>
  <si>
    <t>troy.cachini@bia.gov</t>
  </si>
  <si>
    <t xml:space="preserve">(505) 236-1301 </t>
  </si>
  <si>
    <t>(575) 937-7835, ahester@blm.gov, brian.tonihka@bia.gov, cheryl.bright@bia.gov</t>
  </si>
  <si>
    <t>32A25816</t>
  </si>
  <si>
    <t>39:05:09.4992 (39.085972) North</t>
  </si>
  <si>
    <t>104:13:08.0004 (-104.218889) West</t>
  </si>
  <si>
    <t>RAMPART RANGE</t>
  </si>
  <si>
    <t>329295AA</t>
  </si>
  <si>
    <t>38:57:30.9996 (38.958611) North</t>
  </si>
  <si>
    <t>104:57:10.0008 (-104.952778) West</t>
  </si>
  <si>
    <t>Thomas Barter</t>
  </si>
  <si>
    <t>RANCHITA</t>
  </si>
  <si>
    <t>CA4526AA</t>
  </si>
  <si>
    <t>33:13:19.9992 (33.222222) North</t>
  </si>
  <si>
    <t>116:29:50.8596 (-116.497461) West</t>
  </si>
  <si>
    <t>RANDVILLE</t>
  </si>
  <si>
    <t>Dickinson</t>
  </si>
  <si>
    <t>080096A0</t>
  </si>
  <si>
    <t>46:00:24.9408 (46.006928) North</t>
  </si>
  <si>
    <t>88:03:35.5104 (-88.059864) West</t>
  </si>
  <si>
    <t>RAPID CITY WEST</t>
  </si>
  <si>
    <t>32D5515C</t>
  </si>
  <si>
    <t>44:04:09.5016 (44.069306) North</t>
  </si>
  <si>
    <t>103:18:42.0012 (-103.311667) West</t>
  </si>
  <si>
    <t>SD SCHOOL OF MINES</t>
  </si>
  <si>
    <t>RASPBERRY</t>
  </si>
  <si>
    <t>325F44C0</t>
  </si>
  <si>
    <t>43:28:21.6012 (43.472667) North</t>
  </si>
  <si>
    <t>110:01:05.7 (-110.01825) West</t>
  </si>
  <si>
    <t>ahester@blm.gov, eric.neiswanger@usda.gov</t>
  </si>
  <si>
    <t>RATCLIFF</t>
  </si>
  <si>
    <t>Houston</t>
  </si>
  <si>
    <t>3288A6FC</t>
  </si>
  <si>
    <t>31:23:42 (31.395) North</t>
  </si>
  <si>
    <t>95:08:20.0004 (-95.138889) West</t>
  </si>
  <si>
    <t>Robert Manry</t>
  </si>
  <si>
    <t>robert.manry@usda.gov</t>
  </si>
  <si>
    <t xml:space="preserve">(936) 655-2299 </t>
  </si>
  <si>
    <t>RATTLESNAKE</t>
  </si>
  <si>
    <t>FA626024</t>
  </si>
  <si>
    <t>36:24:42.0012 (36.411667) North</t>
  </si>
  <si>
    <t>118:25:30 (-118.425) West</t>
  </si>
  <si>
    <t>RATTLESNAKE MTN.</t>
  </si>
  <si>
    <t>3278A4E8</t>
  </si>
  <si>
    <t>44:34:25.8996 (44.573861) North</t>
  </si>
  <si>
    <t>109:15:40.8996 (-109.261361) West</t>
  </si>
  <si>
    <t xml:space="preserve"> sgettings@blm.gov, jellington@blm.gov, mlrothleutner@blm.gov, rneighbo@blm.gov, roldenburg@blm.gov</t>
  </si>
  <si>
    <t>RAVEN KNOB (SURRY CTY)</t>
  </si>
  <si>
    <t>36:28:32.0016 (36.475556) North</t>
  </si>
  <si>
    <t>80:51:24.9984 (-80.856944) West</t>
  </si>
  <si>
    <t>RAVENDALE</t>
  </si>
  <si>
    <t>3257F3E8</t>
  </si>
  <si>
    <t>40:43:52.3992 (40.731222) North</t>
  </si>
  <si>
    <t>120:18:59.6988 (-120.316583) West</t>
  </si>
  <si>
    <t>MERV LENT (STATION CHIEF)</t>
  </si>
  <si>
    <t xml:space="preserve">(530) 257-0456 </t>
  </si>
  <si>
    <t>RAWS 15 MIN TX/10 MIN AVG</t>
  </si>
  <si>
    <t>AAB1A5FE</t>
  </si>
  <si>
    <t>RAWS TRAINING  F6/G6 #2</t>
  </si>
  <si>
    <t>32A075DC</t>
  </si>
  <si>
    <t>jdopp@blm.gov, jgray@blm.gov</t>
  </si>
  <si>
    <t>RAWS TRAINING F6 QD2'S</t>
  </si>
  <si>
    <t>B500061C</t>
  </si>
  <si>
    <t>RAWS TRAINING F6/G6 #1</t>
  </si>
  <si>
    <t>327A7774</t>
  </si>
  <si>
    <t>RAWS TRAINING FTS 12S QD</t>
  </si>
  <si>
    <t>3268A376</t>
  </si>
  <si>
    <t>RAWS TRAINING FTS 12S QD2</t>
  </si>
  <si>
    <t>32B303DC</t>
  </si>
  <si>
    <t>MESOWEST,NIFC,FEMS</t>
  </si>
  <si>
    <t>RAWS TRAINING FTS 12S QD3</t>
  </si>
  <si>
    <t>32B30D0E</t>
  </si>
  <si>
    <t>JUSTIN DOPP</t>
  </si>
  <si>
    <t>RAWS TRAINING FTS F6 QD</t>
  </si>
  <si>
    <t>32D3C4F0</t>
  </si>
  <si>
    <t>RAWS TRN F6 QD1 (WX TEST)</t>
  </si>
  <si>
    <t>8373F7A8</t>
  </si>
  <si>
    <t>43:33:54.2196 (43.565061) North</t>
  </si>
  <si>
    <t>116:12:30.96 (-116.2086) West</t>
  </si>
  <si>
    <t>13:25, 28:25, 43:25, 58:25</t>
  </si>
  <si>
    <t>RAWS-2 BARCELONETA</t>
  </si>
  <si>
    <t>Barceloneta</t>
  </si>
  <si>
    <t>32BCC050</t>
  </si>
  <si>
    <t>RAWS-2 JUNCOS</t>
  </si>
  <si>
    <t>Juncos</t>
  </si>
  <si>
    <t>32BCB812</t>
  </si>
  <si>
    <t>RAYS VALLEY</t>
  </si>
  <si>
    <t>324122D0</t>
  </si>
  <si>
    <t>40:07:03.9216 (40.117756) North</t>
  </si>
  <si>
    <t>111:16:49.2996 (-111.280361) West</t>
  </si>
  <si>
    <t>RBFMZ PORTABLE1</t>
  </si>
  <si>
    <t>AA10D7C2</t>
  </si>
  <si>
    <t>41:26:04.9992 (41.434722) North</t>
  </si>
  <si>
    <t>112:11:36.9996 (-112.193611) West</t>
  </si>
  <si>
    <t>BEAR RIVER MBR</t>
  </si>
  <si>
    <t>Erik Haberstick</t>
  </si>
  <si>
    <t>erik_haberstick@fws.gov</t>
  </si>
  <si>
    <t xml:space="preserve">(435) 734-6425 </t>
  </si>
  <si>
    <t>Andy Buyers</t>
  </si>
  <si>
    <t>andrew_buyers@fws.gov</t>
  </si>
  <si>
    <t xml:space="preserve">(435) 230-3598 </t>
  </si>
  <si>
    <t>erik_haberstick@fws.gov, tate_fischer@fws.gov</t>
  </si>
  <si>
    <t>Andrew Buyers</t>
  </si>
  <si>
    <t>READER RANCH</t>
  </si>
  <si>
    <t>CA2171DE</t>
  </si>
  <si>
    <t>39:18:12.6504 (39.303514) North</t>
  </si>
  <si>
    <t>121:07:02.1 (-121.11725) West</t>
  </si>
  <si>
    <t>RED BOX</t>
  </si>
  <si>
    <t>3240335C</t>
  </si>
  <si>
    <t>45:01:39 (45.0275) North</t>
  </si>
  <si>
    <t>121:55:15.9996 (-121.921111) West</t>
  </si>
  <si>
    <t>RED BUTTE</t>
  </si>
  <si>
    <t>325DB1B0</t>
  </si>
  <si>
    <t>43:32:10.6008 (43.536278) North</t>
  </si>
  <si>
    <t>117:49:54.1992 (-117.831722) West</t>
  </si>
  <si>
    <t>Cassandra Fleckenstein</t>
  </si>
  <si>
    <t>candrews@blm.gov</t>
  </si>
  <si>
    <t xml:space="preserve">(541) 473-6294 </t>
  </si>
  <si>
    <t>39:59:21.5988 (39.989333) North</t>
  </si>
  <si>
    <t>117:19:10.9992 (-117.319722) West</t>
  </si>
  <si>
    <t>RED CANYON</t>
  </si>
  <si>
    <t>32BC4896</t>
  </si>
  <si>
    <t>34:37:22.0692 (34.622797) North</t>
  </si>
  <si>
    <t>106:24:29.0016 (-106.408056) West</t>
  </si>
  <si>
    <t>Rebecca-Jane M. Elmore</t>
  </si>
  <si>
    <t>rebecca-jane.elmore@usda.gov</t>
  </si>
  <si>
    <t xml:space="preserve">(505) 847-2990 </t>
  </si>
  <si>
    <t>Fall River</t>
  </si>
  <si>
    <t>323075FA</t>
  </si>
  <si>
    <t>43:25:32.9988 (43.425833) North</t>
  </si>
  <si>
    <t>103:45:32.0004 (-103.758889) West</t>
  </si>
  <si>
    <t>RED CREEK</t>
  </si>
  <si>
    <t>328D345E</t>
  </si>
  <si>
    <t>38:12:25.9992 (38.207222) North</t>
  </si>
  <si>
    <t>104:59:52.0008 (-104.997778) West</t>
  </si>
  <si>
    <t>RED DEER</t>
  </si>
  <si>
    <t>3241C122</t>
  </si>
  <si>
    <t>38:49:38.2008 (38.827278) North</t>
  </si>
  <si>
    <t>106:12:41.7996 (-106.211611) West</t>
  </si>
  <si>
    <t>ahester@blm.gov, christopher.naccarata@usda.gov, edwin.clark@usda.gov, jeffrey.bade@usda.gov</t>
  </si>
  <si>
    <t>RED LAKE</t>
  </si>
  <si>
    <t>3331504E</t>
  </si>
  <si>
    <t>34:10:52.7988 (34.181333) North</t>
  </si>
  <si>
    <t>110:47:21.0984 (-110.789194) West</t>
  </si>
  <si>
    <t>Andrew.nordquist@usda.gov</t>
  </si>
  <si>
    <t>32A2EB98</t>
  </si>
  <si>
    <t>47:52:14.7 (47.87075) North</t>
  </si>
  <si>
    <t>95:01:48.7992 (-95.030222) West</t>
  </si>
  <si>
    <t>Red Lake Agency</t>
  </si>
  <si>
    <t>Scott Abel</t>
  </si>
  <si>
    <t>sabel@redlakenation.org</t>
  </si>
  <si>
    <t xml:space="preserve">(218) 679-1601 </t>
  </si>
  <si>
    <t>Tony Arola</t>
  </si>
  <si>
    <t>tarola@redlakenation.org</t>
  </si>
  <si>
    <t xml:space="preserve">(218) 280-4055 </t>
  </si>
  <si>
    <t>ahester@blm.gov, cheryl.bright@bia.gov, sabel@redlakenation.org</t>
  </si>
  <si>
    <t>RED MOUND</t>
  </si>
  <si>
    <t>324D16D6</t>
  </si>
  <si>
    <t>42:07:23.9988 (42.123333) North</t>
  </si>
  <si>
    <t>124:18:01.0008 (-124.300278) West</t>
  </si>
  <si>
    <t>Niki Graham</t>
  </si>
  <si>
    <t xml:space="preserve">(547) 751-4426 </t>
  </si>
  <si>
    <t>RED MOUNTAIN</t>
  </si>
  <si>
    <t>3256429C</t>
  </si>
  <si>
    <t>35:22:05.8008 (35.368278) North</t>
  </si>
  <si>
    <t>117:34:13.5984 (-117.570444) West</t>
  </si>
  <si>
    <t>RED RIVER</t>
  </si>
  <si>
    <t>3237943C</t>
  </si>
  <si>
    <t>45:42:45 (45.7125) North</t>
  </si>
  <si>
    <t>115:20:15 (-115.3375) West</t>
  </si>
  <si>
    <t>RED ROCK</t>
  </si>
  <si>
    <t>36:08:04.9992 (36.134722) North</t>
  </si>
  <si>
    <t>115:25:48 (-115.43) West</t>
  </si>
  <si>
    <t>LAS VEGAS</t>
  </si>
  <si>
    <t>Frank Rice</t>
  </si>
  <si>
    <t>frrice@blm.gov</t>
  </si>
  <si>
    <t xml:space="preserve">(702) 515-5204 </t>
  </si>
  <si>
    <t xml:space="preserve">Gary Moberly </t>
  </si>
  <si>
    <t>gmoberly@blm.gov</t>
  </si>
  <si>
    <t xml:space="preserve">(702) 515-5305 </t>
  </si>
  <si>
    <t>325FE438</t>
  </si>
  <si>
    <t>44:40:58.2996 (44.682861) North</t>
  </si>
  <si>
    <t>111:49:33.2004 (-111.825889) West</t>
  </si>
  <si>
    <t>ahester@blm.gov, james.king@usda.gov, richard.reneau@usda.gov</t>
  </si>
  <si>
    <t>RED ROCK PEAK</t>
  </si>
  <si>
    <t>3263A0DE</t>
  </si>
  <si>
    <t>44:59:16.0008 (44.987778) North</t>
  </si>
  <si>
    <t>114:25:05.9988 (-114.418333) West</t>
  </si>
  <si>
    <t>RED SPUR</t>
  </si>
  <si>
    <t>Cache</t>
  </si>
  <si>
    <t>3289726E</t>
  </si>
  <si>
    <t>41:38:14.64 (41.6374) North</t>
  </si>
  <si>
    <t>111:24:59.2884 (-111.416469) West</t>
  </si>
  <si>
    <t>REDDEN</t>
  </si>
  <si>
    <t>DF10036A</t>
  </si>
  <si>
    <t>38:44:30.0012 (38.741667) North</t>
  </si>
  <si>
    <t>75:24:55.0008 (-75.415278) West</t>
  </si>
  <si>
    <t>REDDING</t>
  </si>
  <si>
    <t>CA2AE714</t>
  </si>
  <si>
    <t>40:30:56.8512 (40.515792) North</t>
  </si>
  <si>
    <t>122:17:31.83 (-122.292175) West</t>
  </si>
  <si>
    <t>ahester@blm.gov, joni.olson@usda.gov, shuckstep@blm.gov</t>
  </si>
  <si>
    <t>REDFEATHER</t>
  </si>
  <si>
    <t>323610D2</t>
  </si>
  <si>
    <t>40:47:34.1016 (40.792806) North</t>
  </si>
  <si>
    <t>105:34:20.4996 (-105.572361) West</t>
  </si>
  <si>
    <t>REDSTN</t>
  </si>
  <si>
    <t>Pipestone</t>
  </si>
  <si>
    <t>CA52737C</t>
  </si>
  <si>
    <t>44:00:41.2776 (44.011466) North</t>
  </si>
  <si>
    <t>96:19:35.4576 (-96.326516) West</t>
  </si>
  <si>
    <t>PIPESTONE NM</t>
  </si>
  <si>
    <t>Gabriel Yellohawk</t>
  </si>
  <si>
    <t>gabriel_yellowhawk@nps.gov</t>
  </si>
  <si>
    <t xml:space="preserve">(507) 215-9118 </t>
  </si>
  <si>
    <t>paul_mancuso@nps.gov, seth_hendriks@nps.gov</t>
  </si>
  <si>
    <t>REDSTONE</t>
  </si>
  <si>
    <t>3335E6FA</t>
  </si>
  <si>
    <t>40:34:14.9988 (40.570833) North</t>
  </si>
  <si>
    <t>105:13:36.9984 (-105.226944) West</t>
  </si>
  <si>
    <t>REES TRAINING CENTER</t>
  </si>
  <si>
    <t>E8D0053E</t>
  </si>
  <si>
    <t>45:51:29.8404 (45.858289) North</t>
  </si>
  <si>
    <t>119:26:36.1608 (-119.443378) West</t>
  </si>
  <si>
    <t>02:25, 32:25</t>
  </si>
  <si>
    <t>REFUGIO</t>
  </si>
  <si>
    <t>CF100A3C</t>
  </si>
  <si>
    <t>34:30:59.9688 (34.516658) North</t>
  </si>
  <si>
    <t>120:04:31.1916 (-120.075331) West</t>
  </si>
  <si>
    <t>REINDEER RIVER</t>
  </si>
  <si>
    <t>61:42:56.9988 (61.715833) North</t>
  </si>
  <si>
    <t>162:39:51.0012 (-162.664167) West</t>
  </si>
  <si>
    <t>ebarrygarland@blm.gov, lmendoza@blm.gov, michael_j_hill@fws.gov, zlatham@blm.gov</t>
  </si>
  <si>
    <t>RENDEZVOUS MTN.</t>
  </si>
  <si>
    <t>Wilkes</t>
  </si>
  <si>
    <t>4070A6E0</t>
  </si>
  <si>
    <t>36:13:37.8012 (36.227167) North</t>
  </si>
  <si>
    <t>81:17:47.9616 (-81.296656) West</t>
  </si>
  <si>
    <t>Ethan Matherly</t>
  </si>
  <si>
    <t>ethan.matherly@ncagr.gov</t>
  </si>
  <si>
    <t xml:space="preserve">(828) 757-5611 </t>
  </si>
  <si>
    <t>RENEE</t>
  </si>
  <si>
    <t>62:42:36 (62.71) North</t>
  </si>
  <si>
    <t>146:37:05.0016 (-146.618056) West</t>
  </si>
  <si>
    <t>blm_ak_afs_radio_shop@blm.gov</t>
  </si>
  <si>
    <t>RESERVE</t>
  </si>
  <si>
    <t>AAC0D438</t>
  </si>
  <si>
    <t>33:42:53.6004 (33.714889) North</t>
  </si>
  <si>
    <t>108:46:37.2 (-108.777) West</t>
  </si>
  <si>
    <t>Jeff Campbell</t>
  </si>
  <si>
    <t>jeffrey.campbell1@usda.gov</t>
  </si>
  <si>
    <t xml:space="preserve">(575) 533-6232 </t>
  </si>
  <si>
    <t>pdelgado@fs.fed.us</t>
  </si>
  <si>
    <t>REXTON</t>
  </si>
  <si>
    <t>Mackinac</t>
  </si>
  <si>
    <t>0800A33A</t>
  </si>
  <si>
    <t>46:09:11.5596 (46.153211) North</t>
  </si>
  <si>
    <t>85:16:14.5596 (-85.270711) West</t>
  </si>
  <si>
    <t>Rob Shields</t>
  </si>
  <si>
    <t>shieldsr1@michigan.gov</t>
  </si>
  <si>
    <t xml:space="preserve">(906) 635-6161 </t>
  </si>
  <si>
    <t>RGNF1 QD</t>
  </si>
  <si>
    <t>Saguache</t>
  </si>
  <si>
    <t>AAC12646</t>
  </si>
  <si>
    <t>38:04:53.2812 (38.081467) North</t>
  </si>
  <si>
    <t>106:19:03.18 (-106.31755) West</t>
  </si>
  <si>
    <t>Flavio.Jaramillo@usda.gov</t>
  </si>
  <si>
    <t>RICE CANYON</t>
  </si>
  <si>
    <t>32B03148</t>
  </si>
  <si>
    <t>39:31:30.0792 (39.525022) North</t>
  </si>
  <si>
    <t>120:19:43.8096 (-120.328836) West</t>
  </si>
  <si>
    <t>ahester@blm.gov, shuckstep@blm.gov, terrance.lim@usda.gov</t>
  </si>
  <si>
    <t>RICE LAKE NWR</t>
  </si>
  <si>
    <t>Aitkin</t>
  </si>
  <si>
    <t>8379067E</t>
  </si>
  <si>
    <t>46:32:13.9992 (46.537222) North</t>
  </si>
  <si>
    <t>93:17:15 (-93.2875) West</t>
  </si>
  <si>
    <t xml:space="preserve">(763) 389-3323 </t>
  </si>
  <si>
    <t>Robert Bengson (cell)</t>
  </si>
  <si>
    <t>robert_bengson@fws.gov</t>
  </si>
  <si>
    <t xml:space="preserve">(763) 244-0213 </t>
  </si>
  <si>
    <t>Robert Bengson</t>
  </si>
  <si>
    <t>RICE VALLEY</t>
  </si>
  <si>
    <t>3277F206</t>
  </si>
  <si>
    <t>34:03:38.7 (34.06075) North</t>
  </si>
  <si>
    <t>114:43:56.2008 (-114.732278) West</t>
  </si>
  <si>
    <t>RICHMOND HILL</t>
  </si>
  <si>
    <t>F8E0196E</t>
  </si>
  <si>
    <t>31:58:39.036 (31.97751) North</t>
  </si>
  <si>
    <t>81:22:55.992 (-81.38222) West</t>
  </si>
  <si>
    <t>04:30, 34:30</t>
  </si>
  <si>
    <t>RIDDLE MTN.</t>
  </si>
  <si>
    <t>3253C348</t>
  </si>
  <si>
    <t>43:06:01.9296 (43.100536) North</t>
  </si>
  <si>
    <t>118:29:59.694 (-118.499915) West</t>
  </si>
  <si>
    <t>RIENZE</t>
  </si>
  <si>
    <t>Bradford</t>
  </si>
  <si>
    <t>3265E31A</t>
  </si>
  <si>
    <t>41:38:49.9992 (41.647222) North</t>
  </si>
  <si>
    <t>76:19:49.4004 (-76.330389) West</t>
  </si>
  <si>
    <t>RIFLE</t>
  </si>
  <si>
    <t>324A7104</t>
  </si>
  <si>
    <t>39:30:44.7984 (39.512444) North</t>
  </si>
  <si>
    <t>107:44:56.1012 (-107.748917) West</t>
  </si>
  <si>
    <t>RIMEL</t>
  </si>
  <si>
    <t>32BB9CCA</t>
  </si>
  <si>
    <t>38:07:20.2116 (38.122281) North</t>
  </si>
  <si>
    <t>79:57:19.4688 (-79.955408) West</t>
  </si>
  <si>
    <t>RINCON</t>
  </si>
  <si>
    <t>FA60D65E</t>
  </si>
  <si>
    <t>32:12:23.0004 (32.206389) North</t>
  </si>
  <si>
    <t>110:32:54.9996 (-110.548611) West</t>
  </si>
  <si>
    <t>SAGUARO NP</t>
  </si>
  <si>
    <t xml:space="preserve">(520) 202-2710 </t>
  </si>
  <si>
    <t>RINGWOOD</t>
  </si>
  <si>
    <t>Passaic</t>
  </si>
  <si>
    <t>FF10245C</t>
  </si>
  <si>
    <t>41:07:05.0016 (41.118056) North</t>
  </si>
  <si>
    <t>74:14:25.0008 (-74.240278) West</t>
  </si>
  <si>
    <t>RIO PUERCO QD #1</t>
  </si>
  <si>
    <t>35:31:32.9484 (35.525819) North</t>
  </si>
  <si>
    <t>107:19:15.5208 (-107.320978) West</t>
  </si>
  <si>
    <t xml:space="preserve">(505) 761-8943 </t>
  </si>
  <si>
    <t>RIO PUERCO QD #2</t>
  </si>
  <si>
    <t>32A2BBE4</t>
  </si>
  <si>
    <t>35:31:32.8908 (35.525803) North</t>
  </si>
  <si>
    <t>107:19:15.33 (-107.320925) West</t>
  </si>
  <si>
    <t>RIVER RANCH PARK</t>
  </si>
  <si>
    <t>C2E01164</t>
  </si>
  <si>
    <t>30:38:21.8004 (30.639389) North</t>
  </si>
  <si>
    <t>97:56:10.8888 (-97.936358) West</t>
  </si>
  <si>
    <t xml:space="preserve">(512) 864-8205 </t>
  </si>
  <si>
    <t>RIVERKERN</t>
  </si>
  <si>
    <t>326C7024</t>
  </si>
  <si>
    <t>35:46:37.92 (35.7772) North</t>
  </si>
  <si>
    <t>118:26:01.4604 (-118.433739) West</t>
  </si>
  <si>
    <t>ROADRUNNER RAWS</t>
  </si>
  <si>
    <t>32BA5B2E</t>
  </si>
  <si>
    <t>33:10:48.7992 (33.180222) North</t>
  </si>
  <si>
    <t>115:37:04.0116 (-115.617781) West</t>
  </si>
  <si>
    <t>SAN DIEGO NWR</t>
  </si>
  <si>
    <t>Jim Mitchell</t>
  </si>
  <si>
    <t>jim_mitchell@fws.gov</t>
  </si>
  <si>
    <t xml:space="preserve">(619) 247-9396 </t>
  </si>
  <si>
    <t>Jack Harwell</t>
  </si>
  <si>
    <t>jack_harwell@fws.gov</t>
  </si>
  <si>
    <t xml:space="preserve">(619) 322-2641 </t>
  </si>
  <si>
    <t>ROAN PLATEAU</t>
  </si>
  <si>
    <t>32A187A2</t>
  </si>
  <si>
    <t>39:35:37.5864 (39.593774) North</t>
  </si>
  <si>
    <t>107:55:03.7488 (-107.917708) West</t>
  </si>
  <si>
    <t xml:space="preserve">Tyrus McLachla </t>
  </si>
  <si>
    <t>tmclachlan@blm.gov</t>
  </si>
  <si>
    <t xml:space="preserve">(970) 616-1848 </t>
  </si>
  <si>
    <t>Colin Brady</t>
  </si>
  <si>
    <t>cbrady@blm.gov</t>
  </si>
  <si>
    <t xml:space="preserve">(970) 876-9071 </t>
  </si>
  <si>
    <t>ROBBS</t>
  </si>
  <si>
    <t>327490EE</t>
  </si>
  <si>
    <t>38:55:25.2012 (38.923667) North</t>
  </si>
  <si>
    <t>120:24:14.8212 (-120.404117) West</t>
  </si>
  <si>
    <t>David McIlhargie</t>
  </si>
  <si>
    <t>ROBERTS BUTTE</t>
  </si>
  <si>
    <t>3234D038</t>
  </si>
  <si>
    <t>45:40:54.0012 (45.681667) North</t>
  </si>
  <si>
    <t>117:12:23.0004 (-117.206389) West</t>
  </si>
  <si>
    <t>ahester@blm.gov, jjhewitt@fs.fed.us</t>
  </si>
  <si>
    <t>ROBLAR CANYON</t>
  </si>
  <si>
    <t>33:22:19.884 (33.37219) North</t>
  </si>
  <si>
    <t>117:21:35.1684 (-117.359769) West</t>
  </si>
  <si>
    <t>ROBY</t>
  </si>
  <si>
    <t>AAC3D336</t>
  </si>
  <si>
    <t>37:31:17.7996 (37.521611) North</t>
  </si>
  <si>
    <t>92:06:59.4 (-92.1165) West</t>
  </si>
  <si>
    <t>Greg Painter</t>
  </si>
  <si>
    <t>gregory.painter@usda.gov</t>
  </si>
  <si>
    <t xml:space="preserve">(573) 308-0153 </t>
  </si>
  <si>
    <t>ROCHELLE HILLS</t>
  </si>
  <si>
    <t>323036F0</t>
  </si>
  <si>
    <t>43:33:02.0016 (43.550556) North</t>
  </si>
  <si>
    <t>105:05:31.9992 (-105.092222) West</t>
  </si>
  <si>
    <t>ROCK CAMP</t>
  </si>
  <si>
    <t>34:17:26.0988 (34.290583) North</t>
  </si>
  <si>
    <t>117:12:48.6 (-117.2135) West</t>
  </si>
  <si>
    <t>ahester@blm.gov, estuardo.bojorquez@usda.gov, shuckstep@blm.gov</t>
  </si>
  <si>
    <t>ROCK CREEK</t>
  </si>
  <si>
    <t>3264F296</t>
  </si>
  <si>
    <t>42:32:49.6 (42.547111) North</t>
  </si>
  <si>
    <t>119:39:28.1999 (-119.657833) West</t>
  </si>
  <si>
    <t>325A6B3E</t>
  </si>
  <si>
    <t>37:33:35.37 (37.559825) North</t>
  </si>
  <si>
    <t>118:40:42.2616 (-118.678406) West</t>
  </si>
  <si>
    <t xml:space="preserve">(760) 674-3030 </t>
  </si>
  <si>
    <t>ROCK EAGLE PORTABLE 1</t>
  </si>
  <si>
    <t>Putnam</t>
  </si>
  <si>
    <t>32B598A2</t>
  </si>
  <si>
    <t>33:24:33.5988 (33.409333) North</t>
  </si>
  <si>
    <t>83:22:53.1012 (-83.381417) West</t>
  </si>
  <si>
    <t>ROCK LAKE</t>
  </si>
  <si>
    <t>3253D03E</t>
  </si>
  <si>
    <t>42:58:20.4996 (42.972361) North</t>
  </si>
  <si>
    <t>114:03:45.2988 (-114.062583) West</t>
  </si>
  <si>
    <t>ROCK SPRING CREEK</t>
  </si>
  <si>
    <t>325217DA</t>
  </si>
  <si>
    <t>41:38:35.9016 (41.643306) North</t>
  </si>
  <si>
    <t>114:26:10.7988 (-114.436333) West</t>
  </si>
  <si>
    <t>ROCKHOUSE 1</t>
  </si>
  <si>
    <t>44:55:30 (44.925) North</t>
  </si>
  <si>
    <t>123:28:09.9984 (-123.469444) West</t>
  </si>
  <si>
    <t>ROCKINGHAM</t>
  </si>
  <si>
    <t>3292E33A</t>
  </si>
  <si>
    <t>34:57:36.9612 (34.960267) North</t>
  </si>
  <si>
    <t>79:41:23.1792 (-79.689772) West</t>
  </si>
  <si>
    <t>ROCKY BOY</t>
  </si>
  <si>
    <t>Hill</t>
  </si>
  <si>
    <t>5210139C</t>
  </si>
  <si>
    <t>48:15:19.0584 (48.255294) North</t>
  </si>
  <si>
    <t>109:47:09.3084 (-109.785919) West</t>
  </si>
  <si>
    <t>Rocky Boy Agency</t>
  </si>
  <si>
    <t>Jason Lodgepole</t>
  </si>
  <si>
    <t>jason.lodgepole@gmail.com</t>
  </si>
  <si>
    <t>ROCKY FORD</t>
  </si>
  <si>
    <t>32A27028</t>
  </si>
  <si>
    <t>38:03:20.1492 (38.055597) North</t>
  </si>
  <si>
    <t>103:40:55.3692 (-103.682047) West</t>
  </si>
  <si>
    <t>ROCKY HILL</t>
  </si>
  <si>
    <t>32D0BBBC</t>
  </si>
  <si>
    <t>30:02:53.8008 (30.048278) North</t>
  </si>
  <si>
    <t>97:06:53.3016 (-97.114806) West</t>
  </si>
  <si>
    <t>ROCKY QD</t>
  </si>
  <si>
    <t>3268859A</t>
  </si>
  <si>
    <t>39:51:01.6992 (39.850472) North</t>
  </si>
  <si>
    <t>110:55:40.1016 (-110.927806) West</t>
  </si>
  <si>
    <t>Keith Olive</t>
  </si>
  <si>
    <t xml:space="preserve">(801) 320-8325 </t>
  </si>
  <si>
    <t>RODEO VALLEY</t>
  </si>
  <si>
    <t>CA4A334E</t>
  </si>
  <si>
    <t>39:40:04.6488 (39.667958) North</t>
  </si>
  <si>
    <t>123:19:16.6512 (-123.321292) West</t>
  </si>
  <si>
    <t>anna jones</t>
  </si>
  <si>
    <t>ROME (SARATOGA)</t>
  </si>
  <si>
    <t>Wood</t>
  </si>
  <si>
    <t>5370856E</t>
  </si>
  <si>
    <t>44:15:24 (44.256667) North</t>
  </si>
  <si>
    <t>89:48:36 (-89.81) West</t>
  </si>
  <si>
    <t>RONAN</t>
  </si>
  <si>
    <t>327D364A</t>
  </si>
  <si>
    <t>114:05:56.0004 (-114.098889) West</t>
  </si>
  <si>
    <t>ROSCOMMON</t>
  </si>
  <si>
    <t>Roscommon</t>
  </si>
  <si>
    <t>326B0480</t>
  </si>
  <si>
    <t>44:28:18.444 (44.47179) North</t>
  </si>
  <si>
    <t>84:34:14.52 (-84.5707) West</t>
  </si>
  <si>
    <t>Randy Hartman</t>
  </si>
  <si>
    <t>hartmanr@michigan.gov</t>
  </si>
  <si>
    <t xml:space="preserve">(989) 275-4622 </t>
  </si>
  <si>
    <t>hartmanr@michigan.gov, rogersp5@michigan.gov</t>
  </si>
  <si>
    <t>ROSE PEAK</t>
  </si>
  <si>
    <t>CA41609A</t>
  </si>
  <si>
    <t>37:30:40.68 (37.5113) North</t>
  </si>
  <si>
    <t>121:44:29.8716 (-121.741631) West</t>
  </si>
  <si>
    <t>ROSE VALLEY</t>
  </si>
  <si>
    <t>3242A3CA</t>
  </si>
  <si>
    <t>34:32:36.1788 (34.543383) North</t>
  </si>
  <si>
    <t>119:11:05.7516 (-119.184931) West</t>
  </si>
  <si>
    <t>ROSEAU</t>
  </si>
  <si>
    <t>Roseau</t>
  </si>
  <si>
    <t>7070F0C2</t>
  </si>
  <si>
    <t>48:51:00 (48.85) North</t>
  </si>
  <si>
    <t>95:41:57.0012 (-95.699167) West</t>
  </si>
  <si>
    <t>(218) 386-1304 08</t>
  </si>
  <si>
    <t>adam.fisher@state.mn.us, jolene.soltis@state.mn.us, travis.verdegan@state.mn.us</t>
  </si>
  <si>
    <t>ROSEBUD</t>
  </si>
  <si>
    <t>326896EC</t>
  </si>
  <si>
    <t>41:36:33.9984 (41.609444) North</t>
  </si>
  <si>
    <t>113:35:29.0004 (-113.591389) West</t>
  </si>
  <si>
    <t>ROSWELL #1 PORTABLE</t>
  </si>
  <si>
    <t>3252F428</t>
  </si>
  <si>
    <t>33:29:58.8984 (33.499694) North</t>
  </si>
  <si>
    <t>103:55:05.4984 (-103.918194) West</t>
  </si>
  <si>
    <t>Dominic L. Bell</t>
  </si>
  <si>
    <t xml:space="preserve">(575) 627-0327 </t>
  </si>
  <si>
    <t>Nathan Curnutt@blm.gov</t>
  </si>
  <si>
    <t xml:space="preserve">(575) 627-0311 </t>
  </si>
  <si>
    <t>richard.naden@usda.gov</t>
  </si>
  <si>
    <t>ROSWELL #2 PORTABLE</t>
  </si>
  <si>
    <t>327822FC</t>
  </si>
  <si>
    <t>34:08:57.9912 (34.149442) North</t>
  </si>
  <si>
    <t>105:00:21.4992 (-105.005972) West</t>
  </si>
  <si>
    <t>rnaden@fs.fed.us</t>
  </si>
  <si>
    <t>ROUND LAKE</t>
  </si>
  <si>
    <t>64:41:04.9992 (64.684722) North</t>
  </si>
  <si>
    <t>153:56:24 (-153.94) West</t>
  </si>
  <si>
    <t>NOWITNA NWR</t>
  </si>
  <si>
    <t>ROUND MOUNTAIN</t>
  </si>
  <si>
    <t>43:45:24.9984 (43.756944) North</t>
  </si>
  <si>
    <t>121:42:37.0008 (-121.710278) West</t>
  </si>
  <si>
    <t>CA2083A0</t>
  </si>
  <si>
    <t>41:25:37.596 (41.42711) North</t>
  </si>
  <si>
    <t>121:27:45.036 (-121.46251) West</t>
  </si>
  <si>
    <t>amanda.shoaf@usda.gov, chadric.holster@usda.gov</t>
  </si>
  <si>
    <t>chris Crowl</t>
  </si>
  <si>
    <t xml:space="preserve">(530) 708-2275 </t>
  </si>
  <si>
    <t>ROUND PRAIRIE</t>
  </si>
  <si>
    <t>Robertson</t>
  </si>
  <si>
    <t>31:17:44.0016 (31.295556) North</t>
  </si>
  <si>
    <t>96:21:56.0016 (-96.365556) West</t>
  </si>
  <si>
    <t>ROUNDTOP</t>
  </si>
  <si>
    <t>3239E6C4</t>
  </si>
  <si>
    <t>46:32:00.9996 (46.533611) North</t>
  </si>
  <si>
    <t>114:35:30.0012 (-114.591667) West</t>
  </si>
  <si>
    <t>ROUTT PORTABLE 1</t>
  </si>
  <si>
    <t>3291A73E</t>
  </si>
  <si>
    <t>40:35:21.8004 (40.589389) North</t>
  </si>
  <si>
    <t>106:49:01.8984 (-106.817194) West</t>
  </si>
  <si>
    <t>RSF QUICK DEPLOY #1</t>
  </si>
  <si>
    <t>AAC1654C</t>
  </si>
  <si>
    <t>42:28:09.7788 (42.469383) North</t>
  </si>
  <si>
    <t>124:09:41.1012 (-124.161417) West</t>
  </si>
  <si>
    <t>Richard Larrimore</t>
  </si>
  <si>
    <t>richard.larrimore@usda.gov</t>
  </si>
  <si>
    <t xml:space="preserve">(307) 431-6165 </t>
  </si>
  <si>
    <t>RSF QUICK DEPLOY #2</t>
  </si>
  <si>
    <t>AA119632</t>
  </si>
  <si>
    <t>42:08:21.3 (42.13925) North</t>
  </si>
  <si>
    <t>122:42:16.7004 (-122.704639) West</t>
  </si>
  <si>
    <t xml:space="preserve">(541) 846-0401 </t>
  </si>
  <si>
    <t>Michelle Renfro (Cell)</t>
  </si>
  <si>
    <t xml:space="preserve">(541) 951-2099 </t>
  </si>
  <si>
    <t>RSF QUICK DEPLOY #3</t>
  </si>
  <si>
    <t>32B442E2</t>
  </si>
  <si>
    <t>42:29:36.9816 (42.493606) North</t>
  </si>
  <si>
    <t>122:22:53.5908 (-122.381553) West</t>
  </si>
  <si>
    <t>RSF QUICK DEPLOY #4</t>
  </si>
  <si>
    <t>32B45194</t>
  </si>
  <si>
    <t>42:37:53.3316 (42.631481) North</t>
  </si>
  <si>
    <t>123:51:11.7 (-123.85325) West</t>
  </si>
  <si>
    <t>RSF QUICK DEPLOY #5</t>
  </si>
  <si>
    <t>32B45F46</t>
  </si>
  <si>
    <t>42:05:39.0012 (42.094167) North</t>
  </si>
  <si>
    <t>123:04:45.7788 (-123.079383) West</t>
  </si>
  <si>
    <t>RSF WILDLAND FIRE MODULE</t>
  </si>
  <si>
    <t>32B10628</t>
  </si>
  <si>
    <t>44:16:13.9008 (44.270528) North</t>
  </si>
  <si>
    <t>118:29:45.2004 (-118.495889) West</t>
  </si>
  <si>
    <t>David Felsen</t>
  </si>
  <si>
    <t>david.felsen@usda.gov</t>
  </si>
  <si>
    <t xml:space="preserve">(530) 356-1639 </t>
  </si>
  <si>
    <t>RUBY LAKE</t>
  </si>
  <si>
    <t>8374A5E0</t>
  </si>
  <si>
    <t>40:10:23.0016 (40.173056) North</t>
  </si>
  <si>
    <t>115:29:08.0016 (-115.485556) West</t>
  </si>
  <si>
    <t>RUBY LAKE NWR</t>
  </si>
  <si>
    <t>Erik Olson (Cell)</t>
  </si>
  <si>
    <t>Erik Olson (Office)</t>
  </si>
  <si>
    <t xml:space="preserve">(702) 515-5258 </t>
  </si>
  <si>
    <t>RUBY VALLEY</t>
  </si>
  <si>
    <t>40:43:36.4512 (40.726792) North</t>
  </si>
  <si>
    <t>115:14:49.6608 (-115.247128) West</t>
  </si>
  <si>
    <t>RUCKER</t>
  </si>
  <si>
    <t>3242F3B6</t>
  </si>
  <si>
    <t>31:45:39.9996 (31.761111) North</t>
  </si>
  <si>
    <t>109:20:54.9996 (-109.348611) West</t>
  </si>
  <si>
    <t>RUDYARD</t>
  </si>
  <si>
    <t>0800B04C</t>
  </si>
  <si>
    <t>46:14:26.9988 (46.240833) North</t>
  </si>
  <si>
    <t>84:30:39.9996 (-84.511111) West</t>
  </si>
  <si>
    <t>(906) 635-5282 6166</t>
  </si>
  <si>
    <t>RUSH CREEK</t>
  </si>
  <si>
    <t>41:17:17.0592 (41.288072) North</t>
  </si>
  <si>
    <t>120:52:10.7328 (-120.869648) West</t>
  </si>
  <si>
    <t>RUTH</t>
  </si>
  <si>
    <t>3285F5E6</t>
  </si>
  <si>
    <t>40:15:02.6712 (40.250742) North</t>
  </si>
  <si>
    <t>123:19:11.2908 (-123.319803) West</t>
  </si>
  <si>
    <t>adam.booth@usda.gov, ahester@blm.gov, jamesscott@fs.fed.us, shuckstep@blm.gov</t>
  </si>
  <si>
    <t>RUTH GLACIER</t>
  </si>
  <si>
    <t>3960157A</t>
  </si>
  <si>
    <t>62:42:35.86 (62.709961) North</t>
  </si>
  <si>
    <t>150:32:23.42 (-150.539839) West</t>
  </si>
  <si>
    <t>RUTHERFORD COUNTY</t>
  </si>
  <si>
    <t>Rutherford</t>
  </si>
  <si>
    <t>3332073C</t>
  </si>
  <si>
    <t>35:25:42.9996 (35.428611) North</t>
  </si>
  <si>
    <t>81:56:22.02 (-81.93945) West</t>
  </si>
  <si>
    <t>RYE MOUNTAIN</t>
  </si>
  <si>
    <t>Yamhill</t>
  </si>
  <si>
    <t>324B73FE</t>
  </si>
  <si>
    <t>45:13:02.3016 (45.217306) North</t>
  </si>
  <si>
    <t>123:32:08.8008 (-123.535778) West</t>
  </si>
  <si>
    <t>Amanda Dedrick</t>
  </si>
  <si>
    <t>adedrick@fs.fed.us</t>
  </si>
  <si>
    <t xml:space="preserve">(503) 375-5692 </t>
  </si>
  <si>
    <t>S-C PORTABLE #1</t>
  </si>
  <si>
    <t>327F33BE</t>
  </si>
  <si>
    <t>44:23:52.1016 (44.397806) North</t>
  </si>
  <si>
    <t>113:58:22.4004 (-113.972889) West</t>
  </si>
  <si>
    <t>maegan.maughan@usda.gov</t>
  </si>
  <si>
    <t>S-C PORTABLE #2</t>
  </si>
  <si>
    <t>327F452E</t>
  </si>
  <si>
    <t>44:17:07.6488 (44.285458) North</t>
  </si>
  <si>
    <t>114:41:07.8612 (-114.685517) West</t>
  </si>
  <si>
    <t>S-C PORTABLE #3</t>
  </si>
  <si>
    <t>32B43472</t>
  </si>
  <si>
    <t>43:51:56.5992 (43.865722) North</t>
  </si>
  <si>
    <t>113:13:14.1996 (-113.220611) West</t>
  </si>
  <si>
    <t>SABINE</t>
  </si>
  <si>
    <t>837817F2</t>
  </si>
  <si>
    <t>29:53:20.0004 (29.888889) North</t>
  </si>
  <si>
    <t>93:24:10.0008 (-93.402778) West</t>
  </si>
  <si>
    <t>SABINE NORTH 2</t>
  </si>
  <si>
    <t>Shelby</t>
  </si>
  <si>
    <t>3335D360</t>
  </si>
  <si>
    <t>31:48:08.8992 (31.802472) North</t>
  </si>
  <si>
    <t>94:00:00.7992 (-94.000222) West</t>
  </si>
  <si>
    <t>Nathan Pankratz</t>
  </si>
  <si>
    <t>nathan.pankratz@usda.gov</t>
  </si>
  <si>
    <t xml:space="preserve">(409) 625-1940 </t>
  </si>
  <si>
    <t>SABINE SOUTH</t>
  </si>
  <si>
    <t>Sabine</t>
  </si>
  <si>
    <t>3287439C</t>
  </si>
  <si>
    <t>31:26:18.0996 (31.438361) North</t>
  </si>
  <si>
    <t>93:45:57.7008 (-93.766028) West</t>
  </si>
  <si>
    <t>SAC NWR</t>
  </si>
  <si>
    <t>8373A7D4</t>
  </si>
  <si>
    <t>39:25:01.9992 (39.417222) North</t>
  </si>
  <si>
    <t>122:10:57 (-122.1825) West</t>
  </si>
  <si>
    <t>SACRAMENTO NWR</t>
  </si>
  <si>
    <t>Nick Bunch</t>
  </si>
  <si>
    <t>nicholas_bunch@fws.gov</t>
  </si>
  <si>
    <t xml:space="preserve">(530) 943-0341 </t>
  </si>
  <si>
    <t>Frank Alves</t>
  </si>
  <si>
    <t>frank_alves@fws.gov</t>
  </si>
  <si>
    <t xml:space="preserve">(530) 934-3615 </t>
  </si>
  <si>
    <t>Nicholas Bunch</t>
  </si>
  <si>
    <t>SAC NWR QD</t>
  </si>
  <si>
    <t>39:26:45.9996 (39.446111) North</t>
  </si>
  <si>
    <t>122:11:02.0004 (-122.183889) West</t>
  </si>
  <si>
    <t>Ryan Aeby</t>
  </si>
  <si>
    <t>ryan_aeby@fws.gov</t>
  </si>
  <si>
    <t>SADDLE MOUNTAIN</t>
  </si>
  <si>
    <t>8374F59C</t>
  </si>
  <si>
    <t>46:41:35.9988 (46.693333) North</t>
  </si>
  <si>
    <t>119:41:35.9988 (-119.693333) West</t>
  </si>
  <si>
    <t>SADDLE MTN NWR</t>
  </si>
  <si>
    <t>SADDLE PASS</t>
  </si>
  <si>
    <t>3249657C</t>
  </si>
  <si>
    <t>48:56:18.7908 (48.938553) North</t>
  </si>
  <si>
    <t>116:44:04.2396 (-116.734511) West</t>
  </si>
  <si>
    <t>SADDLEBACK</t>
  </si>
  <si>
    <t>3274606A</t>
  </si>
  <si>
    <t>39:38:10.0896 (39.636136) North</t>
  </si>
  <si>
    <t>120:51:50.3604 (-120.863989) West</t>
  </si>
  <si>
    <t>Terry Lim</t>
  </si>
  <si>
    <t>terry.lim@usda.gov</t>
  </si>
  <si>
    <t xml:space="preserve">(530) 414-1490 </t>
  </si>
  <si>
    <t>Rita Clipperton</t>
  </si>
  <si>
    <t>rita.clipperton@usda.gov</t>
  </si>
  <si>
    <t xml:space="preserve">(530) 575-9906 </t>
  </si>
  <si>
    <t>SADDLEBACK BUTTE</t>
  </si>
  <si>
    <t>CA421104</t>
  </si>
  <si>
    <t>34:40:06.8484 (34.668569) North</t>
  </si>
  <si>
    <t>117:49:18.6204 (-117.821839) West</t>
  </si>
  <si>
    <t>SAFFORD PORTABLE</t>
  </si>
  <si>
    <t>329114B0</t>
  </si>
  <si>
    <t>31:52:15.7008 (31.871028) North</t>
  </si>
  <si>
    <t>111:11:34.5588 (-111.192933) West</t>
  </si>
  <si>
    <t>SAFFORD</t>
  </si>
  <si>
    <t>Damon McRae</t>
  </si>
  <si>
    <t>Dan Quintana (Cell)</t>
  </si>
  <si>
    <t xml:space="preserve">(928) 651-4470 </t>
  </si>
  <si>
    <t>SAGE</t>
  </si>
  <si>
    <t>3258A506</t>
  </si>
  <si>
    <t>33:36:19.5984 (33.605444) North</t>
  </si>
  <si>
    <t>116:56:20.6988 (-116.939083) West</t>
  </si>
  <si>
    <t>CAL FIRE Sage Fire Station</t>
  </si>
  <si>
    <t xml:space="preserve">(951) 767-0118 </t>
  </si>
  <si>
    <t>SAGE HEN</t>
  </si>
  <si>
    <t>325D5242</t>
  </si>
  <si>
    <t>43:30:51.9984 (43.514444) North</t>
  </si>
  <si>
    <t>119:17:40.9992 (-119.294722) West</t>
  </si>
  <si>
    <t>SAGINAW</t>
  </si>
  <si>
    <t>707102BC</t>
  </si>
  <si>
    <t>46:50:37 (46.843611) North</t>
  </si>
  <si>
    <t>92:27:42 (-92.461667) West</t>
  </si>
  <si>
    <t>Joseph Frenz</t>
  </si>
  <si>
    <t>joseph.frenz@state.mn.us, jolene.soltis@state.mn.us</t>
  </si>
  <si>
    <t xml:space="preserve">(218) 723-4791 </t>
  </si>
  <si>
    <t xml:space="preserve"> jolene.soltis@state.mn.us,  travis.verdegan@state.mn.us, joseph.frenz@state.mn.us</t>
  </si>
  <si>
    <t>SAGUARO</t>
  </si>
  <si>
    <t>3282F7D2</t>
  </si>
  <si>
    <t>32:18:39.9996 (32.311111) North</t>
  </si>
  <si>
    <t>110:49:06.9996 (-110.818611) West</t>
  </si>
  <si>
    <t>SALCHA</t>
  </si>
  <si>
    <t>64:35:38.1012 (64.593917) North</t>
  </si>
  <si>
    <t>146:08:44.9988 (-146.145833) West</t>
  </si>
  <si>
    <t>325370C6</t>
  </si>
  <si>
    <t>45:08:59.3988 (45.149833) North</t>
  </si>
  <si>
    <t>113:56:43.2996 (-113.945361) West</t>
  </si>
  <si>
    <t>SALMON RIVER</t>
  </si>
  <si>
    <t>3960F688</t>
  </si>
  <si>
    <t>67:27:34.8 (67.459667) North</t>
  </si>
  <si>
    <t>159:50:25.8 (-159.8405) West</t>
  </si>
  <si>
    <t>SALMON TROUT</t>
  </si>
  <si>
    <t>3243A130</t>
  </si>
  <si>
    <t>66:48:35.3016 (66.809806) North</t>
  </si>
  <si>
    <t>141:39:43.2 (-141.662) West</t>
  </si>
  <si>
    <t>cdemers@blm.gov</t>
  </si>
  <si>
    <t>SALT CREEK-PRINEVILLE</t>
  </si>
  <si>
    <t>327D85C4</t>
  </si>
  <si>
    <t>44:02:48.0984 (44.046694) North</t>
  </si>
  <si>
    <t>120:40:10.4988 (-120.669583) West</t>
  </si>
  <si>
    <t>SALT FORK</t>
  </si>
  <si>
    <t>Guernsey</t>
  </si>
  <si>
    <t>32B94184</t>
  </si>
  <si>
    <t>40:06:58.6188 (40.116283) North</t>
  </si>
  <si>
    <t>81:29:50.28 (-81.4973) West</t>
  </si>
  <si>
    <t>SALTER</t>
  </si>
  <si>
    <t>3235C1B4</t>
  </si>
  <si>
    <t>37:39:04.2984 (37.651194) North</t>
  </si>
  <si>
    <t>108:32:13.2 (-108.537) West</t>
  </si>
  <si>
    <t>ahester@blm.gov, kevin.lindner@usda.gov, vincent.mowery@usda.gov</t>
  </si>
  <si>
    <t>SAMOVAR HILLS</t>
  </si>
  <si>
    <t>3962108E</t>
  </si>
  <si>
    <t>60:06:45.7488 (60.112708) North</t>
  </si>
  <si>
    <t>140:29:00.4488 (-140.483458) West</t>
  </si>
  <si>
    <t>SAN ANDRES</t>
  </si>
  <si>
    <t>32:34:48.2988 (32.580083) North</t>
  </si>
  <si>
    <t>106:31:37.8984 (-106.527194) West</t>
  </si>
  <si>
    <t>SAN ANDRES NWR</t>
  </si>
  <si>
    <t>Whitney Kroschel</t>
  </si>
  <si>
    <t>whitney_kroschel@fws.gov</t>
  </si>
  <si>
    <t xml:space="preserve">(575) 202-8138 </t>
  </si>
  <si>
    <t>SAN BERNARD NWR</t>
  </si>
  <si>
    <t>28:51:52.9992 (28.864722) North</t>
  </si>
  <si>
    <t>95:34:04.5012 (-95.567917) West</t>
  </si>
  <si>
    <t>SAN CARLOS #1</t>
  </si>
  <si>
    <t>327C34B0</t>
  </si>
  <si>
    <t>33:22:17.94 (33.37165) North</t>
  </si>
  <si>
    <t>110:27:24.5808 (-110.456828) West</t>
  </si>
  <si>
    <t>SAN JUAN PORTABLE</t>
  </si>
  <si>
    <t>327A9486</t>
  </si>
  <si>
    <t>37:48:18.6012 (37.805167) North</t>
  </si>
  <si>
    <t>108:47:39.4188 (-108.794283) West</t>
  </si>
  <si>
    <t>James Savage</t>
  </si>
  <si>
    <t>jsavage@blm.gov</t>
  </si>
  <si>
    <t xml:space="preserve">(970) 240-5317 </t>
  </si>
  <si>
    <t>Tyler Corbin</t>
  </si>
  <si>
    <t>tcorbin@blm.gov</t>
  </si>
  <si>
    <t xml:space="preserve">(970) 799-2957 </t>
  </si>
  <si>
    <t>SAN JUAN PORTABLE #2</t>
  </si>
  <si>
    <t>32B01976</t>
  </si>
  <si>
    <t>37:08:34.98 (37.14305) North</t>
  </si>
  <si>
    <t>107:21:55.98 (-107.36555) West</t>
  </si>
  <si>
    <t>Noah Daniels</t>
  </si>
  <si>
    <t>noah.daniels@usda.gov</t>
  </si>
  <si>
    <t xml:space="preserve">(970) 880-0131 </t>
  </si>
  <si>
    <t>kevin.lindner@usda.gov, noah.daniels@usda.gov</t>
  </si>
  <si>
    <t>SAN LUIS NWR</t>
  </si>
  <si>
    <t>8374C006</t>
  </si>
  <si>
    <t>37:10:55.9992 (37.182222) North</t>
  </si>
  <si>
    <t>120:47:38.0004 (-120.793889) West</t>
  </si>
  <si>
    <t>Shawn Murphy</t>
  </si>
  <si>
    <t>shawn_murphy@fws.gov</t>
  </si>
  <si>
    <t xml:space="preserve">(209) 587-0324 </t>
  </si>
  <si>
    <t>Keith Mayer</t>
  </si>
  <si>
    <t>keith_mayer@fws.gov</t>
  </si>
  <si>
    <t xml:space="preserve">(209) 587-0328 </t>
  </si>
  <si>
    <t>SAN LUIS OBISPO</t>
  </si>
  <si>
    <t>CA2384AE</t>
  </si>
  <si>
    <t>35:18:10.7388 (35.302983) North</t>
  </si>
  <si>
    <t>120:40:43.464 (-120.67874) West</t>
  </si>
  <si>
    <t>SAN LUIS PORTABLE</t>
  </si>
  <si>
    <t>837A427A</t>
  </si>
  <si>
    <t>37:03:59.0004 (37.066389) North</t>
  </si>
  <si>
    <t>120:48:14.0004 (-120.803889) West</t>
  </si>
  <si>
    <t>james_roberts@fws.gov, keith_mayer@fws.gov, ryan_aeby@fws.gov, shawn_murphy@fws.gov</t>
  </si>
  <si>
    <t>SAN LUIS VALLEY PORTABLE</t>
  </si>
  <si>
    <t>37:19:55.74 (37.33215) North</t>
  </si>
  <si>
    <t>106:17:50.3484 (-106.297319) West</t>
  </si>
  <si>
    <t xml:space="preserve">flavio.jaramillo@usda.gov </t>
  </si>
  <si>
    <t>SAN MARCOS PASS</t>
  </si>
  <si>
    <t>CF1004EE</t>
  </si>
  <si>
    <t>34:29:28.8024 (34.491334) North</t>
  </si>
  <si>
    <t>119:47:46.9896 (-119.796386) West</t>
  </si>
  <si>
    <t>SAN MARCOS-WEST</t>
  </si>
  <si>
    <t>32D02EDE</t>
  </si>
  <si>
    <t>29:56:20.5944 (29.939054) North</t>
  </si>
  <si>
    <t>98:00:30.2112 (-98.008392) West</t>
  </si>
  <si>
    <t>SAN MIGUEL</t>
  </si>
  <si>
    <t>8374E6EA</t>
  </si>
  <si>
    <t>32:41:06 (32.685) North</t>
  </si>
  <si>
    <t>116:58:24.9996 (-116.973611) West</t>
  </si>
  <si>
    <t>SAN PASQUAL</t>
  </si>
  <si>
    <t>CA803678</t>
  </si>
  <si>
    <t>33:05:29.0004 (33.091389) North</t>
  </si>
  <si>
    <t>117:00:43.9992 (-117.012222) West</t>
  </si>
  <si>
    <t>SAN RAFAEL HILLS</t>
  </si>
  <si>
    <t>CA2940E2</t>
  </si>
  <si>
    <t>34:11:39.1884 (34.194219) North</t>
  </si>
  <si>
    <t>118:12:48.24 (-118.2134) West</t>
  </si>
  <si>
    <t>SAN SEBASTIAN</t>
  </si>
  <si>
    <t>San Sebastian</t>
  </si>
  <si>
    <t>32B79D56</t>
  </si>
  <si>
    <t>Lt. Joe Figueroa</t>
  </si>
  <si>
    <t>WRCC,MESOWEST,NIFC,EGP,FEMS</t>
  </si>
  <si>
    <t>SAN SIMEON</t>
  </si>
  <si>
    <t>32B53688</t>
  </si>
  <si>
    <t>35:35:43.3212 (35.595367) North</t>
  </si>
  <si>
    <t>121:06:33.66 (-121.10935) West</t>
  </si>
  <si>
    <t>SANBORN</t>
  </si>
  <si>
    <t>Wakulla</t>
  </si>
  <si>
    <t>3287E364</t>
  </si>
  <si>
    <t>30:04:13.0008 (30.070278) North</t>
  </si>
  <si>
    <t>84:35:31.9992 (-84.592222) West</t>
  </si>
  <si>
    <t>SANBORN PARK</t>
  </si>
  <si>
    <t>3235A452</t>
  </si>
  <si>
    <t>38:11:31.8012 (38.192167) North</t>
  </si>
  <si>
    <t>108:13:00.5016 (-108.216806) West</t>
  </si>
  <si>
    <t>ahester@blm.gov, cody.russell@usda.gov, corey.robinson@usda.gov</t>
  </si>
  <si>
    <t>SAND CREEK</t>
  </si>
  <si>
    <t>Slope</t>
  </si>
  <si>
    <t>46:32:45.8916 (46.546081) North</t>
  </si>
  <si>
    <t>103:31:07.0608 (-103.518628) West</t>
  </si>
  <si>
    <t>NORTH DAKOTA</t>
  </si>
  <si>
    <t>Zachary Thompson (Cell)</t>
  </si>
  <si>
    <t>zachary.thompson@usda.gov</t>
  </si>
  <si>
    <t xml:space="preserve">(701) 227-7851 </t>
  </si>
  <si>
    <t>SAND DUNES</t>
  </si>
  <si>
    <t>8378E776</t>
  </si>
  <si>
    <t>37:43:36.264 (37.72674) North</t>
  </si>
  <si>
    <t>105:30:38.772 (-105.51077) West</t>
  </si>
  <si>
    <t>ROCKY MOUNTAIN NP</t>
  </si>
  <si>
    <t>Nate Williamson</t>
  </si>
  <si>
    <t>nwilliamson@nps.gov</t>
  </si>
  <si>
    <t xml:space="preserve">(970) 227-7708 </t>
  </si>
  <si>
    <t>Chad Lewis</t>
  </si>
  <si>
    <t xml:space="preserve">(970) 820-0445 </t>
  </si>
  <si>
    <t>kentsmith@fs.fed.us, nwilliamson@nps.gov</t>
  </si>
  <si>
    <t>SAND ISLAND</t>
  </si>
  <si>
    <t>3275B4F8</t>
  </si>
  <si>
    <t>47:00:10.9584 (47.003044) North</t>
  </si>
  <si>
    <t>90:56:10.7988 (-90.936333) West</t>
  </si>
  <si>
    <t>SAND LAKE</t>
  </si>
  <si>
    <t>McPherson</t>
  </si>
  <si>
    <t>45:52:40.0008 (45.877778) North</t>
  </si>
  <si>
    <t>99:24:38.9988 (-99.410833) West</t>
  </si>
  <si>
    <t>SAND LAKE NWR</t>
  </si>
  <si>
    <t>SANDERS HILL</t>
  </si>
  <si>
    <t>32B3C6C2</t>
  </si>
  <si>
    <t>31:42:02.0988 (31.700583) North</t>
  </si>
  <si>
    <t>86:01:57.1008 (-86.032528) West</t>
  </si>
  <si>
    <t>SANDIA LAB</t>
  </si>
  <si>
    <t>AAB621DE</t>
  </si>
  <si>
    <t>35:00:14.616 (35.00406) North</t>
  </si>
  <si>
    <t>106:24:41.328 (-106.41148) West</t>
  </si>
  <si>
    <t>Department of Energy</t>
  </si>
  <si>
    <t>SANDIA - Sandia National Laboratories New Mexico</t>
  </si>
  <si>
    <t>Joseph Henry Fontana</t>
  </si>
  <si>
    <t>jhfonta@sandia.gov</t>
  </si>
  <si>
    <t xml:space="preserve">(505) 845-7696 </t>
  </si>
  <si>
    <t xml:space="preserve"> ctraft@sandia.gov, jhfonta@sandia.gov</t>
  </si>
  <si>
    <t>Joseph Fontana</t>
  </si>
  <si>
    <t>SANDIA LAKES</t>
  </si>
  <si>
    <t>327AE216</t>
  </si>
  <si>
    <t>35:13:46.7292 (35.229647) North</t>
  </si>
  <si>
    <t>106:35:26.0196 (-106.590561) West</t>
  </si>
  <si>
    <t>SANDOVAL MESA</t>
  </si>
  <si>
    <t>37:05:58.8012 (37.099667) North</t>
  </si>
  <si>
    <t>107:18:09.6984 (-107.302694) West</t>
  </si>
  <si>
    <t>Richard Gustafson</t>
  </si>
  <si>
    <t>Valdez Neha</t>
  </si>
  <si>
    <t xml:space="preserve"> valdis.neha@bia.gov</t>
  </si>
  <si>
    <t>SANDSTONE</t>
  </si>
  <si>
    <t>32D51256</t>
  </si>
  <si>
    <t>41:11:50.6004 (41.197389) North</t>
  </si>
  <si>
    <t>107:13:10.4988 (-107.219583) West</t>
  </si>
  <si>
    <t>SANDY RUN</t>
  </si>
  <si>
    <t>4072109A</t>
  </si>
  <si>
    <t>34:36:43.8192 (34.612172) North</t>
  </si>
  <si>
    <t>77:29:14.1 (-77.48725) West</t>
  </si>
  <si>
    <t>SANJOSE</t>
  </si>
  <si>
    <t>37:23:53.9988 (37.398333) North</t>
  </si>
  <si>
    <t>121:48:24.9984 (-121.806944) West</t>
  </si>
  <si>
    <t>Steve Forman</t>
  </si>
  <si>
    <t>steve.forman@sanjoseca.gov</t>
  </si>
  <si>
    <t xml:space="preserve">(408) 691-7011 </t>
  </si>
  <si>
    <t xml:space="preserve">(408) 794-7011 </t>
  </si>
  <si>
    <t>barry.stallard@sanjoseca.gov</t>
  </si>
  <si>
    <t>SANTA ANA NWR</t>
  </si>
  <si>
    <t>837197BA</t>
  </si>
  <si>
    <t>26:04:42.9996 (26.078611) North</t>
  </si>
  <si>
    <t>98:09:25.9992 (-98.157222) West</t>
  </si>
  <si>
    <t>SANTA BARBARA</t>
  </si>
  <si>
    <t>FA61D4A4</t>
  </si>
  <si>
    <t>33:29:14.7408 (33.487428) North</t>
  </si>
  <si>
    <t>119:01:49.1592 (-119.030322) West</t>
  </si>
  <si>
    <t>David Mazurkiewicz</t>
  </si>
  <si>
    <t>david_mazurkiewicz@nps.gov</t>
  </si>
  <si>
    <t xml:space="preserve">(805) 450-0699 </t>
  </si>
  <si>
    <t>Rocky Rudolph</t>
  </si>
  <si>
    <t>rocky_rudolph@nps.gov</t>
  </si>
  <si>
    <t xml:space="preserve">(805) 658-5777 </t>
  </si>
  <si>
    <t>paula_power@nps.gov</t>
  </si>
  <si>
    <t>SANTA CRUZ ISLAND</t>
  </si>
  <si>
    <t>FA45F69C</t>
  </si>
  <si>
    <t>33:59:34.7316 (33.992981) North</t>
  </si>
  <si>
    <t>119:42:58.5504 (-119.716264) West</t>
  </si>
  <si>
    <t>Annie Little</t>
  </si>
  <si>
    <t>annie_little@nps.gov</t>
  </si>
  <si>
    <t xml:space="preserve">(805) 658-5763 </t>
  </si>
  <si>
    <t>SANTA FE DAM</t>
  </si>
  <si>
    <t>CA4A80C0</t>
  </si>
  <si>
    <t>34:07:34.1004 (34.126139) North</t>
  </si>
  <si>
    <t>117:56:49.8084 (-117.947169) West</t>
  </si>
  <si>
    <t xml:space="preserve">(213) 247-1042 </t>
  </si>
  <si>
    <t>SANTA FE PORTABLE</t>
  </si>
  <si>
    <t>328F31AA</t>
  </si>
  <si>
    <t>35:36:04.5 (35.60125) North</t>
  </si>
  <si>
    <t>105:46:40.6884 (-105.777969) West</t>
  </si>
  <si>
    <t xml:space="preserve">(505) 438-5601 </t>
  </si>
  <si>
    <t>SANTA FE WATERSHED</t>
  </si>
  <si>
    <t>324172AC</t>
  </si>
  <si>
    <t>35:41:12.6996 (35.686861) North</t>
  </si>
  <si>
    <t>105:51:37.1016 (-105.860306) West</t>
  </si>
  <si>
    <t>SANTA RITA</t>
  </si>
  <si>
    <t>3256A16E</t>
  </si>
  <si>
    <t>36:20:53.1996 (36.348111) North</t>
  </si>
  <si>
    <t>120:36:00.3996 (-120.600111) West</t>
  </si>
  <si>
    <t>SANTA ROSA</t>
  </si>
  <si>
    <t>CA221336</t>
  </si>
  <si>
    <t>38:28:42.5388 (38.478483) North</t>
  </si>
  <si>
    <t>122:42:42.4692 (-122.711797) West</t>
  </si>
  <si>
    <t>SANTA ROSA ISLAND</t>
  </si>
  <si>
    <t>FA45E5EA</t>
  </si>
  <si>
    <t>33:58:43.2696 (33.978686) North</t>
  </si>
  <si>
    <t>120:04:43.6008 (-120.078778) West</t>
  </si>
  <si>
    <t>SANTA ROSA PLATEAU</t>
  </si>
  <si>
    <t>CA4A6332</t>
  </si>
  <si>
    <t>33:31:05.1708 (33.518103) North</t>
  </si>
  <si>
    <t>117:13:44.6196 (-117.229061) West</t>
  </si>
  <si>
    <t>SANTEE NWR</t>
  </si>
  <si>
    <t>8379E58C</t>
  </si>
  <si>
    <t>33:33:27 (33.5575) North</t>
  </si>
  <si>
    <t>80:26:29.0004 (-80.441389) West</t>
  </si>
  <si>
    <t>robert_askins@fws.gov</t>
  </si>
  <si>
    <t>SARA</t>
  </si>
  <si>
    <t>Saratoga</t>
  </si>
  <si>
    <t>FA65F772</t>
  </si>
  <si>
    <t>43:00:34.9704 (43.009714) North</t>
  </si>
  <si>
    <t>73:39:02.5596 (-73.650711) West</t>
  </si>
  <si>
    <t>SARATOGA N.HIST.PARK</t>
  </si>
  <si>
    <t>SARATOGA SPRING</t>
  </si>
  <si>
    <t>AAB0C2E2</t>
  </si>
  <si>
    <t>35:40:49.8504 (35.680514) North</t>
  </si>
  <si>
    <t>116:25:19.9488 (-116.422208) West</t>
  </si>
  <si>
    <t>SASABE</t>
  </si>
  <si>
    <t>31:41:30.0984 (31.691694) North</t>
  </si>
  <si>
    <t>111:26:53.1996 (-111.448111) West</t>
  </si>
  <si>
    <t>Christopher Ruff</t>
  </si>
  <si>
    <t>christopher_ruff@fws.gov</t>
  </si>
  <si>
    <t xml:space="preserve">(928) 940-5188 </t>
  </si>
  <si>
    <t>Brett Idol</t>
  </si>
  <si>
    <t>SAUGUS</t>
  </si>
  <si>
    <t>CA418368</t>
  </si>
  <si>
    <t>34:26:06.0396 (34.435011) North</t>
  </si>
  <si>
    <t>118:30:47.4516 (-118.513181) West</t>
  </si>
  <si>
    <t>SAVANNAH NWR</t>
  </si>
  <si>
    <t>8376F068</t>
  </si>
  <si>
    <t>32:10:17.9616 (32.171656) North</t>
  </si>
  <si>
    <t>81:07:11.8416 (-81.119956) West</t>
  </si>
  <si>
    <t>Galent_Livingston@fws.gov</t>
  </si>
  <si>
    <t>SAVANNAH PORTABLE</t>
  </si>
  <si>
    <t>Colleton</t>
  </si>
  <si>
    <t>3263505A</t>
  </si>
  <si>
    <t>Robert (Greg) Askins</t>
  </si>
  <si>
    <t xml:space="preserve">(843) 335-6025 </t>
  </si>
  <si>
    <t>SAVRAW</t>
  </si>
  <si>
    <t>Barnwell</t>
  </si>
  <si>
    <t>33:12:38.9988 (33.210833) North</t>
  </si>
  <si>
    <t>81:35:26.0016 (-81.590556) West</t>
  </si>
  <si>
    <t>SAVANNAH RIVER FS</t>
  </si>
  <si>
    <t>Brandon Hughes</t>
  </si>
  <si>
    <t>brandon.hughes@usda.gov</t>
  </si>
  <si>
    <t xml:space="preserve">(480) 717-7790 </t>
  </si>
  <si>
    <t>Christopher Davis</t>
  </si>
  <si>
    <t>christopher.b.davis@usda.gov</t>
  </si>
  <si>
    <t xml:space="preserve">(803) 673-6784 </t>
  </si>
  <si>
    <t>SAVRIV</t>
  </si>
  <si>
    <t>Aiken</t>
  </si>
  <si>
    <t>33:19:59.0016 (33.333056) North</t>
  </si>
  <si>
    <t>81:35:30.0012 (-81.591667) West</t>
  </si>
  <si>
    <t>SAWMILL CREEK</t>
  </si>
  <si>
    <t>3248C77E</t>
  </si>
  <si>
    <t>46:27:03.9996 (46.451111) North</t>
  </si>
  <si>
    <t>113:53:25.0008 (-113.890278) West</t>
  </si>
  <si>
    <t>SAWMILL FLATS</t>
  </si>
  <si>
    <t>3245C418</t>
  </si>
  <si>
    <t>46:58:03 (46.9675) North</t>
  </si>
  <si>
    <t>121:05:03.9984 (-121.084444) West</t>
  </si>
  <si>
    <t>Jason Emhoff</t>
  </si>
  <si>
    <t>jason.emhoff@usda.gov</t>
  </si>
  <si>
    <t xml:space="preserve">(509) 653-1492 </t>
  </si>
  <si>
    <t>SAWMILL PARK</t>
  </si>
  <si>
    <t>323504AA</t>
  </si>
  <si>
    <t>41:04:27.0012 (41.074167) North</t>
  </si>
  <si>
    <t>106:07:51.9996 (-106.131111) West</t>
  </si>
  <si>
    <t>SAWMILL RIDGE</t>
  </si>
  <si>
    <t>FA665084</t>
  </si>
  <si>
    <t>38:05:59.7012 (38.099917) North</t>
  </si>
  <si>
    <t>78:47:30.9012 (-78.791917) West</t>
  </si>
  <si>
    <t>SAWTOOTH PORTABLE #1</t>
  </si>
  <si>
    <t>323C6710</t>
  </si>
  <si>
    <t>42:13:58.4004 (42.232889) North</t>
  </si>
  <si>
    <t>113:42:42.2928 (-113.711748) West</t>
  </si>
  <si>
    <t>christopher.belliston@usda.gov, stacy.tyler@usda.gov</t>
  </si>
  <si>
    <t>SAWTOOTH PORTABLE #2</t>
  </si>
  <si>
    <t>323C528A</t>
  </si>
  <si>
    <t>43:35:47.22 (43.59645) North</t>
  </si>
  <si>
    <t>114:43:01.6788 (-114.717133) West</t>
  </si>
  <si>
    <t>SAWTOOTH PORTABLE #3</t>
  </si>
  <si>
    <t>3271A2B4</t>
  </si>
  <si>
    <t>43:37:37.56 (43.6271) North</t>
  </si>
  <si>
    <t>113:57:52.02 (-113.96445) West</t>
  </si>
  <si>
    <t>SAWYERS BAR</t>
  </si>
  <si>
    <t>3238D1A4</t>
  </si>
  <si>
    <t>41:18:04.4388 (41.301233) North</t>
  </si>
  <si>
    <t>123:07:46.9704 (-123.129714) West</t>
  </si>
  <si>
    <t>Ashley Harris</t>
  </si>
  <si>
    <t>Ashley.Harris@usda.gov</t>
  </si>
  <si>
    <t>SAYLOR CREEK BOMB RANGE</t>
  </si>
  <si>
    <t>32D403DA</t>
  </si>
  <si>
    <t>42:43:32.106 (42.725585) North</t>
  </si>
  <si>
    <t>115:36:35.3016 (-115.609806) West</t>
  </si>
  <si>
    <t>SB BOTANIC GARDEN</t>
  </si>
  <si>
    <t>02A00512</t>
  </si>
  <si>
    <t>34:27:21.1896 (34.455886) North</t>
  </si>
  <si>
    <t>119:42:20.2608 (-119.705628) West</t>
  </si>
  <si>
    <t>SBBG01 - Santa Barbara Botanic Garden</t>
  </si>
  <si>
    <t>Alex Babcock</t>
  </si>
  <si>
    <t>ababcock@blm.gov</t>
  </si>
  <si>
    <t xml:space="preserve">(805) 705-5087 </t>
  </si>
  <si>
    <t>SBCFD PORTABLE 1</t>
  </si>
  <si>
    <t>32A15F18</t>
  </si>
  <si>
    <t>34:54:09.7416 (34.902706) North</t>
  </si>
  <si>
    <t>120:14:44.52 (-120.2457) West</t>
  </si>
  <si>
    <t>SBCFD PORTABLE 2</t>
  </si>
  <si>
    <t>32B20FF4</t>
  </si>
  <si>
    <t>34:53:49.2216 (34.897006) North</t>
  </si>
  <si>
    <t>120:13:57.8712 (-120.232742) West</t>
  </si>
  <si>
    <t>SCFC PORTABLE</t>
  </si>
  <si>
    <t>32B78E20</t>
  </si>
  <si>
    <t>34:04:53.1912 (34.081442) North</t>
  </si>
  <si>
    <t>81:07:53.04 (-81.1314) West</t>
  </si>
  <si>
    <t>3266A71E</t>
  </si>
  <si>
    <t>21:29:42 (21.495) North</t>
  </si>
  <si>
    <t>158:04:54.9984 (-158.081944) West</t>
  </si>
  <si>
    <t>SCHOFIELD EAST</t>
  </si>
  <si>
    <t>325AB384</t>
  </si>
  <si>
    <t>21:29:57.9984 (21.499444) North</t>
  </si>
  <si>
    <t>157:59:35.9988 (-157.993333) West</t>
  </si>
  <si>
    <t>SCHOOL HOUSE</t>
  </si>
  <si>
    <t>3239F5B2</t>
  </si>
  <si>
    <t>44:18:28.53 (44.307925) North</t>
  </si>
  <si>
    <t>106:58:56.856 (-106.98246) West</t>
  </si>
  <si>
    <t>SCHOOLHOUSE</t>
  </si>
  <si>
    <t>FA6371A8</t>
  </si>
  <si>
    <t>41:08:18.3804 (41.138439) North</t>
  </si>
  <si>
    <t>123:54:24.4512 (-123.906792) West</t>
  </si>
  <si>
    <t>REDWOOD NAT'L. PARK</t>
  </si>
  <si>
    <t xml:space="preserve">(707) 845-4316 </t>
  </si>
  <si>
    <t>John McClelland</t>
  </si>
  <si>
    <t xml:space="preserve">(707) 845-4302 </t>
  </si>
  <si>
    <t>bryan_boatman@nps.gov</t>
  </si>
  <si>
    <t>323C02F6</t>
  </si>
  <si>
    <t>33:09:50.2992 (33.163972) North</t>
  </si>
  <si>
    <t>86:05:27.7008 (-86.091028) West</t>
  </si>
  <si>
    <t>Sean Snyder</t>
  </si>
  <si>
    <t>sean.snyder@usda.gov</t>
  </si>
  <si>
    <t xml:space="preserve">(256) 368-1015 </t>
  </si>
  <si>
    <t>SCHROON LAKE</t>
  </si>
  <si>
    <t>43:48:00 (43.8) North</t>
  </si>
  <si>
    <t>73:42:00 (-73.7) West</t>
  </si>
  <si>
    <t>Ranger Marie Arnold</t>
  </si>
  <si>
    <t>marie.arnold@dec.ny.gov</t>
  </si>
  <si>
    <t>SCHUYLER FALLS</t>
  </si>
  <si>
    <t>6250608E</t>
  </si>
  <si>
    <t>44:36:00 (44.6) North</t>
  </si>
  <si>
    <t>73:35:60 (-73.6) West</t>
  </si>
  <si>
    <t>SCORPION</t>
  </si>
  <si>
    <t>41:06:34.1388 (41.109483) North</t>
  </si>
  <si>
    <t>122:41:50.8812 (-122.697467) West</t>
  </si>
  <si>
    <t>SCOTTS BLUFF</t>
  </si>
  <si>
    <t>Scotts Bluff</t>
  </si>
  <si>
    <t>FA40F15C</t>
  </si>
  <si>
    <t>41:49:45.9984 (41.829444) North</t>
  </si>
  <si>
    <t>103:42:29.0016 (-103.708056) West</t>
  </si>
  <si>
    <t>SCOTTS BLUFF NM</t>
  </si>
  <si>
    <t>SCOUT CAMP</t>
  </si>
  <si>
    <t>3233A49C</t>
  </si>
  <si>
    <t>32:23:53.0016 (32.398056) North</t>
  </si>
  <si>
    <t>110:43:30 (-110.725) West</t>
  </si>
  <si>
    <t>SCOUT MOUNTAIN</t>
  </si>
  <si>
    <t>Bannock</t>
  </si>
  <si>
    <t>42:41:53.9988 (42.698333) North</t>
  </si>
  <si>
    <t>112:21:23.1012 (-112.356417) West</t>
  </si>
  <si>
    <t>SDFO QD1</t>
  </si>
  <si>
    <t>Meade</t>
  </si>
  <si>
    <t>3267051C</t>
  </si>
  <si>
    <t>44:24:01.0008 (44.400278) North</t>
  </si>
  <si>
    <t>103:27:42.0012 (-103.461667) West</t>
  </si>
  <si>
    <t>FORT MEAD</t>
  </si>
  <si>
    <t>Travis Lipp</t>
  </si>
  <si>
    <t>tlipp@blm.gov</t>
  </si>
  <si>
    <t xml:space="preserve">(605) 892-7013 </t>
  </si>
  <si>
    <t>Nate Wiedow</t>
  </si>
  <si>
    <t>nwiedow@BLM.GOV</t>
  </si>
  <si>
    <t xml:space="preserve">(605) 891-3804 </t>
  </si>
  <si>
    <t>SDFO QD2</t>
  </si>
  <si>
    <t>327980FE</t>
  </si>
  <si>
    <t>43:39:29.4012 (43.658167) North</t>
  </si>
  <si>
    <t>103:54:07.8984 (-103.902194) West</t>
  </si>
  <si>
    <t>nwiedow@blm.gov</t>
  </si>
  <si>
    <t xml:space="preserve">(605) 892-7030 </t>
  </si>
  <si>
    <t>SDS PORTABLE 1</t>
  </si>
  <si>
    <t>32B091B0</t>
  </si>
  <si>
    <t>43:40:03 (43.6675) North</t>
  </si>
  <si>
    <t>99:29:17.9988 (-99.488333) West</t>
  </si>
  <si>
    <t>Jay Wickham (Cell)</t>
  </si>
  <si>
    <t xml:space="preserve">(605) 415-5422 </t>
  </si>
  <si>
    <t>SEAGULL</t>
  </si>
  <si>
    <t>3331F0B6</t>
  </si>
  <si>
    <t>48:07:13.0008 (48.120278) North</t>
  </si>
  <si>
    <t>90:50:18.9996 (-90.838611) West</t>
  </si>
  <si>
    <t>SECRET TOWN</t>
  </si>
  <si>
    <t>CA21815A</t>
  </si>
  <si>
    <t>39:11:01.7988 (39.183833) North</t>
  </si>
  <si>
    <t>120:53:03.9192 (-120.884422) West</t>
  </si>
  <si>
    <t>SEDGE RIDGE</t>
  </si>
  <si>
    <t>300070CE</t>
  </si>
  <si>
    <t>46:29:42 (46.495) North</t>
  </si>
  <si>
    <t>121:00:47.9988 (-121.013333) West</t>
  </si>
  <si>
    <t>SEDGWICK</t>
  </si>
  <si>
    <t>32B649C4</t>
  </si>
  <si>
    <t>34:40:50.2752 (34.680632) North</t>
  </si>
  <si>
    <t>120:02:50.7912 (-120.047442) West</t>
  </si>
  <si>
    <t>SEEDORCHARD</t>
  </si>
  <si>
    <t>327455F0</t>
  </si>
  <si>
    <t>39:05:29.7096 (39.091586) North</t>
  </si>
  <si>
    <t>120:43:55.1208 (-120.731978) West</t>
  </si>
  <si>
    <t xml:space="preserve">(530) 367-3955 </t>
  </si>
  <si>
    <t>ahester@blm.gov, brian.crawford@usda.gov, shuckstep@blm.gov, terrance.lim@usda.gov</t>
  </si>
  <si>
    <t>SEELEY LAKE</t>
  </si>
  <si>
    <t>323F5584</t>
  </si>
  <si>
    <t>47:10:33.4992 (47.175972) North</t>
  </si>
  <si>
    <t>113:26:39.8004 (-113.444389) West</t>
  </si>
  <si>
    <t>SEILING</t>
  </si>
  <si>
    <t>32B32BE2</t>
  </si>
  <si>
    <t>36:08:15.2016 (36.137556) North</t>
  </si>
  <si>
    <t>98:44:30.4008 (-98.741778) West</t>
  </si>
  <si>
    <t xml:space="preserve">(405) 933-2081 </t>
  </si>
  <si>
    <t>SELA PORTABLE</t>
  </si>
  <si>
    <t>Orleans</t>
  </si>
  <si>
    <t>AA1166B6</t>
  </si>
  <si>
    <t>30:06:32.4 (30.109) North</t>
  </si>
  <si>
    <t>89:51:28.1988 (-89.857833) West</t>
  </si>
  <si>
    <t>Matt Seija</t>
  </si>
  <si>
    <t>SELAWIK</t>
  </si>
  <si>
    <t>1260568E</t>
  </si>
  <si>
    <t>66:36:24.0012 (66.606667) North</t>
  </si>
  <si>
    <t>159:05:29.0004 (-159.091389) West</t>
  </si>
  <si>
    <t>SELDOM CREEK</t>
  </si>
  <si>
    <t>42:24:27 (42.4075) North</t>
  </si>
  <si>
    <t>122:11:29.0004 (-122.191389) West</t>
  </si>
  <si>
    <t>SELLS</t>
  </si>
  <si>
    <t>327C64CC</t>
  </si>
  <si>
    <t>31:54:36.5004 (31.910139) North</t>
  </si>
  <si>
    <t>111:53:50.7516 (-111.897431) West</t>
  </si>
  <si>
    <t>Papago Agency</t>
  </si>
  <si>
    <t>Tina Juan</t>
  </si>
  <si>
    <t>tina.juan@tonation-nsn.gov</t>
  </si>
  <si>
    <t xml:space="preserve">(520) 471-7719 </t>
  </si>
  <si>
    <t>Carlos Noise</t>
  </si>
  <si>
    <t>SENATOR WASH</t>
  </si>
  <si>
    <t>32:54:27.9 (32.90775) North</t>
  </si>
  <si>
    <t>114:28:26.5008 (-114.474028) West</t>
  </si>
  <si>
    <t>RICHARD ANA</t>
  </si>
  <si>
    <t>rfana@blm.gov</t>
  </si>
  <si>
    <t xml:space="preserve">(928) 345-8497 </t>
  </si>
  <si>
    <t>SENEY</t>
  </si>
  <si>
    <t>Schoolcraft</t>
  </si>
  <si>
    <t>46:14:25.0008 (46.240278) North</t>
  </si>
  <si>
    <t>85:56:34.0008 (-85.942778) West</t>
  </si>
  <si>
    <t>SENEY NWR</t>
  </si>
  <si>
    <t>Josh Haen</t>
  </si>
  <si>
    <t>joshua_haen@fws.gov</t>
  </si>
  <si>
    <t xml:space="preserve">(906) 586-9851 </t>
  </si>
  <si>
    <t>SERPENTINE</t>
  </si>
  <si>
    <t>65:51:08.28 (65.8523) North</t>
  </si>
  <si>
    <t>164:42:28.14 (-164.707817) West</t>
  </si>
  <si>
    <t>SEVEN MILE</t>
  </si>
  <si>
    <t>324DE652</t>
  </si>
  <si>
    <t>39:03:58.5 (39.06625) North</t>
  </si>
  <si>
    <t>116:18:52.4016 (-116.314556) West</t>
  </si>
  <si>
    <t>3243642E</t>
  </si>
  <si>
    <t>65:56:17.9988 (65.938333) North</t>
  </si>
  <si>
    <t>149:51:18 (-149.855) West</t>
  </si>
  <si>
    <t>SEVEN MILE CREEK</t>
  </si>
  <si>
    <t>43:12:36 (43.21) North</t>
  </si>
  <si>
    <t>124:19:03 (-124.3175) West</t>
  </si>
  <si>
    <t>SEVIER RESERVOIR</t>
  </si>
  <si>
    <t>325F81DE</t>
  </si>
  <si>
    <t>39:19:45.9984 (39.329444) North</t>
  </si>
  <si>
    <t>112:03:04.7988 (-112.051333) West</t>
  </si>
  <si>
    <t xml:space="preserve">(435) 406-7380 </t>
  </si>
  <si>
    <t>NONE IN AREA</t>
  </si>
  <si>
    <t>SEVILLETA</t>
  </si>
  <si>
    <t>34:21:30.3696 (34.358436) North</t>
  </si>
  <si>
    <t>106:41:22.0416 (-106.689456) West</t>
  </si>
  <si>
    <t>SEVILLETA NWR</t>
  </si>
  <si>
    <t>SFMU PORTABLE</t>
  </si>
  <si>
    <t>AAB2D460</t>
  </si>
  <si>
    <t>40:21:35.9604 (40.359989) North</t>
  </si>
  <si>
    <t>122:57:07.3692 (-122.952047) West</t>
  </si>
  <si>
    <t>Elliott Groo</t>
  </si>
  <si>
    <t>Elliott.Groo@usda.gov</t>
  </si>
  <si>
    <t xml:space="preserve">(530) 351-1701 </t>
  </si>
  <si>
    <t>SHADEHILL</t>
  </si>
  <si>
    <t>Perkins</t>
  </si>
  <si>
    <t>AAB0148A</t>
  </si>
  <si>
    <t>45:40:23.4804 (45.673189) North</t>
  </si>
  <si>
    <t>102:09:57.2004 (-102.165889) West</t>
  </si>
  <si>
    <t>DAKOTA PRAIRIE GL</t>
  </si>
  <si>
    <t>Zac Thompson (District #)</t>
  </si>
  <si>
    <t xml:space="preserve">(605) 374-3592 </t>
  </si>
  <si>
    <t>Zac Thompson (Desk #)</t>
  </si>
  <si>
    <t xml:space="preserve">(605) 374-3110 </t>
  </si>
  <si>
    <t>ahester@blm.gov, zachary.thompson@usda.gov</t>
  </si>
  <si>
    <t>SHADEQUARTER</t>
  </si>
  <si>
    <t>CA228654</t>
  </si>
  <si>
    <t>36:34:01.4592 (36.567072) North</t>
  </si>
  <si>
    <t>118:57:28.35 (-118.957875) West</t>
  </si>
  <si>
    <t>SHADOW RIM</t>
  </si>
  <si>
    <t>329286DC</t>
  </si>
  <si>
    <t>34:24:20.0016 (34.405556) North</t>
  </si>
  <si>
    <t>111:16:59.0016 (-111.283056) West</t>
  </si>
  <si>
    <t>jplain@fs.fed.us, wdudley@fs.fed.us</t>
  </si>
  <si>
    <t>SHAKTOOLIK RIVER</t>
  </si>
  <si>
    <t>32D58734</t>
  </si>
  <si>
    <t>64:37:57.6588 (64.632683) North</t>
  </si>
  <si>
    <t>159:54:07.6788 (-159.902133) West</t>
  </si>
  <si>
    <t>SHARPNOSE</t>
  </si>
  <si>
    <t>AAB716BE</t>
  </si>
  <si>
    <t>42:56:56.04 (42.9489) North</t>
  </si>
  <si>
    <t>108:36:38.52 (-108.6107) West</t>
  </si>
  <si>
    <t>Wind River Agency</t>
  </si>
  <si>
    <t>Anslem Lee</t>
  </si>
  <si>
    <t>anslem.lee@bia.gov</t>
  </si>
  <si>
    <t xml:space="preserve">(307) 330-6906 </t>
  </si>
  <si>
    <t>Michael La Point</t>
  </si>
  <si>
    <t>Michael.lapoint@bia.gov</t>
  </si>
  <si>
    <t xml:space="preserve">(307) 231-0898 </t>
  </si>
  <si>
    <t>SHAVER</t>
  </si>
  <si>
    <t>CA256792</t>
  </si>
  <si>
    <t>37:08:12.5916 (37.136831) North</t>
  </si>
  <si>
    <t>119:15:42.0696 (-119.261686) West</t>
  </si>
  <si>
    <t>SHAWNEE</t>
  </si>
  <si>
    <t>Scioto</t>
  </si>
  <si>
    <t>614026FC</t>
  </si>
  <si>
    <t>38:41:42 (38.695) North</t>
  </si>
  <si>
    <t>83:11:48.9984 (-83.196944) West</t>
  </si>
  <si>
    <t>SHAWNEE PORTABLE #1</t>
  </si>
  <si>
    <t>Massac</t>
  </si>
  <si>
    <t>AAA804C4</t>
  </si>
  <si>
    <t>37:09:43.2 (37.162) North</t>
  </si>
  <si>
    <t>88:39:13.6188 (-88.653783) West</t>
  </si>
  <si>
    <t>Tyson Taylor</t>
  </si>
  <si>
    <t>tyson.taylor@usda.gov</t>
  </si>
  <si>
    <t xml:space="preserve">(618) 694-3196 </t>
  </si>
  <si>
    <t>jerald.naugle@usda.gov, scott.w.crist@usda.gov</t>
  </si>
  <si>
    <t>SHEEP CAMP</t>
  </si>
  <si>
    <t>59:39:24.5952 (59.656832) North</t>
  </si>
  <si>
    <t>135:16:04.3212 (-135.267867) West</t>
  </si>
  <si>
    <t xml:space="preserve">(907) 364-2624 </t>
  </si>
  <si>
    <t>SHELTER COVE</t>
  </si>
  <si>
    <t>Ketchikan Gateway</t>
  </si>
  <si>
    <t>3249009A</t>
  </si>
  <si>
    <t>55:31:46.9992 (55.529722) North</t>
  </si>
  <si>
    <t>131:21:57.9996 (-131.366111) West</t>
  </si>
  <si>
    <t>SHENANGO</t>
  </si>
  <si>
    <t>323FD390</t>
  </si>
  <si>
    <t>45:27:34.7004 (45.459639) North</t>
  </si>
  <si>
    <t>111:14:40.0992 (-111.244472) West</t>
  </si>
  <si>
    <t>ahester@blm.gov, breck.klein@usda.gov, james.m.ray@usda.gov, todd.erdody@usda.gov</t>
  </si>
  <si>
    <t>SHERBURNE</t>
  </si>
  <si>
    <t>Chenango</t>
  </si>
  <si>
    <t>42:42:00 (42.7) North</t>
  </si>
  <si>
    <t>75:30:00 (-75.5) West</t>
  </si>
  <si>
    <t>Ranger Mike Burkholder</t>
  </si>
  <si>
    <t>michael.burkholder@dec.ny.gov</t>
  </si>
  <si>
    <t xml:space="preserve">(607) 373-1013 </t>
  </si>
  <si>
    <t>Sherburne</t>
  </si>
  <si>
    <t>45:31:53.0004 (45.531389) North</t>
  </si>
  <si>
    <t>93:45:07.9992 (-93.752222) West</t>
  </si>
  <si>
    <t>SHERBURNE NWR</t>
  </si>
  <si>
    <t>(763) 389-3323 07</t>
  </si>
  <si>
    <t>Bob Bengson</t>
  </si>
  <si>
    <t>(763) 389-3323 08</t>
  </si>
  <si>
    <t>SHERIDAN</t>
  </si>
  <si>
    <t>072016F6</t>
  </si>
  <si>
    <t>34:16:35.1516 (34.276431) North</t>
  </si>
  <si>
    <t>92:23:57.9012 (-92.399417) West</t>
  </si>
  <si>
    <t>SHEYENNE</t>
  </si>
  <si>
    <t>Ransom</t>
  </si>
  <si>
    <t>3255D0F0</t>
  </si>
  <si>
    <t>46:28:00.9984 (46.466944) North</t>
  </si>
  <si>
    <t>97:19:02.2008 (-97.317278) West</t>
  </si>
  <si>
    <t>Zachary Thompson</t>
  </si>
  <si>
    <t>Casey Kuska</t>
  </si>
  <si>
    <t>casey.kuska@usda.gov</t>
  </si>
  <si>
    <t xml:space="preserve">(701) 683-4342 </t>
  </si>
  <si>
    <t>SHF01 PORTABLE</t>
  </si>
  <si>
    <t>328B010A</t>
  </si>
  <si>
    <t>40:47:17.2212 (40.788117) North</t>
  </si>
  <si>
    <t>122:07:04.98 (-122.11805) West</t>
  </si>
  <si>
    <t>Timothy Aldridge</t>
  </si>
  <si>
    <t>Nicholas Price</t>
  </si>
  <si>
    <t>nicholas.price@usda.gov</t>
  </si>
  <si>
    <t xml:space="preserve">(530) 339-0000 </t>
  </si>
  <si>
    <t>SHF02 PORTABLE</t>
  </si>
  <si>
    <t>328B127C</t>
  </si>
  <si>
    <t>40:50:43.5012 (40.845417) North</t>
  </si>
  <si>
    <t>122:26:50.0208 (-122.447228) West</t>
  </si>
  <si>
    <t>Tim Ritchey (C)</t>
  </si>
  <si>
    <t>Timothy.Ritchey@usda.gov</t>
  </si>
  <si>
    <t xml:space="preserve">(530) 524-2781 </t>
  </si>
  <si>
    <t xml:space="preserve">(530) 644-0200 </t>
  </si>
  <si>
    <t>joel.dugger@usda.gov, shuckstep@blm.gov</t>
  </si>
  <si>
    <t>SHF06 PORTABLE</t>
  </si>
  <si>
    <t>328084B6</t>
  </si>
  <si>
    <t>41:20:47.2812 (41.346467) North</t>
  </si>
  <si>
    <t>122:17:54.8988 (-122.298583) West</t>
  </si>
  <si>
    <t>Hanne Meyers</t>
  </si>
  <si>
    <t>hanne.meyers@usda.gov</t>
  </si>
  <si>
    <t xml:space="preserve">(530) 964-3723 </t>
  </si>
  <si>
    <t>SHF07 PORTABLE</t>
  </si>
  <si>
    <t>41:26:26.0016 (41.440556) North</t>
  </si>
  <si>
    <t>121:46:21.6012 (-121.772667) West</t>
  </si>
  <si>
    <t>SHF08 PORTABLE</t>
  </si>
  <si>
    <t>AAB2E1FA</t>
  </si>
  <si>
    <t>0:00:00 (0) North</t>
  </si>
  <si>
    <t>0:00:00 (0) East</t>
  </si>
  <si>
    <t xml:space="preserve">(530) 356-6539 </t>
  </si>
  <si>
    <t>SHF1 - FTS QD</t>
  </si>
  <si>
    <t>44:55:46.2 (44.9295) North</t>
  </si>
  <si>
    <t>109:42:52.8012 (-109.714667) West</t>
  </si>
  <si>
    <t>SHF2 - PORTABLE</t>
  </si>
  <si>
    <t>43:52:02.82 (43.86745) North</t>
  </si>
  <si>
    <t>109:00:04.0788 (-109.001133) West</t>
  </si>
  <si>
    <t>SHF4 FTS PORTABLE</t>
  </si>
  <si>
    <t>32418CFA</t>
  </si>
  <si>
    <t>42:32:01.2984 (42.533694) North</t>
  </si>
  <si>
    <t>108:47:31.8984 (-108.792194) West</t>
  </si>
  <si>
    <t>SHF5 PORTABLE</t>
  </si>
  <si>
    <t>32A2A640</t>
  </si>
  <si>
    <t>43:26:07.9008 (43.435528) North</t>
  </si>
  <si>
    <t>109:34:02.1 (-109.56725) West</t>
  </si>
  <si>
    <t>SHILOH NMP</t>
  </si>
  <si>
    <t>Hardin</t>
  </si>
  <si>
    <t>35:09:18 (35.155) North</t>
  </si>
  <si>
    <t>88:19:18.0012 (-88.321667) West</t>
  </si>
  <si>
    <t>SHIMEK STATE FOREST</t>
  </si>
  <si>
    <t>Van Buren</t>
  </si>
  <si>
    <t>FD10346E</t>
  </si>
  <si>
    <t>40:38:51 (40.6475) North</t>
  </si>
  <si>
    <t>91:43:27.9984 (-91.724444) West</t>
  </si>
  <si>
    <t>Ryan Schlater (Cell #)</t>
  </si>
  <si>
    <t xml:space="preserve">(515) 979-8739 </t>
  </si>
  <si>
    <t>SHIP MTN</t>
  </si>
  <si>
    <t>328A366A</t>
  </si>
  <si>
    <t>41:43:41.6388 (41.728233) North</t>
  </si>
  <si>
    <t>123:47:42.7812 (-123.795217) West</t>
  </si>
  <si>
    <t>SHO-PAI</t>
  </si>
  <si>
    <t>5214B65E</t>
  </si>
  <si>
    <t>42:01:05.5704 (42.018214) North</t>
  </si>
  <si>
    <t>116:12:46.7604 (-116.212989) West</t>
  </si>
  <si>
    <t>ShoshonePaiute Tribe</t>
  </si>
  <si>
    <t>Melby Jack</t>
  </si>
  <si>
    <t>jack.melby@shopai.org</t>
  </si>
  <si>
    <t xml:space="preserve">(775) 757-2473 </t>
  </si>
  <si>
    <t>ahester@blm.gov, carlos.nosie@bia.gov, cheryl.bright@bia.gov, hunter.brent@shopai.org</t>
  </si>
  <si>
    <t>SHOAL CREEK</t>
  </si>
  <si>
    <t>Cleburne</t>
  </si>
  <si>
    <t>33:38:49.9992 (33.647222) North</t>
  </si>
  <si>
    <t>85:38:03.9984 (-85.634444) West</t>
  </si>
  <si>
    <t>SHOCK</t>
  </si>
  <si>
    <t>3237874A</t>
  </si>
  <si>
    <t>46:58:05.2788 (46.968133) North</t>
  </si>
  <si>
    <t>116:37:06.1212 (-116.618367) West</t>
  </si>
  <si>
    <t>SIARD</t>
  </si>
  <si>
    <t>325BD498</t>
  </si>
  <si>
    <t>40:23:39.5988 (40.394333) North</t>
  </si>
  <si>
    <t>117:37:32.4012 (-117.625667) West</t>
  </si>
  <si>
    <t>SIGNAL PEAK</t>
  </si>
  <si>
    <t>3263F0A2</t>
  </si>
  <si>
    <t>46:13:37.11 (46.226975) North</t>
  </si>
  <si>
    <t>121:08:15.2196 (-121.137561) West</t>
  </si>
  <si>
    <t>32412C02</t>
  </si>
  <si>
    <t>38:38:00.3408 (38.633428) North</t>
  </si>
  <si>
    <t>112:03:38.3508 (-112.060653) West</t>
  </si>
  <si>
    <t>SIGNAL TREE</t>
  </si>
  <si>
    <t>324FB3DA</t>
  </si>
  <si>
    <t>43:00:06.0012 (43.001667) North</t>
  </si>
  <si>
    <t>123:46:42.9996 (-123.778611) West</t>
  </si>
  <si>
    <t>SILVER BUTTE</t>
  </si>
  <si>
    <t>324BD306</t>
  </si>
  <si>
    <t>42:51:31.7016 (42.858806) North</t>
  </si>
  <si>
    <t>123:22:42.3984 (-123.378444) West</t>
  </si>
  <si>
    <t>SILVER CREEK</t>
  </si>
  <si>
    <t>Iosco</t>
  </si>
  <si>
    <t>3335B686</t>
  </si>
  <si>
    <t>44:22:35.0004 (44.376389) North</t>
  </si>
  <si>
    <t>83:35:58.9992 (-83.599722) West</t>
  </si>
  <si>
    <t>SILVER HILL</t>
  </si>
  <si>
    <t>Searcy</t>
  </si>
  <si>
    <t>3289A406</t>
  </si>
  <si>
    <t>35:58:13.0008 (35.970278) North</t>
  </si>
  <si>
    <t>92:44:47.0004 (-92.746389) West</t>
  </si>
  <si>
    <t>SILVER JACK</t>
  </si>
  <si>
    <t>32B77076</t>
  </si>
  <si>
    <t>38:14:21.3 (38.23925) North</t>
  </si>
  <si>
    <t>107:32:25.1988 (-107.540333) West</t>
  </si>
  <si>
    <t>SILVER SALMON LAKES</t>
  </si>
  <si>
    <t>59:58:31.332 (59.97537) North</t>
  </si>
  <si>
    <t>152:40:16.824 (-152.67134) West</t>
  </si>
  <si>
    <t>SIMS</t>
  </si>
  <si>
    <t>323AE1CA</t>
  </si>
  <si>
    <t>41:04:16.6908 (41.071303) North</t>
  </si>
  <si>
    <t>122:22:11.7516 (-122.369931) West</t>
  </si>
  <si>
    <t>SINKIN</t>
  </si>
  <si>
    <t>Dent</t>
  </si>
  <si>
    <t>3271E1BE</t>
  </si>
  <si>
    <t>37:30:05.0004 (37.501389) North</t>
  </si>
  <si>
    <t>91:15:33.9984 (-91.259444) West</t>
  </si>
  <si>
    <t>Tim Bray</t>
  </si>
  <si>
    <t>Tim.Bray@usda.gov</t>
  </si>
  <si>
    <t xml:space="preserve">(573) 729-6656 </t>
  </si>
  <si>
    <t>timothy.bray@usda.gov; bennie.terrell@usda.gov</t>
  </si>
  <si>
    <t>SISIAK</t>
  </si>
  <si>
    <t>3961548A</t>
  </si>
  <si>
    <t>67:59:42.12 (67.995033) North</t>
  </si>
  <si>
    <t>160:23:44.34 (-160.39565) West</t>
  </si>
  <si>
    <t>Pam_Sousanes@nps.gov</t>
  </si>
  <si>
    <t>SISKIYOU MTN FIRE PORT</t>
  </si>
  <si>
    <t>32B11B8C</t>
  </si>
  <si>
    <t>42:07:31.5012 (42.125417) North</t>
  </si>
  <si>
    <t>122:42:29.7 (-122.70825) West</t>
  </si>
  <si>
    <t>Brett Brown</t>
  </si>
  <si>
    <t>brett.brown@usda.gov</t>
  </si>
  <si>
    <t xml:space="preserve">(541) 618-2102 </t>
  </si>
  <si>
    <t>SITE SUMMIT</t>
  </si>
  <si>
    <t>3263B3A8</t>
  </si>
  <si>
    <t>61:15:29.9988 (61.258333) North</t>
  </si>
  <si>
    <t>149:31:41.9988 (-149.528333) West</t>
  </si>
  <si>
    <t>SIUFAGA RIDGE</t>
  </si>
  <si>
    <t>32D670BE</t>
  </si>
  <si>
    <t>14:16:34.1004 (-14.276139) South</t>
  </si>
  <si>
    <t>170:43:18.6996 (-170.721861) West</t>
  </si>
  <si>
    <t>Eric .Johnson</t>
  </si>
  <si>
    <t>SJF1 DURANGO QD</t>
  </si>
  <si>
    <t>328097C0</t>
  </si>
  <si>
    <t>37:29:39.8004 (37.494389) North</t>
  </si>
  <si>
    <t>107:17:56.4 (-107.299) West</t>
  </si>
  <si>
    <t>SJF2 PAGOSA PORTABLE</t>
  </si>
  <si>
    <t>327FC33A</t>
  </si>
  <si>
    <t>37:18:33.7212 (37.309367) North</t>
  </si>
  <si>
    <t>107:09:50.2812 (-107.163967) West</t>
  </si>
  <si>
    <t>Fred Ellis</t>
  </si>
  <si>
    <t>fred.ellis@usda.gov</t>
  </si>
  <si>
    <t xml:space="preserve">(970) 264-1541 </t>
  </si>
  <si>
    <t>fred.ellis@usda.gov, kevin.lindner@usda.gov</t>
  </si>
  <si>
    <t>SJF5 DOLORES PORTABLE #2</t>
  </si>
  <si>
    <t>32E1111C</t>
  </si>
  <si>
    <t>37:29:42.9 (37.49525) North</t>
  </si>
  <si>
    <t>108:20:09.4812 (-108.335967) West</t>
  </si>
  <si>
    <t>Caleb Schutz</t>
  </si>
  <si>
    <t>caleb.schutz@usda.gov</t>
  </si>
  <si>
    <t xml:space="preserve">(928) 358-6225 </t>
  </si>
  <si>
    <t>Vince Mowery (Cell)</t>
  </si>
  <si>
    <t>SJSU FTS PORTABLE #1</t>
  </si>
  <si>
    <t>32BA7DC2</t>
  </si>
  <si>
    <t>37:19:57.2916 (37.332581) North</t>
  </si>
  <si>
    <t>121:52:55.4916 (-121.882081) West</t>
  </si>
  <si>
    <t>SKI HILL</t>
  </si>
  <si>
    <t>325E554C</t>
  </si>
  <si>
    <t>44:56:34.4292 (44.942897) North</t>
  </si>
  <si>
    <t>116:11:17.5092 (-116.188197) West</t>
  </si>
  <si>
    <t>Molly.booth@usda.gov</t>
  </si>
  <si>
    <t>SKIBO</t>
  </si>
  <si>
    <t>AAB044F6</t>
  </si>
  <si>
    <t>47:29:18.9996 (47.488611) North</t>
  </si>
  <si>
    <t>91:59:15.9 (-91.98775) West</t>
  </si>
  <si>
    <t>SKILAK GUARD STATION</t>
  </si>
  <si>
    <t>60:29:02.8788 (60.484133) North</t>
  </si>
  <si>
    <t>150:27:38.0412 (-150.460567) West</t>
  </si>
  <si>
    <t>Jeff Bouschor</t>
  </si>
  <si>
    <t>jeff_bouschor@fws.gov</t>
  </si>
  <si>
    <t xml:space="preserve">(907) 260-2845 </t>
  </si>
  <si>
    <t>SKULL GULCH</t>
  </si>
  <si>
    <t>3241E91C</t>
  </si>
  <si>
    <t>45:20:11.2992 (45.336472) North</t>
  </si>
  <si>
    <t>114:30:08.4996 (-114.502361) West</t>
  </si>
  <si>
    <t>SKYLAND</t>
  </si>
  <si>
    <t>32B1B5A6</t>
  </si>
  <si>
    <t>39:01:22.8 (39.023) North</t>
  </si>
  <si>
    <t>119:56:27.0996 (-119.940861) West</t>
  </si>
  <si>
    <t xml:space="preserve">(775) 443-8022 </t>
  </si>
  <si>
    <t>SLATE CREEK</t>
  </si>
  <si>
    <t>323BF046</t>
  </si>
  <si>
    <t>45:37:07.7016 (45.618806) North</t>
  </si>
  <si>
    <t>116:16:55.5996 (-116.282111) West</t>
  </si>
  <si>
    <t>3274B602</t>
  </si>
  <si>
    <t>41:20:30.3396 (41.341761) North</t>
  </si>
  <si>
    <t>123:39:35.8884 (-123.659969) West</t>
  </si>
  <si>
    <t>Zack Taylor</t>
  </si>
  <si>
    <t>zack.taylor@usda.gov</t>
  </si>
  <si>
    <t xml:space="preserve">(530) 627-3287 </t>
  </si>
  <si>
    <t>ahester@blm.gov, shuckstep@blm.gov, zack.taylor@usda.gov</t>
  </si>
  <si>
    <t>SLATER BUTTE</t>
  </si>
  <si>
    <t>323844C6</t>
  </si>
  <si>
    <t>41:51:30.0096 (41.858336) North</t>
  </si>
  <si>
    <t>123:21:13.1796 (-123.353661) West</t>
  </si>
  <si>
    <t>SLAUGHTER</t>
  </si>
  <si>
    <t>3233D20C</t>
  </si>
  <si>
    <t>34:03:38.0016 (34.060556) North</t>
  </si>
  <si>
    <t>108:26:40.9992 (-108.444722) West</t>
  </si>
  <si>
    <t>SLIDE MOUNTAIN</t>
  </si>
  <si>
    <t>44:27:44.7984 (44.462444) North</t>
  </si>
  <si>
    <t>120:17:40.0992 (-120.294472) West</t>
  </si>
  <si>
    <t>SLINGSTONE MASON</t>
  </si>
  <si>
    <t>32BB59D4</t>
  </si>
  <si>
    <t>CAMP BLAZ</t>
  </si>
  <si>
    <t>Phillip Villarreal</t>
  </si>
  <si>
    <t>Phillip.villarreal@usmc.mil</t>
  </si>
  <si>
    <t xml:space="preserve">(671) 355-9353 </t>
  </si>
  <si>
    <t>SLINGSTONE SKAGGS</t>
  </si>
  <si>
    <t>32BB629C</t>
  </si>
  <si>
    <t>phillip.villarreal@usmc.mil</t>
  </si>
  <si>
    <t>SLUMBERING HILLS</t>
  </si>
  <si>
    <t>32D08E26</t>
  </si>
  <si>
    <t>41:14:20.1984 (41.238944) North</t>
  </si>
  <si>
    <t>117:59:38.4 (-117.994) West</t>
  </si>
  <si>
    <t>AMLEE@blm.gov</t>
  </si>
  <si>
    <t>SMALL ARMS RANGE</t>
  </si>
  <si>
    <t>D0D03538</t>
  </si>
  <si>
    <t>64:48:49.3884 (64.813719) North</t>
  </si>
  <si>
    <t>147:37:43.6692 (-147.628797) West</t>
  </si>
  <si>
    <t>SMITH CREEK</t>
  </si>
  <si>
    <t>323F7368</t>
  </si>
  <si>
    <t>46:26:22.4916 (46.439581) North</t>
  </si>
  <si>
    <t>114:13:36.5592 (-114.226822) West</t>
  </si>
  <si>
    <t>SMITH PEAK</t>
  </si>
  <si>
    <t>327D7540</t>
  </si>
  <si>
    <t>34:06:53.4996 (34.114861) North</t>
  </si>
  <si>
    <t>113:20:50.3988 (-113.347333) West</t>
  </si>
  <si>
    <t>SMITH PEAK (STF)</t>
  </si>
  <si>
    <t>AAC3A5A6</t>
  </si>
  <si>
    <t>37:48:01.8792 (37.800522) North</t>
  </si>
  <si>
    <t>120:06:02.9196 (-120.100811) West</t>
  </si>
  <si>
    <t xml:space="preserve"> hector.medrano@usda.gov, ahester@blm.gov, bridget.pisciotta@usda.gov, david.reynolds@usda.gov, kellin.brown@usda.gov, patrick.laeng@usda.gov, shuckstep@blm.gov</t>
  </si>
  <si>
    <t>SMITH RAPIDS</t>
  </si>
  <si>
    <t>Price</t>
  </si>
  <si>
    <t>3268B000</t>
  </si>
  <si>
    <t>45:55:55.9992 (45.932222) North</t>
  </si>
  <si>
    <t>90:10:50.9988 (-90.180833) West</t>
  </si>
  <si>
    <t>SMITH RIVER</t>
  </si>
  <si>
    <t>32B58506</t>
  </si>
  <si>
    <t>41:53:07.1016 (41.885306) North</t>
  </si>
  <si>
    <t>124:08:27.6 (-124.141) West</t>
  </si>
  <si>
    <t>Nick Kappell</t>
  </si>
  <si>
    <t>nick.kappell@pacificorp.com</t>
  </si>
  <si>
    <t xml:space="preserve">(707) 465-7422 </t>
  </si>
  <si>
    <t>SMOKE 0116LOLO M1</t>
  </si>
  <si>
    <t>32B1F87E</t>
  </si>
  <si>
    <t>47:11:43.3788 (47.195383) North</t>
  </si>
  <si>
    <t>114:53:39.4188 (-114.894283) West</t>
  </si>
  <si>
    <t>DAFS02 - USFS SMOKE MONITORS</t>
  </si>
  <si>
    <t>DJ Johnson</t>
  </si>
  <si>
    <t>dani.johnson@usda.gov</t>
  </si>
  <si>
    <t xml:space="preserve">(406) 829-7070 </t>
  </si>
  <si>
    <t>Lorie Cotter</t>
  </si>
  <si>
    <t xml:space="preserve">(406) 822-3916 </t>
  </si>
  <si>
    <t>dani.johnson@usda.gov, daniel.campbell@usda.gov, lorie.cotter@usda.gov</t>
  </si>
  <si>
    <t>SMOKE 0116LOLO M2</t>
  </si>
  <si>
    <t>32B20126</t>
  </si>
  <si>
    <t>47:11:44 (47.195556) North</t>
  </si>
  <si>
    <t>114:53:38 (-114.893889) West</t>
  </si>
  <si>
    <t>Jim Ward</t>
  </si>
  <si>
    <t>jim.ward@usda.gov</t>
  </si>
  <si>
    <t xml:space="preserve">(406) 822-3943 </t>
  </si>
  <si>
    <t>chad.pickering@usda.gov, dani.johnson@usda.gov, jim.ward@usda.gov</t>
  </si>
  <si>
    <t>SMOKE 25</t>
  </si>
  <si>
    <t>3285B6EC</t>
  </si>
  <si>
    <t>46:50:49.9992 (46.847222) North</t>
  </si>
  <si>
    <t>113:11:49.9992 (-113.197222) West</t>
  </si>
  <si>
    <t>WO</t>
  </si>
  <si>
    <t>MTDC</t>
  </si>
  <si>
    <t>RON HUDSON</t>
  </si>
  <si>
    <t>ron.hudson@usda.gov</t>
  </si>
  <si>
    <t xml:space="preserve">(775) 778-6122 </t>
  </si>
  <si>
    <t>WRCC,NIFC,FEMS</t>
  </si>
  <si>
    <t>SMOKE BLM NV-WID #1 PM2.5</t>
  </si>
  <si>
    <t>32D1DCA0</t>
  </si>
  <si>
    <t>40:45:32.6016 (40.759056) North</t>
  </si>
  <si>
    <t>119:11:51.2988 (-119.197583) West</t>
  </si>
  <si>
    <t>K.C.Shedden</t>
  </si>
  <si>
    <t>kshedden@blm.gov</t>
  </si>
  <si>
    <t xml:space="preserve">(775) 304-2065 </t>
  </si>
  <si>
    <t>SMOKE BLM NV-WID #2 PM10</t>
  </si>
  <si>
    <t>32417C7E</t>
  </si>
  <si>
    <t>119:11:51.2016 (-119.197556) West</t>
  </si>
  <si>
    <t>K.C. Shedden</t>
  </si>
  <si>
    <t>SMOKE E-BAM 52</t>
  </si>
  <si>
    <t>32D7E726</t>
  </si>
  <si>
    <t>46:55:14.52 (46.9207) North</t>
  </si>
  <si>
    <t>114:05:45.6 (-114.096) West</t>
  </si>
  <si>
    <t>WES THROOP</t>
  </si>
  <si>
    <t>wthroop@fs.fed.us</t>
  </si>
  <si>
    <t xml:space="preserve">(406) 329-3957 </t>
  </si>
  <si>
    <t>SMOKE E-BAM 65</t>
  </si>
  <si>
    <t>AAB10506</t>
  </si>
  <si>
    <t>46:55:35.9 (46.926639) North</t>
  </si>
  <si>
    <t>114:05:48.3 (-114.09675) West</t>
  </si>
  <si>
    <t>Wesley Throop</t>
  </si>
  <si>
    <t>SMOKE EBAM 969</t>
  </si>
  <si>
    <t>32A0EE6C</t>
  </si>
  <si>
    <t>Michael Broughton</t>
  </si>
  <si>
    <t>michaelbroughton@fs.fed.us</t>
  </si>
  <si>
    <t xml:space="preserve">(303) 275-5243 </t>
  </si>
  <si>
    <t>SMOKE FWS #1</t>
  </si>
  <si>
    <t>326A2096</t>
  </si>
  <si>
    <t>40:26:49.5528 (40.447098) North</t>
  </si>
  <si>
    <t>104:59:09.1068 (-104.985863) West</t>
  </si>
  <si>
    <t>Mark Copple</t>
  </si>
  <si>
    <t>mcopple.usfs.ara@gmail.com</t>
  </si>
  <si>
    <t xml:space="preserve">(530) 957-1940 </t>
  </si>
  <si>
    <t>SMOKE MONITOR 1 RSF PORT</t>
  </si>
  <si>
    <t>32B22918</t>
  </si>
  <si>
    <t>42:12:00 (42.2) North</t>
  </si>
  <si>
    <t>122:42:36 (-122.71) West</t>
  </si>
  <si>
    <t>Rob Budge</t>
  </si>
  <si>
    <t>robert.budge@usda.gov</t>
  </si>
  <si>
    <t xml:space="preserve">John Wynn (Cell) </t>
  </si>
  <si>
    <t>john.wynn@usda.gov</t>
  </si>
  <si>
    <t xml:space="preserve">(530) 227-0210 </t>
  </si>
  <si>
    <t>SMOKE NPSYOSE 01</t>
  </si>
  <si>
    <t>920040A2</t>
  </si>
  <si>
    <t>Leland Tarnay</t>
  </si>
  <si>
    <t>ltarnay@nps.gov</t>
  </si>
  <si>
    <t xml:space="preserve">(209) 742-8899 </t>
  </si>
  <si>
    <t>Katy Warner</t>
  </si>
  <si>
    <t>katy_warner@nps.gov</t>
  </si>
  <si>
    <t xml:space="preserve">(209) 379-1421 </t>
  </si>
  <si>
    <t>SMOKE R8 55 (ANDREWS)</t>
  </si>
  <si>
    <t>32B1CDE4</t>
  </si>
  <si>
    <t>35:12:02.4984 (35.200694) North</t>
  </si>
  <si>
    <t>83:50:10.6008 (-83.836278) West</t>
  </si>
  <si>
    <t>Shannon Reed</t>
  </si>
  <si>
    <t>shannonreed@fs.fed.us</t>
  </si>
  <si>
    <t xml:space="preserve">(334) 241-8154 </t>
  </si>
  <si>
    <t>SMOKE RMK 100</t>
  </si>
  <si>
    <t>32B7F662</t>
  </si>
  <si>
    <t>39:42:55.0008 (39.715278) North</t>
  </si>
  <si>
    <t>105:07:26.0004 (-105.123889) West</t>
  </si>
  <si>
    <t xml:space="preserve"> Josh Hall</t>
  </si>
  <si>
    <t>joshua.hall@usda.gov</t>
  </si>
  <si>
    <t xml:space="preserve">(505) 697-1465 </t>
  </si>
  <si>
    <t>SMOKE RMK 101</t>
  </si>
  <si>
    <t>32B7EBC6</t>
  </si>
  <si>
    <t>Josh Hall</t>
  </si>
  <si>
    <t>Gregory Harshfield</t>
  </si>
  <si>
    <t>SMOKE RMK 101143</t>
  </si>
  <si>
    <t>32A0D524</t>
  </si>
  <si>
    <t>joshua.hall#usda.gov</t>
  </si>
  <si>
    <t>SMOKE RMK 102</t>
  </si>
  <si>
    <t>32B7E514</t>
  </si>
  <si>
    <t>SMOKE RMK 103</t>
  </si>
  <si>
    <t>32B7DE5C</t>
  </si>
  <si>
    <t>SMOKE RMK 104</t>
  </si>
  <si>
    <t>AAC037CA</t>
  </si>
  <si>
    <t>SMOKE RMK 105</t>
  </si>
  <si>
    <t>AAC0415A</t>
  </si>
  <si>
    <t>SMOKE RMK 106</t>
  </si>
  <si>
    <t>32D59442</t>
  </si>
  <si>
    <t xml:space="preserve">joshua.hall@usda.gov </t>
  </si>
  <si>
    <t>SMOKE RMK 107</t>
  </si>
  <si>
    <t>32D5A1D8</t>
  </si>
  <si>
    <t xml:space="preserve"> mcopple.usfs.ara@gmail.com </t>
  </si>
  <si>
    <t>Joshua.hall@usda.gov</t>
  </si>
  <si>
    <t>SMOKE RMK 108</t>
  </si>
  <si>
    <t>32B60ACE</t>
  </si>
  <si>
    <t>Josh Haul</t>
  </si>
  <si>
    <t>SMOKE RMK 109</t>
  </si>
  <si>
    <t>32D6B5A0</t>
  </si>
  <si>
    <t xml:space="preserve">mcopple@usfs.ara@gmail.com </t>
  </si>
  <si>
    <t>Joahua.hall@usda.gov</t>
  </si>
  <si>
    <t>SMOKE RMK 110</t>
  </si>
  <si>
    <t>32D33474</t>
  </si>
  <si>
    <t>39:42:54 (39.715) North</t>
  </si>
  <si>
    <t>SMOKE RMK 111</t>
  </si>
  <si>
    <t>32A2086A</t>
  </si>
  <si>
    <t>SMOKE RMK 112</t>
  </si>
  <si>
    <t>AAC01126</t>
  </si>
  <si>
    <t>SMOKE RMK 113</t>
  </si>
  <si>
    <t>AAC067B6</t>
  </si>
  <si>
    <t>SMOKE RMK 114</t>
  </si>
  <si>
    <t>AAC0522C</t>
  </si>
  <si>
    <t>SMOKE RMK 115</t>
  </si>
  <si>
    <t>AA1087BE</t>
  </si>
  <si>
    <t>SMOKE RMK 116</t>
  </si>
  <si>
    <t>3910A358</t>
  </si>
  <si>
    <t>SMOKE RMK 117</t>
  </si>
  <si>
    <t>3281864C</t>
  </si>
  <si>
    <t>SMOKE RMK 118</t>
  </si>
  <si>
    <t>327752FE</t>
  </si>
  <si>
    <t>SMOKE RMK 119</t>
  </si>
  <si>
    <t>3278F494</t>
  </si>
  <si>
    <t>SMOKE RMK 120</t>
  </si>
  <si>
    <t>AA1136CA</t>
  </si>
  <si>
    <t>39:42:52.9992 (39.714722) North</t>
  </si>
  <si>
    <t>SMOKE RMK 121</t>
  </si>
  <si>
    <t>32D5B2AE</t>
  </si>
  <si>
    <t>SMOKE RMK 122</t>
  </si>
  <si>
    <t>32D5C43E</t>
  </si>
  <si>
    <t>SMOKE RMK 123</t>
  </si>
  <si>
    <t>32A22E86</t>
  </si>
  <si>
    <t>SMOKE RMK 124</t>
  </si>
  <si>
    <t>32A215CE</t>
  </si>
  <si>
    <t>SMOKE RMK 125</t>
  </si>
  <si>
    <t>32D342E4</t>
  </si>
  <si>
    <t>SMOKE RMK 126</t>
  </si>
  <si>
    <t>32D36408</t>
  </si>
  <si>
    <t>Josh.hall@usda.gov</t>
  </si>
  <si>
    <t>SMOKE RMK 127</t>
  </si>
  <si>
    <t>32A21B1C</t>
  </si>
  <si>
    <t>SMOKE RMK 128</t>
  </si>
  <si>
    <t>32A22054</t>
  </si>
  <si>
    <t>SMOKE RMK 129</t>
  </si>
  <si>
    <t>32B133B2</t>
  </si>
  <si>
    <t>SMOKE RMK 130</t>
  </si>
  <si>
    <t>327B850A</t>
  </si>
  <si>
    <t>39:42:51.9984 (39.714444) North</t>
  </si>
  <si>
    <t>SMOKE RMK 131</t>
  </si>
  <si>
    <t>396240F2</t>
  </si>
  <si>
    <t>SMOKE RMK 400</t>
  </si>
  <si>
    <t>32B05A7C</t>
  </si>
  <si>
    <t>39:42:51.0012 (39.714167) North</t>
  </si>
  <si>
    <t>SMOKE RMK 401</t>
  </si>
  <si>
    <t>32B0DC68</t>
  </si>
  <si>
    <t>SMOKE RMK 402</t>
  </si>
  <si>
    <t>32B12E16</t>
  </si>
  <si>
    <t>SMOKE RMK 403</t>
  </si>
  <si>
    <t>32B18EEE</t>
  </si>
  <si>
    <t>SMOKE RMK 404</t>
  </si>
  <si>
    <t>32B19D98</t>
  </si>
  <si>
    <t>SMOKE RMK 405</t>
  </si>
  <si>
    <t>32B2FF70</t>
  </si>
  <si>
    <t>SMOKE RMK 406</t>
  </si>
  <si>
    <t>32B4A110</t>
  </si>
  <si>
    <t>SMOKE RMK 407</t>
  </si>
  <si>
    <t>AAB576AC</t>
  </si>
  <si>
    <t>SMOKE RMK 408</t>
  </si>
  <si>
    <t>32A0F3C8</t>
  </si>
  <si>
    <t>SMOKE RMK 409</t>
  </si>
  <si>
    <t>32A0DBF6</t>
  </si>
  <si>
    <t>SMOKE RMK 410</t>
  </si>
  <si>
    <t>32A23322</t>
  </si>
  <si>
    <t>39:42:50.0004 (39.713889) North</t>
  </si>
  <si>
    <t>SMOKE RMK 411</t>
  </si>
  <si>
    <t>32A1EC96</t>
  </si>
  <si>
    <t>SMOKE RMK 412</t>
  </si>
  <si>
    <t>AAB58628</t>
  </si>
  <si>
    <t>SMOKE RMK 413</t>
  </si>
  <si>
    <t>AAB5955E</t>
  </si>
  <si>
    <t>SMOKE RMK 414</t>
  </si>
  <si>
    <t>32A0E0BE</t>
  </si>
  <si>
    <t>SMOKE RMK 415</t>
  </si>
  <si>
    <t>AAB5A0C4</t>
  </si>
  <si>
    <t>SMOKE USFS 3015</t>
  </si>
  <si>
    <t>32B24CFE</t>
  </si>
  <si>
    <t>Jenny Newton</t>
  </si>
  <si>
    <t>jonewton@fs.fed.us</t>
  </si>
  <si>
    <t xml:space="preserve">(406) 329-3931 </t>
  </si>
  <si>
    <t>SMOKE USFS 3016</t>
  </si>
  <si>
    <t>32B25F88</t>
  </si>
  <si>
    <t>SMOKE USFS 86</t>
  </si>
  <si>
    <t>3290905E</t>
  </si>
  <si>
    <t>SMOKE USFS R1-306</t>
  </si>
  <si>
    <t>AAB55040</t>
  </si>
  <si>
    <t>46:55:38.6 (46.927389) North</t>
  </si>
  <si>
    <t>114:05:42.2 (-114.095056) West</t>
  </si>
  <si>
    <t>Thomas Dzomba</t>
  </si>
  <si>
    <t>tdzomba@fs.fed.us</t>
  </si>
  <si>
    <t xml:space="preserve">(406) 329-3672 </t>
  </si>
  <si>
    <t>SMOKE USFS R1-307</t>
  </si>
  <si>
    <t>AAB565DA</t>
  </si>
  <si>
    <t>SMOKE USFS R1-39</t>
  </si>
  <si>
    <t>3286970E</t>
  </si>
  <si>
    <t>46:55:38.6004 (46.927389) North</t>
  </si>
  <si>
    <t>114:05:42.2016 (-114.095056) West</t>
  </si>
  <si>
    <t>Jill Webster</t>
  </si>
  <si>
    <t>jill.webster@usda.gov</t>
  </si>
  <si>
    <t>SMOKE USFS R1-52</t>
  </si>
  <si>
    <t>328ED0A2</t>
  </si>
  <si>
    <t>SMOKE USFS R1-53</t>
  </si>
  <si>
    <t>328CB0B0</t>
  </si>
  <si>
    <t>SMOKE USFS R2-264</t>
  </si>
  <si>
    <t>AAB5B3B2</t>
  </si>
  <si>
    <t>Eric Schroder</t>
  </si>
  <si>
    <t>eschroder@fs.fed.us</t>
  </si>
  <si>
    <t xml:space="preserve">(303) 541-2538 </t>
  </si>
  <si>
    <t>SMOKE USFS R2-265</t>
  </si>
  <si>
    <t>AAB5C522</t>
  </si>
  <si>
    <t>SMOKE USFS R2-69</t>
  </si>
  <si>
    <t>32D387FA</t>
  </si>
  <si>
    <t>38:58:45.0012 (38.979167) North</t>
  </si>
  <si>
    <t>105:21:11.0016 (-105.353056) West</t>
  </si>
  <si>
    <t>Mike Hessler</t>
  </si>
  <si>
    <t>mike.hessler@usda.gov</t>
  </si>
  <si>
    <t xml:space="preserve">(719) 836-2031 </t>
  </si>
  <si>
    <t>jeffrey.bade@fs.fed.us, mike.hessler@usda.gov</t>
  </si>
  <si>
    <t>SMOKE USFS R2-78</t>
  </si>
  <si>
    <t>32D717A2</t>
  </si>
  <si>
    <t>DEBRA MILLER</t>
  </si>
  <si>
    <t>dcmiller@fs.fed.us</t>
  </si>
  <si>
    <t xml:space="preserve">(303) 275-5317 </t>
  </si>
  <si>
    <t>SMOKE USFS R3 - 28</t>
  </si>
  <si>
    <t>AAA13702</t>
  </si>
  <si>
    <t>jdhall@fs.fed.us</t>
  </si>
  <si>
    <t xml:space="preserve">(505) 842-5319 </t>
  </si>
  <si>
    <t>SMOKE USFS R3 - 86</t>
  </si>
  <si>
    <t>AA11C64E</t>
  </si>
  <si>
    <t>SMOKE USFS R5-39</t>
  </si>
  <si>
    <t>AAB11670</t>
  </si>
  <si>
    <t>36:54:39.6 (36.911) North</t>
  </si>
  <si>
    <t>119:18:21.8999 (-119.306083) West</t>
  </si>
  <si>
    <t>Guadalupe Amezquita</t>
  </si>
  <si>
    <t>gamezquita@fs.fed.us</t>
  </si>
  <si>
    <t xml:space="preserve">(599) 310-0553 </t>
  </si>
  <si>
    <t>SMOKE USFS R5-49</t>
  </si>
  <si>
    <t>AAB123EA</t>
  </si>
  <si>
    <t>36:01:16.9 (36.021361) North</t>
  </si>
  <si>
    <t>118:08:12.8 (-118.136889) West</t>
  </si>
  <si>
    <t xml:space="preserve">(559) 310-0553 </t>
  </si>
  <si>
    <t>SMOKE USFS R8 35</t>
  </si>
  <si>
    <t>Buncombe</t>
  </si>
  <si>
    <t>32B50312</t>
  </si>
  <si>
    <t>35:01:24.9 (35.023583) North</t>
  </si>
  <si>
    <t>83:39:40.5 (-83.66125) West</t>
  </si>
  <si>
    <t>Dan Stratton</t>
  </si>
  <si>
    <t>dan.stratton@usda.gov</t>
  </si>
  <si>
    <t xml:space="preserve">(828) 257-4226 </t>
  </si>
  <si>
    <t>SMOKE USFS R8-33</t>
  </si>
  <si>
    <t>32D5D748</t>
  </si>
  <si>
    <t>35:35:05.37 (35.584825) North</t>
  </si>
  <si>
    <t>82:33:56.05 (-82.565569) West</t>
  </si>
  <si>
    <t>SMOKE USFS R8-34</t>
  </si>
  <si>
    <t>32B21250</t>
  </si>
  <si>
    <t>SMOKE USFS R8-56 (FRKLN)</t>
  </si>
  <si>
    <t>32B1D040</t>
  </si>
  <si>
    <t>35:10:11.7 (35.169917) North</t>
  </si>
  <si>
    <t>83:24:14.5 (-83.404028) West</t>
  </si>
  <si>
    <t>shannon.reed@usda.gov</t>
  </si>
  <si>
    <t xml:space="preserve">(505) 842-3437 </t>
  </si>
  <si>
    <t>SMOKE USFS R9 - 15</t>
  </si>
  <si>
    <t>Grafton</t>
  </si>
  <si>
    <t>46:55:37.2 (46.927) North</t>
  </si>
  <si>
    <t>114:05:42 (-114.095) West</t>
  </si>
  <si>
    <t>WHITE MOUNTAIN NF</t>
  </si>
  <si>
    <t>Ralph Perron</t>
  </si>
  <si>
    <t>rperron@fs.fed.us</t>
  </si>
  <si>
    <t xml:space="preserve">(802) 222-1444 </t>
  </si>
  <si>
    <t>SMOKE USFS R9 - 17</t>
  </si>
  <si>
    <t>327A5198</t>
  </si>
  <si>
    <t>SMOKE USFS R9-16</t>
  </si>
  <si>
    <t>328D2728</t>
  </si>
  <si>
    <t>47:54:11.5992 (47.903222) North</t>
  </si>
  <si>
    <t>91:52:01.5996 (-91.867111) West</t>
  </si>
  <si>
    <t>Trent Wickman</t>
  </si>
  <si>
    <t>twickman@fs.fed.us</t>
  </si>
  <si>
    <t xml:space="preserve">(218) 626-4372 </t>
  </si>
  <si>
    <t>SMOKE USFS R9-3017</t>
  </si>
  <si>
    <t>Phelps</t>
  </si>
  <si>
    <t>32B27964</t>
  </si>
  <si>
    <t>SMOKE USFS R9-3018</t>
  </si>
  <si>
    <t>32B28732</t>
  </si>
  <si>
    <t>SMOKE USFS R9-60</t>
  </si>
  <si>
    <t>32A066AA</t>
  </si>
  <si>
    <t>46:42:30.1 (46.708361) North</t>
  </si>
  <si>
    <t>92:12:47.1 (-92.213083) West</t>
  </si>
  <si>
    <t>SMOKEY BEAR</t>
  </si>
  <si>
    <t>33:21:00.6012 (33.350167) North</t>
  </si>
  <si>
    <t>105:41:09.8016 (-105.686056) West</t>
  </si>
  <si>
    <t>JW McCoy</t>
  </si>
  <si>
    <t>john.mccoy@usda.gov</t>
  </si>
  <si>
    <t xml:space="preserve">(575) 808-9572 </t>
  </si>
  <si>
    <t>SNAKE DEN</t>
  </si>
  <si>
    <t>D0E006D2</t>
  </si>
  <si>
    <t>41:49:00.0012 (41.816667) North</t>
  </si>
  <si>
    <t>71:31:59.0016 (-71.533056) West</t>
  </si>
  <si>
    <t>RI FORESTRY</t>
  </si>
  <si>
    <t>RIFDRN - Rhode Island Forestry</t>
  </si>
  <si>
    <t>Olney Knight</t>
  </si>
  <si>
    <t>olney.knight@dem.ri.gov</t>
  </si>
  <si>
    <t xml:space="preserve">(401) 539-2356 </t>
  </si>
  <si>
    <t>SNAKE RIVER</t>
  </si>
  <si>
    <t>325E8324</t>
  </si>
  <si>
    <t>45:05:58.9812 (45.099717) North</t>
  </si>
  <si>
    <t>116:44:16.1412 (-116.737817) West</t>
  </si>
  <si>
    <t xml:space="preserve">(208) 634-038 </t>
  </si>
  <si>
    <t>SNF01 PORTABLE</t>
  </si>
  <si>
    <t>328FD258</t>
  </si>
  <si>
    <t>37:09:42.3612 (37.161767) North</t>
  </si>
  <si>
    <t>119:11:59.1612 (-119.199767) West</t>
  </si>
  <si>
    <t>Robert Griffith (Work Cell)</t>
  </si>
  <si>
    <t xml:space="preserve">(559) 365-4627 </t>
  </si>
  <si>
    <t>SNF02 PORTABLE</t>
  </si>
  <si>
    <t>32B479AA</t>
  </si>
  <si>
    <t>37:28:36.5988 (37.476833) North</t>
  </si>
  <si>
    <t>119:35:17.988 (-119.58833) West</t>
  </si>
  <si>
    <t>SNF03 PORTABLE</t>
  </si>
  <si>
    <t>3230857E</t>
  </si>
  <si>
    <t>37:10:57.7488 (37.182708) North</t>
  </si>
  <si>
    <t>119:16:05.4012 (-119.268167) West</t>
  </si>
  <si>
    <t>SNF04 PORTABLE</t>
  </si>
  <si>
    <t>37:11:29.2812 (37.191467) North</t>
  </si>
  <si>
    <t>119:16:01.92 (-119.2672) West</t>
  </si>
  <si>
    <t>SNF06 PORTABLE</t>
  </si>
  <si>
    <t>3290164A</t>
  </si>
  <si>
    <t>37:15:06.5988 (37.251833) North</t>
  </si>
  <si>
    <t>119:09:29.7612 (-119.158267) West</t>
  </si>
  <si>
    <t>SNIDER BASIN</t>
  </si>
  <si>
    <t>325F2126</t>
  </si>
  <si>
    <t>42:29:26.9988 (42.490833) North</t>
  </si>
  <si>
    <t>110:31:36.0012 (-110.526667) West</t>
  </si>
  <si>
    <t>SNIPE LAKE</t>
  </si>
  <si>
    <t>328041A8</t>
  </si>
  <si>
    <t>60:36:37.0008 (60.610278) North</t>
  </si>
  <si>
    <t>154:19:12 (-154.32) West</t>
  </si>
  <si>
    <t>SNOW SPRINGS CREEK</t>
  </si>
  <si>
    <t>41:25:03 (41.4175) North</t>
  </si>
  <si>
    <t>109:02:09.9996 (-109.036111) West</t>
  </si>
  <si>
    <t>SOCORRO PORTABLE #1</t>
  </si>
  <si>
    <t>327B66F8</t>
  </si>
  <si>
    <t>33:47:14.1 (33.78725) North</t>
  </si>
  <si>
    <t>107:28:19.6788 (-107.472133) West</t>
  </si>
  <si>
    <t>Lino Baca (Cell)</t>
  </si>
  <si>
    <t xml:space="preserve">(575) 518-8727 </t>
  </si>
  <si>
    <t>Zach Saavedra</t>
  </si>
  <si>
    <t>rsaavedr@blm.gov</t>
  </si>
  <si>
    <t xml:space="preserve">(505) 508-6093 </t>
  </si>
  <si>
    <t>SOCORRO PORTABLE #2</t>
  </si>
  <si>
    <t>33:12:49.0176 (33.213616) North</t>
  </si>
  <si>
    <t>106:42:26.82 (-106.70745) West</t>
  </si>
  <si>
    <t>rsaavedra@blm.gov</t>
  </si>
  <si>
    <t>SODA BUTTE</t>
  </si>
  <si>
    <t>AAB02110</t>
  </si>
  <si>
    <t>45:00:50.1984 (45.013944) North</t>
  </si>
  <si>
    <t>110:02:19.2984 (-110.038694) West</t>
  </si>
  <si>
    <t>SODA CREEK</t>
  </si>
  <si>
    <t>325F07CA</t>
  </si>
  <si>
    <t>39:25:30 (39.425) North</t>
  </si>
  <si>
    <t>122:58:37.9992 (-122.977222) West</t>
  </si>
  <si>
    <t>323591C8</t>
  </si>
  <si>
    <t>39:33:36 (39.56) North</t>
  </si>
  <si>
    <t>105:59:08.0016 (-105.985556) West</t>
  </si>
  <si>
    <t xml:space="preserve">(970) 257-4800 </t>
  </si>
  <si>
    <t>SODA SPRINGS</t>
  </si>
  <si>
    <t>327A42EE</t>
  </si>
  <si>
    <t>45:43:43.3884 (45.728719) North</t>
  </si>
  <si>
    <t>108:23:47.5512 (-108.396542) West</t>
  </si>
  <si>
    <t>SOFT ROCK</t>
  </si>
  <si>
    <t>32B780F2</t>
  </si>
  <si>
    <t>46:19:21.6588 (46.322683) North</t>
  </si>
  <si>
    <t>114:02:19.7016 (-114.038806) West</t>
  </si>
  <si>
    <t>SOLDIER MTN</t>
  </si>
  <si>
    <t>CA20B63A</t>
  </si>
  <si>
    <t>40:55:36.4116 (40.926781) North</t>
  </si>
  <si>
    <t>121:35:03.57 (-121.584325) West</t>
  </si>
  <si>
    <t>SOLDOTNA AKKKS</t>
  </si>
  <si>
    <t>32D7B75A</t>
  </si>
  <si>
    <t>60:29:47.6988 (60.496583) North</t>
  </si>
  <si>
    <t>151:00:50.6412 (-151.014067) West</t>
  </si>
  <si>
    <t>SOMERSET</t>
  </si>
  <si>
    <t>3284B416</t>
  </si>
  <si>
    <t>37:03:09.7092 (37.052697) North</t>
  </si>
  <si>
    <t>84:36:49.3596 (-84.613711) West</t>
  </si>
  <si>
    <t>Mike Tapley</t>
  </si>
  <si>
    <t>michael.tapley@usda.gov</t>
  </si>
  <si>
    <t xml:space="preserve">(606) 303-3032 </t>
  </si>
  <si>
    <t>brock.campbell@usda.gov, jeremy.park@usda.gov, m.tapley@usda.gov, nathan.white@usda.gov</t>
  </si>
  <si>
    <t>SOMES BAR</t>
  </si>
  <si>
    <t>323892AE</t>
  </si>
  <si>
    <t>41:23:24.2484 (41.390069) North</t>
  </si>
  <si>
    <t>123:29:33.6192 (-123.492672) West</t>
  </si>
  <si>
    <t>wayne.escobar@usda.gov</t>
  </si>
  <si>
    <t>ahester@blm.gov, kaily.fineran@usda.gov, shuckstep@blm.gov, zack.taylor@usda.gov</t>
  </si>
  <si>
    <t>SOUTH AUSTIN RAWS</t>
  </si>
  <si>
    <t>AAAFD098</t>
  </si>
  <si>
    <t>30:10:36.0012 (30.176667) North</t>
  </si>
  <si>
    <t>97:52:27.0012 (-97.874167) West</t>
  </si>
  <si>
    <t>SOUTH FORK</t>
  </si>
  <si>
    <t>6000F2EA</t>
  </si>
  <si>
    <t>45:35:43.0008 (45.595278) North</t>
  </si>
  <si>
    <t>123:29:00.9996 (-123.483611) West</t>
  </si>
  <si>
    <t>Kevin Hill</t>
  </si>
  <si>
    <t>kevin.m.hill@odf.oregon.gov</t>
  </si>
  <si>
    <t xml:space="preserve">(503) 815-7051 </t>
  </si>
  <si>
    <t>SOUTH FORK JUDITH</t>
  </si>
  <si>
    <t>Judith Basin</t>
  </si>
  <si>
    <t>3291D1AE</t>
  </si>
  <si>
    <t>46:43:22.0008 (46.722778) North</t>
  </si>
  <si>
    <t>110:24:23.0004 (-110.406389) West</t>
  </si>
  <si>
    <t xml:space="preserve">Cliff Reynolds </t>
  </si>
  <si>
    <t>clifford.reynolds@usda.gov</t>
  </si>
  <si>
    <t xml:space="preserve">(406) 366-3707 </t>
  </si>
  <si>
    <t xml:space="preserve">Matt Plagenz </t>
  </si>
  <si>
    <t>matthew.plagenz@usda.gov</t>
  </si>
  <si>
    <t xml:space="preserve">(406) 632-4391 </t>
  </si>
  <si>
    <t>SOUTH REPUBLICAN</t>
  </si>
  <si>
    <t>32A24B60</t>
  </si>
  <si>
    <t>39:37:33.3984 (39.625944) North</t>
  </si>
  <si>
    <t>102:07:20.6004 (-102.122389) West</t>
  </si>
  <si>
    <t>SOUTH SAWMILL CREEK</t>
  </si>
  <si>
    <t>325AF08E</t>
  </si>
  <si>
    <t>47:33:43.7004 (47.562139) North</t>
  </si>
  <si>
    <t>107:31:42.6 (-107.5285) West</t>
  </si>
  <si>
    <t>SOUTH ZONE PORTABLE</t>
  </si>
  <si>
    <t>Smyth</t>
  </si>
  <si>
    <t>32B34E04</t>
  </si>
  <si>
    <t>36:46:03.5004 (36.767639) North</t>
  </si>
  <si>
    <t>81:23:40.2 (-81.3945) West</t>
  </si>
  <si>
    <t>SOUTHERN ROUGH</t>
  </si>
  <si>
    <t>FA634432</t>
  </si>
  <si>
    <t>30:32:40.9992 (30.544722) North</t>
  </si>
  <si>
    <t>94:20:45.9996 (-94.346111) West</t>
  </si>
  <si>
    <t>RODNEY MONK</t>
  </si>
  <si>
    <t xml:space="preserve">(409) 951-6855 </t>
  </si>
  <si>
    <t>Conor McInnerney</t>
  </si>
  <si>
    <t>conor_mcinnerney@nps.gov</t>
  </si>
  <si>
    <t xml:space="preserve">(409) 679-3878 </t>
  </si>
  <si>
    <t>SOUTHFORK</t>
  </si>
  <si>
    <t>328A40FA</t>
  </si>
  <si>
    <t>45:53:25.0008 (45.890278) North</t>
  </si>
  <si>
    <t>115:59:22.9992 (-115.989722) West</t>
  </si>
  <si>
    <t>SOUTHWEST REGIONAL PARK</t>
  </si>
  <si>
    <t>C2E01FB6</t>
  </si>
  <si>
    <t>30:33:27.3096 (30.557586) North</t>
  </si>
  <si>
    <t>97:45:52.9416 (-97.764706) West</t>
  </si>
  <si>
    <t>SOWATS</t>
  </si>
  <si>
    <t>32BC6E7A</t>
  </si>
  <si>
    <t>36:28:56.7012 (36.482417) North</t>
  </si>
  <si>
    <t>112:25:22.1016 (-112.422806) West</t>
  </si>
  <si>
    <t>Dave Gesser</t>
  </si>
  <si>
    <t>dave.gesser@usda.gov</t>
  </si>
  <si>
    <t xml:space="preserve">(928) 925-5533 </t>
  </si>
  <si>
    <t>Andrew Leiendecker</t>
  </si>
  <si>
    <t>andrew.leiendecker@usda.gov</t>
  </si>
  <si>
    <t xml:space="preserve">(970) 635-8350 </t>
  </si>
  <si>
    <t>SPARTA BUTTE</t>
  </si>
  <si>
    <t>3234E5A2</t>
  </si>
  <si>
    <t>44:54:54.3996 (44.915111) North</t>
  </si>
  <si>
    <t>117:23:06 (-117.385) West</t>
  </si>
  <si>
    <t>SPEARFISH</t>
  </si>
  <si>
    <t>3281953A</t>
  </si>
  <si>
    <t>44:27:29.6388 (44.458233) North</t>
  </si>
  <si>
    <t>103:49:07.4388 (-103.818733) West</t>
  </si>
  <si>
    <t>SPECTACLE LAKE</t>
  </si>
  <si>
    <t>32B2EC06</t>
  </si>
  <si>
    <t>48:49:48 (48.83) North</t>
  </si>
  <si>
    <t>119:30:23.0004 (-119.506389) West</t>
  </si>
  <si>
    <t>SPINCICH LAKE</t>
  </si>
  <si>
    <t>Luce</t>
  </si>
  <si>
    <t>080003C2</t>
  </si>
  <si>
    <t>46:27:25.2 (46.457) North</t>
  </si>
  <si>
    <t>85:37:39.792 (-85.62772) West</t>
  </si>
  <si>
    <t>SPLIT ROCK CREEK</t>
  </si>
  <si>
    <t>3278B79E</t>
  </si>
  <si>
    <t>43:33:41.0004 (43.561389) North</t>
  </si>
  <si>
    <t>107:23:42 (-107.395) West</t>
  </si>
  <si>
    <t>SPODUE MOUNTAIN</t>
  </si>
  <si>
    <t>32B02CEC</t>
  </si>
  <si>
    <t>Will Carlson</t>
  </si>
  <si>
    <t>william.carlson@pacificorp.com</t>
  </si>
  <si>
    <t xml:space="preserve">(541) 883-7822 </t>
  </si>
  <si>
    <t>SPOKANE BLM QD #1</t>
  </si>
  <si>
    <t>AAC13530</t>
  </si>
  <si>
    <t>47:32:53.9988 (47.548333) North</t>
  </si>
  <si>
    <t>118:02:02.7996 (-118.034111) West</t>
  </si>
  <si>
    <t>Jason Scott</t>
  </si>
  <si>
    <t>jjscott@blm.gov</t>
  </si>
  <si>
    <t xml:space="preserve">(208) 818-1106 </t>
  </si>
  <si>
    <t>Lonnie Newton (Cell)</t>
  </si>
  <si>
    <t xml:space="preserve">(208) 501-4019 </t>
  </si>
  <si>
    <t>SPOTTED BEAR LOOKOUT</t>
  </si>
  <si>
    <t>32B85EDA</t>
  </si>
  <si>
    <t>47:54:13.7016 (47.903806) North</t>
  </si>
  <si>
    <t>113:26:25.8 (-113.4405) West</t>
  </si>
  <si>
    <t>james.flint@usda.gov</t>
  </si>
  <si>
    <t xml:space="preserve">(406) 758-6461 </t>
  </si>
  <si>
    <t>ahester@blm.gov, james.flint@usda.gov, jason.monroe@usda.gov</t>
  </si>
  <si>
    <t>SPOTTED BEAR RS</t>
  </si>
  <si>
    <t>323A5244</t>
  </si>
  <si>
    <t>47:55:26.0004 (47.923889) North</t>
  </si>
  <si>
    <t>113:31:28.9992 (-113.524722) West</t>
  </si>
  <si>
    <t>ahester@blm.gov, jason.monroe@usda.gov, jim.flint@usda.gov</t>
  </si>
  <si>
    <t>SPRING CANYON</t>
  </si>
  <si>
    <t>FA500646</t>
  </si>
  <si>
    <t>47:56:04.9992 (47.934722) North</t>
  </si>
  <si>
    <t>118:56:04.9992 (-118.934722) West</t>
  </si>
  <si>
    <t xml:space="preserve">(509) 754-7816 </t>
  </si>
  <si>
    <t>SPRING GULCH</t>
  </si>
  <si>
    <t>3252D2C4</t>
  </si>
  <si>
    <t>40:35:35.1996 (40.593111) North</t>
  </si>
  <si>
    <t>114:12:17.7984 (-114.204944) West</t>
  </si>
  <si>
    <t>SPRING VALLEY</t>
  </si>
  <si>
    <t>CA40A77E</t>
  </si>
  <si>
    <t>37:33:45 (37.5625) North</t>
  </si>
  <si>
    <t>122:26:11.0004 (-122.436389) West</t>
  </si>
  <si>
    <t>SPRUCE MOUNTAIN</t>
  </si>
  <si>
    <t>325B9792</t>
  </si>
  <si>
    <t>40:26:17.3004 (40.438139) North</t>
  </si>
  <si>
    <t>114:48:36.6012 (-114.810167) West</t>
  </si>
  <si>
    <t>SQF01 PORTABLE</t>
  </si>
  <si>
    <t>3239B6B8</t>
  </si>
  <si>
    <t>36:08:11.0004 (36.136389) North</t>
  </si>
  <si>
    <t>118:48:38.8008 (-118.810778) West</t>
  </si>
  <si>
    <t xml:space="preserve">Aaron Woodyard </t>
  </si>
  <si>
    <t xml:space="preserve">(559) 462-9488 </t>
  </si>
  <si>
    <t xml:space="preserve">(559) 539-2607 </t>
  </si>
  <si>
    <t>SQF02 PORTABLE</t>
  </si>
  <si>
    <t>32B69FAC</t>
  </si>
  <si>
    <t>36:41:49.3188 (36.697033) North</t>
  </si>
  <si>
    <t>118:57:09.4212 (-118.952617) West</t>
  </si>
  <si>
    <t>Robert Benik</t>
  </si>
  <si>
    <t>robert.benik@usda.gov</t>
  </si>
  <si>
    <t xml:space="preserve">(559) 301-5796 </t>
  </si>
  <si>
    <t>Trevor Drake</t>
  </si>
  <si>
    <t>Trevor.Drake@usda.gov</t>
  </si>
  <si>
    <t xml:space="preserve">(559) 972-4012 </t>
  </si>
  <si>
    <t>nora.ratto@usda.gov, shuckstep@blm.gov</t>
  </si>
  <si>
    <t>SQF03 PORTABLE</t>
  </si>
  <si>
    <t>32B6917E</t>
  </si>
  <si>
    <t>36:41:10.5 (36.68625) North</t>
  </si>
  <si>
    <t>118:57:01.8 (-118.9505) West</t>
  </si>
  <si>
    <t>trevor.drake@usda.gov, nora.ratto@usda.gov</t>
  </si>
  <si>
    <t>nora.ratto@usda.gov, robert.benik@usda.gov, shuckstep@blm.gov, trevor.drake@usda.gov</t>
  </si>
  <si>
    <t>SRF PORTABLE 53 BRAVO</t>
  </si>
  <si>
    <t>32B429D6</t>
  </si>
  <si>
    <t>40:59:07.08 (40.9853) North</t>
  </si>
  <si>
    <t>123:35:29.58 (-123.59155) West</t>
  </si>
  <si>
    <t>Jason Niehaus</t>
  </si>
  <si>
    <t>jason.niehaus@usda.gov</t>
  </si>
  <si>
    <t xml:space="preserve">(707) 572-6211 </t>
  </si>
  <si>
    <t>SRF PORTABLE 53 CHARLIE</t>
  </si>
  <si>
    <t>32B487FC</t>
  </si>
  <si>
    <t>SRF50 PORTABLE</t>
  </si>
  <si>
    <t>32B4640E</t>
  </si>
  <si>
    <t>41:22:44.0004 (41.378889) North</t>
  </si>
  <si>
    <t>123:26:47.0004 (-123.446389) West</t>
  </si>
  <si>
    <t>Aaron Utterback</t>
  </si>
  <si>
    <t>Aaron.Utterback@usda.gov</t>
  </si>
  <si>
    <t xml:space="preserve">(707) 441-3603 </t>
  </si>
  <si>
    <t>joshua.eichamer@usda.gov, shuckstep@blm.gov</t>
  </si>
  <si>
    <t>SRF51 PORTABLE</t>
  </si>
  <si>
    <t>3285D30A</t>
  </si>
  <si>
    <t>41:42:43.4988 (41.712083) North</t>
  </si>
  <si>
    <t>123:52:55.8984 (-123.882194) West</t>
  </si>
  <si>
    <t>arturo.gasdik.usda.gov, shuckstep@blm.gov</t>
  </si>
  <si>
    <t>SRF52 PORTABLE</t>
  </si>
  <si>
    <t>32A0103A</t>
  </si>
  <si>
    <t>41:14:39.3 (41.24425) North</t>
  </si>
  <si>
    <t>123:33:58.2984 (-123.566194) West</t>
  </si>
  <si>
    <t>james.m.scott@usda.gov, shuckstep@blm.gov</t>
  </si>
  <si>
    <t>SRF52ALPHA-PORTABLE</t>
  </si>
  <si>
    <t>32B68208</t>
  </si>
  <si>
    <t>41:17:11.0004 (41.286389) North</t>
  </si>
  <si>
    <t>123:27:47.9988 (-123.463333) West</t>
  </si>
  <si>
    <t xml:space="preserve">Ben Peteron </t>
  </si>
  <si>
    <t>benjamin.peterson@usda.gov</t>
  </si>
  <si>
    <t xml:space="preserve">(530) 627-3301 </t>
  </si>
  <si>
    <t>SRF53 PORTABLE</t>
  </si>
  <si>
    <t>40:59:04.02 (40.98445) North</t>
  </si>
  <si>
    <t>123:35:26.8188 (-123.590783) West</t>
  </si>
  <si>
    <t xml:space="preserve">jaime.granadosquintanilla@usda.gov </t>
  </si>
  <si>
    <t>jaime.granadosquintanilla@usda.gov, shuckstep@blm.gov</t>
  </si>
  <si>
    <t>SRF54 PORTABLE</t>
  </si>
  <si>
    <t>32B3663A</t>
  </si>
  <si>
    <t>40:28:01.5996 (40.467111) North</t>
  </si>
  <si>
    <t>123:31:40.1016 (-123.527806) West</t>
  </si>
  <si>
    <t>Jamie Willburn (Cell)</t>
  </si>
  <si>
    <t>jamie.willburn@usda.gov</t>
  </si>
  <si>
    <t>gary.lawhead@usda.gov, james.m.scott@usda.gov, shuckstep@blm.gov</t>
  </si>
  <si>
    <t>SRFD HARVILLE ROAD</t>
  </si>
  <si>
    <t>32B876E4</t>
  </si>
  <si>
    <t>38:29:25.0008 (38.490278) North</t>
  </si>
  <si>
    <t>122:39:41.0004 (-122.661389) West</t>
  </si>
  <si>
    <t>SANTA ROSA FIRE</t>
  </si>
  <si>
    <t>SRCITY - Santa Rosa Fire Department</t>
  </si>
  <si>
    <t>Mike McCallum</t>
  </si>
  <si>
    <t>mmccallum@srcity.org</t>
  </si>
  <si>
    <t xml:space="preserve">(707) 543-3532 </t>
  </si>
  <si>
    <t>Krista Butts</t>
  </si>
  <si>
    <t>kbutts@srcity.org</t>
  </si>
  <si>
    <t xml:space="preserve">(707) 543-4547 </t>
  </si>
  <si>
    <t>kbutts@srcity.org, smoore@srcity.org</t>
  </si>
  <si>
    <t>SRFD LLANO ROAD</t>
  </si>
  <si>
    <t>32B86B40</t>
  </si>
  <si>
    <t>38:22:14.9988 (38.370833) North</t>
  </si>
  <si>
    <t>122:45:51.0012 (-122.764167) West</t>
  </si>
  <si>
    <t xml:space="preserve"> smoore@srcity.org, kbutts@srcity.org </t>
  </si>
  <si>
    <t>SRFD LOS ALAMOS ROAD</t>
  </si>
  <si>
    <t>32B87836</t>
  </si>
  <si>
    <t>38:28:19.5204 (38.472089) North</t>
  </si>
  <si>
    <t>122:37:24.8988 (-122.623583) West</t>
  </si>
  <si>
    <t>SRFD NEWGATE COURT</t>
  </si>
  <si>
    <t>32B888B2</t>
  </si>
  <si>
    <t>38:29:33 (38.4925) North</t>
  </si>
  <si>
    <t>122:41:57.9984 (-122.699444) West</t>
  </si>
  <si>
    <t>SRFD PORTABLE</t>
  </si>
  <si>
    <t>32B51EB6</t>
  </si>
  <si>
    <t>38:27:07.4988 (38.452083) North</t>
  </si>
  <si>
    <t>122:37:42.0996 (-122.628361) West</t>
  </si>
  <si>
    <t>SRFD STATION 1</t>
  </si>
  <si>
    <t>32B9DA34</t>
  </si>
  <si>
    <t>38:26:25.0008 (38.440278) North</t>
  </si>
  <si>
    <t>122:42:15.0012 (-122.704167) West</t>
  </si>
  <si>
    <t>SRFD WHITE OAK DRIVE</t>
  </si>
  <si>
    <t>32B89516</t>
  </si>
  <si>
    <t>38:25:18.0012 (38.421667) North</t>
  </si>
  <si>
    <t>122:35:57.0012 (-122.599167) West</t>
  </si>
  <si>
    <t>SRS</t>
  </si>
  <si>
    <t>32B17E6A</t>
  </si>
  <si>
    <t>31:00:39.9996 (31.011111) North</t>
  </si>
  <si>
    <t>87:03:20.0016 (-87.055556) West</t>
  </si>
  <si>
    <t>SOUTHERN RSRCH STN</t>
  </si>
  <si>
    <t>Cory Tucker</t>
  </si>
  <si>
    <t>corytucker@fs.fed.us</t>
  </si>
  <si>
    <t>(334) 826-8700 3</t>
  </si>
  <si>
    <t>Erwin Chambliss</t>
  </si>
  <si>
    <t>echambliss@fs.fed.us</t>
  </si>
  <si>
    <t>(334) 826-8700 5</t>
  </si>
  <si>
    <t>ST JOHN</t>
  </si>
  <si>
    <t>St. John</t>
  </si>
  <si>
    <t>32E0350A</t>
  </si>
  <si>
    <t>18:21:24.4512 (18.356792) North</t>
  </si>
  <si>
    <t>64:42:01.9296 (-64.700536) West</t>
  </si>
  <si>
    <t>VIRGIN ISLANDS NP</t>
  </si>
  <si>
    <t>Pine</t>
  </si>
  <si>
    <t>AAC42186</t>
  </si>
  <si>
    <t>45:58:18.156 (45.97171) North</t>
  </si>
  <si>
    <t>92:37:03.36 (-92.6176) West</t>
  </si>
  <si>
    <t xml:space="preserve">(320) 245-6789 </t>
  </si>
  <si>
    <t xml:space="preserve"> jolene.soltis@gmail.com,  travis.verdegen@state.mn.us, michael.trierweiler@state.mn.us</t>
  </si>
  <si>
    <t>ST. JOE PORTABLE</t>
  </si>
  <si>
    <t>328D42CE</t>
  </si>
  <si>
    <t>47:03:37.1016 (47.060306) North</t>
  </si>
  <si>
    <t>115:15:31.3992 (-115.258722) West</t>
  </si>
  <si>
    <t>Justin Colvin</t>
  </si>
  <si>
    <t>justin.l.colvin@usda.gov</t>
  </si>
  <si>
    <t xml:space="preserve">(907) 713-7174 </t>
  </si>
  <si>
    <t>Rachael Middlekoop</t>
  </si>
  <si>
    <t>rachael.middlekoop@usda.gov</t>
  </si>
  <si>
    <t xml:space="preserve">(208) 626-2524 </t>
  </si>
  <si>
    <t>ST. MARKS  (EAST)</t>
  </si>
  <si>
    <t>8376D684</t>
  </si>
  <si>
    <t>30:08:21 (30.139167) North</t>
  </si>
  <si>
    <t>84:08:11 (-84.136389) West</t>
  </si>
  <si>
    <t xml:space="preserve">(850) 925-5661 </t>
  </si>
  <si>
    <t>ST. MARKS (WEST)</t>
  </si>
  <si>
    <t>8378B70A</t>
  </si>
  <si>
    <t>30:00:38.0016 (30.010556) North</t>
  </si>
  <si>
    <t>84:25:27.9984 (-84.424444) West</t>
  </si>
  <si>
    <t>Gregory_titus@fws.gov</t>
  </si>
  <si>
    <t xml:space="preserve">(850) 925-5561 </t>
  </si>
  <si>
    <t>ST. MARKS PORTABLE</t>
  </si>
  <si>
    <t>Kevin Conn</t>
  </si>
  <si>
    <t>ST. MARY</t>
  </si>
  <si>
    <t>5211378A</t>
  </si>
  <si>
    <t>48:44:27.8988 (48.741083) North</t>
  </si>
  <si>
    <t>113:25:58.4004 (-113.432889) West</t>
  </si>
  <si>
    <t>ST. REGIS</t>
  </si>
  <si>
    <t>323F601E</t>
  </si>
  <si>
    <t>47:18:25.5996 (47.307111) North</t>
  </si>
  <si>
    <t>115:06:27.3996 (-115.107611) West</t>
  </si>
  <si>
    <t>STAFFORD</t>
  </si>
  <si>
    <t>FA65A70E</t>
  </si>
  <si>
    <t>30:55:01.9992 (30.917222) North</t>
  </si>
  <si>
    <t>81:25:45.9984 (-81.429444) West</t>
  </si>
  <si>
    <t>CUMBERLAND ISLAND NS</t>
  </si>
  <si>
    <t>Lucas Hunkler</t>
  </si>
  <si>
    <t>lucas_hunkler@nps.gov</t>
  </si>
  <si>
    <t xml:space="preserve">(912) 464-7067 </t>
  </si>
  <si>
    <t>Stafford</t>
  </si>
  <si>
    <t>8375B46C</t>
  </si>
  <si>
    <t>38:08:38.4 (38.144) North</t>
  </si>
  <si>
    <t>98:28:42.3012 (-98.478417) West</t>
  </si>
  <si>
    <t>Deon Steinle</t>
  </si>
  <si>
    <t>deon_steinle@fws.gov</t>
  </si>
  <si>
    <t xml:space="preserve">(913) 352-8956 </t>
  </si>
  <si>
    <t>STAG MOUNTAIN</t>
  </si>
  <si>
    <t>325BC7EE</t>
  </si>
  <si>
    <t>41:31:01.5996 (41.517111) North</t>
  </si>
  <si>
    <t>115:23:27.3012 (-115.390917) West</t>
  </si>
  <si>
    <t>STAMPEDE</t>
  </si>
  <si>
    <t>3960A6F4</t>
  </si>
  <si>
    <t>63:44:52.01 (63.747781) North</t>
  </si>
  <si>
    <t>150:19:40.99 (-150.328053) West</t>
  </si>
  <si>
    <t>3234B5DE</t>
  </si>
  <si>
    <t>39:28:15.9384 (39.471094) North</t>
  </si>
  <si>
    <t>120:05:13.11 (-120.086975) West</t>
  </si>
  <si>
    <t>terrance.lim@usda.gov</t>
  </si>
  <si>
    <t>Robert Bailey</t>
  </si>
  <si>
    <t>robert.c.bailey@usda.gov</t>
  </si>
  <si>
    <t xml:space="preserve">(435) 590-4737 </t>
  </si>
  <si>
    <t>ahester@blm.gov, shuckstep@blm.gov, tscarbrough@fs.fed.us</t>
  </si>
  <si>
    <t>STANLEY</t>
  </si>
  <si>
    <t>32E0BDCC</t>
  </si>
  <si>
    <t>46:29:13.3476 (46.487041) North</t>
  </si>
  <si>
    <t>86:07:51.5928 (-86.130998) West</t>
  </si>
  <si>
    <t>Avi Shalom</t>
  </si>
  <si>
    <t>shaloma@michigan.gov</t>
  </si>
  <si>
    <t xml:space="preserve">(906) 202-2853 </t>
  </si>
  <si>
    <t>44:10:08.8104 (44.169114) North</t>
  </si>
  <si>
    <t>114:55:33.1392 (-114.925872) West</t>
  </si>
  <si>
    <t>STANTON</t>
  </si>
  <si>
    <t>3259329E</t>
  </si>
  <si>
    <t>34:09:50.5008 (34.164028) North</t>
  </si>
  <si>
    <t>112:44:05.4996 (-112.734861) West</t>
  </si>
  <si>
    <t>STAR PRAIRIE</t>
  </si>
  <si>
    <t>32A293DA</t>
  </si>
  <si>
    <t>45:11:11.076 (45.18641) North</t>
  </si>
  <si>
    <t>92:39:01.044 (-92.65029) West</t>
  </si>
  <si>
    <t>STARVEOUT CREEK</t>
  </si>
  <si>
    <t>32B62C22</t>
  </si>
  <si>
    <t>42:42:49.752 (42.71382) North</t>
  </si>
  <si>
    <t>123:12:11.52 (-123.2032) West</t>
  </si>
  <si>
    <t>STATE LINE</t>
  </si>
  <si>
    <t>3290F5B8</t>
  </si>
  <si>
    <t>38:14:25.1016 (38.240306) North</t>
  </si>
  <si>
    <t>94:40:03.2016 (-94.667556) West</t>
  </si>
  <si>
    <t>FLINT HILLS NWR</t>
  </si>
  <si>
    <t>(913) 352-8956 03</t>
  </si>
  <si>
    <t xml:space="preserve"> cody_miller@fws.gov,  deon_steinle@fws.gov, tate_fischer@fws.gov</t>
  </si>
  <si>
    <t>STEAMBOAT</t>
  </si>
  <si>
    <t>3268E07C</t>
  </si>
  <si>
    <t>46:15:39.3984 (46.260944) North</t>
  </si>
  <si>
    <t>108:05:57.8004 (-108.099389) West</t>
  </si>
  <si>
    <t>cphillips@blm.gov</t>
  </si>
  <si>
    <t>STEELE CREEK</t>
  </si>
  <si>
    <t>328EE538</t>
  </si>
  <si>
    <t>45:36:17.1 (45.60475) North</t>
  </si>
  <si>
    <t>113:20:46.6008 (-113.346278) West</t>
  </si>
  <si>
    <t>Jesse Myers</t>
  </si>
  <si>
    <t>jesse.myers@usda.gov</t>
  </si>
  <si>
    <t xml:space="preserve">(406) 832-3178 </t>
  </si>
  <si>
    <t>Richard Renau</t>
  </si>
  <si>
    <t>ahester@blm.gov, jesse.myers@usda.gov, richard.reneau@usda.gov</t>
  </si>
  <si>
    <t>STEELY FORK</t>
  </si>
  <si>
    <t>326EA3B8</t>
  </si>
  <si>
    <t>38:37:33.9312 (38.626092) North</t>
  </si>
  <si>
    <t>120:31:40.2708 (-120.527853) West</t>
  </si>
  <si>
    <t>STEHEKIN-AIRSTRIP</t>
  </si>
  <si>
    <t>FA411054</t>
  </si>
  <si>
    <t>48:20:48.9984 (48.346944) North</t>
  </si>
  <si>
    <t>120:43:13.0008 (-120.720278) West</t>
  </si>
  <si>
    <t>STEPHENS STATE FOREST</t>
  </si>
  <si>
    <t>Lucas</t>
  </si>
  <si>
    <t>FD1042FE</t>
  </si>
  <si>
    <t>40:59:42 (40.995) North</t>
  </si>
  <si>
    <t>93:28:35.0004 (-93.476389) West</t>
  </si>
  <si>
    <t>STERLING</t>
  </si>
  <si>
    <t>Glynn</t>
  </si>
  <si>
    <t>3100F778</t>
  </si>
  <si>
    <t>31:12:23.5512 (31.206542) North</t>
  </si>
  <si>
    <t>81:55:58.8792 (-81.933022) West</t>
  </si>
  <si>
    <t>STEVI</t>
  </si>
  <si>
    <t>46:33:22.2084 (46.556169) North</t>
  </si>
  <si>
    <t>114:04:27.66 (-114.07435) West</t>
  </si>
  <si>
    <t>STF01 PORTABLE</t>
  </si>
  <si>
    <t>AAB60732</t>
  </si>
  <si>
    <t>38:00:42.3 (38.01175) North</t>
  </si>
  <si>
    <t>120:12:31.6008 (-120.208778) West</t>
  </si>
  <si>
    <t>STF02 PORTABLE</t>
  </si>
  <si>
    <t>38:01:56.7012 (38.032417) North</t>
  </si>
  <si>
    <t>119:55:48.5004 (-119.930139) West</t>
  </si>
  <si>
    <t>STF03 PORTABLE</t>
  </si>
  <si>
    <t>38:04:19.2 (38.072) North</t>
  </si>
  <si>
    <t>119:59:05.6004 (-119.984889) West</t>
  </si>
  <si>
    <t>STF04 PORTABLE</t>
  </si>
  <si>
    <t>AAB2C716</t>
  </si>
  <si>
    <t>38:14:26.9988 (38.240833) North</t>
  </si>
  <si>
    <t>119:53:21.9984 (-119.889444) West</t>
  </si>
  <si>
    <t>STILLWATER</t>
  </si>
  <si>
    <t>2200029E</t>
  </si>
  <si>
    <t>114:33:33.9984 (-114.559444) West</t>
  </si>
  <si>
    <t>STILLY HOLLOW</t>
  </si>
  <si>
    <t>32B14522</t>
  </si>
  <si>
    <t>36:30:46.1016 (36.512806) North</t>
  </si>
  <si>
    <t>87:57:03.8016 (-87.951056) West</t>
  </si>
  <si>
    <t>Garrison.Lupton</t>
  </si>
  <si>
    <t>STINKWATER CREEK</t>
  </si>
  <si>
    <t>325FD1A2</t>
  </si>
  <si>
    <t>46:51:11.0016 (46.853056) North</t>
  </si>
  <si>
    <t>113:22:38.7984 (-113.377444) West</t>
  </si>
  <si>
    <t>STEVE HANCOCK</t>
  </si>
  <si>
    <t>shancock@blm.gov</t>
  </si>
  <si>
    <t xml:space="preserve">(406) 329-3869 </t>
  </si>
  <si>
    <t>Shelagh FOX</t>
  </si>
  <si>
    <t xml:space="preserve">(406) 329-3909 </t>
  </si>
  <si>
    <t>STONE LAKE</t>
  </si>
  <si>
    <t>36:43:53.7996 (36.731611) North</t>
  </si>
  <si>
    <t>106:51:56.9016 (-106.865806) West</t>
  </si>
  <si>
    <t>Anna Pierce</t>
  </si>
  <si>
    <t>Anna.Pierce@bia.gov</t>
  </si>
  <si>
    <t>STONEY</t>
  </si>
  <si>
    <t>FA600036</t>
  </si>
  <si>
    <t>61:03:49.7988 (61.063833) North</t>
  </si>
  <si>
    <t>153:53:47.1588 (-153.896433) West</t>
  </si>
  <si>
    <t>STONEY RIVER</t>
  </si>
  <si>
    <t>61:38:53.8 (61.648278) North</t>
  </si>
  <si>
    <t>156:24:29.4999 (-156.408194) West</t>
  </si>
  <si>
    <t>STONINGTON</t>
  </si>
  <si>
    <t>45:54:03.9996 (45.901111) North</t>
  </si>
  <si>
    <t>86:55:51.9996 (-86.931111) West</t>
  </si>
  <si>
    <t>STONY FORK</t>
  </si>
  <si>
    <t>Wythe</t>
  </si>
  <si>
    <t>3293B1BC</t>
  </si>
  <si>
    <t>37:00:39.9996 (37.011111) North</t>
  </si>
  <si>
    <t>81:10:42.9996 (-81.178611) West</t>
  </si>
  <si>
    <t>Michael Sturgill</t>
  </si>
  <si>
    <t>Michael.Sturgill@usda.gov</t>
  </si>
  <si>
    <t xml:space="preserve">(276) 639-8646 </t>
  </si>
  <si>
    <t>STONYFORD</t>
  </si>
  <si>
    <t>Colusa</t>
  </si>
  <si>
    <t>323554D6</t>
  </si>
  <si>
    <t>39:21:18.8388 (39.355233) North</t>
  </si>
  <si>
    <t>122:39:29.9196 (-122.658311) West</t>
  </si>
  <si>
    <t>STONYKILL</t>
  </si>
  <si>
    <t>Dutchess</t>
  </si>
  <si>
    <t>6250161E</t>
  </si>
  <si>
    <t>41:32:29.0004 (41.541389) North</t>
  </si>
  <si>
    <t>73:57:00 (-73.95) West</t>
  </si>
  <si>
    <t>STORM KING MOUNTAIN</t>
  </si>
  <si>
    <t>324AA76C</t>
  </si>
  <si>
    <t>39:35:12.9984 (39.586944) North</t>
  </si>
  <si>
    <t>107:24:15.9984 (-107.404444) West</t>
  </si>
  <si>
    <t>STRAWBERRY</t>
  </si>
  <si>
    <t>42:11:21.0012 (42.189167) North</t>
  </si>
  <si>
    <t>120:50:49.9992 (-120.847222) West</t>
  </si>
  <si>
    <t>STRAY HORSE</t>
  </si>
  <si>
    <t>327FF6A0</t>
  </si>
  <si>
    <t>33:33:09.1008 (33.552528) North</t>
  </si>
  <si>
    <t>109:19:01.8984 (-109.317194) West</t>
  </si>
  <si>
    <t>Joe Names</t>
  </si>
  <si>
    <t>joseph.names@usda.gov</t>
  </si>
  <si>
    <t xml:space="preserve">(928) 965-2152 </t>
  </si>
  <si>
    <t>Justin Thompson</t>
  </si>
  <si>
    <t>justin.j.thompson@usda.gov</t>
  </si>
  <si>
    <t xml:space="preserve">(480) 229-6937 </t>
  </si>
  <si>
    <t>STUART CREEK</t>
  </si>
  <si>
    <t>D0D06544</t>
  </si>
  <si>
    <t>64:43:05.8188 (64.718283) North</t>
  </si>
  <si>
    <t>146:30:06.5772 (-146.501827) West</t>
  </si>
  <si>
    <t>STUB CREEK</t>
  </si>
  <si>
    <t>32BB140C</t>
  </si>
  <si>
    <t>40:47:28.9788 (40.791383) North</t>
  </si>
  <si>
    <t>105:53:59.2188 (-105.899783) West</t>
  </si>
  <si>
    <t>SUF PORTABLE WFM</t>
  </si>
  <si>
    <t>32B5C8DE</t>
  </si>
  <si>
    <t>44:08:04.6788 (44.134633) North</t>
  </si>
  <si>
    <t>124:00:11.2212 (-124.003117) West</t>
  </si>
  <si>
    <t>Charles Cross</t>
  </si>
  <si>
    <t>charles.e.cross@usda.gov</t>
  </si>
  <si>
    <t xml:space="preserve">(503) 812-0328 </t>
  </si>
  <si>
    <t>SUGARLOAF</t>
  </si>
  <si>
    <t>323ED16A</t>
  </si>
  <si>
    <t>40:01:05.0016 (40.018056) North</t>
  </si>
  <si>
    <t>105:21:41.0004 (-105.361389) West</t>
  </si>
  <si>
    <t>FA60A0CE</t>
  </si>
  <si>
    <t>36:43:36.0012 (36.726667) North</t>
  </si>
  <si>
    <t>118:40:30 (-118.675) West</t>
  </si>
  <si>
    <t>323653D8</t>
  </si>
  <si>
    <t>43:39:48.9996 (43.663611) North</t>
  </si>
  <si>
    <t>122:37:45.0012 (-122.629167) West</t>
  </si>
  <si>
    <t>STACY AINSLIE</t>
  </si>
  <si>
    <t>SUGARLOAF (SHF)</t>
  </si>
  <si>
    <t>40:54:57.4596 (40.915961) North</t>
  </si>
  <si>
    <t>122:26:05.3988 (-122.434833) West</t>
  </si>
  <si>
    <t>SULA</t>
  </si>
  <si>
    <t>328A6616</t>
  </si>
  <si>
    <t>45:49:14.6208 (45.820728) North</t>
  </si>
  <si>
    <t>113:57:13.7916 (-113.953831) West</t>
  </si>
  <si>
    <t>SULLIVAN</t>
  </si>
  <si>
    <t>38:14:02 (38.233889) North</t>
  </si>
  <si>
    <t>91:09:00 (-91.15) West</t>
  </si>
  <si>
    <t>SULLIVAN RAWS</t>
  </si>
  <si>
    <t>Sullivan</t>
  </si>
  <si>
    <t>AAC186BE</t>
  </si>
  <si>
    <t>39:04:30.252 (39.07507) North</t>
  </si>
  <si>
    <t>87:21:09.036 (-87.35251) West</t>
  </si>
  <si>
    <t>Mark Huter</t>
  </si>
  <si>
    <t>mhuter@dnr.in.gov</t>
  </si>
  <si>
    <t xml:space="preserve">(765) 342-4701 </t>
  </si>
  <si>
    <t>Taylor Ardisson</t>
  </si>
  <si>
    <t>tardisson@dnr.in.gov</t>
  </si>
  <si>
    <t xml:space="preserve">(812) 358-2160 </t>
  </si>
  <si>
    <t>jeremy.kolaks@usda.gov, logan.scherschel@usda.gov, mhuter@dnr.in.gov, tardisson@dnr.in.gov</t>
  </si>
  <si>
    <t>SUMAS</t>
  </si>
  <si>
    <t>300063B8</t>
  </si>
  <si>
    <t>48:54:27.8784 (48.907744) North</t>
  </si>
  <si>
    <t>122:13:24.1788 (-122.223383) West</t>
  </si>
  <si>
    <t>SUMATRA</t>
  </si>
  <si>
    <t>323A74A8</t>
  </si>
  <si>
    <t>30:01:14.0016 (30.020556) North</t>
  </si>
  <si>
    <t>84:59:09.9996 (-84.986111) West</t>
  </si>
  <si>
    <t xml:space="preserve">(850) 491-3648 </t>
  </si>
  <si>
    <t>SUMMER LAKE</t>
  </si>
  <si>
    <t>326E25AC</t>
  </si>
  <si>
    <t>42:43:18.9984 (42.721944) North</t>
  </si>
  <si>
    <t>120:45:10.0008 (-120.752778) West</t>
  </si>
  <si>
    <t>SUMMIT</t>
  </si>
  <si>
    <t>3247A40A</t>
  </si>
  <si>
    <t>42:11:56.0004 (42.198889) North</t>
  </si>
  <si>
    <t>120:14:48.9984 (-120.246944) West</t>
  </si>
  <si>
    <t>SUNDOWN PASS</t>
  </si>
  <si>
    <t>32B80EA6</t>
  </si>
  <si>
    <t>41:43:51.0168 (41.730838) North</t>
  </si>
  <si>
    <t>112:33:13.7988 (-112.553833) West</t>
  </si>
  <si>
    <t>SUNNY POINT</t>
  </si>
  <si>
    <t>3271024C</t>
  </si>
  <si>
    <t>34:00:13.5684 (34.003769) North</t>
  </si>
  <si>
    <t>77:59:51.5616 (-77.997656) West</t>
  </si>
  <si>
    <t>SUNSET POINT</t>
  </si>
  <si>
    <t>3259440E</t>
  </si>
  <si>
    <t>34:11:18.4992 (34.188472) North</t>
  </si>
  <si>
    <t>112:08:04.8012 (-112.134667) West</t>
  </si>
  <si>
    <t xml:space="preserve">(623) 316-5073 </t>
  </si>
  <si>
    <t>SUPERIOR QD #1</t>
  </si>
  <si>
    <t>48:01:00.9984 (48.016944) North</t>
  </si>
  <si>
    <t>90:08:15 (-90.1375) West</t>
  </si>
  <si>
    <t xml:space="preserve">(218) 387-3252 </t>
  </si>
  <si>
    <t>SUPERIOR QD #2</t>
  </si>
  <si>
    <t>327273D2</t>
  </si>
  <si>
    <t>47:39:26.3016 (47.657306) North</t>
  </si>
  <si>
    <t>92:36:41.7996 (-92.611611) West</t>
  </si>
  <si>
    <t>SUPERIOR QD #3</t>
  </si>
  <si>
    <t>AAB0621A</t>
  </si>
  <si>
    <t>48:16:14.196 (48.27061) North</t>
  </si>
  <si>
    <t>92:33:56.0988 (-92.565583) West</t>
  </si>
  <si>
    <t>SUPERIOR QD #4</t>
  </si>
  <si>
    <t>32A1C4A8</t>
  </si>
  <si>
    <t>47:59:00.9996 (47.983611) North</t>
  </si>
  <si>
    <t>90:21:36 (-90.36) West</t>
  </si>
  <si>
    <t>SURPRISE VALLEY</t>
  </si>
  <si>
    <t>324E3734</t>
  </si>
  <si>
    <t>41:37:20.2008 (41.622278) North</t>
  </si>
  <si>
    <t>120:09:41.1984 (-120.161444) West</t>
  </si>
  <si>
    <t>SUSQUEHANNA</t>
  </si>
  <si>
    <t>Harford</t>
  </si>
  <si>
    <t>B8001182</t>
  </si>
  <si>
    <t>39:36:26.5608 (39.607378) North</t>
  </si>
  <si>
    <t>76:09:35.3916 (-76.159831) West</t>
  </si>
  <si>
    <t>Timothy.cole.gov</t>
  </si>
  <si>
    <t>SUWANNEE FORESTRY CENTER</t>
  </si>
  <si>
    <t>32B50DC0</t>
  </si>
  <si>
    <t>30:11:02.9004 (30.184139) North</t>
  </si>
  <si>
    <t>82:35:39.5988 (-82.594333) West</t>
  </si>
  <si>
    <t>Glenn Davis</t>
  </si>
  <si>
    <t>glenn.davis@fdacs.gov</t>
  </si>
  <si>
    <t xml:space="preserve">(386) 243-6240 </t>
  </si>
  <si>
    <t>SUWANNEE PORTABLE</t>
  </si>
  <si>
    <t>Dixie</t>
  </si>
  <si>
    <t>328FE7C2</t>
  </si>
  <si>
    <t>29:31:15.7692 (29.521047) North</t>
  </si>
  <si>
    <t>83:09:53.7012 (-83.164917) West</t>
  </si>
  <si>
    <t>Josh Havird</t>
  </si>
  <si>
    <t>joshua_havird@fws.gov</t>
  </si>
  <si>
    <t>(352) 493-0238 30</t>
  </si>
  <si>
    <t>Victor Doig</t>
  </si>
  <si>
    <t>(352) 493-0238 27</t>
  </si>
  <si>
    <t>SWAIN MOUNTAIN</t>
  </si>
  <si>
    <t>40:26:42.9684 (40.445269) North</t>
  </si>
  <si>
    <t>121:06:14.76 (-121.1041) West</t>
  </si>
  <si>
    <t>ahester@blm.gov, donald.r.lee@usda.gov, eric.e.knapp@usda.gov, kaelyn.a.finley@usda.gov, michael.deblois@usda.gov, shuckstep@blm.gov</t>
  </si>
  <si>
    <t>SWAN LAKE FIRE QD</t>
  </si>
  <si>
    <t>32B16D1C</t>
  </si>
  <si>
    <t>48:03:56.4012 (48.065667) North</t>
  </si>
  <si>
    <t>114:05:01.5 (-114.08375) West</t>
  </si>
  <si>
    <t xml:space="preserve">(406) 250-6294 </t>
  </si>
  <si>
    <t>SWAN TEST</t>
  </si>
  <si>
    <t>32B5BE4E</t>
  </si>
  <si>
    <t>61:09:23.0004 (61.156389) North</t>
  </si>
  <si>
    <t>149:09:23.0004 (-149.156389) West</t>
  </si>
  <si>
    <t>SWAN Southwest AK Nt</t>
  </si>
  <si>
    <t>SWANEY</t>
  </si>
  <si>
    <t>AA1175C0</t>
  </si>
  <si>
    <t>48:24:46.8 (48.413) North</t>
  </si>
  <si>
    <t>114:44:11.4 (-114.7365) West</t>
  </si>
  <si>
    <t>Manuel Mendoza</t>
  </si>
  <si>
    <t>manuel.mendoza@usda.gov</t>
  </si>
  <si>
    <t xml:space="preserve">(406) 758-5235 </t>
  </si>
  <si>
    <t>ahester@blm.gov, manuel.mendoza@usda.gov</t>
  </si>
  <si>
    <t>SWANSON RIVER</t>
  </si>
  <si>
    <t>60:43:37.0812 (60.726967) North</t>
  </si>
  <si>
    <t>150:52:33.3012 (-150.875917) West</t>
  </si>
  <si>
    <t>SWAUK</t>
  </si>
  <si>
    <t>3245B288</t>
  </si>
  <si>
    <t>47:15:27 (47.2575) North</t>
  </si>
  <si>
    <t>120:40:32.0016 (-120.675556) West</t>
  </si>
  <si>
    <t>Jason Seldal</t>
  </si>
  <si>
    <t>jason.seldal@usda.gov</t>
  </si>
  <si>
    <t xml:space="preserve">(509) 852-1034 </t>
  </si>
  <si>
    <t>ahester@blm.gov, michael.starkovich@usda.gov</t>
  </si>
  <si>
    <t>SYRINGA</t>
  </si>
  <si>
    <t>3264526E</t>
  </si>
  <si>
    <t>46:09:28.3788 (46.157883) North</t>
  </si>
  <si>
    <t>115:42:00 (-115.7) West</t>
  </si>
  <si>
    <t>T BAR</t>
  </si>
  <si>
    <t>32BC73DE</t>
  </si>
  <si>
    <t>33:31:04.4004 (33.517889) North</t>
  </si>
  <si>
    <t>108:31:27.0984 (-108.524194) West</t>
  </si>
  <si>
    <t>jeff.campbell@usda.gov</t>
  </si>
  <si>
    <t xml:space="preserve">(575) 313-2934 </t>
  </si>
  <si>
    <t>TA2</t>
  </si>
  <si>
    <t>33:00:53.4996 (33.014861) North</t>
  </si>
  <si>
    <t>118:34:24.2004 (-118.573389) West</t>
  </si>
  <si>
    <t>lisa.ordonez@spawar.navy.mil</t>
  </si>
  <si>
    <t>TABLE ROCK</t>
  </si>
  <si>
    <t>Pickens</t>
  </si>
  <si>
    <t>32B745EC</t>
  </si>
  <si>
    <t>35:01:44.8212 (35.029117) North</t>
  </si>
  <si>
    <t>82:41:35.8188 (-82.693283) West</t>
  </si>
  <si>
    <t>Michael Weeks</t>
  </si>
  <si>
    <t>mweeks@scfc.gov</t>
  </si>
  <si>
    <t xml:space="preserve">(864) 910-0052 </t>
  </si>
  <si>
    <t>TACOMA CREEK</t>
  </si>
  <si>
    <t>3262A224</t>
  </si>
  <si>
    <t>48:29:26.0016 (48.490556) North</t>
  </si>
  <si>
    <t>117:26:08.0988 (-117.435583) West</t>
  </si>
  <si>
    <t>TAG MTN</t>
  </si>
  <si>
    <t>66:10:50.9988 (66.180833) North</t>
  </si>
  <si>
    <t>158:39:36 (-158.66) West</t>
  </si>
  <si>
    <t>TAHINICHOK</t>
  </si>
  <si>
    <t>396147FC</t>
  </si>
  <si>
    <t>67:33:00.54 (67.55015) North</t>
  </si>
  <si>
    <t>163:34:01.8599 (-163.567183) West</t>
  </si>
  <si>
    <t>TAHOE DONNER</t>
  </si>
  <si>
    <t>32B52B2C</t>
  </si>
  <si>
    <t>39:20:17.4984 (39.338194) North</t>
  </si>
  <si>
    <t>120:16:24.2004 (-120.273389) West</t>
  </si>
  <si>
    <t>TAKELMA-RAWS</t>
  </si>
  <si>
    <t>32B622F0</t>
  </si>
  <si>
    <t>42:04:34.8132 (42.076337) North</t>
  </si>
  <si>
    <t>123:36:10.0008 (-123.602778) West</t>
  </si>
  <si>
    <t>TALEGA RIDGE</t>
  </si>
  <si>
    <t>923016AE</t>
  </si>
  <si>
    <t>33:28:39.3528 (33.477598) North</t>
  </si>
  <si>
    <t>117:29:11.3748 (-117.486493) West</t>
  </si>
  <si>
    <t>TALLADEGA</t>
  </si>
  <si>
    <t>Talladega</t>
  </si>
  <si>
    <t>3236363E</t>
  </si>
  <si>
    <t>33:26:27.9996 (33.441111) North</t>
  </si>
  <si>
    <t>86:04:51.9996 (-86.081111) West</t>
  </si>
  <si>
    <t>TALLAHASSEE FORESTRY CNTR</t>
  </si>
  <si>
    <t>32B4FFBE</t>
  </si>
  <si>
    <t>30:27:29.4984 (30.458194) North</t>
  </si>
  <si>
    <t>84:24:06.4008 (-84.401778) West</t>
  </si>
  <si>
    <t>Chris Colburn</t>
  </si>
  <si>
    <t>chris.colburn@fdacs.gov</t>
  </si>
  <si>
    <t xml:space="preserve">(850) 681-5954 </t>
  </si>
  <si>
    <t>TALLGRASS PRAIRIE</t>
  </si>
  <si>
    <t>Chase</t>
  </si>
  <si>
    <t>FA63812C</t>
  </si>
  <si>
    <t>38:26:06 (38.435) North</t>
  </si>
  <si>
    <t>96:33:38.0016 (-96.560556) West</t>
  </si>
  <si>
    <t>TALLGRASS PRAIRIE NP</t>
  </si>
  <si>
    <t>Kristen Hase</t>
  </si>
  <si>
    <t>kristen_hase@nps.gov</t>
  </si>
  <si>
    <t xml:space="preserve">(620) 273-6034 </t>
  </si>
  <si>
    <t>kristen_hase@nps.gov, paul_mancuso@nps.gov</t>
  </si>
  <si>
    <t>TALLULAH</t>
  </si>
  <si>
    <t>327381AC</t>
  </si>
  <si>
    <t>34:54:20.9988 (34.905833) North</t>
  </si>
  <si>
    <t>83:20:03.9984 (-83.334444) West</t>
  </si>
  <si>
    <t>stephen.roberts@usda.gov</t>
  </si>
  <si>
    <t>amy.mcclave@usda.gov, gregory.cohen@usda.gov, michael.davis1@usda.gov</t>
  </si>
  <si>
    <t>TALLY LAKE QD</t>
  </si>
  <si>
    <t>3248D408</t>
  </si>
  <si>
    <t>48:29:17.7 (48.48825) North</t>
  </si>
  <si>
    <t>114:50:23.1 (-114.83975) West</t>
  </si>
  <si>
    <t>David Pemble</t>
  </si>
  <si>
    <t>david.pemble@usda.gov</t>
  </si>
  <si>
    <t xml:space="preserve">(406) 758-3523 </t>
  </si>
  <si>
    <t>Manuel (Manny) Mendoza</t>
  </si>
  <si>
    <t xml:space="preserve">(406) 758-3522 </t>
  </si>
  <si>
    <t>david.pemble@usda.gov, manuel.mendoza@usda.gov</t>
  </si>
  <si>
    <t>TAMFS PORTABLE 1</t>
  </si>
  <si>
    <t>32D4B054</t>
  </si>
  <si>
    <t>27:53:14.2008 (27.887278) North</t>
  </si>
  <si>
    <t>98:36:03.3984 (-98.600944) West</t>
  </si>
  <si>
    <t>TAMFS PORTABLE 2</t>
  </si>
  <si>
    <t>Cherokee</t>
  </si>
  <si>
    <t>32D4A322</t>
  </si>
  <si>
    <t>31:47:39.9984 (31.794444) North</t>
  </si>
  <si>
    <t>95:21:54 (-95.365) West</t>
  </si>
  <si>
    <t>TAMFS PORTABLE 3</t>
  </si>
  <si>
    <t>32D17C58</t>
  </si>
  <si>
    <t>31:37:49.6992 (31.630472) North</t>
  </si>
  <si>
    <t>98:55:58.4004 (-98.932889) West</t>
  </si>
  <si>
    <t>TANA KNOB</t>
  </si>
  <si>
    <t>3960709C</t>
  </si>
  <si>
    <t>60:54:28.8 (60.908) North</t>
  </si>
  <si>
    <t>142:54:04.72 (-142.901311) West</t>
  </si>
  <si>
    <t>TANBARK</t>
  </si>
  <si>
    <t>324837FA</t>
  </si>
  <si>
    <t>34:12:25.0992 (34.206972) North</t>
  </si>
  <si>
    <t>117:45:41.5008 (-117.761528) West</t>
  </si>
  <si>
    <t>JOSE QUIROZ</t>
  </si>
  <si>
    <t>jose.quiroz@usda.gov</t>
  </si>
  <si>
    <t xml:space="preserve">(626) 502-4432 </t>
  </si>
  <si>
    <t>TANKS</t>
  </si>
  <si>
    <t>32BC5BE0</t>
  </si>
  <si>
    <t>33:40:23.4012 (33.673167) North</t>
  </si>
  <si>
    <t>110:34:23.5812 (-110.573217) West</t>
  </si>
  <si>
    <t>William Dudley</t>
  </si>
  <si>
    <t>william.dudley@usda.gov</t>
  </si>
  <si>
    <t xml:space="preserve">(928) 595-1520 </t>
  </si>
  <si>
    <t>TAOS PORTABLE #1</t>
  </si>
  <si>
    <t>326586FC</t>
  </si>
  <si>
    <t>36:13:04.0008 (36.217778) North</t>
  </si>
  <si>
    <t>105:45:29.9988 (-105.758333) West</t>
  </si>
  <si>
    <t>TAOS</t>
  </si>
  <si>
    <t>TAOS PORTABLE #2</t>
  </si>
  <si>
    <t>327B758E</t>
  </si>
  <si>
    <t>35:13:39 (35.2275) North</t>
  </si>
  <si>
    <t>106:10:51.9996 (-106.181111) West</t>
  </si>
  <si>
    <t>TAOS PORTABLE #3</t>
  </si>
  <si>
    <t>326DF4CA</t>
  </si>
  <si>
    <t>36:40:44.0004 (36.678889) North</t>
  </si>
  <si>
    <t>105:44:36.9996 (-105.743611) West</t>
  </si>
  <si>
    <t>Kyle Sahd</t>
  </si>
  <si>
    <t xml:space="preserve">(575) 770-1617 </t>
  </si>
  <si>
    <t>TAOS PUEBLO RAWS</t>
  </si>
  <si>
    <t>32B7D08E</t>
  </si>
  <si>
    <t>36:24:52.5996 (36.414611) North</t>
  </si>
  <si>
    <t>105:33:24.8004 (-105.556889) West</t>
  </si>
  <si>
    <t>Marvin Lefthand</t>
  </si>
  <si>
    <t>lmarvin@taospueblo.com</t>
  </si>
  <si>
    <t xml:space="preserve">(575) 779-8893 </t>
  </si>
  <si>
    <t>TATANKA PRAIRIE</t>
  </si>
  <si>
    <t>46:09:36.9108 (46.160253) North</t>
  </si>
  <si>
    <t>100:54:04.7988 (-100.901333) West</t>
  </si>
  <si>
    <t>Austin Hodgkiss</t>
  </si>
  <si>
    <t>Mark Browning</t>
  </si>
  <si>
    <t>mark.browning@bia.gov</t>
  </si>
  <si>
    <t>TAYLOR MOUNTAIN</t>
  </si>
  <si>
    <t>32BB1ADE</t>
  </si>
  <si>
    <t>TAYLOR PARK</t>
  </si>
  <si>
    <t>323547A0</t>
  </si>
  <si>
    <t>38:54:30.0996 (38.908361) North</t>
  </si>
  <si>
    <t>106:36:10.1016 (-106.602806) West</t>
  </si>
  <si>
    <t>James Ramirez</t>
  </si>
  <si>
    <t xml:space="preserve">(970) 615-0245 </t>
  </si>
  <si>
    <t>TAYLOR'S CREEK</t>
  </si>
  <si>
    <t>Long</t>
  </si>
  <si>
    <t>F8E02226</t>
  </si>
  <si>
    <t>31:56:36.204 (31.94339) North</t>
  </si>
  <si>
    <t>81:45:15.876 (-81.75441) West</t>
  </si>
  <si>
    <t>04:40, 34:40</t>
  </si>
  <si>
    <t>TAYLORSVILLE (LENOIR)</t>
  </si>
  <si>
    <t>35:54:42.0012 (35.911667) North</t>
  </si>
  <si>
    <t>81:08:15 (-81.1375) West</t>
  </si>
  <si>
    <t>TEA POT</t>
  </si>
  <si>
    <t>325E73A0</t>
  </si>
  <si>
    <t>44:54:15.5988 (44.904333) North</t>
  </si>
  <si>
    <t>115:44:18.8988 (-115.738583) West</t>
  </si>
  <si>
    <t>TEBAY</t>
  </si>
  <si>
    <t>3960936E</t>
  </si>
  <si>
    <t>61:10:51.42 (61.18095) North</t>
  </si>
  <si>
    <t>144:20:21.12 (-144.3392) West</t>
  </si>
  <si>
    <t>TEEPEE SEED ORCHARD</t>
  </si>
  <si>
    <t>3231D7F8</t>
  </si>
  <si>
    <t>48:39:53.1 (48.66475) North</t>
  </si>
  <si>
    <t>117:28:57.9 (-117.48275) West</t>
  </si>
  <si>
    <t>TEETERTOWN</t>
  </si>
  <si>
    <t>Hunterdon</t>
  </si>
  <si>
    <t>FF1052CC</t>
  </si>
  <si>
    <t>40:44:57.0012 (40.749167) North</t>
  </si>
  <si>
    <t>74:51:30.9996 (-74.858611) West</t>
  </si>
  <si>
    <t>TELEGRAPH FLAT</t>
  </si>
  <si>
    <t>325DE1CC</t>
  </si>
  <si>
    <t>37:11:29.5008 (37.191528) North</t>
  </si>
  <si>
    <t>112:01:37.2 (-112.027) West</t>
  </si>
  <si>
    <t>Steven Barker</t>
  </si>
  <si>
    <t>sabarker@blm.gov</t>
  </si>
  <si>
    <t xml:space="preserve">(435) 865-4656 </t>
  </si>
  <si>
    <t>TELIDA</t>
  </si>
  <si>
    <t>3390720E</t>
  </si>
  <si>
    <t>63:26:02.3 (63.433972) North</t>
  </si>
  <si>
    <t>153:20:47.4 (-153.3465) West</t>
  </si>
  <si>
    <t>TELLICO</t>
  </si>
  <si>
    <t>3244E00E</t>
  </si>
  <si>
    <t>35:22:53.1012 (35.381417) North</t>
  </si>
  <si>
    <t>84:07:22.5012 (-84.122917) West</t>
  </si>
  <si>
    <t>TEMESCAL (LPF)</t>
  </si>
  <si>
    <t>327EF45A</t>
  </si>
  <si>
    <t>34:28:26.1912 (34.473942) North</t>
  </si>
  <si>
    <t>118:45:41.6196 (-118.761561) West</t>
  </si>
  <si>
    <t>cassandra.buckley@hotmail.com</t>
  </si>
  <si>
    <t>TEMESCAL 2  (CNF)</t>
  </si>
  <si>
    <t>3242E0C0</t>
  </si>
  <si>
    <t>33:45:17.0712 (33.754742) North</t>
  </si>
  <si>
    <t>117:30:00.3708 (-117.500103) West</t>
  </si>
  <si>
    <t>TEMPLATE</t>
  </si>
  <si>
    <t>TEMPLATE CALFIRE</t>
  </si>
  <si>
    <t>TEMPLATE STANDARD 11</t>
  </si>
  <si>
    <t>TEMPLE</t>
  </si>
  <si>
    <t>Bell</t>
  </si>
  <si>
    <t>31:03:27.1008 (31.057528) North</t>
  </si>
  <si>
    <t>97:20:55.5 (-97.34875) West</t>
  </si>
  <si>
    <t>TEPEE CREEK</t>
  </si>
  <si>
    <t>46:09:52.4592 (46.164572) North</t>
  </si>
  <si>
    <t>121:01:53.22 (-121.03145) West</t>
  </si>
  <si>
    <t>TEPEE DRAW</t>
  </si>
  <si>
    <t>3235723A</t>
  </si>
  <si>
    <t>43:50:06.2988 (43.835083) North</t>
  </si>
  <si>
    <t>121:05:00.2004 (-121.083389) West</t>
  </si>
  <si>
    <t>ahester@blm.gov, jessie.creech@usda.gov, orcoc@firenet.gov</t>
  </si>
  <si>
    <t>TEPEE PT</t>
  </si>
  <si>
    <t>45:56:00.3408 (45.933428) North</t>
  </si>
  <si>
    <t>113:44:31.2684 (-113.742019) West</t>
  </si>
  <si>
    <t xml:space="preserve">(406) 777-5461 </t>
  </si>
  <si>
    <t>TEPUSQUET</t>
  </si>
  <si>
    <t>CF101798</t>
  </si>
  <si>
    <t>07/12/0022</t>
  </si>
  <si>
    <t>34:55:11.3304 (34.919814) North</t>
  </si>
  <si>
    <t>120:10:52.4064 (-120.181224) West</t>
  </si>
  <si>
    <t>TERRAPIN CREEK</t>
  </si>
  <si>
    <t>3242534E</t>
  </si>
  <si>
    <t>33:53:39.4008 (33.894278) North</t>
  </si>
  <si>
    <t>85:31:44.1012 (-85.528917) West</t>
  </si>
  <si>
    <t>TESS  - PORTABLE</t>
  </si>
  <si>
    <t>323727B2</t>
  </si>
  <si>
    <t>46:49:57.2988 (46.832583) North</t>
  </si>
  <si>
    <t>116:09:58.9212 (-116.166367) West</t>
  </si>
  <si>
    <t xml:space="preserve">(208) 816-8862 </t>
  </si>
  <si>
    <t>TEST ALEX</t>
  </si>
  <si>
    <t>AAC024BC</t>
  </si>
  <si>
    <t>43:36:16.9992 (43.604722) North</t>
  </si>
  <si>
    <t>115:14:03.0012 (-115.234167) West</t>
  </si>
  <si>
    <t>Pete Lahm</t>
  </si>
  <si>
    <t>peter.lahm@usda.gov</t>
  </si>
  <si>
    <t xml:space="preserve">(202) 205-1084 </t>
  </si>
  <si>
    <t>TEST_ALKDNP (MIDNIGHT MT)</t>
  </si>
  <si>
    <t>396104F6</t>
  </si>
  <si>
    <t>65:49:13.1988 (65.820333) North</t>
  </si>
  <si>
    <t>164:32:33.9 (-164.54275) West</t>
  </si>
  <si>
    <t>TEXARKANA</t>
  </si>
  <si>
    <t>Bowie</t>
  </si>
  <si>
    <t>33:22:26.0004 (33.373889) North</t>
  </si>
  <si>
    <t>94:02:44.0016 (-94.045556) West</t>
  </si>
  <si>
    <t>TEXAS SPRINGS</t>
  </si>
  <si>
    <t>41:48:03.0996 (41.800861) North</t>
  </si>
  <si>
    <t>118:27:04.8996 (-118.451361) West</t>
  </si>
  <si>
    <t>THE BOWL</t>
  </si>
  <si>
    <t>FA61E13E</t>
  </si>
  <si>
    <t>31:55:30 (31.925) North</t>
  </si>
  <si>
    <t>104:49:31.0008 (-104.825278) West</t>
  </si>
  <si>
    <t>THE CROWN</t>
  </si>
  <si>
    <t>325A9568</t>
  </si>
  <si>
    <t>39:21:08.7012 (39.352417) North</t>
  </si>
  <si>
    <t>107:05:41.3016 (-107.094806) West</t>
  </si>
  <si>
    <t>THE TOWER RAWS</t>
  </si>
  <si>
    <t>AAC1763A</t>
  </si>
  <si>
    <t>38:41:29.328 (38.69148) North</t>
  </si>
  <si>
    <t>86:00:09.648 (-86.00268) West</t>
  </si>
  <si>
    <t>THOMES CREEK</t>
  </si>
  <si>
    <t>CA211438</t>
  </si>
  <si>
    <t>39:51:15.1704 (39.854214) North</t>
  </si>
  <si>
    <t>122:36:35.6508 (-122.609903) West</t>
  </si>
  <si>
    <t>THOMPSON FALLS A/P</t>
  </si>
  <si>
    <t>323F3062</t>
  </si>
  <si>
    <t>47:34:33.2688 (47.575908) North</t>
  </si>
  <si>
    <t>115:17:03.8184 (-115.284394) West</t>
  </si>
  <si>
    <t>ahester@blm.gov, martin.jacob@usda.gov, travis.pfister@usda.gov</t>
  </si>
  <si>
    <t>THORN CREEK</t>
  </si>
  <si>
    <t>32BBCCB6</t>
  </si>
  <si>
    <t>Ryan Jones</t>
  </si>
  <si>
    <t>ryan.c.jones@usda.gov</t>
  </si>
  <si>
    <t xml:space="preserve">(208) 373-4251 </t>
  </si>
  <si>
    <t>Jared Schuster</t>
  </si>
  <si>
    <t>jared.schuster@usda.gov</t>
  </si>
  <si>
    <t xml:space="preserve">(208) 271-6452 </t>
  </si>
  <si>
    <t>THORNE RIVER</t>
  </si>
  <si>
    <t>326F94D8</t>
  </si>
  <si>
    <t>55:41:48.264 (55.69674) North</t>
  </si>
  <si>
    <t>132:32:25.08 (-132.5403) West</t>
  </si>
  <si>
    <t>THORNHURST</t>
  </si>
  <si>
    <t>Lackawanna</t>
  </si>
  <si>
    <t>32D80246</t>
  </si>
  <si>
    <t>41:13:55.5996 (41.232111) North</t>
  </si>
  <si>
    <t>75:37:26.6016 (-75.624056) West</t>
  </si>
  <si>
    <t>THREE CORNER ROCK</t>
  </si>
  <si>
    <t>45:43:14.9988 (45.720833) North</t>
  </si>
  <si>
    <t>122:02:13.9992 (-122.037222) West</t>
  </si>
  <si>
    <t>THREE FORKS</t>
  </si>
  <si>
    <t>58:22:04.0008 (58.367778) North</t>
  </si>
  <si>
    <t>155:23:02.0004 (-155.383889) West</t>
  </si>
  <si>
    <t>TICKVILLE</t>
  </si>
  <si>
    <t>AAC49208</t>
  </si>
  <si>
    <t>40:24:12.1212 (40.403367) North</t>
  </si>
  <si>
    <t>112:00:51.7392 (-112.014372) West</t>
  </si>
  <si>
    <t>TIDEWATER</t>
  </si>
  <si>
    <t>6000C770</t>
  </si>
  <si>
    <t>46:00:41.2992 (46.011472) North</t>
  </si>
  <si>
    <t>123:33:22.6008 (-123.556278) West</t>
  </si>
  <si>
    <t>Ami Kreider</t>
  </si>
  <si>
    <t>ami.e.kreider@odf.oregon.gov</t>
  </si>
  <si>
    <t xml:space="preserve">(503) 325-5451 </t>
  </si>
  <si>
    <t>Andres Lopez</t>
  </si>
  <si>
    <t>andres.lopez@odf.oregon.gov</t>
  </si>
  <si>
    <t>(503) 325-5451 95</t>
  </si>
  <si>
    <t>TILLAMOOK</t>
  </si>
  <si>
    <t>45:27:25.9992 (45.457222) North</t>
  </si>
  <si>
    <t>123:48:09 (-123.8025) West</t>
  </si>
  <si>
    <t>TIMBER MOUNTAIN</t>
  </si>
  <si>
    <t>3285E690</t>
  </si>
  <si>
    <t>41:37:40.2816 (41.627856) North</t>
  </si>
  <si>
    <t>121:17:54.1716 (-121.298381) West</t>
  </si>
  <si>
    <t>TIMBER MTN</t>
  </si>
  <si>
    <t>327013C0</t>
  </si>
  <si>
    <t>38:22:37.8984 (38.377194) North</t>
  </si>
  <si>
    <t>115:30:22.2984 (-115.506194) West</t>
  </si>
  <si>
    <t xml:space="preserve">(775) 289-5128 </t>
  </si>
  <si>
    <t>ahester@blm.gov, aryn.hayden@usda.gov, jeremy.kiesling@usda.gov, lisa.kemper@usda.gov</t>
  </si>
  <si>
    <t>TIMBERCREST</t>
  </si>
  <si>
    <t>323F168E</t>
  </si>
  <si>
    <t>45:09:24.9984 (45.156944) North</t>
  </si>
  <si>
    <t>109:21:38.0016 (-109.360556) West</t>
  </si>
  <si>
    <t>ahester@blm.gov, drew.grimes@usda.gov, larry.j.lee@usda.gov</t>
  </si>
  <si>
    <t>TIMOTHY</t>
  </si>
  <si>
    <t>326146D8</t>
  </si>
  <si>
    <t>43:14:34.0008 (43.242778) North</t>
  </si>
  <si>
    <t>121:21:11.0016 (-121.353056) West</t>
  </si>
  <si>
    <t>TIPSAW LAKE</t>
  </si>
  <si>
    <t>328530F8</t>
  </si>
  <si>
    <t>38:08:08.9988 (38.135833) North</t>
  </si>
  <si>
    <t>86:38:27.9996 (-86.641111) West</t>
  </si>
  <si>
    <t>shawn.m.wodbury@usda.gov</t>
  </si>
  <si>
    <t>andrew.scher@usda.gov, jeremy.kolaks@usda.gov, logan.scherschel@usda.gov, maggie.schuetter@usda.gov, shawn.m.woodbury@usda.gov, william.mullins@usda.gov</t>
  </si>
  <si>
    <t>TISHOMINGO</t>
  </si>
  <si>
    <t>Tishomingo</t>
  </si>
  <si>
    <t>391096C2</t>
  </si>
  <si>
    <t>34:46:39 (34.7775) North</t>
  </si>
  <si>
    <t>88:09:55.0008 (-88.165278) West</t>
  </si>
  <si>
    <t>TMU PORTABLE 02</t>
  </si>
  <si>
    <t>32B1BB74</t>
  </si>
  <si>
    <t>38:53:49.9992 (38.897222) North</t>
  </si>
  <si>
    <t>119:58:06.9996 (-119.968611) West</t>
  </si>
  <si>
    <t xml:space="preserve">(530) 543-2600 </t>
  </si>
  <si>
    <t>TNF 03 PORTABLE</t>
  </si>
  <si>
    <t>AA11B0DE</t>
  </si>
  <si>
    <t>39:38:39.12 (39.6442) North</t>
  </si>
  <si>
    <t>120:26:51.6012 (-120.447667) West</t>
  </si>
  <si>
    <t>TNF01 PORTABLE</t>
  </si>
  <si>
    <t>326C80A0</t>
  </si>
  <si>
    <t>39:29:16.08 (39.4878) North</t>
  </si>
  <si>
    <t>121:04:53.58 (-121.08155) West</t>
  </si>
  <si>
    <t>Amanda Beardsley</t>
  </si>
  <si>
    <t>amanda.beardsley@usda.gov&gt;</t>
  </si>
  <si>
    <t xml:space="preserve">(530) 575-6818 </t>
  </si>
  <si>
    <t>James Bollinger</t>
  </si>
  <si>
    <t>james.bollinger@usda.gov</t>
  </si>
  <si>
    <t xml:space="preserve">(530) 301-8117 </t>
  </si>
  <si>
    <t>TNF02 PORTABLE</t>
  </si>
  <si>
    <t>39:26:25.3716 (39.440381) North</t>
  </si>
  <si>
    <t>120:13:31.0404 (-120.225289) West</t>
  </si>
  <si>
    <t>eric.petterson@usda.gov, shuckstep@blm.gov</t>
  </si>
  <si>
    <t>TNF04 PORTABLE</t>
  </si>
  <si>
    <t>32B7200A</t>
  </si>
  <si>
    <t>39:07:43.6188 (39.128783) North</t>
  </si>
  <si>
    <t>120:24:38.2788 (-120.410633) West</t>
  </si>
  <si>
    <t>Brian Crawford</t>
  </si>
  <si>
    <t>brian.crawford@usda.gov</t>
  </si>
  <si>
    <t xml:space="preserve">(303) 596-9586 </t>
  </si>
  <si>
    <t>brian.crawford@usda.gov, shuckstep@blm.gov, terrance.lim@usda.gov</t>
  </si>
  <si>
    <t>TOA RIDGE</t>
  </si>
  <si>
    <t>32D663C8</t>
  </si>
  <si>
    <t>14:15:52.9416 (-14.264706) South</t>
  </si>
  <si>
    <t>170:41:13.2 (-170.687) West</t>
  </si>
  <si>
    <t xml:space="preserve">(808) 209-8770 </t>
  </si>
  <si>
    <t>TOCCOA</t>
  </si>
  <si>
    <t>327344B2</t>
  </si>
  <si>
    <t>34:45:54 (34.765) North</t>
  </si>
  <si>
    <t>84:04:27.9984 (-84.074444) West</t>
  </si>
  <si>
    <t>(706) 745-6928 35</t>
  </si>
  <si>
    <t>TOK AKTAS</t>
  </si>
  <si>
    <t>32D7A42C</t>
  </si>
  <si>
    <t>63:19:31.0008 (63.325278) North</t>
  </si>
  <si>
    <t>143:00:06.0012 (-143.001667) West</t>
  </si>
  <si>
    <t>TOK RIVER VALLEY</t>
  </si>
  <si>
    <t>3390F41A</t>
  </si>
  <si>
    <t>62:57:25.38 (62.95705) North</t>
  </si>
  <si>
    <t>143:20:44.9412 (-143.345817) West</t>
  </si>
  <si>
    <t>TOKETEE</t>
  </si>
  <si>
    <t>3261233E</t>
  </si>
  <si>
    <t>43:13:06.8016 (43.218556) North</t>
  </si>
  <si>
    <t>122:24:45.2988 (-122.412583) West</t>
  </si>
  <si>
    <t xml:space="preserve">stacy.ainslie@usda.gov </t>
  </si>
  <si>
    <t>Sara.billings@usda.gov</t>
  </si>
  <si>
    <t>TOKLAT</t>
  </si>
  <si>
    <t>396063EA</t>
  </si>
  <si>
    <t>63:31:31.8 (63.5255) North</t>
  </si>
  <si>
    <t>150:02:47.33 (-150.046481) West</t>
  </si>
  <si>
    <t>TOM BEST SPRING</t>
  </si>
  <si>
    <t>326CC3AA</t>
  </si>
  <si>
    <t>37:49:45.3792 (37.829272) North</t>
  </si>
  <si>
    <t>112:07:00.7608 (-112.116878) West</t>
  </si>
  <si>
    <t>TOMAHAWK</t>
  </si>
  <si>
    <t>5370100C</t>
  </si>
  <si>
    <t>45:35:38.94 (45.59415) North</t>
  </si>
  <si>
    <t>89:43:21.84 (-89.722733) West</t>
  </si>
  <si>
    <t>John.Goldschmidt@wisconsin.gov, eric.martin@wisconsin.gov</t>
  </si>
  <si>
    <t>TOMBIGBEE</t>
  </si>
  <si>
    <t>Choctaw</t>
  </si>
  <si>
    <t>333444F8</t>
  </si>
  <si>
    <t>33:16:50.0016 (33.280556) North</t>
  </si>
  <si>
    <t>89:08:20.0004 (-89.138889) West</t>
  </si>
  <si>
    <t>MARK CLAY</t>
  </si>
  <si>
    <t>mark.clay@usda.gov</t>
  </si>
  <si>
    <t xml:space="preserve">(662) 633-0905 </t>
  </si>
  <si>
    <t>TOMS CREEK</t>
  </si>
  <si>
    <t>3260A7D0</t>
  </si>
  <si>
    <t>48:01:20.4384 (48.022344) North</t>
  </si>
  <si>
    <t>123:57:29.8692 (-123.958297) West</t>
  </si>
  <si>
    <t>TONNER CANYON</t>
  </si>
  <si>
    <t>CA28B29C</t>
  </si>
  <si>
    <t>33:56:51.1116 (33.947531) North</t>
  </si>
  <si>
    <t>117:49:19.8804 (-117.822189) West</t>
  </si>
  <si>
    <t>TONTO BASIN</t>
  </si>
  <si>
    <t>326BA478</t>
  </si>
  <si>
    <t>33:52:06.9996 (33.868611) North</t>
  </si>
  <si>
    <t>111:18:47.9988 (-111.313333) West</t>
  </si>
  <si>
    <t xml:space="preserve">(928) 200-9710 </t>
  </si>
  <si>
    <t>gregory.sawyer@usda.gov, justin.henderson@usda.gov, richard_naden@nps.gov</t>
  </si>
  <si>
    <t>TONTO PORTABLE #1</t>
  </si>
  <si>
    <t>32B6176A</t>
  </si>
  <si>
    <t>33:48:44.3412 (33.812317) North</t>
  </si>
  <si>
    <t>110:54:28.7712 (-110.907992) West</t>
  </si>
  <si>
    <t>gregory.sawyer@usda.gov</t>
  </si>
  <si>
    <t>Andy Nordquist</t>
  </si>
  <si>
    <t>andrew.nordquist@usda.gov</t>
  </si>
  <si>
    <t>TONTO PORTABLE #2</t>
  </si>
  <si>
    <t>32B64716</t>
  </si>
  <si>
    <t>33:39:36.1188 (33.660033) North</t>
  </si>
  <si>
    <t>110:33:40.68 (-110.5613) West</t>
  </si>
  <si>
    <t>TOPANGA</t>
  </si>
  <si>
    <t>2E9123E4</t>
  </si>
  <si>
    <t>34:08:10.4604 (34.136239) North</t>
  </si>
  <si>
    <t>118:36:21.6 (-118.606) West</t>
  </si>
  <si>
    <t>TOW STRING</t>
  </si>
  <si>
    <t>35:32:59.2584 (35.549794) North</t>
  </si>
  <si>
    <t>83:17:38.6988 (-83.294083) West</t>
  </si>
  <si>
    <t>TOWER</t>
  </si>
  <si>
    <t>FA6362DE</t>
  </si>
  <si>
    <t>35:46:44.364 (35.77899) North</t>
  </si>
  <si>
    <t>106:15:57.996 (-106.26611) West</t>
  </si>
  <si>
    <t>BANDELIER NM</t>
  </si>
  <si>
    <t>Brian Bolser</t>
  </si>
  <si>
    <t>brian_bolser@nps.gov</t>
  </si>
  <si>
    <t xml:space="preserve">(505) 670-1586 </t>
  </si>
  <si>
    <t>TOWN CREEK</t>
  </si>
  <si>
    <t>3241CFF0</t>
  </si>
  <si>
    <t>43:56:22.4988 (43.939583) North</t>
  </si>
  <si>
    <t>115:54:41.5008 (-115.911528) West</t>
  </si>
  <si>
    <t>timothy.dulhanty@usda.gov</t>
  </si>
  <si>
    <t xml:space="preserve">(208) 382-7445 </t>
  </si>
  <si>
    <t>TRAIL CABIN</t>
  </si>
  <si>
    <t>324747F8</t>
  </si>
  <si>
    <t>33:15:53.2008 (33.264778) North</t>
  </si>
  <si>
    <t>109:22:04.4004 (-109.367889) West</t>
  </si>
  <si>
    <t>TRAIL GULCH</t>
  </si>
  <si>
    <t>325EC02E</t>
  </si>
  <si>
    <t>42:18:17.3988 (42.304833) North</t>
  </si>
  <si>
    <t>114:19:03.5004 (-114.317639) West</t>
  </si>
  <si>
    <t>TREXLER</t>
  </si>
  <si>
    <t>Lehigh</t>
  </si>
  <si>
    <t>32B4ECC8</t>
  </si>
  <si>
    <t>40:39:30.3984 (40.658444) North</t>
  </si>
  <si>
    <t>75:36:58.7016 (-75.616306) West</t>
  </si>
  <si>
    <t>TRIANGLE</t>
  </si>
  <si>
    <t>42:49:44.9004 (42.829139) North</t>
  </si>
  <si>
    <t>116:35:23.4816 (-116.589856) West</t>
  </si>
  <si>
    <t>TRIANGLE MTN</t>
  </si>
  <si>
    <t>Rowan</t>
  </si>
  <si>
    <t>328492FA</t>
  </si>
  <si>
    <t>38:10:37.2 (38.177) North</t>
  </si>
  <si>
    <t>83:24:24.5016 (-83.406806) West</t>
  </si>
  <si>
    <t xml:space="preserve">Nathan White </t>
  </si>
  <si>
    <t>TRIATHLON</t>
  </si>
  <si>
    <t>32BAE8A0</t>
  </si>
  <si>
    <t>48:16:38.2584 (48.277294) North</t>
  </si>
  <si>
    <t>120:33:55.6416 (-120.565456) West</t>
  </si>
  <si>
    <t>Mason Friedman</t>
  </si>
  <si>
    <t>mason.friedman@dnr.wa.gov</t>
  </si>
  <si>
    <t xml:space="preserve">(360) 489-7927 </t>
  </si>
  <si>
    <t>TRIMBLE MTN</t>
  </si>
  <si>
    <t>32A179F4</t>
  </si>
  <si>
    <t>36:28:11.388 (36.46983) North</t>
  </si>
  <si>
    <t>93:55:25.0644 (-93.923629) West</t>
  </si>
  <si>
    <t xml:space="preserve">(870) 365-6520 </t>
  </si>
  <si>
    <t>Paul Mancuso (Cell)</t>
  </si>
  <si>
    <t xml:space="preserve">(402) 651-4068 </t>
  </si>
  <si>
    <t>TRIMMER</t>
  </si>
  <si>
    <t>326DC150</t>
  </si>
  <si>
    <t>36:54:39.7836 (36.911051) North</t>
  </si>
  <si>
    <t>119:18:23.7312 (-119.306592) West</t>
  </si>
  <si>
    <t>TRINITY CAMP</t>
  </si>
  <si>
    <t>CA20D3DC</t>
  </si>
  <si>
    <t>40:47:11.1084 (40.786419) North</t>
  </si>
  <si>
    <t>122:48:16.1496 (-122.804486) West</t>
  </si>
  <si>
    <t>TROUT CREEK</t>
  </si>
  <si>
    <t>324A0794</t>
  </si>
  <si>
    <t>44:06:40.1004 (44.111139) North</t>
  </si>
  <si>
    <t>122:34:38.1 (-122.57725) West</t>
  </si>
  <si>
    <t>Johnson, Eric M</t>
  </si>
  <si>
    <t>ejohnson@blm.gov</t>
  </si>
  <si>
    <t xml:space="preserve">(541) 683-6484 </t>
  </si>
  <si>
    <t>ahester@blm.gov, ejohnson@blm.gov</t>
  </si>
  <si>
    <t>TROUT LAKE</t>
  </si>
  <si>
    <t>AAB5F0B8</t>
  </si>
  <si>
    <t>46:11:23.7588 (46.189933) North</t>
  </si>
  <si>
    <t>84:58:52.0788 (-84.981133) West</t>
  </si>
  <si>
    <t>brian.wolvert@usda.gov, eric.rebitzke@usda.gov, jesse.custer@usda.gov, paul.koehler@usda.gov</t>
  </si>
  <si>
    <t>TROY</t>
  </si>
  <si>
    <t>327392DA</t>
  </si>
  <si>
    <t>48:28:53.9292 (48.481647) North</t>
  </si>
  <si>
    <t>115:54:18.2592 (-115.905072) West</t>
  </si>
  <si>
    <t>R.J. McDole</t>
  </si>
  <si>
    <t>TRUCHAS</t>
  </si>
  <si>
    <t>328383B8</t>
  </si>
  <si>
    <t>36:03:32.4 (36.059) North</t>
  </si>
  <si>
    <t>105:46:10.2 (-105.7695) West</t>
  </si>
  <si>
    <t>TRUXTON CANYON</t>
  </si>
  <si>
    <t>327C873E</t>
  </si>
  <si>
    <t>35:46:48.45 (35.780125) North</t>
  </si>
  <si>
    <t>113:47:44.25 (-113.795625) West</t>
  </si>
  <si>
    <t xml:space="preserve">(928) 450-9985 </t>
  </si>
  <si>
    <t>TUCKAHOE</t>
  </si>
  <si>
    <t>AAAA8724</t>
  </si>
  <si>
    <t>38:56:44.9988 (38.945833) North</t>
  </si>
  <si>
    <t>75:56:08.0016 (-75.935556) West</t>
  </si>
  <si>
    <t xml:space="preserve">(410) 533-5747 </t>
  </si>
  <si>
    <t>TULE VALLEY</t>
  </si>
  <si>
    <t>325F715A</t>
  </si>
  <si>
    <t>39:21:00.6984 (39.350194) North</t>
  </si>
  <si>
    <t>113:23:05.6004 (-113.384889) West</t>
  </si>
  <si>
    <t>TUMALO RIDGE</t>
  </si>
  <si>
    <t>6000A296</t>
  </si>
  <si>
    <t>44:02:57.9984 (44.049444) North</t>
  </si>
  <si>
    <t>121:24:01.0008 (-121.400278) West</t>
  </si>
  <si>
    <t>Chris Dayton</t>
  </si>
  <si>
    <t>chris.dayton@odf.oregon.gov</t>
  </si>
  <si>
    <t xml:space="preserve">(541) 549-2731 </t>
  </si>
  <si>
    <t>TUMBLING RUN</t>
  </si>
  <si>
    <t>32A2B536</t>
  </si>
  <si>
    <t>40:01:23.9016 (40.023306) North</t>
  </si>
  <si>
    <t>77:20:49.8984 (-77.347194) West</t>
  </si>
  <si>
    <t>TUPPER</t>
  </si>
  <si>
    <t>Morrow</t>
  </si>
  <si>
    <t>3245D76E</t>
  </si>
  <si>
    <t>45:03:59.0004 (45.066389) North</t>
  </si>
  <si>
    <t>119:29:27.9996 (-119.491111) West</t>
  </si>
  <si>
    <t xml:space="preserve">(541) 676-2194 </t>
  </si>
  <si>
    <t>TURNBULL CREEK</t>
  </si>
  <si>
    <t>Bladen</t>
  </si>
  <si>
    <t>4071B76C</t>
  </si>
  <si>
    <t>34:40:59.0016 (34.683056) North</t>
  </si>
  <si>
    <t>78:34:54.0012 (-78.581667) West</t>
  </si>
  <si>
    <t>TURNER BROOK</t>
  </si>
  <si>
    <t>Somerset</t>
  </si>
  <si>
    <t>D200001C</t>
  </si>
  <si>
    <t>46:17:49.9992 (46.297222) North</t>
  </si>
  <si>
    <t>69:50:48.9984 (-69.846944) West</t>
  </si>
  <si>
    <t>MAINE</t>
  </si>
  <si>
    <t>DOC/FS</t>
  </si>
  <si>
    <t>MEFDRN - Maine Dept of Conservation / Maine Forest Service</t>
  </si>
  <si>
    <t>TURTLE MOUNTAIN</t>
  </si>
  <si>
    <t>Rolette</t>
  </si>
  <si>
    <t>FDD00590</t>
  </si>
  <si>
    <t>48:48:33.4008 (48.809278) North</t>
  </si>
  <si>
    <t>99:50:18.7692 (-99.838547) West</t>
  </si>
  <si>
    <t>Turtle Mt. Agency</t>
  </si>
  <si>
    <t>Steve Collins</t>
  </si>
  <si>
    <t>steven.collins@bia.gov</t>
  </si>
  <si>
    <t xml:space="preserve">(701) 477-6531 </t>
  </si>
  <si>
    <t>TUSAYAN</t>
  </si>
  <si>
    <t>328305AC</t>
  </si>
  <si>
    <t>35:59:17.9988 (35.988333) North</t>
  </si>
  <si>
    <t>112:07:14.0016 (-112.120556) West</t>
  </si>
  <si>
    <t>TUSKEGEE</t>
  </si>
  <si>
    <t>327EB750</t>
  </si>
  <si>
    <t>32:29:00.9996 (32.483611) North</t>
  </si>
  <si>
    <t>85:33:20.0016 (-85.555556) West</t>
  </si>
  <si>
    <t>Scott Layfield</t>
  </si>
  <si>
    <t>william.layfield@usda.gov</t>
  </si>
  <si>
    <t xml:space="preserve">(256) 761-5907 </t>
  </si>
  <si>
    <t>TUSQUITEE</t>
  </si>
  <si>
    <t>3288F680</t>
  </si>
  <si>
    <t>35:04:35.5008 (35.076528) North</t>
  </si>
  <si>
    <t>84:07:37.3008 (-84.127028) West</t>
  </si>
  <si>
    <t>TWEEDS POINT</t>
  </si>
  <si>
    <t>36:34:54.9984 (36.581944) North</t>
  </si>
  <si>
    <t>113:43:54.9984 (-113.731944) West</t>
  </si>
  <si>
    <t>TWIN BUTTES</t>
  </si>
  <si>
    <t>3252B722</t>
  </si>
  <si>
    <t>42:41:24.3996 (42.690111) North</t>
  </si>
  <si>
    <t>115:11:45.7008 (-115.196028) West</t>
  </si>
  <si>
    <t>TWISSELMAN</t>
  </si>
  <si>
    <t>CA52169A</t>
  </si>
  <si>
    <t>35:21:45 (35.3625) North</t>
  </si>
  <si>
    <t>119:49:23.9999 (-119.823333) West</t>
  </si>
  <si>
    <t>UAM</t>
  </si>
  <si>
    <t>Drew</t>
  </si>
  <si>
    <t>328BA1F2</t>
  </si>
  <si>
    <t>33:35:59.244 (33.59979) North</t>
  </si>
  <si>
    <t>91:48:38.88 (-91.8108) West</t>
  </si>
  <si>
    <t>UCRBLMFTS QD</t>
  </si>
  <si>
    <t>Pitkin</t>
  </si>
  <si>
    <t>32B0A42A</t>
  </si>
  <si>
    <t>39:12:12.4812 (39.203467) North</t>
  </si>
  <si>
    <t>107:18:42.7788 (-107.311883) West</t>
  </si>
  <si>
    <t>UCREZ1WRF QD</t>
  </si>
  <si>
    <t>324EB120</t>
  </si>
  <si>
    <t>39:40:04.2888 (39.667858) North</t>
  </si>
  <si>
    <t>106:35:13.0812 (-106.586967) West</t>
  </si>
  <si>
    <t>UCRWRF1 QD</t>
  </si>
  <si>
    <t>32B396BE</t>
  </si>
  <si>
    <t>39:12:12.3012 (39.203417) North</t>
  </si>
  <si>
    <t>107:18:43.92 (-107.3122) West</t>
  </si>
  <si>
    <t xml:space="preserve">(970) 640-9465 </t>
  </si>
  <si>
    <t>UHL</t>
  </si>
  <si>
    <t>3231429A</t>
  </si>
  <si>
    <t>35:53:12.03 (35.886675) North</t>
  </si>
  <si>
    <t>118:38:54.0096 (-118.648336) West</t>
  </si>
  <si>
    <t>UIF-1 PORTABLE</t>
  </si>
  <si>
    <t>40:25:56.3988 (40.432333) North</t>
  </si>
  <si>
    <t>111:38:17.4984 (-111.638194) West</t>
  </si>
  <si>
    <t>UKUMEHAME 1 RAWS</t>
  </si>
  <si>
    <t>32BD8F72</t>
  </si>
  <si>
    <t>20:48:31.2912 (20.808692) North</t>
  </si>
  <si>
    <t>156:35:02.3604 (-156.583989) West</t>
  </si>
  <si>
    <t>UMATILLA</t>
  </si>
  <si>
    <t>45:55:00.0012 (45.916667) North</t>
  </si>
  <si>
    <t>119:34:00.0012 (-119.566667) West</t>
  </si>
  <si>
    <t>UMATILLA NWR</t>
  </si>
  <si>
    <t>bruce_jackson@fws.gov , josh_oconnor@fws.gov</t>
  </si>
  <si>
    <t>UMATILLA PORTABLE #1</t>
  </si>
  <si>
    <t>328E06CA</t>
  </si>
  <si>
    <t>44:52:41.2896 (44.878136) North</t>
  </si>
  <si>
    <t>119:38:54.8988 (-119.648583) West</t>
  </si>
  <si>
    <t>UMATILLA PORTABLE #2</t>
  </si>
  <si>
    <t>32A0BE10</t>
  </si>
  <si>
    <t>44:57:04.6188 (44.951283) North</t>
  </si>
  <si>
    <t>119:00:10.08 (-119.0028) West</t>
  </si>
  <si>
    <t>UMIAT AIRFIELD</t>
  </si>
  <si>
    <t>326B17F6</t>
  </si>
  <si>
    <t>69:22:12 (69.37) North</t>
  </si>
  <si>
    <t>152:08:09.9996 (-152.136111) West</t>
  </si>
  <si>
    <t xml:space="preserve">(626) 505-2051 </t>
  </si>
  <si>
    <t>UMPQUA NF PORTABLE #1</t>
  </si>
  <si>
    <t>AAC471FA</t>
  </si>
  <si>
    <t>43:19:01.5996 (43.317111) North</t>
  </si>
  <si>
    <t>122:18:52.2 (-122.3145) West</t>
  </si>
  <si>
    <t>UMPQUA PORTABLE 2</t>
  </si>
  <si>
    <t>32A2DE02</t>
  </si>
  <si>
    <t>42:46:05.5992 (42.768222) North</t>
  </si>
  <si>
    <t>123:01:53.004 (-123.03139) West</t>
  </si>
  <si>
    <t xml:space="preserve">(541) 825-3108 </t>
  </si>
  <si>
    <t>UNDEPLOYED #3</t>
  </si>
  <si>
    <t>Thurston</t>
  </si>
  <si>
    <t>32A1A14E</t>
  </si>
  <si>
    <t>46:52:00.3792 (46.866772) North</t>
  </si>
  <si>
    <t>122:46:14.8908 (-122.770803) West</t>
  </si>
  <si>
    <t>John Baker</t>
  </si>
  <si>
    <t>john.baker@dnr.wa.gov</t>
  </si>
  <si>
    <t xml:space="preserve">(509) 899-4925 </t>
  </si>
  <si>
    <t>Josh Clark</t>
  </si>
  <si>
    <t>josh.clark@dnr.wa.gov</t>
  </si>
  <si>
    <t xml:space="preserve">(502) 295-8895 </t>
  </si>
  <si>
    <t>UNDERWOOD</t>
  </si>
  <si>
    <t>40:43:17.3604 (40.721489) North</t>
  </si>
  <si>
    <t>123:29:46.6512 (-123.496292) West</t>
  </si>
  <si>
    <t>ahester@blm.gov, jaime.granadosquintanilla@usda.gov, kaily.fineran@usda.gov, shuckstep@blm.gov, walter.malena@usda.gov</t>
  </si>
  <si>
    <t>UNION PASS</t>
  </si>
  <si>
    <t>35:13:56.3988 (35.232333) North</t>
  </si>
  <si>
    <t>114:22:54.9984 (-114.381944) West</t>
  </si>
  <si>
    <t>UPPER CHARLEY RIVER</t>
  </si>
  <si>
    <t>3960D064</t>
  </si>
  <si>
    <t>64:31:00.91 (64.516919) North</t>
  </si>
  <si>
    <t>143:12:08.57 (-143.202381) West</t>
  </si>
  <si>
    <t>UPPER P.R. CANYON</t>
  </si>
  <si>
    <t>324CB4D4</t>
  </si>
  <si>
    <t>39:28:05.0016 (39.468056) North</t>
  </si>
  <si>
    <t>109:17:08.9988 (-109.285833) West</t>
  </si>
  <si>
    <t>UPPER SAND WASH</t>
  </si>
  <si>
    <t>324CE4A8</t>
  </si>
  <si>
    <t>39:42:29.4984 (39.708194) North</t>
  </si>
  <si>
    <t>109:26:27.6 (-109.441) West</t>
  </si>
  <si>
    <t>UPPER TRACT</t>
  </si>
  <si>
    <t>Pendleton</t>
  </si>
  <si>
    <t>9000958E</t>
  </si>
  <si>
    <t>38:49:00.0012 (38.816667) North</t>
  </si>
  <si>
    <t>79:16:37.9992 (-79.277222) West</t>
  </si>
  <si>
    <t>USMA</t>
  </si>
  <si>
    <t>3333D3AE</t>
  </si>
  <si>
    <t>41:21:54 (41.365) North</t>
  </si>
  <si>
    <t>74:01:36.0012 (-74.026667) West</t>
  </si>
  <si>
    <t>WEST POINT</t>
  </si>
  <si>
    <t>Laurie Raskin</t>
  </si>
  <si>
    <t>laurie.h.raskin.civ@army.mil</t>
  </si>
  <si>
    <t xml:space="preserve">(845) 938-1973 </t>
  </si>
  <si>
    <t>Christopher Killough</t>
  </si>
  <si>
    <t>christopher.w.killough3.civ@army.mil</t>
  </si>
  <si>
    <t xml:space="preserve">(845) 938-2314 </t>
  </si>
  <si>
    <t>Christopher  Killough</t>
  </si>
  <si>
    <t>UTE CANYON</t>
  </si>
  <si>
    <t>3236F320</t>
  </si>
  <si>
    <t>37:03:38.9988 (37.060833) North</t>
  </si>
  <si>
    <t>102:37:49.0008 (-102.630278) West</t>
  </si>
  <si>
    <t>ahester@blm.gov, jeffrey.bade@usda.gov, thomas.eikenberry@usda.gov</t>
  </si>
  <si>
    <t>UWF-2 PORTABLE</t>
  </si>
  <si>
    <t>3288D06C</t>
  </si>
  <si>
    <t>40:55:24.6 (40.9235) North</t>
  </si>
  <si>
    <t>110:06:17.28 (-110.1048) West</t>
  </si>
  <si>
    <t xml:space="preserve">(801) 495-7604 </t>
  </si>
  <si>
    <t>UWHARRIE (TROY)</t>
  </si>
  <si>
    <t>35:21:43.3008 (35.362028) North</t>
  </si>
  <si>
    <t>79:51:43.7004 (-79.862139) West</t>
  </si>
  <si>
    <t>VALENTINE</t>
  </si>
  <si>
    <t>8375A71A</t>
  </si>
  <si>
    <t>42:29:02.0004 (42.483889) North</t>
  </si>
  <si>
    <t>100:31:23.0016 (-100.523056) West</t>
  </si>
  <si>
    <t>FORT NIOBRARA NWR</t>
  </si>
  <si>
    <t xml:space="preserve"> john_graham@fws.gov,  kathryn_sebes@fws.gov,  todd_ruzicka@fws.gov, tate_fischer@fws.gov</t>
  </si>
  <si>
    <t>VALLEY CENTER</t>
  </si>
  <si>
    <t>CA451330</t>
  </si>
  <si>
    <t>33:14:13.2396 (33.237011) North</t>
  </si>
  <si>
    <t>117:00:30.9312 (-117.008592) West</t>
  </si>
  <si>
    <t>VALYERMO</t>
  </si>
  <si>
    <t>3332D154</t>
  </si>
  <si>
    <t>34:26:44.0016 (34.445556) North</t>
  </si>
  <si>
    <t>117:51:03.9996 (-117.851111) West</t>
  </si>
  <si>
    <t>VAN BREMMER</t>
  </si>
  <si>
    <t>324275A2</t>
  </si>
  <si>
    <t>41:38:34.6812 (41.642967) North</t>
  </si>
  <si>
    <t>121:47:41.55 (-121.794875) West</t>
  </si>
  <si>
    <t>VANDENBERG</t>
  </si>
  <si>
    <t>3285A59A</t>
  </si>
  <si>
    <t>34:45:31.1508 (34.758653) North</t>
  </si>
  <si>
    <t>120:29:09.1212 (-120.485867) West</t>
  </si>
  <si>
    <t>Jesse Hendricks</t>
  </si>
  <si>
    <t>jesse.hendricks@spaceforce.mil</t>
  </si>
  <si>
    <t xml:space="preserve">(805) 606-2965 </t>
  </si>
  <si>
    <t>VANDENBERG PORTABLE</t>
  </si>
  <si>
    <t>32B566F4</t>
  </si>
  <si>
    <t>34:37:19.92 (34.6222) North</t>
  </si>
  <si>
    <t>120:36:08.82 (-120.60245) West</t>
  </si>
  <si>
    <t>VANDENBERG AFB</t>
  </si>
  <si>
    <t>Shannon Smith</t>
  </si>
  <si>
    <t>Shannon.smith.44@spaceforce.mil</t>
  </si>
  <si>
    <t xml:space="preserve">(805) 605-3351 </t>
  </si>
  <si>
    <t>VERDE</t>
  </si>
  <si>
    <t>326C2058</t>
  </si>
  <si>
    <t>34:32:57.0012 (34.549167) North</t>
  </si>
  <si>
    <t>111:50:39.0012 (-111.844167) West</t>
  </si>
  <si>
    <t>VERNON</t>
  </si>
  <si>
    <t>324301C8</t>
  </si>
  <si>
    <t>31:01:41.8008 (31.028278) North</t>
  </si>
  <si>
    <t>93:11:04.2 (-93.1845) West</t>
  </si>
  <si>
    <t>40:06:02.1996 (40.100611) North</t>
  </si>
  <si>
    <t>112:25:33.6 (-112.426) West</t>
  </si>
  <si>
    <t>VERNONIA</t>
  </si>
  <si>
    <t>32BA6EB4</t>
  </si>
  <si>
    <t>45:51:02.5596 (45.850711) North</t>
  </si>
  <si>
    <t>123:11:59.82 (-123.19995) West</t>
  </si>
  <si>
    <t xml:space="preserve">(971) 278-0640 </t>
  </si>
  <si>
    <t>VFEF2 PORTABLE</t>
  </si>
  <si>
    <t>Athens</t>
  </si>
  <si>
    <t>William Borovicka</t>
  </si>
  <si>
    <t xml:space="preserve">(740) 979-9702 </t>
  </si>
  <si>
    <t>VIEQUES</t>
  </si>
  <si>
    <t>837AB2FE</t>
  </si>
  <si>
    <t>18:07:18.0012 (18.121667) North</t>
  </si>
  <si>
    <t>65:24:56.9988 (-65.415833) West</t>
  </si>
  <si>
    <t xml:space="preserve">(541) 493-2612 </t>
  </si>
  <si>
    <t>VIEWPOINT</t>
  </si>
  <si>
    <t>323807CC</t>
  </si>
  <si>
    <t>47:51:19.0008 (47.855278) North</t>
  </si>
  <si>
    <t>120:53:25.0008 (-120.890278) West</t>
  </si>
  <si>
    <t>VILLAGE CREEK</t>
  </si>
  <si>
    <t>324A14E2</t>
  </si>
  <si>
    <t>44:15:08.6004 (44.252389) North</t>
  </si>
  <si>
    <t>123:27:49.8996 (-123.463861) West</t>
  </si>
  <si>
    <t>VINTON FURNACE</t>
  </si>
  <si>
    <t>Vinton</t>
  </si>
  <si>
    <t>AAC09732</t>
  </si>
  <si>
    <t>39:12:00.2988 (39.200083) North</t>
  </si>
  <si>
    <t>82:23:39.3 (-82.39425) West</t>
  </si>
  <si>
    <t>VISTA (SAN CLEMENTE IS)</t>
  </si>
  <si>
    <t>9330A482</t>
  </si>
  <si>
    <t>32:52:46.0992 (32.879472) North</t>
  </si>
  <si>
    <t>118:26:20.7996 (-118.439111) West</t>
  </si>
  <si>
    <t>VISTA GRANDE</t>
  </si>
  <si>
    <t>AAA9802A</t>
  </si>
  <si>
    <t>33:50:09.9312 (33.836092) North</t>
  </si>
  <si>
    <t>116:48:40.5 (-116.81125) West</t>
  </si>
  <si>
    <t>VNC PORTABLE 1</t>
  </si>
  <si>
    <t>32A2C3A6</t>
  </si>
  <si>
    <t>34:14:35.0016 (34.243056) North</t>
  </si>
  <si>
    <t>118:49:57 (-118.8325) West</t>
  </si>
  <si>
    <t>VNC STATION 30</t>
  </si>
  <si>
    <t>32A01EE8</t>
  </si>
  <si>
    <t>34:11:06.8388 (34.185233) North</t>
  </si>
  <si>
    <t>118:53:07.1988 (-118.885333) West</t>
  </si>
  <si>
    <t>ryan.matheson@ventura.org</t>
  </si>
  <si>
    <t>Ken VanWig</t>
  </si>
  <si>
    <t>VNC STATION 53</t>
  </si>
  <si>
    <t>32A2F63C</t>
  </si>
  <si>
    <t>34:09:01.98 (34.15055) North</t>
  </si>
  <si>
    <t>119:11:53.0412 (-119.198067) West</t>
  </si>
  <si>
    <t>VNC STATION 54</t>
  </si>
  <si>
    <t>32A2F8EE</t>
  </si>
  <si>
    <t>34:13:17.94 (34.22165) North</t>
  </si>
  <si>
    <t>119:02:26.2212 (-119.040617) West</t>
  </si>
  <si>
    <t>VUNZIK LAKE</t>
  </si>
  <si>
    <t>1260E500</t>
  </si>
  <si>
    <t>66:47:27.3012 (66.790917) North</t>
  </si>
  <si>
    <t>146:38:54.8988 (-146.648583) West</t>
  </si>
  <si>
    <t>WACOA_PORT1</t>
  </si>
  <si>
    <t>521381F0</t>
  </si>
  <si>
    <t>48:19:44.2992 (48.328972) North</t>
  </si>
  <si>
    <t>118:45:11.5992 (-118.753222) West</t>
  </si>
  <si>
    <t>WACOF QD 21</t>
  </si>
  <si>
    <t>32D42536</t>
  </si>
  <si>
    <t>48:31:25.68 (48.5238) North</t>
  </si>
  <si>
    <t>119:00:40.6188 (-119.011283) West</t>
  </si>
  <si>
    <t>WAGONTIRE</t>
  </si>
  <si>
    <t>43:20:35.9988 (43.343333) North</t>
  </si>
  <si>
    <t>119:53:12.0012 (-119.886667) West</t>
  </si>
  <si>
    <t>WAGONTOWN</t>
  </si>
  <si>
    <t>3334578E</t>
  </si>
  <si>
    <t>43:34:19.0992 (43.571972) North</t>
  </si>
  <si>
    <t>115:19:39.1008 (-115.327528) West</t>
  </si>
  <si>
    <t>(208) 382-7445 153</t>
  </si>
  <si>
    <t>WAH KON TAH</t>
  </si>
  <si>
    <t>Cedar</t>
  </si>
  <si>
    <t>323C41FC</t>
  </si>
  <si>
    <t>37:53:48 (37.896667) North</t>
  </si>
  <si>
    <t>93:59:30 (-93.991667) West</t>
  </si>
  <si>
    <t>WAIANAE VALLEY</t>
  </si>
  <si>
    <t>487005DA</t>
  </si>
  <si>
    <t>21:28:50.58 (21.480717) North</t>
  </si>
  <si>
    <t>158:09:17.57 (-158.154881) West</t>
  </si>
  <si>
    <t>Ryan Peralta (Cell)</t>
  </si>
  <si>
    <t xml:space="preserve">(808) 292-5645 </t>
  </si>
  <si>
    <t xml:space="preserve">WAIHOU SPRING 1 RAWS	</t>
  </si>
  <si>
    <t>32BD7FF6</t>
  </si>
  <si>
    <t>20:47:55.1184 (20.798644) North</t>
  </si>
  <si>
    <t>156:16:52.6404 (-156.281289) West</t>
  </si>
  <si>
    <t>WAIKALAI 1</t>
  </si>
  <si>
    <t>32BBF7FE</t>
  </si>
  <si>
    <t>20:59:46.5 (20.99625) North</t>
  </si>
  <si>
    <t>156:33:52.8984 (-156.564694) West</t>
  </si>
  <si>
    <t>WAIKOLOA</t>
  </si>
  <si>
    <t>4870C0C4</t>
  </si>
  <si>
    <t>19:55:27 (19.924167) North</t>
  </si>
  <si>
    <t>155:47:37 (-155.793611) West</t>
  </si>
  <si>
    <t>WAIMEA HTS</t>
  </si>
  <si>
    <t>487090B8</t>
  </si>
  <si>
    <t>21:57:59.3892 (21.966497) North</t>
  </si>
  <si>
    <t>159:39:49.6692 (-159.663797) West</t>
  </si>
  <si>
    <t>WAKEFIELD</t>
  </si>
  <si>
    <t>Gogebic</t>
  </si>
  <si>
    <t>0800D5AA</t>
  </si>
  <si>
    <t>46:26:25.0008 (46.440278) North</t>
  </si>
  <si>
    <t>89:49:36.0012 (-89.826667) West</t>
  </si>
  <si>
    <t>WAKULLA PORTABLE</t>
  </si>
  <si>
    <t>328B27E6</t>
  </si>
  <si>
    <t>30:12:19.1916 (30.205331) North</t>
  </si>
  <si>
    <t>84:39:36.8604 (-84.660239) West</t>
  </si>
  <si>
    <t>andrew.lambert2@usda.gov</t>
  </si>
  <si>
    <t xml:space="preserve">(931) 249-6884 </t>
  </si>
  <si>
    <t>WALKER</t>
  </si>
  <si>
    <t>38:33:55.0008 (38.565278) North</t>
  </si>
  <si>
    <t>119:27:33.0012 (-119.459167) West</t>
  </si>
  <si>
    <t>Jed Rudelbach</t>
  </si>
  <si>
    <t>Duke Piper</t>
  </si>
  <si>
    <t>ahester@blm.gov, jedidia.rudelbach@usda.gov</t>
  </si>
  <si>
    <t>WALKER PASS</t>
  </si>
  <si>
    <t>3253B5D8</t>
  </si>
  <si>
    <t>35:39:56.9988 (35.665833) North</t>
  </si>
  <si>
    <t>118:03:24.9984 (-118.056944) West</t>
  </si>
  <si>
    <t>WALLKILL RIVER NWR</t>
  </si>
  <si>
    <t>8377F292</t>
  </si>
  <si>
    <t>41:15:41.2992 (41.261472) North</t>
  </si>
  <si>
    <t>74:32:14.3988 (-74.537333) West</t>
  </si>
  <si>
    <t>jesse_mihatov@fws.gov, michael_pagoaga@fws.gov</t>
  </si>
  <si>
    <t>WALTERBORO</t>
  </si>
  <si>
    <t>AAA1F21C</t>
  </si>
  <si>
    <t>32:55:25.6 (32.923778) North</t>
  </si>
  <si>
    <t>80:37:50.4 (-80.630667) West</t>
  </si>
  <si>
    <t xml:space="preserve">(843) 538-3708 </t>
  </si>
  <si>
    <t>WAMBAW</t>
  </si>
  <si>
    <t>325D37A4</t>
  </si>
  <si>
    <t>32:58:27.0012 (32.974167) North</t>
  </si>
  <si>
    <t>79:40:06.9996 (-79.668611) West</t>
  </si>
  <si>
    <t>Kelly Wetzel</t>
  </si>
  <si>
    <t>kelly.wetzel@usda.gov</t>
  </si>
  <si>
    <t xml:space="preserve">(843) 336-2216 </t>
  </si>
  <si>
    <t>sgpolk@fs.fed.us</t>
  </si>
  <si>
    <t>WAMIC MILL</t>
  </si>
  <si>
    <t>324045CC</t>
  </si>
  <si>
    <t>45:14:25.2096 (45.240336) North</t>
  </si>
  <si>
    <t>121:27:15.2316 (-121.454231) West</t>
  </si>
  <si>
    <t>WAMP SPRINGS</t>
  </si>
  <si>
    <t>8374B696</t>
  </si>
  <si>
    <t>36:34:09.2712 (36.569242) North</t>
  </si>
  <si>
    <t>115:05:25.8504 (-115.090514) West</t>
  </si>
  <si>
    <t>WANAKENA</t>
  </si>
  <si>
    <t>44:10:00.0012 (44.166667) North</t>
  </si>
  <si>
    <t>74:54:00 (-74.9) West</t>
  </si>
  <si>
    <t>WANDERERS PEAK</t>
  </si>
  <si>
    <t>45:06:33.0912 (45.109192) North</t>
  </si>
  <si>
    <t>122:11:47.0616 (-122.196406) West</t>
  </si>
  <si>
    <t>WAOWF QD 17</t>
  </si>
  <si>
    <t>325CB34A</t>
  </si>
  <si>
    <t>48:35:27.6 (48.591) North</t>
  </si>
  <si>
    <t>120:20:42 (-120.345) West</t>
  </si>
  <si>
    <t>Ben Eddings</t>
  </si>
  <si>
    <t>benjamin.eddings@usda.gov</t>
  </si>
  <si>
    <t xml:space="preserve">(609) 670-2304 </t>
  </si>
  <si>
    <t>WAOWF QD 1702</t>
  </si>
  <si>
    <t>325CA03C</t>
  </si>
  <si>
    <t>47:50:07.0008 (47.835278) North</t>
  </si>
  <si>
    <t>120:09:43.5996 (-120.162111) West</t>
  </si>
  <si>
    <t>Aaron Bruning</t>
  </si>
  <si>
    <t>aaron.m.bruning@usda.gov</t>
  </si>
  <si>
    <t xml:space="preserve">(509) 699-8070 </t>
  </si>
  <si>
    <t>aaron.m.bruning@usda.gov, fidel.verduzco@usda.gov</t>
  </si>
  <si>
    <t>WAOWF QD 1703</t>
  </si>
  <si>
    <t>32D43640</t>
  </si>
  <si>
    <t>47:23:24.5004 (47.390139) North</t>
  </si>
  <si>
    <t>120:54:13.7016 (-120.903806) West</t>
  </si>
  <si>
    <t>Cris Machado</t>
  </si>
  <si>
    <t>cris.machado@usda.gov</t>
  </si>
  <si>
    <t xml:space="preserve">(509) 860-6548 </t>
  </si>
  <si>
    <t>jason.buda@usda.gov, william.burks4@usda.gov</t>
  </si>
  <si>
    <t>WAOWF QD 1704</t>
  </si>
  <si>
    <t>AAC35522</t>
  </si>
  <si>
    <t>48:17:23.2188 (48.289783) North</t>
  </si>
  <si>
    <t>120:10:38.8812 (-120.177467) West</t>
  </si>
  <si>
    <t>aana.kulaas@usda.gov, erinkate.springer@usda.gov</t>
  </si>
  <si>
    <t>WAOWF QD 1705</t>
  </si>
  <si>
    <t>47:49:51.78 (47.83105) North</t>
  </si>
  <si>
    <t>120:18:40.32 (-120.3112) West</t>
  </si>
  <si>
    <t>joshua.verellen@usda.gov</t>
  </si>
  <si>
    <t>WAOWF QD 1707</t>
  </si>
  <si>
    <t>AAC323B2</t>
  </si>
  <si>
    <t>47:19:52.68 (47.3313) North</t>
  </si>
  <si>
    <t>120:24:22.0212 (-120.406117) West</t>
  </si>
  <si>
    <t>Andrew Mendiguren</t>
  </si>
  <si>
    <t>andrew.mendiguren@usda.gov</t>
  </si>
  <si>
    <t xml:space="preserve">(509) 548-2606 </t>
  </si>
  <si>
    <t xml:space="preserve">(509) 664-9200 </t>
  </si>
  <si>
    <t>andrew.mendiguren@usda.gov, jonathan.tepley@usda.gov, michael.barajas@usda.gov</t>
  </si>
  <si>
    <t>WAOWF QD 1708</t>
  </si>
  <si>
    <t>326934EE</t>
  </si>
  <si>
    <t>48:40:07.6008 (48.668778) North</t>
  </si>
  <si>
    <t>120:18:16.0992 (-120.304472) West</t>
  </si>
  <si>
    <t>Jonathon Campbell</t>
  </si>
  <si>
    <t>jonathon.l.campbell@usda.gov</t>
  </si>
  <si>
    <t xml:space="preserve">(509) 823-7645 </t>
  </si>
  <si>
    <t>WARM SPRINGS</t>
  </si>
  <si>
    <t>3248521C</t>
  </si>
  <si>
    <t>34:35:44.9988 (34.595833) North</t>
  </si>
  <si>
    <t>118:34:42.9996 (-118.578611) West</t>
  </si>
  <si>
    <t>Christopher Fry</t>
  </si>
  <si>
    <t xml:space="preserve">(818) 212-6079 </t>
  </si>
  <si>
    <t>WARM SPRINGS BASE</t>
  </si>
  <si>
    <t>329426EA</t>
  </si>
  <si>
    <t>44:46:46.3188 (44.779533) North</t>
  </si>
  <si>
    <t>121:15:00.3888 (-121.250108) West</t>
  </si>
  <si>
    <t xml:space="preserve">(541) 553-1146 </t>
  </si>
  <si>
    <t>WARM SPRINGS CANYON</t>
  </si>
  <si>
    <t>32401B62</t>
  </si>
  <si>
    <t>36:42:04.2012 (36.701167) North</t>
  </si>
  <si>
    <t>112:13:36.8004 (-112.226889) West</t>
  </si>
  <si>
    <t xml:space="preserve"> andrew.leiendecker@usda.gov, quentin.ford@usda.gov, richard_naden@nps.gov</t>
  </si>
  <si>
    <t>WARREN</t>
  </si>
  <si>
    <t>32B8284A</t>
  </si>
  <si>
    <t>43:54:45.1188 (43.912533) North</t>
  </si>
  <si>
    <t>71:53:09.24 (-71.8859) West</t>
  </si>
  <si>
    <t>nathan.a.blanchard@dncr.nh.gov</t>
  </si>
  <si>
    <t>adrian.reyes@dncr.nh.gov, douglas.miner@dncr.nh.gov</t>
  </si>
  <si>
    <t>WARRENTON</t>
  </si>
  <si>
    <t>407182F6</t>
  </si>
  <si>
    <t>36:21:41.0004 (36.361389) North</t>
  </si>
  <si>
    <t>78:05:57.66 (-78.09935) West</t>
  </si>
  <si>
    <t>WASCO BUTTE</t>
  </si>
  <si>
    <t>6000847A</t>
  </si>
  <si>
    <t>45:37:00.0012 (45.616667) North</t>
  </si>
  <si>
    <t>121:20:07.0008 (-121.335278) West</t>
  </si>
  <si>
    <t>Carrie Capp</t>
  </si>
  <si>
    <t>WASHBURN</t>
  </si>
  <si>
    <t>3336379C</t>
  </si>
  <si>
    <t>46:35:06.4608 (46.585128) North</t>
  </si>
  <si>
    <t>91:15:20.0808 (-91.255578) West</t>
  </si>
  <si>
    <t>33:46:46.9992 (33.779722) North</t>
  </si>
  <si>
    <t>82:48:48.9996 (-82.813611) West</t>
  </si>
  <si>
    <t xml:space="preserve">(478) 734-2015 </t>
  </si>
  <si>
    <t>WASHINGTON PASS</t>
  </si>
  <si>
    <t>3279F66E</t>
  </si>
  <si>
    <t>36:04:35.4 (36.0765) North</t>
  </si>
  <si>
    <t>108:51:41.4 (-108.8615) West</t>
  </si>
  <si>
    <t>Darryl Wison</t>
  </si>
  <si>
    <t>WASHINGTON PORTABLE 1</t>
  </si>
  <si>
    <t>3279C3F4</t>
  </si>
  <si>
    <t>46:02:57.6996 (46.049361) North</t>
  </si>
  <si>
    <t>121:15:24.5016 (-121.256806) West</t>
  </si>
  <si>
    <t>Jesse Wolfe</t>
  </si>
  <si>
    <t>jesse.wolfe@dnr.wa.gov</t>
  </si>
  <si>
    <t xml:space="preserve">(360) 489-8365 </t>
  </si>
  <si>
    <t>WASHINGTON PORTABLE 2</t>
  </si>
  <si>
    <t>32B706E6</t>
  </si>
  <si>
    <t>47:07:46.6788 (47.129633) North</t>
  </si>
  <si>
    <t>120:50:23.82 (-120.83995) West</t>
  </si>
  <si>
    <t>rpraws@dnr.gov</t>
  </si>
  <si>
    <t>WASHINGTON PORTABLE 3</t>
  </si>
  <si>
    <t>32A0A3B4</t>
  </si>
  <si>
    <t>46:55:48.9288 (46.930258) North</t>
  </si>
  <si>
    <t>120:46:03.99 (-120.767775) West</t>
  </si>
  <si>
    <t>WASHINGTON PORTABLE 4</t>
  </si>
  <si>
    <t>32A0AD66</t>
  </si>
  <si>
    <t>48:33:55.0188 (48.565283) North</t>
  </si>
  <si>
    <t>119:48:20.52 (-119.8057) West</t>
  </si>
  <si>
    <t>WATAUGA</t>
  </si>
  <si>
    <t>Unicoi</t>
  </si>
  <si>
    <t>32A05330</t>
  </si>
  <si>
    <t>36:12:04.5612 (36.201267) North</t>
  </si>
  <si>
    <t>82:23:19.7988 (-82.388833) West</t>
  </si>
  <si>
    <t xml:space="preserve">(423) 476-9787 </t>
  </si>
  <si>
    <t>WATERSMEET</t>
  </si>
  <si>
    <t>328346A6</t>
  </si>
  <si>
    <t>46:16:08.6016 (46.269056) North</t>
  </si>
  <si>
    <t>89:10:12.2016 (-89.170056) West</t>
  </si>
  <si>
    <t>WATFORD CITY</t>
  </si>
  <si>
    <t>McKenzie</t>
  </si>
  <si>
    <t>47:39:49.3992 (47.663722) North</t>
  </si>
  <si>
    <t>103:19:09.0984 (-103.319194) West</t>
  </si>
  <si>
    <t>WATKINSVILLE</t>
  </si>
  <si>
    <t>33:53:20.0004 (33.888889) North</t>
  </si>
  <si>
    <t>83:25:05.9988 (-83.418333) West</t>
  </si>
  <si>
    <t>WAUSAU</t>
  </si>
  <si>
    <t>328316DA</t>
  </si>
  <si>
    <t>31:31:49.2708 (31.530353) North</t>
  </si>
  <si>
    <t>88:53:32.5392 (-88.892372) West</t>
  </si>
  <si>
    <t xml:space="preserve">Cody EVans </t>
  </si>
  <si>
    <t xml:space="preserve">Rodney Landrum </t>
  </si>
  <si>
    <t>rodney.landrum@usda.gov</t>
  </si>
  <si>
    <t xml:space="preserve">(601) 410-1519 </t>
  </si>
  <si>
    <t>WAUSAUKEE</t>
  </si>
  <si>
    <t>Marinette</t>
  </si>
  <si>
    <t>5370B0F4</t>
  </si>
  <si>
    <t>45:23:22.3044 (45.389529) North</t>
  </si>
  <si>
    <t>87:57:55.4796 (-87.965411) West</t>
  </si>
  <si>
    <t>WAUTOMA</t>
  </si>
  <si>
    <t>Waushara</t>
  </si>
  <si>
    <t>5370669C</t>
  </si>
  <si>
    <t>44:03:21.8988 (44.056083) North</t>
  </si>
  <si>
    <t>89:17:31.8984 (-89.292194) West</t>
  </si>
  <si>
    <t>WAWONA</t>
  </si>
  <si>
    <t>FA673798</t>
  </si>
  <si>
    <t>37:32:04.0992 (37.534472) North</t>
  </si>
  <si>
    <t>119:38:41.8992 (-119.644972) West</t>
  </si>
  <si>
    <t>WAYCROSS</t>
  </si>
  <si>
    <t>Ware</t>
  </si>
  <si>
    <t>31:14:48.0012 (31.246667) North</t>
  </si>
  <si>
    <t>82:24:05.0004 (-82.401389) West</t>
  </si>
  <si>
    <t>WCF-1 PORTABLE</t>
  </si>
  <si>
    <t>Wasatch</t>
  </si>
  <si>
    <t>40:24:02.3292 (40.400647) North</t>
  </si>
  <si>
    <t>111:08:03.6096 (-111.134336) West</t>
  </si>
  <si>
    <t>WEDINGTON</t>
  </si>
  <si>
    <t>328A03F0</t>
  </si>
  <si>
    <t>36:07:03.7992 (36.117722) North</t>
  </si>
  <si>
    <t>94:23:41.8992 (-94.394972) West</t>
  </si>
  <si>
    <t>WEED AIRPORT</t>
  </si>
  <si>
    <t>CA2055C8</t>
  </si>
  <si>
    <t>41:28:44.13 (41.478925) North</t>
  </si>
  <si>
    <t>122:27:16.65 (-122.454625) West</t>
  </si>
  <si>
    <t>WEIN LAKE</t>
  </si>
  <si>
    <t>324351B4</t>
  </si>
  <si>
    <t>64:19:04.1016 (64.317806) North</t>
  </si>
  <si>
    <t>151:05:13.9992 (-151.087222) West</t>
  </si>
  <si>
    <t>WEIR TOWER</t>
  </si>
  <si>
    <t>3293E1C0</t>
  </si>
  <si>
    <t>34:01:18.2892 (34.021747) North</t>
  </si>
  <si>
    <t>80:52:03.6516 (-80.867681) West</t>
  </si>
  <si>
    <t>FORT JACKSON</t>
  </si>
  <si>
    <t>Sara Clayborne</t>
  </si>
  <si>
    <t>sara.a.clayborne.civ@army.mil</t>
  </si>
  <si>
    <t xml:space="preserve">(803) 463-6769 </t>
  </si>
  <si>
    <t>WEISER RIVER</t>
  </si>
  <si>
    <t>325E60D6</t>
  </si>
  <si>
    <t>44:50:50.3988 (44.847333) North</t>
  </si>
  <si>
    <t>116:25:39.6012 (-116.427667) West</t>
  </si>
  <si>
    <t>WELIWELI</t>
  </si>
  <si>
    <t>32BD9C04</t>
  </si>
  <si>
    <t>21:55:34.8888 (21.926358) North</t>
  </si>
  <si>
    <t>159:28:05.6712 (-159.468242) West</t>
  </si>
  <si>
    <t>WELLPINIT</t>
  </si>
  <si>
    <t>47:52:34.7088 (47.876308) North</t>
  </si>
  <si>
    <t>118:05:45.8988 (-118.096083) West</t>
  </si>
  <si>
    <t>Spokane Agency</t>
  </si>
  <si>
    <t>Marla Raymond</t>
  </si>
  <si>
    <t>marlar@spokanetribe.com</t>
  </si>
  <si>
    <t xml:space="preserve">(509) 626-4432 </t>
  </si>
  <si>
    <t>Vernon Stearns</t>
  </si>
  <si>
    <t>verns@spokanetribe.com</t>
  </si>
  <si>
    <t xml:space="preserve">(509) 626-4434 </t>
  </si>
  <si>
    <t>WELLSTON</t>
  </si>
  <si>
    <t>44:13:19.8012 (44.222167) North</t>
  </si>
  <si>
    <t>85:56:29.7996 (-85.941611) West</t>
  </si>
  <si>
    <t>Matthew Way</t>
  </si>
  <si>
    <t>WEST FORK</t>
  </si>
  <si>
    <t>326E0340</t>
  </si>
  <si>
    <t>45:48:56.0016 (45.815556) North</t>
  </si>
  <si>
    <t>114:15:29.9988 (-114.258333) West</t>
  </si>
  <si>
    <t>WEST GLACIER</t>
  </si>
  <si>
    <t>FA40E22A</t>
  </si>
  <si>
    <t>48:30:38.196 (48.51061) North</t>
  </si>
  <si>
    <t>113:59:48.372 (-113.99677) West</t>
  </si>
  <si>
    <t>WEST ZONE PORTABLE</t>
  </si>
  <si>
    <t>837A6496</t>
  </si>
  <si>
    <t>44:56:58.3008 (44.949528) North</t>
  </si>
  <si>
    <t>123:15:19.1016 (-123.255306) West</t>
  </si>
  <si>
    <t>WILLAMETTE NWR</t>
  </si>
  <si>
    <t xml:space="preserve">(541) 760-3031 </t>
  </si>
  <si>
    <t>jeremiah_maghan@fws.gov, josh_oconnor@fws.gov</t>
  </si>
  <si>
    <t>WESTSIDE</t>
  </si>
  <si>
    <t>FA657166</t>
  </si>
  <si>
    <t>41:13:23.25 (41.223125) North</t>
  </si>
  <si>
    <t>124:03:17.9208 (-124.054978) West</t>
  </si>
  <si>
    <t xml:space="preserve">(707) 465-7732 </t>
  </si>
  <si>
    <t>WESTWOOD</t>
  </si>
  <si>
    <t>CA20A54C</t>
  </si>
  <si>
    <t>40:18:21.1212 (40.305867) North</t>
  </si>
  <si>
    <t>120:54:11.9592 (-120.903322) West</t>
  </si>
  <si>
    <t>WHEELER RAWS</t>
  </si>
  <si>
    <t>AAB68126</t>
  </si>
  <si>
    <t>35:26:47.2992 (35.446472) North</t>
  </si>
  <si>
    <t>100:11:53.9016 (-100.198306) West</t>
  </si>
  <si>
    <t>WHISKEY DICK MTN</t>
  </si>
  <si>
    <t>32B5AD38</t>
  </si>
  <si>
    <t>46:58:41.7504 (46.978264) North</t>
  </si>
  <si>
    <t>120:12:42.5808 (-120.211828) West</t>
  </si>
  <si>
    <t>Michael Starkovich</t>
  </si>
  <si>
    <t>michael.starkovich@usda.gov</t>
  </si>
  <si>
    <t xml:space="preserve">(509) 860-6554 </t>
  </si>
  <si>
    <t>WHISKEYTOWN HQ#2</t>
  </si>
  <si>
    <t>FA410322</t>
  </si>
  <si>
    <t>40:36:37.8504 (40.610514) North</t>
  </si>
  <si>
    <t>122:31:38.3304 (-122.527314) West</t>
  </si>
  <si>
    <t>Wildland Fire Management</t>
  </si>
  <si>
    <t xml:space="preserve">(530) 524-7250 </t>
  </si>
  <si>
    <t>Warren Swab</t>
  </si>
  <si>
    <t>warren_swab@nps.gov</t>
  </si>
  <si>
    <t xml:space="preserve">(530) 605-9617 </t>
  </si>
  <si>
    <t>WHITAKER PEAK</t>
  </si>
  <si>
    <t>CA297578</t>
  </si>
  <si>
    <t>34:34:09.7716 (34.569381) North</t>
  </si>
  <si>
    <t>118:44:24.6804 (-118.740189) West</t>
  </si>
  <si>
    <t>WHITE CLOUD</t>
  </si>
  <si>
    <t>39:19:09.9984 (39.319444) North</t>
  </si>
  <si>
    <t>120:50:31.5996 (-120.842111) West</t>
  </si>
  <si>
    <t>Gabe Foster</t>
  </si>
  <si>
    <t>gabriel.foster@usda.gov</t>
  </si>
  <si>
    <t xml:space="preserve">(530) 559-1620 </t>
  </si>
  <si>
    <t>WHITE MTN NF</t>
  </si>
  <si>
    <t>Carroll</t>
  </si>
  <si>
    <t>3287267A</t>
  </si>
  <si>
    <t>43:58:50.0988 (43.980583) North</t>
  </si>
  <si>
    <t>71:07:57.1008 (-71.132528) West</t>
  </si>
  <si>
    <t>Lisa Spiess</t>
  </si>
  <si>
    <t>lisa.spiess@usda.gov</t>
  </si>
  <si>
    <t xml:space="preserve">(601) 812-7819 </t>
  </si>
  <si>
    <t>Nick Jeros</t>
  </si>
  <si>
    <t>nicholas.jeros@usda.gov</t>
  </si>
  <si>
    <t xml:space="preserve">(208) 768-7034 </t>
  </si>
  <si>
    <t>nhnecc@firenet.gov</t>
  </si>
  <si>
    <t>WHITE REEF</t>
  </si>
  <si>
    <t>326FE248</t>
  </si>
  <si>
    <t>37:12:57.5496 (37.215986) North</t>
  </si>
  <si>
    <t>113:22:41.9484 (-113.378319) West</t>
  </si>
  <si>
    <t>WHITE SULPHUR SPRING</t>
  </si>
  <si>
    <t>326E1036</t>
  </si>
  <si>
    <t>46:32:35.0988 (46.543083) North</t>
  </si>
  <si>
    <t>110:54:20.8692 (-110.905797) West</t>
  </si>
  <si>
    <t>WHITEHALL</t>
  </si>
  <si>
    <t>323FB676</t>
  </si>
  <si>
    <t>45:52:17.3892 (45.871497) North</t>
  </si>
  <si>
    <t>112:06:29.5416 (-112.108206) West</t>
  </si>
  <si>
    <t xml:space="preserve"> elaw@fs.fed.us,  richard.reneau@usda.gov,  scott.drake@usda.gov, ahester@blm.gov</t>
  </si>
  <si>
    <t>WHITETAIL PEAK</t>
  </si>
  <si>
    <t>AAC100AA</t>
  </si>
  <si>
    <t>44:07:33.78 (44.12605) North</t>
  </si>
  <si>
    <t>103:50:38.0004 (-103.843889) West</t>
  </si>
  <si>
    <t>WHITEVILLE</t>
  </si>
  <si>
    <t>Columbus</t>
  </si>
  <si>
    <t>3270265A</t>
  </si>
  <si>
    <t>34:20:09.2616 (34.335906) North</t>
  </si>
  <si>
    <t>78:43:42.6684 (-78.728519) West</t>
  </si>
  <si>
    <t>WHITEWATER</t>
  </si>
  <si>
    <t>3251A35A</t>
  </si>
  <si>
    <t>33:56:57.0012 (33.949167) North</t>
  </si>
  <si>
    <t>116:39:25.9992 (-116.657222) West</t>
  </si>
  <si>
    <t>WHITMIRE</t>
  </si>
  <si>
    <t>3333232A</t>
  </si>
  <si>
    <t>34:32:16.9008 (34.538028) North</t>
  </si>
  <si>
    <t>81:33:42.9012 (-81.561917) West</t>
  </si>
  <si>
    <t>Jeffery Bennett</t>
  </si>
  <si>
    <t>jeffery.bennett@usda.gov</t>
  </si>
  <si>
    <t xml:space="preserve">(864) 429-6058 </t>
  </si>
  <si>
    <t>WHITMIRE PORTABLE</t>
  </si>
  <si>
    <t>34:25:24 (34.423333) North</t>
  </si>
  <si>
    <t>81:34:12 (-81.57) West</t>
  </si>
  <si>
    <t>Richard Drose</t>
  </si>
  <si>
    <t>richard.drose@usda.gov</t>
  </si>
  <si>
    <t xml:space="preserve">(803) 944-7061 </t>
  </si>
  <si>
    <t>Nathan Talley</t>
  </si>
  <si>
    <t>richard.n.talley@usda.gov</t>
  </si>
  <si>
    <t xml:space="preserve">(803) 331-2774 </t>
  </si>
  <si>
    <t>dkuhn@fs.fed.us</t>
  </si>
  <si>
    <t>WHITMORE</t>
  </si>
  <si>
    <t>CA20C0AA</t>
  </si>
  <si>
    <t>40:37:10.11 (40.619475) North</t>
  </si>
  <si>
    <t>121:53:58.6392 (-121.899622) West</t>
  </si>
  <si>
    <t>WHITTIER HILLS</t>
  </si>
  <si>
    <t>CA4237E8</t>
  </si>
  <si>
    <t>33:59:02.4 (33.984) North</t>
  </si>
  <si>
    <t>118:00:33.9516 (-118.009431) West</t>
  </si>
  <si>
    <t>WICA_ELK MOUNTAIN</t>
  </si>
  <si>
    <t>FA6600F8</t>
  </si>
  <si>
    <t>43:33:27.21 (43.557558) North</t>
  </si>
  <si>
    <t>103:29:00.4499 (-103.483458) West</t>
  </si>
  <si>
    <t>WICHITA</t>
  </si>
  <si>
    <t>34:45:38.4012 (34.760667) North</t>
  </si>
  <si>
    <t>98:44:30.9012 (-98.741917) West</t>
  </si>
  <si>
    <t>WICHITA MTNS. NWR</t>
  </si>
  <si>
    <t>Howard Boss</t>
  </si>
  <si>
    <t>howard_boss@fws.gov</t>
  </si>
  <si>
    <t xml:space="preserve">(580) 483-8921 </t>
  </si>
  <si>
    <t>TJ Lowder</t>
  </si>
  <si>
    <t>tj_lowder@fws.gov</t>
  </si>
  <si>
    <t xml:space="preserve">(580) 591-1729 </t>
  </si>
  <si>
    <t>WICKED CREEK</t>
  </si>
  <si>
    <t>323F2314</t>
  </si>
  <si>
    <t>45:16:14.0016 (45.270556) North</t>
  </si>
  <si>
    <t>110:32:35.9988 (-110.543333) West</t>
  </si>
  <si>
    <t>WIGAND</t>
  </si>
  <si>
    <t>3960060C</t>
  </si>
  <si>
    <t>63:48:51.12 (63.8142) North</t>
  </si>
  <si>
    <t>150:06:33.84 (-150.1094) West</t>
  </si>
  <si>
    <t>WILD HORSE</t>
  </si>
  <si>
    <t>324E97CC</t>
  </si>
  <si>
    <t>45:07:46.4988 (45.129583) North</t>
  </si>
  <si>
    <t>108:18:14.2992 (-108.303972) West</t>
  </si>
  <si>
    <t>WILD RIVERS</t>
  </si>
  <si>
    <t>3291212A</t>
  </si>
  <si>
    <t>36:41:40.8984 (36.694694) North</t>
  </si>
  <si>
    <t>105:40:07.3992 (-105.668722) West</t>
  </si>
  <si>
    <t>WILDHORSE</t>
  </si>
  <si>
    <t>521086FE</t>
  </si>
  <si>
    <t>39:32:42.9 (39.54525) North</t>
  </si>
  <si>
    <t>109:54:29.2788 (-109.908133) West</t>
  </si>
  <si>
    <t>WILEY RIDGE</t>
  </si>
  <si>
    <t>CA90047C</t>
  </si>
  <si>
    <t>34:22:18.0012 (34.371667) North</t>
  </si>
  <si>
    <t>118:50:26.9988 (-118.840833) West</t>
  </si>
  <si>
    <t>WILKINSON RIDGE</t>
  </si>
  <si>
    <t>324AD1FC</t>
  </si>
  <si>
    <t>44:19:56.8992 (44.332472) North</t>
  </si>
  <si>
    <t>123:43:04.6992 (-123.717972) West</t>
  </si>
  <si>
    <t>jeff.l.classen@oregon.gov</t>
  </si>
  <si>
    <t>WILLIAMS LOOKOUT</t>
  </si>
  <si>
    <t>Hettinger</t>
  </si>
  <si>
    <t>3281A0A0</t>
  </si>
  <si>
    <t>46:21:43.4412 (46.362067) North</t>
  </si>
  <si>
    <t>102:03:43.38 (-102.06205) West</t>
  </si>
  <si>
    <t>dangelo@nps.gov</t>
  </si>
  <si>
    <t>daniel_angelo@nps.gov, paul_mancuso@nps.gov, pmancuso@nps.gov, rod_skalsky@nps.gov</t>
  </si>
  <si>
    <t>WILLIS CREEK</t>
  </si>
  <si>
    <t>3240B548</t>
  </si>
  <si>
    <t>38:00:10.1988 (38.002833) North</t>
  </si>
  <si>
    <t>105:03:21.6 (-105.056) West</t>
  </si>
  <si>
    <t>Jeff Bade</t>
  </si>
  <si>
    <t>WILLOW</t>
  </si>
  <si>
    <t>3247548E</t>
  </si>
  <si>
    <t>61:45:32.3388 (61.758983) North</t>
  </si>
  <si>
    <t>150:03:00.1188 (-150.050033) West</t>
  </si>
  <si>
    <t>NORM MCDONALD</t>
  </si>
  <si>
    <t>WILLOW CREEK</t>
  </si>
  <si>
    <t>324A320E</t>
  </si>
  <si>
    <t>44:01:43.7988 (44.028833) North</t>
  </si>
  <si>
    <t>123:10:25.2984 (-123.173694) West</t>
  </si>
  <si>
    <t>32B401E8</t>
  </si>
  <si>
    <t>44:50:36.9996 (44.843611) North</t>
  </si>
  <si>
    <t>108:05:42 (-108.095) West</t>
  </si>
  <si>
    <t>3235F42E</t>
  </si>
  <si>
    <t>40:21:06.0012 (40.351667) North</t>
  </si>
  <si>
    <t>106:12:55.0008 (-106.215278) West</t>
  </si>
  <si>
    <t>WILLOW GULCH</t>
  </si>
  <si>
    <t>32B6B792</t>
  </si>
  <si>
    <t>37:53:23.0928 (37.889748) North</t>
  </si>
  <si>
    <t>111:28:09.264 (-111.46924) West</t>
  </si>
  <si>
    <t>James miller</t>
  </si>
  <si>
    <t>WILLS RANGE</t>
  </si>
  <si>
    <t>32B66F28</t>
  </si>
  <si>
    <t>63:57:59.8608 (63.966628) North</t>
  </si>
  <si>
    <t>145:45:45.54 (-145.76265) West</t>
  </si>
  <si>
    <t>WILMA</t>
  </si>
  <si>
    <t>3265A010</t>
  </si>
  <si>
    <t>30:10:58.0008 (30.182778) North</t>
  </si>
  <si>
    <t>84:56:25.0008 (-84.940278) West</t>
  </si>
  <si>
    <t>WILSON CANYON</t>
  </si>
  <si>
    <t>32D7314E</t>
  </si>
  <si>
    <t>33:58:33.5568 (33.975988) North</t>
  </si>
  <si>
    <t>115:59:42.1656 (-115.995046) West</t>
  </si>
  <si>
    <t>WILSONS CREEK</t>
  </si>
  <si>
    <t>FA645570</t>
  </si>
  <si>
    <t>37:06:44.2008 (37.112278) North</t>
  </si>
  <si>
    <t>93:24:46.5012 (-93.412917) West</t>
  </si>
  <si>
    <t>WILSONS CREEK NB</t>
  </si>
  <si>
    <t>scott_bressler@nps.gov</t>
  </si>
  <si>
    <t>WIMBERLEY-WEST</t>
  </si>
  <si>
    <t>32D01B44</t>
  </si>
  <si>
    <t>30:02:47.7996 (30.046611) North</t>
  </si>
  <si>
    <t>98:12:03.0024 (-98.200834) West</t>
  </si>
  <si>
    <t>WINBORN</t>
  </si>
  <si>
    <t>3332B4B2</t>
  </si>
  <si>
    <t>34:41:53.4012 (34.698167) North</t>
  </si>
  <si>
    <t>89:18:14.6016 (-89.304056) West</t>
  </si>
  <si>
    <t>JOHN TOWNSEND</t>
  </si>
  <si>
    <t>jtownsend@fs.fed.us</t>
  </si>
  <si>
    <t xml:space="preserve">(662) 236-6550 </t>
  </si>
  <si>
    <t>WIND RIVER</t>
  </si>
  <si>
    <t>42:58:40.62 (42.97795) North</t>
  </si>
  <si>
    <t>109:07:19.6104 (-109.122114) West</t>
  </si>
  <si>
    <t>WINDIGO</t>
  </si>
  <si>
    <t>FA4136B8</t>
  </si>
  <si>
    <t>47:54:40.66 (47.911294) North</t>
  </si>
  <si>
    <t>89:08:33.3 (-89.142583) West</t>
  </si>
  <si>
    <t>WINTER RIDGE</t>
  </si>
  <si>
    <t>324CC244</t>
  </si>
  <si>
    <t>39:30:11.9988 (39.503333) North</t>
  </si>
  <si>
    <t>109:33:28.0008 (-109.557778) West</t>
  </si>
  <si>
    <t>WINTER RIM PORTABLE</t>
  </si>
  <si>
    <t>328126B4</t>
  </si>
  <si>
    <t>42:24:47.8188 (42.413283) North</t>
  </si>
  <si>
    <t>122:03:53.5212 (-122.064867) West</t>
  </si>
  <si>
    <t>Josh Osteen</t>
  </si>
  <si>
    <t>josh.osteen@usda.gov</t>
  </si>
  <si>
    <t xml:space="preserve">(541) 407-0717 </t>
  </si>
  <si>
    <t>Roric Padgett</t>
  </si>
  <si>
    <t>roric.padgett@usda.gov</t>
  </si>
  <si>
    <t xml:space="preserve">(541) 943-4422 </t>
  </si>
  <si>
    <t>jeremy.rux@usda.gov</t>
  </si>
  <si>
    <t>WIRE MOUNTAIN</t>
  </si>
  <si>
    <t>923055A4</t>
  </si>
  <si>
    <t>33:14:08.2464 (33.235624) North</t>
  </si>
  <si>
    <t>117:22:04.6524 (-117.367959) West</t>
  </si>
  <si>
    <t xml:space="preserve">(760) 936-6522 </t>
  </si>
  <si>
    <t>WISCONSIN PORTABLE #1</t>
  </si>
  <si>
    <t>32B9C942</t>
  </si>
  <si>
    <t>WISE RIVER</t>
  </si>
  <si>
    <t>3272D32A</t>
  </si>
  <si>
    <t>45:47:17.8008 (45.788278) North</t>
  </si>
  <si>
    <t>112:56:17.9016 (-112.938306) West</t>
  </si>
  <si>
    <t>WITHERBEE</t>
  </si>
  <si>
    <t>Berkeley</t>
  </si>
  <si>
    <t>333316B0</t>
  </si>
  <si>
    <t>33:09:39.9996 (33.161111) North</t>
  </si>
  <si>
    <t>79:49:45.0012 (-79.829167) West</t>
  </si>
  <si>
    <t>Kelly Wetzel-Wilson</t>
  </si>
  <si>
    <t>kelly.wetzelwilson@usda.gov</t>
  </si>
  <si>
    <t xml:space="preserve">(843) 336-2206 </t>
  </si>
  <si>
    <t>WKRP 1 QD</t>
  </si>
  <si>
    <t>32C00FAC</t>
  </si>
  <si>
    <t>41:18:35.3484 (41.309819) North</t>
  </si>
  <si>
    <t>123:33:11.4804 (-123.553189) West</t>
  </si>
  <si>
    <t>Michael Sanchez (Cell)</t>
  </si>
  <si>
    <t>msanchez@karuk.us</t>
  </si>
  <si>
    <t xml:space="preserve">(530) 598-4618 </t>
  </si>
  <si>
    <t>Geroge Vast</t>
  </si>
  <si>
    <t>gvest@karuk.us</t>
  </si>
  <si>
    <t xml:space="preserve">(530) 643-3433 </t>
  </si>
  <si>
    <t>WOFFORD HEIGHTS</t>
  </si>
  <si>
    <t>3278E7E2</t>
  </si>
  <si>
    <t>35:43:18.0012 (35.721667) North</t>
  </si>
  <si>
    <t>118:29:56.0004 (-118.498889) West</t>
  </si>
  <si>
    <t>Burns C. Brimhall</t>
  </si>
  <si>
    <t>David Brinsfield</t>
  </si>
  <si>
    <t>dbrinsfi@blm.gov</t>
  </si>
  <si>
    <t xml:space="preserve">(661) 448-6555 </t>
  </si>
  <si>
    <t>WOLF DEN DMP</t>
  </si>
  <si>
    <t>AAC0B1DE</t>
  </si>
  <si>
    <t>30:38:45.8988 (30.646083) North</t>
  </si>
  <si>
    <t>104:08:11.7996 (-104.136611) West</t>
  </si>
  <si>
    <t>WOLF MOUNTAIN</t>
  </si>
  <si>
    <t>5211411A</t>
  </si>
  <si>
    <t>45:18:12.24 (45.3034) North</t>
  </si>
  <si>
    <t>107:09:38.3796 (-107.160661) West</t>
  </si>
  <si>
    <t>WOLVERTON</t>
  </si>
  <si>
    <t>FA60B3B8</t>
  </si>
  <si>
    <t>36:26:42 (36.445) North</t>
  </si>
  <si>
    <t>118:42:11.9988 (-118.703333) West</t>
  </si>
  <si>
    <t>WONDER LAKE</t>
  </si>
  <si>
    <t>FA6111BA</t>
  </si>
  <si>
    <t>63:29:26.88 (63.4908) North</t>
  </si>
  <si>
    <t>150:52:21.54 (-150.87265) West</t>
  </si>
  <si>
    <t>Larry Weddle</t>
  </si>
  <si>
    <t>larry_weddle@nps.gov</t>
  </si>
  <si>
    <t>WOODACRE</t>
  </si>
  <si>
    <t>CA28E2E0</t>
  </si>
  <si>
    <t>37:59:26.0016 (37.990556) North</t>
  </si>
  <si>
    <t>122:38:40.9992 (-122.644722) West</t>
  </si>
  <si>
    <t>WOODBINE</t>
  </si>
  <si>
    <t>Cape May</t>
  </si>
  <si>
    <t>FF106756</t>
  </si>
  <si>
    <t>39:13:48 (39.23) North</t>
  </si>
  <si>
    <t>74:48:14.0004 (-74.803889) West</t>
  </si>
  <si>
    <t>WOODFORD STATE PARK</t>
  </si>
  <si>
    <t>Bennington</t>
  </si>
  <si>
    <t>3335A5F0</t>
  </si>
  <si>
    <t>42:53:29.1084 (42.891419) North</t>
  </si>
  <si>
    <t>73:02:21.48 (-73.0393) West</t>
  </si>
  <si>
    <t>Kelsey Zaengle</t>
  </si>
  <si>
    <t>kelsey.zaengle@vermont.gov</t>
  </si>
  <si>
    <t xml:space="preserve">(802) 917-2241 </t>
  </si>
  <si>
    <t>dan.dillner@vermont.gov, kelsey.zaengle@vermont.gov</t>
  </si>
  <si>
    <t>WOODRUFF</t>
  </si>
  <si>
    <t>5370037A</t>
  </si>
  <si>
    <t>45:53:14 (45.887222) North</t>
  </si>
  <si>
    <t>89:39:04 (-89.651111) West</t>
  </si>
  <si>
    <t>Mark Conkey</t>
  </si>
  <si>
    <t>WOODVILLE</t>
  </si>
  <si>
    <t>8841A574</t>
  </si>
  <si>
    <t>30:44:12.9984 (30.736944) North</t>
  </si>
  <si>
    <t>94:25:57 (-94.4325) West</t>
  </si>
  <si>
    <t>WOODY</t>
  </si>
  <si>
    <t>CA51E110</t>
  </si>
  <si>
    <t>35:42:21.9996 (35.706111) North</t>
  </si>
  <si>
    <t>WRBB PORT #1</t>
  </si>
  <si>
    <t>32D00832</t>
  </si>
  <si>
    <t>44:56:25.0008 (44.940278) North</t>
  </si>
  <si>
    <t>108:09:09 (-108.1525) West</t>
  </si>
  <si>
    <t>jellington@blm.gov, mlrothleutner@blm.gov, rneighbo@blm.gov, roldenburg@blm.gov, sgettings@blm.gov</t>
  </si>
  <si>
    <t>WRBB PORT #2</t>
  </si>
  <si>
    <t>327BD576</t>
  </si>
  <si>
    <t>44:56:24 (44.94) North</t>
  </si>
  <si>
    <t>108:02:26.0016 (-108.040556) West</t>
  </si>
  <si>
    <t>jellington@blm.gov, rneighbo@blm.gov, roldenburg@blm.gov</t>
  </si>
  <si>
    <t>WUPATKI SW</t>
  </si>
  <si>
    <t>FA65B478</t>
  </si>
  <si>
    <t>35:32:30.0012 (35.541667) North</t>
  </si>
  <si>
    <t>111:32:30.0012 (-111.541667) West</t>
  </si>
  <si>
    <t>WUPATKI NM</t>
  </si>
  <si>
    <t>Edward Hiatt</t>
  </si>
  <si>
    <t>edward.hiatt@usda.gov</t>
  </si>
  <si>
    <t xml:space="preserve">(928) 638-7919 </t>
  </si>
  <si>
    <t xml:space="preserve">(928) 638-0001 </t>
  </si>
  <si>
    <t>WV-MOF-NZ QD</t>
  </si>
  <si>
    <t>Greenbrier</t>
  </si>
  <si>
    <t>32B289E0</t>
  </si>
  <si>
    <t>37:49:38.82 (37.82745) North</t>
  </si>
  <si>
    <t>80:13:12.4788 (-80.220133) West</t>
  </si>
  <si>
    <t>WV-MOF-SZ QD</t>
  </si>
  <si>
    <t>32B2515A</t>
  </si>
  <si>
    <t>38:32:58.4988 (38.549583) North</t>
  </si>
  <si>
    <t>79:46:29.82 (-79.77495) West</t>
  </si>
  <si>
    <t>WVU RESEARCH FOREST</t>
  </si>
  <si>
    <t>32D6D046</t>
  </si>
  <si>
    <t>39:40:42.8088 (39.678558) North</t>
  </si>
  <si>
    <t>79:46:08.9292 (-79.769147) West</t>
  </si>
  <si>
    <t>WWOLF</t>
  </si>
  <si>
    <t>FA454512</t>
  </si>
  <si>
    <t>37:51:33.9012 (37.859417) North</t>
  </si>
  <si>
    <t>119:39:06.0012 (-119.651667) West</t>
  </si>
  <si>
    <t>YAAK (UPPER FORD)</t>
  </si>
  <si>
    <t>3273A740</t>
  </si>
  <si>
    <t>48:55:00.0012 (48.916667) North</t>
  </si>
  <si>
    <t>115:39:24.0012 (-115.656667) West</t>
  </si>
  <si>
    <t>Ronald McDole</t>
  </si>
  <si>
    <t>YAKAMA_PORT1</t>
  </si>
  <si>
    <t>3450A46C</t>
  </si>
  <si>
    <t>46:13:29.28 (46.2248) North</t>
  </si>
  <si>
    <t>120:47:12.48 (-120.7868) West</t>
  </si>
  <si>
    <t>brian_howell@yakama.com</t>
  </si>
  <si>
    <t>James Delarosa (Cell)</t>
  </si>
  <si>
    <t xml:space="preserve">(509) 985-5742 </t>
  </si>
  <si>
    <t>YALLABUSHA</t>
  </si>
  <si>
    <t>Yalobusha</t>
  </si>
  <si>
    <t>3910C6BE</t>
  </si>
  <si>
    <t>33:59:08.9988 (33.985833) North</t>
  </si>
  <si>
    <t>89:47:48.0012 (-89.796667) West</t>
  </si>
  <si>
    <t>YAMPA PLATEAU</t>
  </si>
  <si>
    <t>3243E23A</t>
  </si>
  <si>
    <t>40:16:40.8 (40.278) North</t>
  </si>
  <si>
    <t>109:17:19.6008 (-109.288778) West</t>
  </si>
  <si>
    <t>YANKEE FLAT</t>
  </si>
  <si>
    <t>Deer Lodge</t>
  </si>
  <si>
    <t>AAB05780</t>
  </si>
  <si>
    <t>46:09:45.84 (46.162733) North</t>
  </si>
  <si>
    <t>113:08:27.78 (-113.14105) West</t>
  </si>
  <si>
    <t>Mike Meyer</t>
  </si>
  <si>
    <t>mmeyer@mt.gov</t>
  </si>
  <si>
    <t xml:space="preserve">(406) 563-7944 </t>
  </si>
  <si>
    <t>YANTARNI BAY</t>
  </si>
  <si>
    <t>837371BC</t>
  </si>
  <si>
    <t>56:54:51.9588 (56.914433) North</t>
  </si>
  <si>
    <t>157:02:00.06 (-157.03335) West</t>
  </si>
  <si>
    <t>YELLOW CREEK</t>
  </si>
  <si>
    <t>FA41A3DA</t>
  </si>
  <si>
    <t>36:36:12.9996 (36.603611) North</t>
  </si>
  <si>
    <t>83:41:45.9996 (-83.696111) West</t>
  </si>
  <si>
    <t>CUMBERLAND GAP NHP</t>
  </si>
  <si>
    <t>Bradley Cope</t>
  </si>
  <si>
    <t>bradley_cope@nps.gov</t>
  </si>
  <si>
    <t xml:space="preserve">(423) 302-7238 </t>
  </si>
  <si>
    <t>YELLOW CREEK SP</t>
  </si>
  <si>
    <t>32B4CA24</t>
  </si>
  <si>
    <t>40:34:01.4988 (40.567083) North</t>
  </si>
  <si>
    <t>79:01:21.1008 (-79.022528) West</t>
  </si>
  <si>
    <t>YELLOW DOG</t>
  </si>
  <si>
    <t>32E0C58E</t>
  </si>
  <si>
    <t>46:45:10.3284 (46.752869) North</t>
  </si>
  <si>
    <t>87:53:13.4196 (-87.887061) West</t>
  </si>
  <si>
    <t>gloverp2@michigan.gov</t>
  </si>
  <si>
    <t xml:space="preserve">(906) 458-3017 </t>
  </si>
  <si>
    <t>YELLOW JOHN MOUNTAIN</t>
  </si>
  <si>
    <t>325FB444</t>
  </si>
  <si>
    <t>36:09:18 (36.155) North</t>
  </si>
  <si>
    <t>113:32:57.9984 (-113.549444) West</t>
  </si>
  <si>
    <t>YELLOW MULE</t>
  </si>
  <si>
    <t>323FF57C</t>
  </si>
  <si>
    <t>45:09:57.9492 (45.166097) North</t>
  </si>
  <si>
    <t>111:21:34.3404 (-111.359539) West</t>
  </si>
  <si>
    <t>YELLOW RIVER STATE FOREST</t>
  </si>
  <si>
    <t>Allamakee</t>
  </si>
  <si>
    <t>FD105188</t>
  </si>
  <si>
    <t>91:14:39.0012 (-91.244167) West</t>
  </si>
  <si>
    <t>YELLOWPINE</t>
  </si>
  <si>
    <t>323E9260</t>
  </si>
  <si>
    <t>44:31:35.0004 (44.526389) North</t>
  </si>
  <si>
    <t>118:19:23.0016 (-118.323056) West</t>
  </si>
  <si>
    <t>YELLOWSTONE DRAINAGE</t>
  </si>
  <si>
    <t>32415A92</t>
  </si>
  <si>
    <t>40:32:37.1004 (40.543639) North</t>
  </si>
  <si>
    <t>110:19:48.6984 (-110.330194) West</t>
  </si>
  <si>
    <t>YELLOWSTONE MTN.</t>
  </si>
  <si>
    <t>3249E368</t>
  </si>
  <si>
    <t>44:35:31.9992 (44.592222) North</t>
  </si>
  <si>
    <t>122:25:40.0008 (-122.427778) West</t>
  </si>
  <si>
    <t>ahester@blm.gov, roberta_runge@blm.gov</t>
  </si>
  <si>
    <t>YNP PORTABLE</t>
  </si>
  <si>
    <t>32D3E21C</t>
  </si>
  <si>
    <t>37:43:48.1 (37.730028) North</t>
  </si>
  <si>
    <t>119:36:40.7 (-119.611306) West</t>
  </si>
  <si>
    <t>Kelly Singer</t>
  </si>
  <si>
    <t>kelly_singer@nps.gov</t>
  </si>
  <si>
    <t xml:space="preserve">(209) 375-9576 </t>
  </si>
  <si>
    <t>parker_bevington@nps.gov, russell_mitchell@nps.gov</t>
  </si>
  <si>
    <t>YOLLA BOLLA</t>
  </si>
  <si>
    <t>323AA2C0</t>
  </si>
  <si>
    <t>40:20:14.8092 (40.337447) North</t>
  </si>
  <si>
    <t>123:03:56.2392 (-123.065622) West</t>
  </si>
  <si>
    <t>YTC-RC</t>
  </si>
  <si>
    <t>AAC0A2A8</t>
  </si>
  <si>
    <t>46:40:30.7992 (46.675222) North</t>
  </si>
  <si>
    <t>120:20:50.1 (-120.34725) West</t>
  </si>
  <si>
    <t>YAKIMA TRAINING CTR</t>
  </si>
  <si>
    <t>Ryan Lacey</t>
  </si>
  <si>
    <t>ryan.d.lacey2.civ@army.mil</t>
  </si>
  <si>
    <t xml:space="preserve">(307) 630-3365 </t>
  </si>
  <si>
    <t>KEVIN SULLIVAN</t>
  </si>
  <si>
    <t>kevin.m.sullivan34.civ@mail.mil</t>
  </si>
  <si>
    <t xml:space="preserve">(509) 577-3002 </t>
  </si>
  <si>
    <t>YUCCA VALLEY</t>
  </si>
  <si>
    <t>CA450046</t>
  </si>
  <si>
    <t>34:07:26.6916 (34.124081) North</t>
  </si>
  <si>
    <t>116:24:31.7916 (-116.408831) West</t>
  </si>
  <si>
    <t>YUMA QD</t>
  </si>
  <si>
    <t>329107C6</t>
  </si>
  <si>
    <t>34:56:29.22 (34.94145) North</t>
  </si>
  <si>
    <t>113:50:11.8788 (-113.836633) West</t>
  </si>
  <si>
    <t>YUMA</t>
  </si>
  <si>
    <t>Richard Ana</t>
  </si>
  <si>
    <t>William (Bill) Boyett</t>
  </si>
  <si>
    <t>ZALESKI</t>
  </si>
  <si>
    <t>39:17:29.6988 (39.291583) North</t>
  </si>
  <si>
    <t>82:23:32.3016 (-82.392306) West</t>
  </si>
  <si>
    <t>ZAREMBO</t>
  </si>
  <si>
    <t>ZAVALLA</t>
  </si>
  <si>
    <t>31:10:37.92 (31.1772) North</t>
  </si>
  <si>
    <t>94:23:01.8888 (-94.383858) West</t>
  </si>
  <si>
    <t>ZIM</t>
  </si>
  <si>
    <t>16C46822</t>
  </si>
  <si>
    <t>42:41:06 (42.685) North</t>
  </si>
  <si>
    <t>122:23:25.0008 (-122.390278) West</t>
  </si>
  <si>
    <t>Ruth Johnson</t>
  </si>
  <si>
    <t>ruth.johnson@usda.gov</t>
  </si>
  <si>
    <t>ahester@blm.gov, joseph.welburn@usda.gov</t>
  </si>
  <si>
    <t>ZION CANYON</t>
  </si>
  <si>
    <t>FA63B4B6</t>
  </si>
  <si>
    <t>37:12:16.9992 (37.204722) North</t>
  </si>
  <si>
    <t>112:58:40.0008 (-112.977778) West</t>
  </si>
  <si>
    <t>ZORTMAN BLM</t>
  </si>
  <si>
    <t>324AE466</t>
  </si>
  <si>
    <t>47:54:42.8004 (47.911889) North</t>
  </si>
  <si>
    <t>108:30:14.0004 (-108.503889) West</t>
  </si>
  <si>
    <t>ZUNI BUTTES</t>
  </si>
  <si>
    <t>McKinley</t>
  </si>
  <si>
    <t>327B25F2</t>
  </si>
  <si>
    <t>35:08:21.0984 (35.139194) North</t>
  </si>
  <si>
    <t>108:56:28.7016 (-108.941306) West</t>
  </si>
  <si>
    <t>Zuni Agency</t>
  </si>
  <si>
    <t>Clybert Peyketewa</t>
  </si>
  <si>
    <t>clybert.peyketewa@bia.gov</t>
  </si>
  <si>
    <t xml:space="preserve">(505) 870-8953 </t>
  </si>
  <si>
    <t>Calc</t>
  </si>
  <si>
    <t># FTS</t>
  </si>
  <si>
    <t># CSI</t>
  </si>
  <si>
    <t># VSLA</t>
  </si>
  <si>
    <t># Other</t>
  </si>
  <si>
    <t>Num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</si>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</sst>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6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1F3D-69F4-4CBB-9A46-AF5ADE038B71}">
  <dimension ref="A1:AV3133"/>
  <sheetViews>
    <sheetView tabSelected="1" topLeftCell="AK1" workbookViewId="0">
      <selection activeCell="AT3" sqref="AT3"/>
    </sheetView>
  </sheetViews>
  <sheetFormatPr baseColWidth="10" defaultColWidth="8.83203125" defaultRowHeight="15" x14ac:dyDescent="0.2"/>
  <cols>
    <col min="38" max="38" width="36.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T1" t="s">
        <v>18871</v>
      </c>
      <c r="AU1" t="s">
        <v>18876</v>
      </c>
      <c r="AV1" t="s">
        <v>18877</v>
      </c>
    </row>
    <row r="2" spans="1:48" x14ac:dyDescent="0.2">
      <c r="A2">
        <v>371587</v>
      </c>
      <c r="B2" t="s">
        <v>41</v>
      </c>
      <c r="C2" t="s">
        <v>42</v>
      </c>
      <c r="D2" t="s">
        <v>43</v>
      </c>
      <c r="E2" t="s">
        <v>44</v>
      </c>
      <c r="G2" s="1">
        <v>45586</v>
      </c>
      <c r="H2" s="1">
        <v>45811</v>
      </c>
      <c r="I2" s="1">
        <v>46174</v>
      </c>
      <c r="J2" t="s">
        <v>45</v>
      </c>
      <c r="K2" t="s">
        <v>45</v>
      </c>
      <c r="L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>
        <v>10040</v>
      </c>
      <c r="T2" t="s">
        <v>52</v>
      </c>
      <c r="U2">
        <v>3</v>
      </c>
      <c r="V2" t="s">
        <v>53</v>
      </c>
      <c r="W2" t="s">
        <v>54</v>
      </c>
      <c r="X2" t="s">
        <v>55</v>
      </c>
      <c r="Y2" t="s">
        <v>56</v>
      </c>
      <c r="Z2">
        <v>12241</v>
      </c>
      <c r="AA2">
        <v>10</v>
      </c>
      <c r="AB2">
        <v>44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s="2">
        <v>45817.656817129631</v>
      </c>
      <c r="AK2" t="s">
        <v>64</v>
      </c>
      <c r="AL2" t="s">
        <v>65</v>
      </c>
      <c r="AM2" s="3">
        <v>1.59375</v>
      </c>
      <c r="AN2" t="s">
        <v>66</v>
      </c>
      <c r="AO2" t="s">
        <v>67</v>
      </c>
      <c r="AT2" t="s">
        <v>18872</v>
      </c>
      <c r="AU2" cm="1">
        <f t="array" ref="AU2">SUMPRODUCT(--(ISNUMBER(SEARCH("forest",LOWER(AL:AL)))))</f>
        <v>2897</v>
      </c>
      <c r="AV2" cm="1">
        <f t="array" ref="AV2">SUMPRODUCT(--(ISNUMBER(SEARCH("forest",LOWER(AL:AL)))))/COUNTA(AL:AL)*100</f>
        <v>92.467283753590806</v>
      </c>
    </row>
    <row r="3" spans="1:48" x14ac:dyDescent="0.2">
      <c r="A3">
        <v>372266</v>
      </c>
      <c r="B3" t="s">
        <v>68</v>
      </c>
      <c r="C3" t="s">
        <v>69</v>
      </c>
      <c r="D3" t="s">
        <v>70</v>
      </c>
      <c r="E3" t="s">
        <v>71</v>
      </c>
      <c r="F3">
        <v>102004</v>
      </c>
      <c r="G3" s="1">
        <v>37741</v>
      </c>
      <c r="H3" s="1">
        <v>45835</v>
      </c>
      <c r="I3" s="1">
        <v>46188</v>
      </c>
      <c r="J3" t="s">
        <v>45</v>
      </c>
      <c r="K3" t="s">
        <v>45</v>
      </c>
      <c r="L3" t="s">
        <v>72</v>
      </c>
      <c r="M3" s="1">
        <v>41452</v>
      </c>
      <c r="N3" t="s">
        <v>47</v>
      </c>
      <c r="O3" t="s">
        <v>48</v>
      </c>
      <c r="P3" t="s">
        <v>49</v>
      </c>
      <c r="Q3" t="s">
        <v>73</v>
      </c>
      <c r="R3" t="s">
        <v>74</v>
      </c>
      <c r="S3">
        <v>6625</v>
      </c>
      <c r="T3" t="s">
        <v>52</v>
      </c>
      <c r="U3">
        <v>4</v>
      </c>
      <c r="V3" t="s">
        <v>75</v>
      </c>
      <c r="W3" t="s">
        <v>54</v>
      </c>
      <c r="X3" t="s">
        <v>76</v>
      </c>
      <c r="Y3" t="s">
        <v>56</v>
      </c>
      <c r="Z3">
        <v>1621</v>
      </c>
      <c r="AA3">
        <v>43</v>
      </c>
      <c r="AB3">
        <v>166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s="2">
        <v>45835.680902777778</v>
      </c>
      <c r="AK3" t="s">
        <v>84</v>
      </c>
      <c r="AL3" t="s">
        <v>65</v>
      </c>
      <c r="AM3" s="4">
        <v>0.52083333333333337</v>
      </c>
      <c r="AN3" t="s">
        <v>66</v>
      </c>
      <c r="AO3" t="s">
        <v>67</v>
      </c>
      <c r="AT3" t="s">
        <v>18873</v>
      </c>
      <c r="AU3" cm="1">
        <f t="array" ref="AU3">SUMPRODUCT(--(ISNUMBER(SEARCH("campbell",LOWER(AL:AL)))))</f>
        <v>118</v>
      </c>
      <c r="AV3" cm="1">
        <f t="array" ref="AV3">SUMPRODUCT(--(ISNUMBER(SEARCH("campbell",LOWER(AL:AL)))))/COUNTA(AL:AL)*100</f>
        <v>3.7663581232045962</v>
      </c>
    </row>
    <row r="4" spans="1:48" x14ac:dyDescent="0.2">
      <c r="A4">
        <v>373069</v>
      </c>
      <c r="B4" t="s">
        <v>85</v>
      </c>
      <c r="C4" t="s">
        <v>86</v>
      </c>
      <c r="D4" t="s">
        <v>87</v>
      </c>
      <c r="E4" t="s">
        <v>88</v>
      </c>
      <c r="G4" s="1">
        <v>45778</v>
      </c>
      <c r="J4" t="s">
        <v>45</v>
      </c>
      <c r="K4" t="s">
        <v>45</v>
      </c>
      <c r="L4" t="s">
        <v>46</v>
      </c>
      <c r="N4" t="s">
        <v>89</v>
      </c>
      <c r="O4" t="s">
        <v>48</v>
      </c>
      <c r="P4" t="s">
        <v>49</v>
      </c>
      <c r="Q4" t="s">
        <v>90</v>
      </c>
      <c r="R4" t="s">
        <v>91</v>
      </c>
      <c r="S4">
        <v>889</v>
      </c>
      <c r="T4" t="s">
        <v>92</v>
      </c>
      <c r="U4" t="s">
        <v>93</v>
      </c>
      <c r="V4" t="s">
        <v>94</v>
      </c>
      <c r="W4" t="s">
        <v>95</v>
      </c>
      <c r="X4" t="s">
        <v>92</v>
      </c>
      <c r="Y4" t="s">
        <v>96</v>
      </c>
      <c r="Z4">
        <v>12318</v>
      </c>
      <c r="AA4">
        <v>3</v>
      </c>
      <c r="AB4">
        <v>81</v>
      </c>
      <c r="AC4" t="s">
        <v>97</v>
      </c>
      <c r="AD4" t="s">
        <v>98</v>
      </c>
      <c r="AE4" t="s">
        <v>99</v>
      </c>
      <c r="AJ4" s="2">
        <v>45856.714525462965</v>
      </c>
      <c r="AK4" t="s">
        <v>100</v>
      </c>
      <c r="AL4" t="s">
        <v>65</v>
      </c>
      <c r="AM4" s="3">
        <v>1.7291666666666667</v>
      </c>
      <c r="AN4" t="s">
        <v>66</v>
      </c>
      <c r="AO4" t="s">
        <v>101</v>
      </c>
      <c r="AT4" t="s">
        <v>18874</v>
      </c>
      <c r="AU4" cm="1">
        <f t="array" ref="AU4">SUMPRODUCT(--(ISNUMBER(SEARCH("vaisala",LOWER(AL:AL)))))</f>
        <v>36</v>
      </c>
      <c r="AV4" cm="1">
        <f t="array" ref="AV4">SUMPRODUCT(--(ISNUMBER(SEARCH("vaisala",LOWER(AL:AL)))))/COUNTA(AL:AL)*100</f>
        <v>1.149058410469199</v>
      </c>
    </row>
    <row r="5" spans="1:48" x14ac:dyDescent="0.2">
      <c r="A5">
        <v>371076</v>
      </c>
      <c r="B5" t="s">
        <v>102</v>
      </c>
      <c r="C5" t="s">
        <v>103</v>
      </c>
      <c r="D5" t="s">
        <v>104</v>
      </c>
      <c r="E5">
        <v>40705664</v>
      </c>
      <c r="F5">
        <v>313302</v>
      </c>
      <c r="G5" s="1">
        <v>38054</v>
      </c>
      <c r="H5" s="1">
        <v>45267</v>
      </c>
      <c r="I5" s="1">
        <v>46296</v>
      </c>
      <c r="J5" t="s">
        <v>45</v>
      </c>
      <c r="K5" t="s">
        <v>45</v>
      </c>
      <c r="L5" t="s">
        <v>72</v>
      </c>
      <c r="M5" s="1">
        <v>44600</v>
      </c>
      <c r="N5" t="s">
        <v>47</v>
      </c>
      <c r="O5" t="s">
        <v>48</v>
      </c>
      <c r="P5" t="s">
        <v>49</v>
      </c>
      <c r="Q5" t="s">
        <v>105</v>
      </c>
      <c r="R5" t="s">
        <v>106</v>
      </c>
      <c r="S5">
        <v>2061</v>
      </c>
      <c r="T5" t="s">
        <v>92</v>
      </c>
      <c r="U5" t="s">
        <v>107</v>
      </c>
      <c r="V5" t="s">
        <v>108</v>
      </c>
      <c r="W5" t="s">
        <v>109</v>
      </c>
      <c r="X5" t="s">
        <v>52</v>
      </c>
      <c r="Y5" t="s">
        <v>110</v>
      </c>
      <c r="Z5">
        <v>2537</v>
      </c>
      <c r="AA5">
        <v>44</v>
      </c>
      <c r="AB5">
        <v>189</v>
      </c>
      <c r="AC5" t="s">
        <v>111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112</v>
      </c>
      <c r="AJ5" s="2">
        <v>45818.719525462962</v>
      </c>
      <c r="AK5" t="s">
        <v>100</v>
      </c>
      <c r="AL5" t="s">
        <v>65</v>
      </c>
      <c r="AM5" s="3">
        <v>1.5520833333333333</v>
      </c>
      <c r="AN5" t="s">
        <v>66</v>
      </c>
      <c r="AO5" t="s">
        <v>101</v>
      </c>
      <c r="AT5" t="s">
        <v>18875</v>
      </c>
      <c r="AU5" cm="1">
        <f t="array" ref="AU5">SUMPRODUCT(--(ISNUMBER(SEARCH("other",LOWER(AL:AL)))))</f>
        <v>81</v>
      </c>
      <c r="AV5" cm="1">
        <f t="array" ref="AV5">SUMPRODUCT(--(ISNUMBER(SEARCH("other",LOWER(AL:AL)))))/COUNTA(AL:AL)*100</f>
        <v>2.5853814235556971</v>
      </c>
    </row>
    <row r="6" spans="1:48" x14ac:dyDescent="0.2">
      <c r="A6">
        <v>372595</v>
      </c>
      <c r="B6" t="s">
        <v>117</v>
      </c>
      <c r="C6" t="s">
        <v>118</v>
      </c>
      <c r="D6" t="s">
        <v>119</v>
      </c>
      <c r="E6" t="s">
        <v>120</v>
      </c>
      <c r="F6">
        <v>290999</v>
      </c>
      <c r="G6" s="1">
        <v>45841</v>
      </c>
      <c r="H6" s="1">
        <v>45659</v>
      </c>
      <c r="I6" s="1">
        <v>45945</v>
      </c>
      <c r="J6" t="s">
        <v>45</v>
      </c>
      <c r="K6" t="s">
        <v>45</v>
      </c>
      <c r="L6" t="s">
        <v>72</v>
      </c>
      <c r="M6" s="1">
        <v>43101</v>
      </c>
      <c r="N6" t="s">
        <v>89</v>
      </c>
      <c r="O6" t="s">
        <v>121</v>
      </c>
      <c r="P6" t="s">
        <v>49</v>
      </c>
      <c r="Q6" t="s">
        <v>122</v>
      </c>
      <c r="R6" t="s">
        <v>123</v>
      </c>
      <c r="S6">
        <v>7800</v>
      </c>
      <c r="T6" t="s">
        <v>52</v>
      </c>
      <c r="U6">
        <v>3</v>
      </c>
      <c r="V6" t="s">
        <v>124</v>
      </c>
      <c r="W6" t="s">
        <v>54</v>
      </c>
      <c r="X6" t="s">
        <v>52</v>
      </c>
      <c r="Y6" t="s">
        <v>125</v>
      </c>
      <c r="Z6">
        <v>2119</v>
      </c>
      <c r="AA6">
        <v>59</v>
      </c>
      <c r="AB6">
        <v>174</v>
      </c>
      <c r="AC6" t="s">
        <v>126</v>
      </c>
      <c r="AD6" t="s">
        <v>127</v>
      </c>
      <c r="AE6" t="s">
        <v>128</v>
      </c>
      <c r="AF6" t="s">
        <v>129</v>
      </c>
      <c r="AG6" t="s">
        <v>130</v>
      </c>
      <c r="AH6" t="s">
        <v>131</v>
      </c>
      <c r="AJ6" s="2">
        <v>45846.820185185185</v>
      </c>
      <c r="AK6" t="s">
        <v>132</v>
      </c>
      <c r="AL6" t="s">
        <v>65</v>
      </c>
      <c r="AM6" s="4">
        <v>0.78472222222222221</v>
      </c>
      <c r="AN6" t="s">
        <v>66</v>
      </c>
      <c r="AO6" t="s">
        <v>67</v>
      </c>
    </row>
    <row r="7" spans="1:48" x14ac:dyDescent="0.2">
      <c r="A7">
        <v>367152</v>
      </c>
      <c r="B7" t="s">
        <v>133</v>
      </c>
      <c r="C7" t="s">
        <v>134</v>
      </c>
      <c r="D7" t="s">
        <v>135</v>
      </c>
      <c r="E7" t="s">
        <v>136</v>
      </c>
      <c r="F7">
        <v>451209</v>
      </c>
      <c r="G7" s="1">
        <v>34117</v>
      </c>
      <c r="H7" s="1">
        <v>45587</v>
      </c>
      <c r="I7" s="1">
        <v>45962</v>
      </c>
      <c r="J7" t="s">
        <v>45</v>
      </c>
      <c r="K7" t="s">
        <v>45</v>
      </c>
      <c r="L7" t="s">
        <v>72</v>
      </c>
      <c r="M7" s="1">
        <v>44320</v>
      </c>
      <c r="N7" t="s">
        <v>47</v>
      </c>
      <c r="O7" t="s">
        <v>48</v>
      </c>
      <c r="P7" t="s">
        <v>49</v>
      </c>
      <c r="Q7" t="s">
        <v>137</v>
      </c>
      <c r="R7" t="s">
        <v>138</v>
      </c>
      <c r="S7">
        <v>2000</v>
      </c>
      <c r="T7" t="s">
        <v>92</v>
      </c>
      <c r="U7" t="s">
        <v>139</v>
      </c>
      <c r="V7" t="s">
        <v>140</v>
      </c>
      <c r="W7" t="s">
        <v>141</v>
      </c>
      <c r="X7" t="s">
        <v>92</v>
      </c>
      <c r="Y7" t="s">
        <v>110</v>
      </c>
      <c r="Z7">
        <v>404</v>
      </c>
      <c r="AA7">
        <v>58</v>
      </c>
      <c r="AB7">
        <v>144</v>
      </c>
      <c r="AC7" t="s">
        <v>142</v>
      </c>
      <c r="AD7" t="s">
        <v>143</v>
      </c>
      <c r="AE7" t="s">
        <v>144</v>
      </c>
      <c r="AF7" t="s">
        <v>145</v>
      </c>
      <c r="AG7" t="s">
        <v>146</v>
      </c>
      <c r="AH7" t="s">
        <v>147</v>
      </c>
      <c r="AI7" t="s">
        <v>148</v>
      </c>
      <c r="AJ7" s="2">
        <v>45664.698206018518</v>
      </c>
      <c r="AK7" t="s">
        <v>149</v>
      </c>
      <c r="AL7" t="s">
        <v>65</v>
      </c>
      <c r="AM7" s="4">
        <v>6.9444444444444448E-2</v>
      </c>
      <c r="AN7" t="s">
        <v>66</v>
      </c>
      <c r="AO7" t="s">
        <v>67</v>
      </c>
    </row>
    <row r="8" spans="1:48" x14ac:dyDescent="0.2">
      <c r="A8">
        <v>367931</v>
      </c>
      <c r="B8" t="s">
        <v>150</v>
      </c>
      <c r="C8" t="s">
        <v>151</v>
      </c>
      <c r="D8" t="s">
        <v>152</v>
      </c>
      <c r="E8" t="s">
        <v>153</v>
      </c>
      <c r="F8">
        <v>384101</v>
      </c>
      <c r="G8" s="1">
        <v>40263</v>
      </c>
      <c r="H8" s="1">
        <v>45693</v>
      </c>
      <c r="I8" s="1">
        <v>46127</v>
      </c>
      <c r="J8" t="s">
        <v>45</v>
      </c>
      <c r="K8" t="s">
        <v>45</v>
      </c>
      <c r="L8" t="s">
        <v>72</v>
      </c>
      <c r="M8" s="1">
        <v>42829</v>
      </c>
      <c r="N8" t="s">
        <v>47</v>
      </c>
      <c r="O8" t="s">
        <v>48</v>
      </c>
      <c r="P8" t="s">
        <v>49</v>
      </c>
      <c r="Q8" t="s">
        <v>154</v>
      </c>
      <c r="R8" t="s">
        <v>155</v>
      </c>
      <c r="S8">
        <v>9</v>
      </c>
      <c r="T8" t="s">
        <v>156</v>
      </c>
      <c r="U8" t="s">
        <v>157</v>
      </c>
      <c r="V8" t="s">
        <v>158</v>
      </c>
      <c r="W8" t="s">
        <v>159</v>
      </c>
      <c r="X8" t="s">
        <v>156</v>
      </c>
      <c r="Y8" t="s">
        <v>110</v>
      </c>
      <c r="Z8">
        <v>3108</v>
      </c>
      <c r="AA8">
        <v>35</v>
      </c>
      <c r="AB8">
        <v>45</v>
      </c>
      <c r="AC8" t="s">
        <v>160</v>
      </c>
      <c r="AD8" t="s">
        <v>161</v>
      </c>
      <c r="AE8" t="s">
        <v>162</v>
      </c>
      <c r="AF8" t="s">
        <v>163</v>
      </c>
      <c r="AG8" t="s">
        <v>164</v>
      </c>
      <c r="AH8" t="s">
        <v>165</v>
      </c>
      <c r="AJ8" s="2">
        <v>45693.826874999999</v>
      </c>
      <c r="AK8" t="s">
        <v>160</v>
      </c>
      <c r="AL8" t="s">
        <v>65</v>
      </c>
      <c r="AM8" s="4">
        <v>0</v>
      </c>
      <c r="AN8" t="s">
        <v>66</v>
      </c>
      <c r="AO8" t="s">
        <v>101</v>
      </c>
    </row>
    <row r="9" spans="1:48" x14ac:dyDescent="0.2">
      <c r="A9">
        <v>372307</v>
      </c>
      <c r="B9" t="s">
        <v>166</v>
      </c>
      <c r="C9" t="s">
        <v>167</v>
      </c>
      <c r="D9" t="s">
        <v>168</v>
      </c>
      <c r="E9" t="s">
        <v>169</v>
      </c>
      <c r="F9">
        <v>353213</v>
      </c>
      <c r="G9" s="1">
        <v>35321</v>
      </c>
      <c r="H9" s="1">
        <v>45833</v>
      </c>
      <c r="I9" s="1">
        <v>46157</v>
      </c>
      <c r="J9" t="s">
        <v>45</v>
      </c>
      <c r="K9" t="s">
        <v>45</v>
      </c>
      <c r="L9" t="s">
        <v>72</v>
      </c>
      <c r="M9" s="1">
        <v>44872</v>
      </c>
      <c r="N9" t="s">
        <v>47</v>
      </c>
      <c r="O9" t="s">
        <v>48</v>
      </c>
      <c r="P9" t="s">
        <v>49</v>
      </c>
      <c r="Q9" t="s">
        <v>170</v>
      </c>
      <c r="R9" t="s">
        <v>171</v>
      </c>
      <c r="S9">
        <v>4964</v>
      </c>
      <c r="T9" t="s">
        <v>52</v>
      </c>
      <c r="U9">
        <v>6</v>
      </c>
      <c r="V9" t="s">
        <v>172</v>
      </c>
      <c r="W9" t="s">
        <v>54</v>
      </c>
      <c r="X9" t="s">
        <v>76</v>
      </c>
      <c r="Y9" t="s">
        <v>56</v>
      </c>
      <c r="Z9">
        <v>824</v>
      </c>
      <c r="AA9">
        <v>47</v>
      </c>
      <c r="AB9">
        <v>80</v>
      </c>
      <c r="AC9" t="s">
        <v>173</v>
      </c>
      <c r="AD9" t="s">
        <v>174</v>
      </c>
      <c r="AE9" t="s">
        <v>175</v>
      </c>
      <c r="AF9" t="s">
        <v>176</v>
      </c>
      <c r="AG9" t="s">
        <v>177</v>
      </c>
      <c r="AH9" t="s">
        <v>178</v>
      </c>
      <c r="AI9" t="s">
        <v>179</v>
      </c>
      <c r="AJ9" s="2">
        <v>45837.924270833333</v>
      </c>
      <c r="AK9" t="s">
        <v>180</v>
      </c>
      <c r="AL9" t="s">
        <v>65</v>
      </c>
      <c r="AM9" s="3">
        <v>1.6527777777777777</v>
      </c>
      <c r="AN9" t="s">
        <v>66</v>
      </c>
      <c r="AO9" t="s">
        <v>67</v>
      </c>
    </row>
    <row r="10" spans="1:48" x14ac:dyDescent="0.2">
      <c r="A10">
        <v>370172</v>
      </c>
      <c r="B10" t="s">
        <v>181</v>
      </c>
      <c r="C10" t="s">
        <v>182</v>
      </c>
      <c r="D10" t="s">
        <v>183</v>
      </c>
      <c r="E10" t="s">
        <v>184</v>
      </c>
      <c r="F10">
        <v>45438</v>
      </c>
      <c r="G10" s="1">
        <v>34247</v>
      </c>
      <c r="H10" s="1">
        <v>45687</v>
      </c>
      <c r="I10" s="1">
        <v>46068</v>
      </c>
      <c r="J10" t="s">
        <v>45</v>
      </c>
      <c r="K10" t="s">
        <v>45</v>
      </c>
      <c r="L10" t="s">
        <v>72</v>
      </c>
      <c r="M10" s="1">
        <v>45176</v>
      </c>
      <c r="N10" t="s">
        <v>47</v>
      </c>
      <c r="O10" t="s">
        <v>48</v>
      </c>
      <c r="P10" t="s">
        <v>49</v>
      </c>
      <c r="Q10" t="s">
        <v>185</v>
      </c>
      <c r="R10" t="s">
        <v>186</v>
      </c>
      <c r="S10">
        <v>2600</v>
      </c>
      <c r="T10" t="s">
        <v>92</v>
      </c>
      <c r="U10" t="s">
        <v>187</v>
      </c>
      <c r="V10" t="s">
        <v>188</v>
      </c>
      <c r="W10" t="s">
        <v>189</v>
      </c>
      <c r="X10" t="s">
        <v>92</v>
      </c>
      <c r="Y10" t="s">
        <v>110</v>
      </c>
      <c r="Z10">
        <v>1301</v>
      </c>
      <c r="AA10">
        <v>73</v>
      </c>
      <c r="AB10">
        <v>38</v>
      </c>
      <c r="AC10" t="s">
        <v>190</v>
      </c>
      <c r="AD10" t="s">
        <v>191</v>
      </c>
      <c r="AE10" t="s">
        <v>192</v>
      </c>
      <c r="AF10" t="s">
        <v>193</v>
      </c>
      <c r="AG10" t="s">
        <v>194</v>
      </c>
      <c r="AH10" t="s">
        <v>195</v>
      </c>
      <c r="AJ10" s="2">
        <v>45764.662233796298</v>
      </c>
      <c r="AK10" t="s">
        <v>193</v>
      </c>
      <c r="AL10" t="s">
        <v>65</v>
      </c>
      <c r="AM10" s="3">
        <v>2.2847222222222223</v>
      </c>
      <c r="AN10" t="s">
        <v>66</v>
      </c>
      <c r="AO10" t="s">
        <v>67</v>
      </c>
    </row>
    <row r="11" spans="1:48" x14ac:dyDescent="0.2">
      <c r="A11">
        <v>369854</v>
      </c>
      <c r="B11" t="s">
        <v>196</v>
      </c>
      <c r="C11" t="s">
        <v>197</v>
      </c>
      <c r="D11" t="s">
        <v>198</v>
      </c>
      <c r="E11" t="s">
        <v>199</v>
      </c>
      <c r="F11">
        <v>98401</v>
      </c>
      <c r="G11" s="1">
        <v>37690</v>
      </c>
      <c r="H11" s="1">
        <v>45583</v>
      </c>
      <c r="I11" s="1">
        <v>45931</v>
      </c>
      <c r="J11" t="s">
        <v>45</v>
      </c>
      <c r="K11" t="s">
        <v>45</v>
      </c>
      <c r="L11" t="s">
        <v>72</v>
      </c>
      <c r="M11" s="1">
        <v>45176</v>
      </c>
      <c r="N11" t="s">
        <v>47</v>
      </c>
      <c r="O11" t="s">
        <v>48</v>
      </c>
      <c r="P11" t="s">
        <v>49</v>
      </c>
      <c r="Q11" t="s">
        <v>200</v>
      </c>
      <c r="R11" t="s">
        <v>201</v>
      </c>
      <c r="S11">
        <v>232</v>
      </c>
      <c r="T11" t="s">
        <v>92</v>
      </c>
      <c r="U11" t="s">
        <v>202</v>
      </c>
      <c r="V11" t="s">
        <v>203</v>
      </c>
      <c r="W11" t="s">
        <v>204</v>
      </c>
      <c r="X11" t="s">
        <v>52</v>
      </c>
      <c r="Y11" t="s">
        <v>110</v>
      </c>
      <c r="Z11">
        <v>2151</v>
      </c>
      <c r="AA11">
        <v>34</v>
      </c>
      <c r="AB11">
        <v>144</v>
      </c>
      <c r="AC11" t="s">
        <v>205</v>
      </c>
      <c r="AD11" t="s">
        <v>206</v>
      </c>
      <c r="AE11" t="s">
        <v>207</v>
      </c>
      <c r="AF11" t="s">
        <v>208</v>
      </c>
      <c r="AG11" t="s">
        <v>209</v>
      </c>
      <c r="AH11" t="s">
        <v>210</v>
      </c>
      <c r="AI11" t="s">
        <v>211</v>
      </c>
      <c r="AJ11" s="2">
        <v>45755.813113425924</v>
      </c>
      <c r="AK11" t="s">
        <v>212</v>
      </c>
      <c r="AL11" t="s">
        <v>65</v>
      </c>
      <c r="AM11" s="4">
        <v>0.18055555555555555</v>
      </c>
      <c r="AN11" t="s">
        <v>66</v>
      </c>
      <c r="AO11" t="s">
        <v>67</v>
      </c>
    </row>
    <row r="12" spans="1:48" x14ac:dyDescent="0.2">
      <c r="A12">
        <v>372471</v>
      </c>
      <c r="B12" t="s">
        <v>213</v>
      </c>
      <c r="C12" t="s">
        <v>134</v>
      </c>
      <c r="D12" t="s">
        <v>214</v>
      </c>
      <c r="E12">
        <v>30074760</v>
      </c>
      <c r="F12">
        <v>452001</v>
      </c>
      <c r="G12" s="1">
        <v>37519</v>
      </c>
      <c r="H12" s="1">
        <v>45835</v>
      </c>
      <c r="I12" s="1">
        <v>46188</v>
      </c>
      <c r="J12" t="s">
        <v>45</v>
      </c>
      <c r="K12" t="s">
        <v>45</v>
      </c>
      <c r="L12" t="s">
        <v>72</v>
      </c>
      <c r="M12" s="1">
        <v>45521</v>
      </c>
      <c r="N12" t="s">
        <v>47</v>
      </c>
      <c r="O12" t="s">
        <v>48</v>
      </c>
      <c r="P12" t="s">
        <v>49</v>
      </c>
      <c r="Q12" t="s">
        <v>215</v>
      </c>
      <c r="R12" t="s">
        <v>216</v>
      </c>
      <c r="S12">
        <v>5185</v>
      </c>
      <c r="T12" t="s">
        <v>92</v>
      </c>
      <c r="U12" t="s">
        <v>139</v>
      </c>
      <c r="V12" t="s">
        <v>140</v>
      </c>
      <c r="W12" t="s">
        <v>141</v>
      </c>
      <c r="X12" t="s">
        <v>92</v>
      </c>
      <c r="Y12" t="s">
        <v>110</v>
      </c>
      <c r="Z12">
        <v>2225</v>
      </c>
      <c r="AA12">
        <v>51</v>
      </c>
      <c r="AB12">
        <v>174</v>
      </c>
      <c r="AC12" t="s">
        <v>217</v>
      </c>
      <c r="AD12" t="s">
        <v>218</v>
      </c>
      <c r="AE12" t="s">
        <v>219</v>
      </c>
      <c r="AF12" t="s">
        <v>145</v>
      </c>
      <c r="AG12" t="s">
        <v>146</v>
      </c>
      <c r="AH12" t="s">
        <v>147</v>
      </c>
      <c r="AI12" t="s">
        <v>148</v>
      </c>
      <c r="AJ12" s="2">
        <v>45840.629884259259</v>
      </c>
      <c r="AK12" t="s">
        <v>217</v>
      </c>
      <c r="AL12" t="s">
        <v>65</v>
      </c>
      <c r="AM12" s="4">
        <v>0.40277777777777779</v>
      </c>
      <c r="AN12" t="s">
        <v>66</v>
      </c>
      <c r="AO12" t="s">
        <v>67</v>
      </c>
    </row>
    <row r="13" spans="1:48" x14ac:dyDescent="0.2">
      <c r="A13">
        <v>361033</v>
      </c>
      <c r="B13" t="s">
        <v>220</v>
      </c>
      <c r="C13" t="s">
        <v>221</v>
      </c>
      <c r="D13" t="s">
        <v>222</v>
      </c>
      <c r="E13" t="s">
        <v>223</v>
      </c>
      <c r="G13" s="1">
        <v>42839</v>
      </c>
      <c r="H13" s="1">
        <v>45435</v>
      </c>
      <c r="I13" s="1">
        <v>46113</v>
      </c>
      <c r="J13" t="s">
        <v>45</v>
      </c>
      <c r="K13" t="s">
        <v>45</v>
      </c>
      <c r="L13" t="s">
        <v>72</v>
      </c>
      <c r="N13" t="s">
        <v>89</v>
      </c>
      <c r="O13" t="s">
        <v>121</v>
      </c>
      <c r="P13" t="s">
        <v>49</v>
      </c>
      <c r="Q13" t="s">
        <v>224</v>
      </c>
      <c r="R13" t="s">
        <v>225</v>
      </c>
      <c r="S13">
        <v>182</v>
      </c>
      <c r="T13" t="s">
        <v>92</v>
      </c>
      <c r="U13" t="s">
        <v>226</v>
      </c>
      <c r="V13" t="s">
        <v>227</v>
      </c>
      <c r="W13" t="s">
        <v>228</v>
      </c>
      <c r="X13" t="s">
        <v>92</v>
      </c>
      <c r="Y13" t="s">
        <v>110</v>
      </c>
      <c r="Z13">
        <v>8466</v>
      </c>
      <c r="AA13">
        <v>17</v>
      </c>
      <c r="AB13">
        <v>78</v>
      </c>
      <c r="AC13" t="s">
        <v>229</v>
      </c>
      <c r="AD13" t="s">
        <v>230</v>
      </c>
      <c r="AE13" t="s">
        <v>231</v>
      </c>
      <c r="AF13" t="s">
        <v>232</v>
      </c>
      <c r="AG13" t="s">
        <v>233</v>
      </c>
      <c r="AH13" t="s">
        <v>234</v>
      </c>
      <c r="AJ13" s="2">
        <v>45443.909062500003</v>
      </c>
      <c r="AK13" t="s">
        <v>229</v>
      </c>
      <c r="AL13" t="s">
        <v>65</v>
      </c>
      <c r="AM13" s="3">
        <v>1.3263888888888888</v>
      </c>
      <c r="AN13" t="s">
        <v>66</v>
      </c>
      <c r="AO13" t="s">
        <v>67</v>
      </c>
    </row>
    <row r="14" spans="1:48" x14ac:dyDescent="0.2">
      <c r="A14">
        <v>371142</v>
      </c>
      <c r="B14" t="s">
        <v>235</v>
      </c>
      <c r="C14" t="s">
        <v>236</v>
      </c>
      <c r="D14" t="s">
        <v>237</v>
      </c>
      <c r="E14" t="s">
        <v>238</v>
      </c>
      <c r="F14">
        <v>210801</v>
      </c>
      <c r="G14" s="1">
        <v>37549</v>
      </c>
      <c r="H14" s="1">
        <v>45777</v>
      </c>
      <c r="I14" s="1">
        <v>46143</v>
      </c>
      <c r="J14" t="s">
        <v>45</v>
      </c>
      <c r="K14" t="s">
        <v>45</v>
      </c>
      <c r="L14" t="s">
        <v>72</v>
      </c>
      <c r="M14" s="1">
        <v>44743</v>
      </c>
      <c r="N14" t="s">
        <v>47</v>
      </c>
      <c r="O14" t="s">
        <v>48</v>
      </c>
      <c r="P14" t="s">
        <v>49</v>
      </c>
      <c r="Q14" t="s">
        <v>239</v>
      </c>
      <c r="R14" t="s">
        <v>240</v>
      </c>
      <c r="S14">
        <v>920</v>
      </c>
      <c r="T14" t="s">
        <v>156</v>
      </c>
      <c r="U14" t="s">
        <v>241</v>
      </c>
      <c r="V14" t="s">
        <v>242</v>
      </c>
      <c r="W14" t="s">
        <v>159</v>
      </c>
      <c r="X14" t="s">
        <v>156</v>
      </c>
      <c r="Y14" t="s">
        <v>110</v>
      </c>
      <c r="Z14">
        <v>2332</v>
      </c>
      <c r="AA14">
        <v>42</v>
      </c>
      <c r="AB14">
        <v>160</v>
      </c>
      <c r="AC14" t="s">
        <v>243</v>
      </c>
      <c r="AD14" t="s">
        <v>244</v>
      </c>
      <c r="AE14" t="s">
        <v>245</v>
      </c>
      <c r="AF14" t="s">
        <v>246</v>
      </c>
      <c r="AG14" t="s">
        <v>247</v>
      </c>
      <c r="AH14" t="s">
        <v>248</v>
      </c>
      <c r="AI14" t="s">
        <v>249</v>
      </c>
      <c r="AJ14" s="2">
        <v>45797.606666666667</v>
      </c>
      <c r="AK14" t="s">
        <v>250</v>
      </c>
      <c r="AL14" t="s">
        <v>65</v>
      </c>
      <c r="AM14" s="4">
        <v>0.83333333333333337</v>
      </c>
      <c r="AN14" t="s">
        <v>66</v>
      </c>
      <c r="AO14" t="s">
        <v>67</v>
      </c>
    </row>
    <row r="15" spans="1:48" x14ac:dyDescent="0.2">
      <c r="A15">
        <v>370358</v>
      </c>
      <c r="B15" t="s">
        <v>251</v>
      </c>
      <c r="C15" t="s">
        <v>252</v>
      </c>
      <c r="D15" t="s">
        <v>253</v>
      </c>
      <c r="E15" t="s">
        <v>254</v>
      </c>
      <c r="F15">
        <v>250105</v>
      </c>
      <c r="G15" s="1">
        <v>38497</v>
      </c>
      <c r="H15" s="1">
        <v>45729</v>
      </c>
      <c r="I15" s="1">
        <v>46068</v>
      </c>
      <c r="J15" t="s">
        <v>45</v>
      </c>
      <c r="K15" t="s">
        <v>45</v>
      </c>
      <c r="L15" t="s">
        <v>72</v>
      </c>
      <c r="M15" s="1">
        <v>45506</v>
      </c>
      <c r="N15" t="s">
        <v>47</v>
      </c>
      <c r="O15" t="s">
        <v>48</v>
      </c>
      <c r="P15" t="s">
        <v>49</v>
      </c>
      <c r="Q15" t="s">
        <v>255</v>
      </c>
      <c r="R15" t="s">
        <v>256</v>
      </c>
      <c r="S15">
        <v>4400</v>
      </c>
      <c r="T15" t="s">
        <v>257</v>
      </c>
      <c r="U15" t="s">
        <v>258</v>
      </c>
      <c r="V15" t="s">
        <v>259</v>
      </c>
      <c r="W15" t="s">
        <v>260</v>
      </c>
      <c r="X15" t="s">
        <v>257</v>
      </c>
      <c r="Y15" t="s">
        <v>110</v>
      </c>
      <c r="Z15">
        <v>1404</v>
      </c>
      <c r="AA15">
        <v>43</v>
      </c>
      <c r="AB15">
        <v>158</v>
      </c>
      <c r="AC15" t="s">
        <v>261</v>
      </c>
      <c r="AD15" t="s">
        <v>262</v>
      </c>
      <c r="AE15" t="s">
        <v>263</v>
      </c>
      <c r="AF15" t="s">
        <v>264</v>
      </c>
      <c r="AG15" t="s">
        <v>265</v>
      </c>
      <c r="AH15" t="s">
        <v>266</v>
      </c>
      <c r="AI15" t="s">
        <v>267</v>
      </c>
      <c r="AJ15" s="2">
        <v>45771.632268518515</v>
      </c>
      <c r="AK15" t="s">
        <v>132</v>
      </c>
      <c r="AL15" t="s">
        <v>65</v>
      </c>
      <c r="AM15" s="4">
        <v>0.56944444444444442</v>
      </c>
      <c r="AN15" t="s">
        <v>66</v>
      </c>
      <c r="AO15" t="s">
        <v>67</v>
      </c>
    </row>
    <row r="16" spans="1:48" x14ac:dyDescent="0.2">
      <c r="A16">
        <v>372174</v>
      </c>
      <c r="B16" t="s">
        <v>268</v>
      </c>
      <c r="C16" t="s">
        <v>167</v>
      </c>
      <c r="D16" t="s">
        <v>269</v>
      </c>
      <c r="E16" t="s">
        <v>270</v>
      </c>
      <c r="F16">
        <v>352916</v>
      </c>
      <c r="G16" s="1">
        <v>40141</v>
      </c>
      <c r="H16" s="1">
        <v>45832</v>
      </c>
      <c r="I16" s="1">
        <v>46157</v>
      </c>
      <c r="J16" t="s">
        <v>45</v>
      </c>
      <c r="K16" t="s">
        <v>45</v>
      </c>
      <c r="L16" t="s">
        <v>72</v>
      </c>
      <c r="M16" s="1">
        <v>43788</v>
      </c>
      <c r="N16" t="s">
        <v>47</v>
      </c>
      <c r="O16" t="s">
        <v>48</v>
      </c>
      <c r="P16" t="s">
        <v>49</v>
      </c>
      <c r="Q16" t="s">
        <v>271</v>
      </c>
      <c r="R16" t="s">
        <v>272</v>
      </c>
      <c r="S16">
        <v>247</v>
      </c>
      <c r="T16" t="s">
        <v>52</v>
      </c>
      <c r="U16">
        <v>6</v>
      </c>
      <c r="V16" t="s">
        <v>172</v>
      </c>
      <c r="W16" t="s">
        <v>54</v>
      </c>
      <c r="X16" t="s">
        <v>76</v>
      </c>
      <c r="Y16" t="s">
        <v>56</v>
      </c>
      <c r="Z16">
        <v>831</v>
      </c>
      <c r="AA16">
        <v>47</v>
      </c>
      <c r="AB16">
        <v>80</v>
      </c>
      <c r="AC16" t="s">
        <v>173</v>
      </c>
      <c r="AD16" t="s">
        <v>174</v>
      </c>
      <c r="AE16" t="s">
        <v>175</v>
      </c>
      <c r="AF16" t="s">
        <v>273</v>
      </c>
      <c r="AG16" t="s">
        <v>274</v>
      </c>
      <c r="AH16" t="s">
        <v>275</v>
      </c>
      <c r="AI16" t="s">
        <v>179</v>
      </c>
      <c r="AJ16" s="2">
        <v>45832.993981481479</v>
      </c>
      <c r="AK16" t="s">
        <v>276</v>
      </c>
      <c r="AL16" t="s">
        <v>65</v>
      </c>
      <c r="AM16" s="3">
        <v>1.6388888888888888</v>
      </c>
      <c r="AN16" t="s">
        <v>66</v>
      </c>
      <c r="AO16" t="s">
        <v>67</v>
      </c>
    </row>
    <row r="17" spans="1:41" x14ac:dyDescent="0.2">
      <c r="A17">
        <v>371497</v>
      </c>
      <c r="B17" t="s">
        <v>277</v>
      </c>
      <c r="C17" t="s">
        <v>278</v>
      </c>
      <c r="D17" t="s">
        <v>279</v>
      </c>
      <c r="E17" t="s">
        <v>280</v>
      </c>
      <c r="F17">
        <v>422903</v>
      </c>
      <c r="G17" s="1">
        <v>33023</v>
      </c>
      <c r="H17" s="1">
        <v>45807</v>
      </c>
      <c r="I17" s="1">
        <v>46174</v>
      </c>
      <c r="J17" t="s">
        <v>45</v>
      </c>
      <c r="K17" t="s">
        <v>45</v>
      </c>
      <c r="L17" t="s">
        <v>72</v>
      </c>
      <c r="M17" s="1">
        <v>39238</v>
      </c>
      <c r="N17" t="s">
        <v>47</v>
      </c>
      <c r="O17" t="s">
        <v>48</v>
      </c>
      <c r="P17" t="s">
        <v>49</v>
      </c>
      <c r="Q17" t="s">
        <v>281</v>
      </c>
      <c r="R17" t="s">
        <v>282</v>
      </c>
      <c r="S17">
        <v>8890</v>
      </c>
      <c r="T17" t="s">
        <v>257</v>
      </c>
      <c r="U17" t="s">
        <v>283</v>
      </c>
      <c r="V17" t="s">
        <v>284</v>
      </c>
      <c r="W17" t="s">
        <v>260</v>
      </c>
      <c r="X17" t="s">
        <v>257</v>
      </c>
      <c r="Y17" t="s">
        <v>110</v>
      </c>
      <c r="Z17">
        <v>524</v>
      </c>
      <c r="AA17">
        <v>64</v>
      </c>
      <c r="AB17">
        <v>34</v>
      </c>
      <c r="AC17" t="s">
        <v>285</v>
      </c>
      <c r="AD17" t="s">
        <v>286</v>
      </c>
      <c r="AE17" t="s">
        <v>287</v>
      </c>
      <c r="AF17" t="s">
        <v>288</v>
      </c>
      <c r="AG17" t="s">
        <v>289</v>
      </c>
      <c r="AH17" t="s">
        <v>290</v>
      </c>
      <c r="AI17" t="s">
        <v>286</v>
      </c>
      <c r="AJ17" s="2">
        <v>45813.711342592593</v>
      </c>
      <c r="AK17" t="s">
        <v>288</v>
      </c>
      <c r="AL17" t="s">
        <v>65</v>
      </c>
      <c r="AM17" s="4">
        <v>0.2986111111111111</v>
      </c>
      <c r="AN17" t="s">
        <v>66</v>
      </c>
      <c r="AO17" t="s">
        <v>67</v>
      </c>
    </row>
    <row r="18" spans="1:41" x14ac:dyDescent="0.2">
      <c r="A18">
        <v>369616</v>
      </c>
      <c r="B18" t="s">
        <v>291</v>
      </c>
      <c r="C18" t="s">
        <v>118</v>
      </c>
      <c r="D18" t="s">
        <v>292</v>
      </c>
      <c r="E18" t="s">
        <v>293</v>
      </c>
      <c r="F18">
        <v>21503</v>
      </c>
      <c r="G18" s="1">
        <v>40387</v>
      </c>
      <c r="H18" s="1">
        <v>45740</v>
      </c>
      <c r="I18" s="1">
        <v>46174</v>
      </c>
      <c r="J18" t="s">
        <v>45</v>
      </c>
      <c r="K18" t="s">
        <v>45</v>
      </c>
      <c r="L18" t="s">
        <v>46</v>
      </c>
      <c r="N18" t="s">
        <v>47</v>
      </c>
      <c r="O18" t="s">
        <v>48</v>
      </c>
      <c r="P18" t="s">
        <v>49</v>
      </c>
      <c r="Q18" t="s">
        <v>294</v>
      </c>
      <c r="R18" t="s">
        <v>295</v>
      </c>
      <c r="S18">
        <v>363</v>
      </c>
      <c r="T18" t="s">
        <v>296</v>
      </c>
      <c r="U18" t="s">
        <v>297</v>
      </c>
      <c r="V18" t="s">
        <v>298</v>
      </c>
      <c r="W18" t="s">
        <v>299</v>
      </c>
      <c r="X18" t="s">
        <v>55</v>
      </c>
      <c r="Y18" t="s">
        <v>56</v>
      </c>
      <c r="Z18">
        <v>3506</v>
      </c>
      <c r="AA18">
        <v>35</v>
      </c>
      <c r="AB18">
        <v>30</v>
      </c>
      <c r="AC18" t="s">
        <v>300</v>
      </c>
      <c r="AD18" t="s">
        <v>301</v>
      </c>
      <c r="AE18" t="s">
        <v>302</v>
      </c>
      <c r="AF18" t="s">
        <v>303</v>
      </c>
      <c r="AG18" t="s">
        <v>304</v>
      </c>
      <c r="AH18" t="s">
        <v>305</v>
      </c>
      <c r="AI18" t="s">
        <v>306</v>
      </c>
      <c r="AJ18" s="2">
        <v>45747.667245370372</v>
      </c>
      <c r="AK18" t="s">
        <v>307</v>
      </c>
      <c r="AL18" t="s">
        <v>65</v>
      </c>
      <c r="AM18" s="3">
        <v>1.1111111111111112</v>
      </c>
      <c r="AN18" t="s">
        <v>66</v>
      </c>
      <c r="AO18" t="s">
        <v>67</v>
      </c>
    </row>
    <row r="19" spans="1:41" x14ac:dyDescent="0.2">
      <c r="A19">
        <v>369650</v>
      </c>
      <c r="B19" t="s">
        <v>308</v>
      </c>
      <c r="C19" t="s">
        <v>309</v>
      </c>
      <c r="D19" t="s">
        <v>309</v>
      </c>
      <c r="E19" t="s">
        <v>310</v>
      </c>
      <c r="F19">
        <v>496028</v>
      </c>
      <c r="G19" s="1">
        <v>39867</v>
      </c>
      <c r="H19" s="1">
        <v>45735</v>
      </c>
      <c r="I19" s="1">
        <v>45992</v>
      </c>
      <c r="J19" t="s">
        <v>45</v>
      </c>
      <c r="K19" t="s">
        <v>45</v>
      </c>
      <c r="L19" t="s">
        <v>72</v>
      </c>
      <c r="N19" t="s">
        <v>47</v>
      </c>
      <c r="O19" t="s">
        <v>48</v>
      </c>
      <c r="P19" t="s">
        <v>49</v>
      </c>
      <c r="Q19" t="s">
        <v>311</v>
      </c>
      <c r="R19" t="s">
        <v>312</v>
      </c>
      <c r="S19">
        <v>6568</v>
      </c>
      <c r="T19" t="s">
        <v>92</v>
      </c>
      <c r="U19" t="s">
        <v>313</v>
      </c>
      <c r="V19" t="s">
        <v>314</v>
      </c>
      <c r="W19" t="s">
        <v>315</v>
      </c>
      <c r="X19" t="s">
        <v>92</v>
      </c>
      <c r="Y19" t="s">
        <v>110</v>
      </c>
      <c r="Z19">
        <v>3058</v>
      </c>
      <c r="AA19">
        <v>30</v>
      </c>
      <c r="AB19">
        <v>80</v>
      </c>
      <c r="AC19" t="s">
        <v>316</v>
      </c>
      <c r="AD19" t="s">
        <v>317</v>
      </c>
      <c r="AE19" t="s">
        <v>318</v>
      </c>
      <c r="AF19" t="s">
        <v>319</v>
      </c>
      <c r="AG19" t="s">
        <v>320</v>
      </c>
      <c r="AI19" t="s">
        <v>321</v>
      </c>
      <c r="AJ19" s="2">
        <v>45747.983726851853</v>
      </c>
      <c r="AK19" t="s">
        <v>316</v>
      </c>
      <c r="AL19" t="s">
        <v>65</v>
      </c>
      <c r="AM19" s="3">
        <v>1.4930555555555556</v>
      </c>
      <c r="AN19" t="s">
        <v>66</v>
      </c>
      <c r="AO19" t="s">
        <v>67</v>
      </c>
    </row>
    <row r="20" spans="1:41" x14ac:dyDescent="0.2">
      <c r="A20">
        <v>362014</v>
      </c>
      <c r="B20" t="s">
        <v>322</v>
      </c>
      <c r="C20" t="s">
        <v>323</v>
      </c>
      <c r="D20" t="s">
        <v>324</v>
      </c>
      <c r="E20" t="s">
        <v>325</v>
      </c>
      <c r="G20" s="1">
        <v>43667</v>
      </c>
      <c r="H20" s="1">
        <v>45464</v>
      </c>
      <c r="I20" s="1">
        <v>46037</v>
      </c>
      <c r="J20" t="s">
        <v>45</v>
      </c>
      <c r="K20" t="s">
        <v>326</v>
      </c>
      <c r="L20" t="s">
        <v>72</v>
      </c>
      <c r="N20" t="s">
        <v>89</v>
      </c>
      <c r="O20" t="s">
        <v>121</v>
      </c>
      <c r="P20" t="s">
        <v>49</v>
      </c>
      <c r="Q20" t="s">
        <v>327</v>
      </c>
      <c r="R20" t="s">
        <v>328</v>
      </c>
      <c r="S20">
        <v>430</v>
      </c>
      <c r="T20" t="s">
        <v>257</v>
      </c>
      <c r="U20" t="s">
        <v>329</v>
      </c>
      <c r="V20" t="s">
        <v>330</v>
      </c>
      <c r="W20" t="s">
        <v>260</v>
      </c>
      <c r="X20" t="s">
        <v>257</v>
      </c>
      <c r="Y20" t="s">
        <v>110</v>
      </c>
      <c r="Z20">
        <v>2370</v>
      </c>
      <c r="AA20">
        <v>39</v>
      </c>
      <c r="AB20">
        <v>158</v>
      </c>
      <c r="AC20" t="s">
        <v>331</v>
      </c>
      <c r="AD20" t="s">
        <v>332</v>
      </c>
      <c r="AE20" t="s">
        <v>333</v>
      </c>
      <c r="AF20" t="s">
        <v>334</v>
      </c>
      <c r="AG20" t="s">
        <v>335</v>
      </c>
      <c r="AH20" t="s">
        <v>336</v>
      </c>
      <c r="AI20" t="s">
        <v>337</v>
      </c>
      <c r="AJ20" s="2">
        <v>45471.795289351852</v>
      </c>
      <c r="AK20" t="s">
        <v>331</v>
      </c>
      <c r="AL20" t="s">
        <v>65</v>
      </c>
      <c r="AM20" s="3">
        <v>1.2708333333333333</v>
      </c>
      <c r="AN20" t="s">
        <v>66</v>
      </c>
      <c r="AO20" t="s">
        <v>67</v>
      </c>
    </row>
    <row r="21" spans="1:41" x14ac:dyDescent="0.2">
      <c r="A21">
        <v>360807</v>
      </c>
      <c r="B21" t="s">
        <v>338</v>
      </c>
      <c r="C21" t="s">
        <v>323</v>
      </c>
      <c r="D21" t="s">
        <v>339</v>
      </c>
      <c r="E21" t="s">
        <v>340</v>
      </c>
      <c r="G21" s="1">
        <v>43662</v>
      </c>
      <c r="H21" s="1">
        <v>45021</v>
      </c>
      <c r="I21" s="1">
        <v>46037</v>
      </c>
      <c r="J21" t="s">
        <v>45</v>
      </c>
      <c r="K21" t="s">
        <v>326</v>
      </c>
      <c r="L21" t="s">
        <v>72</v>
      </c>
      <c r="M21" s="1">
        <v>41767</v>
      </c>
      <c r="N21" t="s">
        <v>89</v>
      </c>
      <c r="O21" t="s">
        <v>121</v>
      </c>
      <c r="P21" t="s">
        <v>49</v>
      </c>
      <c r="Q21" t="s">
        <v>341</v>
      </c>
      <c r="R21" t="s">
        <v>342</v>
      </c>
      <c r="S21">
        <v>521</v>
      </c>
      <c r="T21" t="s">
        <v>257</v>
      </c>
      <c r="U21" t="s">
        <v>329</v>
      </c>
      <c r="V21" t="s">
        <v>330</v>
      </c>
      <c r="W21" t="s">
        <v>260</v>
      </c>
      <c r="X21" t="s">
        <v>257</v>
      </c>
      <c r="Y21" t="s">
        <v>110</v>
      </c>
      <c r="Z21">
        <v>2371</v>
      </c>
      <c r="AA21">
        <v>36</v>
      </c>
      <c r="AB21">
        <v>166</v>
      </c>
      <c r="AC21" t="s">
        <v>331</v>
      </c>
      <c r="AD21" t="s">
        <v>332</v>
      </c>
      <c r="AE21" t="s">
        <v>333</v>
      </c>
      <c r="AF21" t="s">
        <v>334</v>
      </c>
      <c r="AG21" t="s">
        <v>335</v>
      </c>
      <c r="AH21" t="s">
        <v>336</v>
      </c>
      <c r="AI21" t="s">
        <v>343</v>
      </c>
      <c r="AJ21" s="2">
        <v>45434.71429398148</v>
      </c>
      <c r="AK21" t="s">
        <v>331</v>
      </c>
      <c r="AL21" t="s">
        <v>65</v>
      </c>
      <c r="AM21" s="3">
        <v>2.3402777777777777</v>
      </c>
      <c r="AN21" t="s">
        <v>66</v>
      </c>
      <c r="AO21" t="s">
        <v>67</v>
      </c>
    </row>
    <row r="22" spans="1:41" x14ac:dyDescent="0.2">
      <c r="A22">
        <v>366034</v>
      </c>
      <c r="B22" t="s">
        <v>344</v>
      </c>
      <c r="C22" t="s">
        <v>345</v>
      </c>
      <c r="D22" t="s">
        <v>346</v>
      </c>
      <c r="E22" t="s">
        <v>347</v>
      </c>
      <c r="F22">
        <v>55504</v>
      </c>
      <c r="G22" s="1">
        <v>43689</v>
      </c>
      <c r="H22" s="1">
        <v>45601</v>
      </c>
      <c r="I22" s="1">
        <v>46249</v>
      </c>
      <c r="J22" t="s">
        <v>45</v>
      </c>
      <c r="K22" t="s">
        <v>45</v>
      </c>
      <c r="L22" t="s">
        <v>72</v>
      </c>
      <c r="N22" t="s">
        <v>47</v>
      </c>
      <c r="O22" t="s">
        <v>48</v>
      </c>
      <c r="P22" t="s">
        <v>49</v>
      </c>
      <c r="Q22" t="s">
        <v>348</v>
      </c>
      <c r="R22" t="s">
        <v>349</v>
      </c>
      <c r="S22">
        <v>7570</v>
      </c>
      <c r="T22" t="s">
        <v>92</v>
      </c>
      <c r="U22" t="s">
        <v>350</v>
      </c>
      <c r="V22" t="s">
        <v>351</v>
      </c>
      <c r="W22" t="s">
        <v>352</v>
      </c>
      <c r="X22" t="s">
        <v>52</v>
      </c>
      <c r="Y22" t="s">
        <v>110</v>
      </c>
      <c r="Z22">
        <v>10172</v>
      </c>
      <c r="AA22">
        <v>15</v>
      </c>
      <c r="AB22">
        <v>76</v>
      </c>
      <c r="AC22" t="s">
        <v>353</v>
      </c>
      <c r="AD22" t="s">
        <v>354</v>
      </c>
      <c r="AE22" t="s">
        <v>355</v>
      </c>
      <c r="AF22" t="s">
        <v>356</v>
      </c>
      <c r="AG22" t="s">
        <v>357</v>
      </c>
      <c r="AH22" t="s">
        <v>358</v>
      </c>
      <c r="AI22" t="s">
        <v>359</v>
      </c>
      <c r="AJ22" s="2">
        <v>45601.662939814814</v>
      </c>
      <c r="AK22" t="s">
        <v>353</v>
      </c>
      <c r="AL22" t="s">
        <v>65</v>
      </c>
      <c r="AM22" s="4">
        <v>0.29166666666666669</v>
      </c>
      <c r="AN22" t="s">
        <v>66</v>
      </c>
      <c r="AO22" t="s">
        <v>67</v>
      </c>
    </row>
    <row r="23" spans="1:41" x14ac:dyDescent="0.2">
      <c r="A23">
        <v>372311</v>
      </c>
      <c r="B23" t="s">
        <v>360</v>
      </c>
      <c r="C23" t="s">
        <v>323</v>
      </c>
      <c r="D23" t="s">
        <v>361</v>
      </c>
      <c r="E23" t="s">
        <v>362</v>
      </c>
      <c r="G23" s="1">
        <v>45792</v>
      </c>
      <c r="H23" s="1">
        <v>45721</v>
      </c>
      <c r="I23" s="1">
        <v>46037</v>
      </c>
      <c r="J23" t="s">
        <v>45</v>
      </c>
      <c r="K23" t="s">
        <v>45</v>
      </c>
      <c r="L23" t="s">
        <v>72</v>
      </c>
      <c r="M23" s="1">
        <v>41004</v>
      </c>
      <c r="N23" t="s">
        <v>47</v>
      </c>
      <c r="O23" t="s">
        <v>121</v>
      </c>
      <c r="P23" t="s">
        <v>49</v>
      </c>
      <c r="Q23" t="s">
        <v>363</v>
      </c>
      <c r="R23" t="s">
        <v>364</v>
      </c>
      <c r="S23">
        <v>270</v>
      </c>
      <c r="T23" t="s">
        <v>365</v>
      </c>
      <c r="U23" t="s">
        <v>366</v>
      </c>
      <c r="V23" t="s">
        <v>330</v>
      </c>
      <c r="W23" t="s">
        <v>367</v>
      </c>
      <c r="X23" t="s">
        <v>76</v>
      </c>
      <c r="Y23" t="s">
        <v>110</v>
      </c>
      <c r="Z23">
        <v>1440</v>
      </c>
      <c r="AA23">
        <v>61</v>
      </c>
      <c r="AB23">
        <v>152</v>
      </c>
      <c r="AC23" t="s">
        <v>368</v>
      </c>
      <c r="AD23" t="s">
        <v>369</v>
      </c>
      <c r="AE23" t="s">
        <v>370</v>
      </c>
      <c r="AJ23" s="2">
        <v>45838.488229166665</v>
      </c>
      <c r="AK23" t="s">
        <v>132</v>
      </c>
      <c r="AL23" t="s">
        <v>65</v>
      </c>
      <c r="AM23" s="4">
        <v>4.1666666666666664E-2</v>
      </c>
      <c r="AN23" t="s">
        <v>66</v>
      </c>
      <c r="AO23" t="s">
        <v>67</v>
      </c>
    </row>
    <row r="24" spans="1:41" x14ac:dyDescent="0.2">
      <c r="A24">
        <v>373086</v>
      </c>
      <c r="B24" t="s">
        <v>371</v>
      </c>
      <c r="C24" t="s">
        <v>323</v>
      </c>
      <c r="D24" t="s">
        <v>372</v>
      </c>
      <c r="E24">
        <v>32445380</v>
      </c>
      <c r="G24" s="1">
        <v>45432</v>
      </c>
      <c r="H24" s="1">
        <v>45721</v>
      </c>
      <c r="I24" s="1">
        <v>46037</v>
      </c>
      <c r="J24" t="s">
        <v>45</v>
      </c>
      <c r="K24" t="s">
        <v>326</v>
      </c>
      <c r="L24" t="s">
        <v>72</v>
      </c>
      <c r="M24" s="1">
        <v>42152</v>
      </c>
      <c r="N24" t="s">
        <v>89</v>
      </c>
      <c r="O24" t="s">
        <v>121</v>
      </c>
      <c r="P24" t="s">
        <v>49</v>
      </c>
      <c r="Q24" t="s">
        <v>373</v>
      </c>
      <c r="R24" t="s">
        <v>374</v>
      </c>
      <c r="S24">
        <v>932</v>
      </c>
      <c r="T24" t="s">
        <v>365</v>
      </c>
      <c r="U24" t="s">
        <v>366</v>
      </c>
      <c r="V24" t="s">
        <v>330</v>
      </c>
      <c r="W24" t="s">
        <v>367</v>
      </c>
      <c r="X24" t="s">
        <v>76</v>
      </c>
      <c r="Y24" t="s">
        <v>110</v>
      </c>
      <c r="Z24">
        <v>1449</v>
      </c>
      <c r="AA24">
        <v>60</v>
      </c>
      <c r="AB24">
        <v>152</v>
      </c>
      <c r="AC24" t="s">
        <v>368</v>
      </c>
      <c r="AD24" t="s">
        <v>369</v>
      </c>
      <c r="AE24" t="s">
        <v>370</v>
      </c>
      <c r="AJ24" s="2">
        <v>45856.943402777775</v>
      </c>
      <c r="AK24" t="s">
        <v>375</v>
      </c>
      <c r="AL24" t="s">
        <v>65</v>
      </c>
      <c r="AM24" s="4">
        <v>0.52777777777777779</v>
      </c>
      <c r="AN24" t="s">
        <v>66</v>
      </c>
      <c r="AO24" t="s">
        <v>67</v>
      </c>
    </row>
    <row r="25" spans="1:41" x14ac:dyDescent="0.2">
      <c r="A25">
        <v>372668</v>
      </c>
      <c r="B25" t="s">
        <v>376</v>
      </c>
      <c r="C25" t="s">
        <v>323</v>
      </c>
      <c r="D25" t="s">
        <v>324</v>
      </c>
      <c r="E25" t="s">
        <v>377</v>
      </c>
      <c r="G25" s="1">
        <v>45848</v>
      </c>
      <c r="H25" s="1">
        <v>45721</v>
      </c>
      <c r="I25" s="1">
        <v>46037</v>
      </c>
      <c r="J25" t="s">
        <v>45</v>
      </c>
      <c r="K25" t="s">
        <v>45</v>
      </c>
      <c r="L25" t="s">
        <v>72</v>
      </c>
      <c r="M25" s="1">
        <v>41005</v>
      </c>
      <c r="N25" t="s">
        <v>47</v>
      </c>
      <c r="O25" t="s">
        <v>121</v>
      </c>
      <c r="P25" t="s">
        <v>49</v>
      </c>
      <c r="Q25" t="s">
        <v>378</v>
      </c>
      <c r="R25" t="s">
        <v>379</v>
      </c>
      <c r="S25">
        <v>922</v>
      </c>
      <c r="T25" t="s">
        <v>365</v>
      </c>
      <c r="U25" t="s">
        <v>366</v>
      </c>
      <c r="V25" t="s">
        <v>330</v>
      </c>
      <c r="W25" t="s">
        <v>367</v>
      </c>
      <c r="X25" t="s">
        <v>76</v>
      </c>
      <c r="Y25" t="s">
        <v>110</v>
      </c>
      <c r="Z25">
        <v>1450</v>
      </c>
      <c r="AA25">
        <v>57</v>
      </c>
      <c r="AB25">
        <v>158</v>
      </c>
      <c r="AC25" t="s">
        <v>368</v>
      </c>
      <c r="AD25" t="s">
        <v>369</v>
      </c>
      <c r="AE25" t="s">
        <v>370</v>
      </c>
      <c r="AJ25" s="2">
        <v>45849.623726851853</v>
      </c>
      <c r="AK25" t="s">
        <v>375</v>
      </c>
      <c r="AL25" t="s">
        <v>65</v>
      </c>
      <c r="AM25" s="4">
        <v>0.61805555555555558</v>
      </c>
      <c r="AN25" t="s">
        <v>66</v>
      </c>
      <c r="AO25" t="s">
        <v>67</v>
      </c>
    </row>
    <row r="26" spans="1:41" x14ac:dyDescent="0.2">
      <c r="A26">
        <v>372313</v>
      </c>
      <c r="B26" t="s">
        <v>380</v>
      </c>
      <c r="C26" t="s">
        <v>323</v>
      </c>
      <c r="D26" t="s">
        <v>372</v>
      </c>
      <c r="E26" t="s">
        <v>381</v>
      </c>
      <c r="G26" s="1">
        <v>45476</v>
      </c>
      <c r="H26" s="1">
        <v>45721</v>
      </c>
      <c r="I26" s="1">
        <v>46037</v>
      </c>
      <c r="J26" t="s">
        <v>45</v>
      </c>
      <c r="K26" t="s">
        <v>45</v>
      </c>
      <c r="L26" t="s">
        <v>72</v>
      </c>
      <c r="M26" s="1">
        <v>42142</v>
      </c>
      <c r="N26" t="s">
        <v>47</v>
      </c>
      <c r="O26" t="s">
        <v>121</v>
      </c>
      <c r="P26" t="s">
        <v>49</v>
      </c>
      <c r="Q26" t="s">
        <v>382</v>
      </c>
      <c r="R26" t="s">
        <v>383</v>
      </c>
      <c r="S26">
        <v>812</v>
      </c>
      <c r="T26" t="s">
        <v>365</v>
      </c>
      <c r="U26" t="s">
        <v>366</v>
      </c>
      <c r="V26" t="s">
        <v>330</v>
      </c>
      <c r="W26" t="s">
        <v>367</v>
      </c>
      <c r="X26" t="s">
        <v>76</v>
      </c>
      <c r="Y26" t="s">
        <v>110</v>
      </c>
      <c r="Z26">
        <v>2384</v>
      </c>
      <c r="AA26">
        <v>68</v>
      </c>
      <c r="AB26">
        <v>160</v>
      </c>
      <c r="AC26" t="s">
        <v>368</v>
      </c>
      <c r="AD26" t="s">
        <v>369</v>
      </c>
      <c r="AE26" t="s">
        <v>370</v>
      </c>
      <c r="AF26" t="s">
        <v>384</v>
      </c>
      <c r="AG26" t="s">
        <v>385</v>
      </c>
      <c r="AH26" t="s">
        <v>386</v>
      </c>
      <c r="AJ26" s="2">
        <v>45838.491377314815</v>
      </c>
      <c r="AK26" t="s">
        <v>132</v>
      </c>
      <c r="AL26" t="s">
        <v>65</v>
      </c>
      <c r="AM26" s="4">
        <v>0.60416666666666663</v>
      </c>
      <c r="AN26" t="s">
        <v>66</v>
      </c>
      <c r="AO26" t="s">
        <v>67</v>
      </c>
    </row>
    <row r="27" spans="1:41" x14ac:dyDescent="0.2">
      <c r="A27">
        <v>372314</v>
      </c>
      <c r="B27" t="s">
        <v>387</v>
      </c>
      <c r="C27" t="s">
        <v>323</v>
      </c>
      <c r="D27" t="s">
        <v>324</v>
      </c>
      <c r="E27" t="s">
        <v>388</v>
      </c>
      <c r="G27" s="1">
        <v>45418</v>
      </c>
      <c r="H27" s="1">
        <v>45721</v>
      </c>
      <c r="I27" s="1">
        <v>46037</v>
      </c>
      <c r="J27" t="s">
        <v>45</v>
      </c>
      <c r="K27" t="s">
        <v>45</v>
      </c>
      <c r="L27" t="s">
        <v>72</v>
      </c>
      <c r="M27" s="1">
        <v>39187</v>
      </c>
      <c r="N27" t="s">
        <v>47</v>
      </c>
      <c r="O27" t="s">
        <v>121</v>
      </c>
      <c r="P27" t="s">
        <v>49</v>
      </c>
      <c r="Q27" t="s">
        <v>389</v>
      </c>
      <c r="R27" t="s">
        <v>390</v>
      </c>
      <c r="S27">
        <v>595</v>
      </c>
      <c r="T27" t="s">
        <v>365</v>
      </c>
      <c r="U27" t="s">
        <v>366</v>
      </c>
      <c r="V27" t="s">
        <v>330</v>
      </c>
      <c r="W27" t="s">
        <v>367</v>
      </c>
      <c r="X27" t="s">
        <v>76</v>
      </c>
      <c r="Y27" t="s">
        <v>110</v>
      </c>
      <c r="Z27">
        <v>1370</v>
      </c>
      <c r="AA27">
        <v>55</v>
      </c>
      <c r="AB27">
        <v>160</v>
      </c>
      <c r="AC27" t="s">
        <v>368</v>
      </c>
      <c r="AD27" t="s">
        <v>369</v>
      </c>
      <c r="AE27" t="s">
        <v>370</v>
      </c>
      <c r="AJ27" s="2">
        <v>45838.495266203703</v>
      </c>
      <c r="AK27" t="s">
        <v>132</v>
      </c>
      <c r="AL27" t="s">
        <v>65</v>
      </c>
      <c r="AM27" s="3">
        <v>1.3611111111111112</v>
      </c>
      <c r="AN27" t="s">
        <v>66</v>
      </c>
      <c r="AO27" t="s">
        <v>67</v>
      </c>
    </row>
    <row r="28" spans="1:41" x14ac:dyDescent="0.2">
      <c r="A28">
        <v>372704</v>
      </c>
      <c r="B28" t="s">
        <v>391</v>
      </c>
      <c r="C28" t="s">
        <v>323</v>
      </c>
      <c r="D28" t="s">
        <v>324</v>
      </c>
      <c r="E28" t="s">
        <v>392</v>
      </c>
      <c r="G28" s="1">
        <v>45833</v>
      </c>
      <c r="H28" s="1">
        <v>45721</v>
      </c>
      <c r="I28" s="1">
        <v>46037</v>
      </c>
      <c r="J28" t="s">
        <v>45</v>
      </c>
      <c r="K28" t="s">
        <v>326</v>
      </c>
      <c r="L28" t="s">
        <v>72</v>
      </c>
      <c r="M28" s="1">
        <v>43658</v>
      </c>
      <c r="N28" t="s">
        <v>47</v>
      </c>
      <c r="O28" t="s">
        <v>121</v>
      </c>
      <c r="P28" t="s">
        <v>49</v>
      </c>
      <c r="Q28" t="s">
        <v>393</v>
      </c>
      <c r="R28" t="s">
        <v>394</v>
      </c>
      <c r="S28">
        <v>2305</v>
      </c>
      <c r="T28" t="s">
        <v>365</v>
      </c>
      <c r="U28" t="s">
        <v>366</v>
      </c>
      <c r="V28" t="s">
        <v>330</v>
      </c>
      <c r="W28" t="s">
        <v>367</v>
      </c>
      <c r="X28" t="s">
        <v>76</v>
      </c>
      <c r="Y28" t="s">
        <v>110</v>
      </c>
      <c r="Z28">
        <v>4446</v>
      </c>
      <c r="AA28">
        <v>45</v>
      </c>
      <c r="AB28">
        <v>210</v>
      </c>
      <c r="AC28" t="s">
        <v>368</v>
      </c>
      <c r="AD28" t="s">
        <v>369</v>
      </c>
      <c r="AE28" t="s">
        <v>370</v>
      </c>
      <c r="AJ28" s="2">
        <v>45851.530844907407</v>
      </c>
      <c r="AK28" t="s">
        <v>132</v>
      </c>
      <c r="AL28" t="s">
        <v>65</v>
      </c>
      <c r="AM28" s="3">
        <v>1.1944444444444444</v>
      </c>
      <c r="AN28" t="s">
        <v>66</v>
      </c>
      <c r="AO28" t="s">
        <v>67</v>
      </c>
    </row>
    <row r="29" spans="1:41" x14ac:dyDescent="0.2">
      <c r="A29">
        <v>371462</v>
      </c>
      <c r="B29" t="s">
        <v>395</v>
      </c>
      <c r="C29" t="s">
        <v>323</v>
      </c>
      <c r="D29" t="s">
        <v>324</v>
      </c>
      <c r="E29" t="s">
        <v>396</v>
      </c>
      <c r="G29" s="1">
        <v>45427</v>
      </c>
      <c r="H29" s="1">
        <v>45721</v>
      </c>
      <c r="I29" s="1">
        <v>46037</v>
      </c>
      <c r="J29" t="s">
        <v>45</v>
      </c>
      <c r="K29" t="s">
        <v>326</v>
      </c>
      <c r="L29" t="s">
        <v>72</v>
      </c>
      <c r="M29" s="1">
        <v>43979</v>
      </c>
      <c r="N29" t="s">
        <v>47</v>
      </c>
      <c r="O29" t="s">
        <v>121</v>
      </c>
      <c r="P29" t="s">
        <v>49</v>
      </c>
      <c r="Q29" t="s">
        <v>397</v>
      </c>
      <c r="R29" t="s">
        <v>398</v>
      </c>
      <c r="S29">
        <v>1230</v>
      </c>
      <c r="T29" t="s">
        <v>365</v>
      </c>
      <c r="U29" t="s">
        <v>366</v>
      </c>
      <c r="V29" t="s">
        <v>330</v>
      </c>
      <c r="W29" t="s">
        <v>367</v>
      </c>
      <c r="X29" t="s">
        <v>76</v>
      </c>
      <c r="Y29" t="s">
        <v>110</v>
      </c>
      <c r="Z29">
        <v>4447</v>
      </c>
      <c r="AA29">
        <v>52</v>
      </c>
      <c r="AB29">
        <v>210</v>
      </c>
      <c r="AC29" t="s">
        <v>368</v>
      </c>
      <c r="AD29" t="s">
        <v>369</v>
      </c>
      <c r="AE29" t="s">
        <v>370</v>
      </c>
      <c r="AF29" t="s">
        <v>384</v>
      </c>
      <c r="AG29" t="s">
        <v>385</v>
      </c>
      <c r="AH29" t="s">
        <v>386</v>
      </c>
      <c r="AI29" t="s">
        <v>369</v>
      </c>
      <c r="AJ29" s="2">
        <v>45812.254641203705</v>
      </c>
      <c r="AK29" t="s">
        <v>384</v>
      </c>
      <c r="AL29" t="s">
        <v>65</v>
      </c>
      <c r="AM29" s="3">
        <v>1.1875</v>
      </c>
      <c r="AN29" t="s">
        <v>66</v>
      </c>
      <c r="AO29" t="s">
        <v>67</v>
      </c>
    </row>
    <row r="30" spans="1:41" x14ac:dyDescent="0.2">
      <c r="A30">
        <v>372537</v>
      </c>
      <c r="B30" t="s">
        <v>399</v>
      </c>
      <c r="C30" t="s">
        <v>323</v>
      </c>
      <c r="D30" t="s">
        <v>324</v>
      </c>
      <c r="E30" t="s">
        <v>400</v>
      </c>
      <c r="G30" s="1">
        <v>45844</v>
      </c>
      <c r="H30" s="1">
        <v>45797</v>
      </c>
      <c r="I30" s="1">
        <v>46068</v>
      </c>
      <c r="J30" t="s">
        <v>45</v>
      </c>
      <c r="K30" t="s">
        <v>45</v>
      </c>
      <c r="L30" t="s">
        <v>72</v>
      </c>
      <c r="N30" t="s">
        <v>47</v>
      </c>
      <c r="O30" t="s">
        <v>121</v>
      </c>
      <c r="P30" t="s">
        <v>49</v>
      </c>
      <c r="Q30" t="s">
        <v>401</v>
      </c>
      <c r="R30" t="s">
        <v>402</v>
      </c>
      <c r="S30">
        <v>1815</v>
      </c>
      <c r="T30" t="s">
        <v>365</v>
      </c>
      <c r="U30" t="s">
        <v>366</v>
      </c>
      <c r="V30" t="s">
        <v>330</v>
      </c>
      <c r="W30" t="s">
        <v>367</v>
      </c>
      <c r="X30" t="s">
        <v>76</v>
      </c>
      <c r="Y30" t="s">
        <v>110</v>
      </c>
      <c r="Z30">
        <v>12150</v>
      </c>
      <c r="AA30">
        <v>17</v>
      </c>
      <c r="AB30">
        <v>44</v>
      </c>
      <c r="AC30" t="s">
        <v>368</v>
      </c>
      <c r="AD30" t="s">
        <v>369</v>
      </c>
      <c r="AE30" t="s">
        <v>370</v>
      </c>
      <c r="AJ30" s="2">
        <v>45845.025694444441</v>
      </c>
      <c r="AK30" t="s">
        <v>403</v>
      </c>
      <c r="AL30" t="s">
        <v>65</v>
      </c>
      <c r="AM30" s="4">
        <v>0.87847222222222221</v>
      </c>
      <c r="AN30" t="s">
        <v>66</v>
      </c>
      <c r="AO30" t="s">
        <v>67</v>
      </c>
    </row>
    <row r="31" spans="1:41" x14ac:dyDescent="0.2">
      <c r="A31">
        <v>364222</v>
      </c>
      <c r="B31" t="s">
        <v>404</v>
      </c>
      <c r="C31" t="s">
        <v>323</v>
      </c>
      <c r="D31" t="s">
        <v>324</v>
      </c>
      <c r="E31" t="s">
        <v>405</v>
      </c>
      <c r="G31" s="1">
        <v>41079</v>
      </c>
      <c r="H31" s="1">
        <v>41913</v>
      </c>
      <c r="J31" t="s">
        <v>326</v>
      </c>
      <c r="K31" t="s">
        <v>45</v>
      </c>
      <c r="L31" t="s">
        <v>72</v>
      </c>
      <c r="N31" t="s">
        <v>89</v>
      </c>
      <c r="O31" t="s">
        <v>48</v>
      </c>
      <c r="P31" t="s">
        <v>406</v>
      </c>
      <c r="Q31" t="s">
        <v>407</v>
      </c>
      <c r="R31" t="s">
        <v>408</v>
      </c>
      <c r="S31">
        <v>449</v>
      </c>
      <c r="T31" t="s">
        <v>365</v>
      </c>
      <c r="U31" t="s">
        <v>366</v>
      </c>
      <c r="V31" t="s">
        <v>330</v>
      </c>
      <c r="W31" t="s">
        <v>409</v>
      </c>
      <c r="X31" t="s">
        <v>76</v>
      </c>
      <c r="Y31" t="s">
        <v>410</v>
      </c>
      <c r="Z31">
        <v>10946</v>
      </c>
      <c r="AA31">
        <v>5</v>
      </c>
      <c r="AB31">
        <v>174</v>
      </c>
      <c r="AC31" t="s">
        <v>368</v>
      </c>
      <c r="AD31" t="s">
        <v>369</v>
      </c>
      <c r="AE31" t="s">
        <v>370</v>
      </c>
      <c r="AJ31" s="2">
        <v>45538.600763888891</v>
      </c>
      <c r="AK31" t="s">
        <v>100</v>
      </c>
      <c r="AL31" t="s">
        <v>65</v>
      </c>
      <c r="AM31" s="4">
        <v>0.85069444444444442</v>
      </c>
      <c r="AN31" t="s">
        <v>66</v>
      </c>
      <c r="AO31" t="s">
        <v>67</v>
      </c>
    </row>
    <row r="32" spans="1:41" x14ac:dyDescent="0.2">
      <c r="A32">
        <v>364021</v>
      </c>
      <c r="B32" t="s">
        <v>411</v>
      </c>
      <c r="C32" t="s">
        <v>412</v>
      </c>
      <c r="D32" t="s">
        <v>413</v>
      </c>
      <c r="E32" t="s">
        <v>414</v>
      </c>
      <c r="F32">
        <v>300011</v>
      </c>
      <c r="G32" s="1">
        <v>38590</v>
      </c>
      <c r="H32" s="1">
        <v>45463</v>
      </c>
      <c r="I32" s="1">
        <v>46174</v>
      </c>
      <c r="J32" t="s">
        <v>45</v>
      </c>
      <c r="K32" t="s">
        <v>72</v>
      </c>
      <c r="L32" t="s">
        <v>72</v>
      </c>
      <c r="N32" t="s">
        <v>47</v>
      </c>
      <c r="O32" t="s">
        <v>48</v>
      </c>
      <c r="P32" t="s">
        <v>49</v>
      </c>
      <c r="Q32" t="s">
        <v>415</v>
      </c>
      <c r="R32" t="s">
        <v>416</v>
      </c>
      <c r="S32">
        <v>345</v>
      </c>
      <c r="T32" t="s">
        <v>92</v>
      </c>
      <c r="U32" t="s">
        <v>417</v>
      </c>
      <c r="V32" t="s">
        <v>418</v>
      </c>
      <c r="W32" t="s">
        <v>419</v>
      </c>
      <c r="X32" t="s">
        <v>92</v>
      </c>
      <c r="Y32" t="s">
        <v>110</v>
      </c>
      <c r="Z32">
        <v>2732</v>
      </c>
      <c r="AA32">
        <v>29</v>
      </c>
      <c r="AB32">
        <v>144</v>
      </c>
      <c r="AC32" t="s">
        <v>420</v>
      </c>
      <c r="AD32" t="s">
        <v>421</v>
      </c>
      <c r="AE32" t="s">
        <v>422</v>
      </c>
      <c r="AF32" t="s">
        <v>423</v>
      </c>
      <c r="AG32" t="s">
        <v>424</v>
      </c>
      <c r="AH32" t="s">
        <v>425</v>
      </c>
      <c r="AJ32" s="2">
        <v>45531.592870370368</v>
      </c>
      <c r="AK32" t="s">
        <v>420</v>
      </c>
      <c r="AL32" t="s">
        <v>65</v>
      </c>
      <c r="AM32" s="4">
        <v>0.63194444444444442</v>
      </c>
      <c r="AN32" t="s">
        <v>66</v>
      </c>
      <c r="AO32" t="s">
        <v>67</v>
      </c>
    </row>
    <row r="33" spans="1:41" x14ac:dyDescent="0.2">
      <c r="A33">
        <v>371102</v>
      </c>
      <c r="B33" t="s">
        <v>426</v>
      </c>
      <c r="C33" t="s">
        <v>42</v>
      </c>
      <c r="D33" t="s">
        <v>427</v>
      </c>
      <c r="E33" t="s">
        <v>428</v>
      </c>
      <c r="F33">
        <v>290102</v>
      </c>
      <c r="G33" s="1">
        <v>30586</v>
      </c>
      <c r="H33" s="1">
        <v>45790</v>
      </c>
      <c r="I33" s="1">
        <v>46174</v>
      </c>
      <c r="J33" t="s">
        <v>45</v>
      </c>
      <c r="K33" t="s">
        <v>45</v>
      </c>
      <c r="L33" t="s">
        <v>429</v>
      </c>
      <c r="M33" s="1">
        <v>36437</v>
      </c>
      <c r="N33" t="s">
        <v>47</v>
      </c>
      <c r="O33" t="s">
        <v>48</v>
      </c>
      <c r="P33" t="s">
        <v>49</v>
      </c>
      <c r="Q33" t="s">
        <v>430</v>
      </c>
      <c r="R33" t="s">
        <v>431</v>
      </c>
      <c r="S33">
        <v>7173</v>
      </c>
      <c r="T33" t="s">
        <v>365</v>
      </c>
      <c r="U33" t="s">
        <v>432</v>
      </c>
      <c r="V33" t="s">
        <v>433</v>
      </c>
      <c r="W33" t="s">
        <v>367</v>
      </c>
      <c r="X33" t="s">
        <v>55</v>
      </c>
      <c r="Y33" t="s">
        <v>434</v>
      </c>
      <c r="Z33">
        <v>226</v>
      </c>
      <c r="AA33">
        <v>61</v>
      </c>
      <c r="AB33">
        <v>34</v>
      </c>
      <c r="AC33" t="s">
        <v>435</v>
      </c>
      <c r="AD33" t="s">
        <v>436</v>
      </c>
      <c r="AE33" t="s">
        <v>437</v>
      </c>
      <c r="AF33" t="s">
        <v>438</v>
      </c>
      <c r="AG33" t="s">
        <v>439</v>
      </c>
      <c r="AH33" t="s">
        <v>440</v>
      </c>
      <c r="AI33" t="s">
        <v>441</v>
      </c>
      <c r="AJ33" s="2">
        <v>45796.682615740741</v>
      </c>
      <c r="AK33" t="s">
        <v>64</v>
      </c>
      <c r="AL33" t="s">
        <v>65</v>
      </c>
      <c r="AM33" s="3">
        <v>1.0833333333333333</v>
      </c>
      <c r="AN33" t="s">
        <v>66</v>
      </c>
      <c r="AO33" t="s">
        <v>67</v>
      </c>
    </row>
    <row r="34" spans="1:41" x14ac:dyDescent="0.2">
      <c r="A34">
        <v>361187</v>
      </c>
      <c r="B34" t="s">
        <v>442</v>
      </c>
      <c r="C34" t="s">
        <v>182</v>
      </c>
      <c r="D34" t="s">
        <v>443</v>
      </c>
      <c r="E34" t="s">
        <v>444</v>
      </c>
      <c r="F34">
        <v>44523</v>
      </c>
      <c r="G34" s="1">
        <v>43033</v>
      </c>
      <c r="H34" s="1">
        <v>45440</v>
      </c>
      <c r="J34" t="s">
        <v>45</v>
      </c>
      <c r="K34" t="s">
        <v>45</v>
      </c>
      <c r="L34" t="s">
        <v>72</v>
      </c>
      <c r="N34" t="s">
        <v>47</v>
      </c>
      <c r="O34" t="s">
        <v>48</v>
      </c>
      <c r="P34" t="s">
        <v>49</v>
      </c>
      <c r="Q34" t="s">
        <v>445</v>
      </c>
      <c r="R34" t="s">
        <v>446</v>
      </c>
      <c r="S34">
        <v>2728</v>
      </c>
      <c r="T34" t="s">
        <v>92</v>
      </c>
      <c r="U34" t="s">
        <v>187</v>
      </c>
      <c r="V34" t="s">
        <v>447</v>
      </c>
      <c r="W34" t="s">
        <v>448</v>
      </c>
      <c r="X34" t="s">
        <v>449</v>
      </c>
      <c r="Y34" t="s">
        <v>450</v>
      </c>
      <c r="Z34">
        <v>9146</v>
      </c>
      <c r="AA34">
        <v>20</v>
      </c>
      <c r="AB34">
        <v>28</v>
      </c>
      <c r="AC34" t="s">
        <v>451</v>
      </c>
      <c r="AD34" t="s">
        <v>452</v>
      </c>
      <c r="AE34" t="s">
        <v>453</v>
      </c>
      <c r="AF34" t="s">
        <v>454</v>
      </c>
      <c r="AG34" t="s">
        <v>455</v>
      </c>
      <c r="AJ34" s="2">
        <v>45448.842916666668</v>
      </c>
      <c r="AK34" t="s">
        <v>456</v>
      </c>
      <c r="AL34" t="s">
        <v>65</v>
      </c>
      <c r="AM34" s="4">
        <v>0.86111111111111116</v>
      </c>
      <c r="AN34" t="s">
        <v>66</v>
      </c>
      <c r="AO34" t="s">
        <v>67</v>
      </c>
    </row>
    <row r="35" spans="1:41" x14ac:dyDescent="0.2">
      <c r="A35">
        <v>367074</v>
      </c>
      <c r="B35" t="s">
        <v>457</v>
      </c>
      <c r="C35" t="s">
        <v>323</v>
      </c>
      <c r="D35" t="s">
        <v>339</v>
      </c>
      <c r="E35">
        <v>12614702</v>
      </c>
      <c r="F35">
        <v>500726</v>
      </c>
      <c r="G35" s="1">
        <v>33042</v>
      </c>
      <c r="H35" s="1">
        <v>45419</v>
      </c>
      <c r="I35" s="1">
        <v>46037</v>
      </c>
      <c r="J35" t="s">
        <v>45</v>
      </c>
      <c r="K35" t="s">
        <v>45</v>
      </c>
      <c r="L35" t="s">
        <v>72</v>
      </c>
      <c r="M35" s="1">
        <v>43222</v>
      </c>
      <c r="N35" t="s">
        <v>47</v>
      </c>
      <c r="O35" t="s">
        <v>48</v>
      </c>
      <c r="P35" t="s">
        <v>49</v>
      </c>
      <c r="Q35" t="s">
        <v>458</v>
      </c>
      <c r="R35" t="s">
        <v>459</v>
      </c>
      <c r="S35">
        <v>1900</v>
      </c>
      <c r="T35" t="s">
        <v>156</v>
      </c>
      <c r="U35" t="s">
        <v>460</v>
      </c>
      <c r="V35" t="s">
        <v>330</v>
      </c>
      <c r="W35" t="s">
        <v>159</v>
      </c>
      <c r="X35" t="s">
        <v>156</v>
      </c>
      <c r="Y35" t="s">
        <v>110</v>
      </c>
      <c r="Z35">
        <v>474</v>
      </c>
      <c r="AA35">
        <v>43</v>
      </c>
      <c r="AB35">
        <v>160</v>
      </c>
      <c r="AC35" t="s">
        <v>461</v>
      </c>
      <c r="AD35" t="s">
        <v>369</v>
      </c>
      <c r="AE35" t="s">
        <v>462</v>
      </c>
      <c r="AF35" t="s">
        <v>463</v>
      </c>
      <c r="AG35" t="s">
        <v>464</v>
      </c>
      <c r="AH35" t="s">
        <v>465</v>
      </c>
      <c r="AI35" t="s">
        <v>466</v>
      </c>
      <c r="AJ35" s="2">
        <v>45659.948773148149</v>
      </c>
      <c r="AK35" t="s">
        <v>384</v>
      </c>
      <c r="AL35" t="s">
        <v>65</v>
      </c>
      <c r="AM35" s="4">
        <v>0.47916666666666669</v>
      </c>
      <c r="AN35" t="s">
        <v>66</v>
      </c>
      <c r="AO35" t="s">
        <v>67</v>
      </c>
    </row>
    <row r="36" spans="1:41" x14ac:dyDescent="0.2">
      <c r="A36">
        <v>370461</v>
      </c>
      <c r="B36" t="s">
        <v>467</v>
      </c>
      <c r="C36" t="s">
        <v>182</v>
      </c>
      <c r="D36" t="s">
        <v>468</v>
      </c>
      <c r="E36" t="s">
        <v>469</v>
      </c>
      <c r="F36">
        <v>40423</v>
      </c>
      <c r="G36" s="1">
        <v>32509</v>
      </c>
      <c r="H36" s="1">
        <v>45773</v>
      </c>
      <c r="J36" t="s">
        <v>45</v>
      </c>
      <c r="K36" t="s">
        <v>72</v>
      </c>
      <c r="L36" t="s">
        <v>72</v>
      </c>
      <c r="N36" t="s">
        <v>47</v>
      </c>
      <c r="O36" t="s">
        <v>48</v>
      </c>
      <c r="P36" t="s">
        <v>49</v>
      </c>
      <c r="Q36" t="s">
        <v>470</v>
      </c>
      <c r="R36" t="s">
        <v>471</v>
      </c>
      <c r="S36">
        <v>1059</v>
      </c>
      <c r="T36" t="s">
        <v>92</v>
      </c>
      <c r="U36" t="s">
        <v>187</v>
      </c>
      <c r="V36" t="s">
        <v>447</v>
      </c>
      <c r="W36" t="s">
        <v>448</v>
      </c>
      <c r="X36" t="s">
        <v>92</v>
      </c>
      <c r="Y36" t="s">
        <v>450</v>
      </c>
      <c r="Z36">
        <v>1245</v>
      </c>
      <c r="AA36">
        <v>50</v>
      </c>
      <c r="AB36">
        <v>144</v>
      </c>
      <c r="AC36" t="s">
        <v>451</v>
      </c>
      <c r="AD36" t="s">
        <v>472</v>
      </c>
      <c r="AE36" t="s">
        <v>453</v>
      </c>
      <c r="AF36" t="s">
        <v>454</v>
      </c>
      <c r="AG36" t="s">
        <v>473</v>
      </c>
      <c r="AH36" t="s">
        <v>474</v>
      </c>
      <c r="AJ36" s="2">
        <v>45776.566261574073</v>
      </c>
      <c r="AK36" t="s">
        <v>456</v>
      </c>
      <c r="AL36" t="s">
        <v>475</v>
      </c>
      <c r="AM36" s="3">
        <v>2.1388888888888888</v>
      </c>
      <c r="AN36" t="s">
        <v>66</v>
      </c>
      <c r="AO36" t="s">
        <v>67</v>
      </c>
    </row>
    <row r="37" spans="1:41" x14ac:dyDescent="0.2">
      <c r="A37">
        <v>372513</v>
      </c>
      <c r="B37" t="s">
        <v>476</v>
      </c>
      <c r="C37" t="s">
        <v>134</v>
      </c>
      <c r="D37" t="s">
        <v>279</v>
      </c>
      <c r="E37" t="s">
        <v>477</v>
      </c>
      <c r="F37">
        <v>453803</v>
      </c>
      <c r="G37" s="1">
        <v>39275</v>
      </c>
      <c r="H37" s="1">
        <v>45555</v>
      </c>
      <c r="I37" s="1">
        <v>46266</v>
      </c>
      <c r="J37" t="s">
        <v>45</v>
      </c>
      <c r="K37" t="s">
        <v>45</v>
      </c>
      <c r="L37" t="s">
        <v>72</v>
      </c>
      <c r="M37" s="1">
        <v>45238</v>
      </c>
      <c r="N37" t="s">
        <v>47</v>
      </c>
      <c r="O37" t="s">
        <v>48</v>
      </c>
      <c r="P37" t="s">
        <v>49</v>
      </c>
      <c r="Q37" t="s">
        <v>478</v>
      </c>
      <c r="R37" t="s">
        <v>479</v>
      </c>
      <c r="S37">
        <v>4500</v>
      </c>
      <c r="T37" t="s">
        <v>52</v>
      </c>
      <c r="U37">
        <v>6</v>
      </c>
      <c r="V37" t="s">
        <v>480</v>
      </c>
      <c r="W37" t="s">
        <v>54</v>
      </c>
      <c r="X37" t="s">
        <v>76</v>
      </c>
      <c r="Y37" t="s">
        <v>56</v>
      </c>
      <c r="Z37">
        <v>845</v>
      </c>
      <c r="AA37">
        <v>56</v>
      </c>
      <c r="AB37">
        <v>152</v>
      </c>
      <c r="AC37" t="s">
        <v>481</v>
      </c>
      <c r="AD37" t="s">
        <v>482</v>
      </c>
      <c r="AE37" t="s">
        <v>483</v>
      </c>
      <c r="AF37" t="s">
        <v>484</v>
      </c>
      <c r="AH37" t="s">
        <v>485</v>
      </c>
      <c r="AI37" t="s">
        <v>486</v>
      </c>
      <c r="AJ37" s="2">
        <v>45841.657152777778</v>
      </c>
      <c r="AK37" t="s">
        <v>100</v>
      </c>
      <c r="AL37" t="s">
        <v>65</v>
      </c>
      <c r="AM37" s="4">
        <v>0.43055555555555558</v>
      </c>
      <c r="AN37" t="s">
        <v>66</v>
      </c>
      <c r="AO37" t="s">
        <v>67</v>
      </c>
    </row>
    <row r="38" spans="1:41" x14ac:dyDescent="0.2">
      <c r="A38">
        <v>371831</v>
      </c>
      <c r="B38" t="s">
        <v>487</v>
      </c>
      <c r="C38" t="s">
        <v>182</v>
      </c>
      <c r="D38" t="s">
        <v>488</v>
      </c>
      <c r="E38" t="s">
        <v>489</v>
      </c>
      <c r="F38">
        <v>41101</v>
      </c>
      <c r="G38" s="1">
        <v>34388</v>
      </c>
      <c r="H38" s="1">
        <v>45818</v>
      </c>
      <c r="I38" s="1">
        <v>46174</v>
      </c>
      <c r="J38" t="s">
        <v>45</v>
      </c>
      <c r="K38" t="s">
        <v>45</v>
      </c>
      <c r="L38" t="s">
        <v>429</v>
      </c>
      <c r="M38" s="1">
        <v>41804</v>
      </c>
      <c r="N38" t="s">
        <v>47</v>
      </c>
      <c r="O38" t="s">
        <v>48</v>
      </c>
      <c r="P38" t="s">
        <v>49</v>
      </c>
      <c r="Q38" t="s">
        <v>490</v>
      </c>
      <c r="R38" t="s">
        <v>491</v>
      </c>
      <c r="S38">
        <v>4543</v>
      </c>
      <c r="T38" t="s">
        <v>52</v>
      </c>
      <c r="U38">
        <v>5</v>
      </c>
      <c r="V38" t="s">
        <v>492</v>
      </c>
      <c r="W38" t="s">
        <v>54</v>
      </c>
      <c r="X38" t="s">
        <v>493</v>
      </c>
      <c r="Y38" t="s">
        <v>434</v>
      </c>
      <c r="Z38">
        <v>896</v>
      </c>
      <c r="AA38">
        <v>54</v>
      </c>
      <c r="AB38">
        <v>28</v>
      </c>
      <c r="AC38" t="s">
        <v>494</v>
      </c>
      <c r="AD38" t="s">
        <v>495</v>
      </c>
      <c r="AE38" t="s">
        <v>496</v>
      </c>
      <c r="AF38" t="s">
        <v>497</v>
      </c>
      <c r="AG38" t="s">
        <v>498</v>
      </c>
      <c r="AH38" t="s">
        <v>499</v>
      </c>
      <c r="AI38" t="s">
        <v>500</v>
      </c>
      <c r="AJ38" s="2">
        <v>45820.638993055552</v>
      </c>
      <c r="AK38" t="s">
        <v>501</v>
      </c>
      <c r="AL38" t="s">
        <v>65</v>
      </c>
      <c r="AM38" s="3">
        <v>1.0138888888888888</v>
      </c>
      <c r="AN38" t="s">
        <v>66</v>
      </c>
      <c r="AO38" t="s">
        <v>67</v>
      </c>
    </row>
    <row r="39" spans="1:41" x14ac:dyDescent="0.2">
      <c r="A39">
        <v>366168</v>
      </c>
      <c r="B39" t="s">
        <v>502</v>
      </c>
      <c r="C39" t="s">
        <v>86</v>
      </c>
      <c r="D39" t="s">
        <v>503</v>
      </c>
      <c r="E39" s="5">
        <v>8.0000000000000004E+32</v>
      </c>
      <c r="F39">
        <v>204201</v>
      </c>
      <c r="G39" s="1">
        <v>38695</v>
      </c>
      <c r="H39" s="1">
        <v>45580</v>
      </c>
      <c r="I39" s="1">
        <v>45962</v>
      </c>
      <c r="J39" t="s">
        <v>45</v>
      </c>
      <c r="K39" t="s">
        <v>45</v>
      </c>
      <c r="L39" t="s">
        <v>72</v>
      </c>
      <c r="M39" s="1">
        <v>45581</v>
      </c>
      <c r="N39" t="s">
        <v>47</v>
      </c>
      <c r="O39" t="s">
        <v>48</v>
      </c>
      <c r="P39" t="s">
        <v>49</v>
      </c>
      <c r="Q39" t="s">
        <v>504</v>
      </c>
      <c r="R39" t="s">
        <v>505</v>
      </c>
      <c r="S39">
        <v>783</v>
      </c>
      <c r="T39" t="s">
        <v>92</v>
      </c>
      <c r="U39" t="s">
        <v>93</v>
      </c>
      <c r="V39" t="s">
        <v>506</v>
      </c>
      <c r="W39" t="s">
        <v>507</v>
      </c>
      <c r="X39" t="s">
        <v>92</v>
      </c>
      <c r="Y39" t="s">
        <v>110</v>
      </c>
      <c r="Z39">
        <v>2515</v>
      </c>
      <c r="AA39">
        <v>40</v>
      </c>
      <c r="AB39">
        <v>144</v>
      </c>
      <c r="AC39" t="s">
        <v>508</v>
      </c>
      <c r="AD39" t="s">
        <v>509</v>
      </c>
      <c r="AE39" t="s">
        <v>510</v>
      </c>
      <c r="AF39" t="s">
        <v>511</v>
      </c>
      <c r="AG39" t="s">
        <v>512</v>
      </c>
      <c r="AH39" t="s">
        <v>513</v>
      </c>
      <c r="AI39" t="s">
        <v>514</v>
      </c>
      <c r="AJ39" s="2">
        <v>45608.563726851855</v>
      </c>
      <c r="AK39" t="s">
        <v>508</v>
      </c>
      <c r="AL39" t="s">
        <v>65</v>
      </c>
      <c r="AM39" s="4">
        <v>4.8611111111111112E-2</v>
      </c>
      <c r="AN39" t="s">
        <v>66</v>
      </c>
      <c r="AO39" t="s">
        <v>67</v>
      </c>
    </row>
    <row r="40" spans="1:41" x14ac:dyDescent="0.2">
      <c r="A40">
        <v>370084</v>
      </c>
      <c r="B40" t="s">
        <v>515</v>
      </c>
      <c r="C40" t="s">
        <v>182</v>
      </c>
      <c r="D40" t="s">
        <v>516</v>
      </c>
      <c r="E40" t="s">
        <v>517</v>
      </c>
      <c r="F40">
        <v>45509</v>
      </c>
      <c r="G40" s="1">
        <v>42586</v>
      </c>
      <c r="H40" s="1">
        <v>45756</v>
      </c>
      <c r="J40" t="s">
        <v>45</v>
      </c>
      <c r="K40" t="s">
        <v>45</v>
      </c>
      <c r="L40" t="s">
        <v>72</v>
      </c>
      <c r="N40" t="s">
        <v>47</v>
      </c>
      <c r="O40" t="s">
        <v>48</v>
      </c>
      <c r="P40" t="s">
        <v>49</v>
      </c>
      <c r="Q40" t="s">
        <v>518</v>
      </c>
      <c r="R40" t="s">
        <v>519</v>
      </c>
      <c r="S40">
        <v>820</v>
      </c>
      <c r="T40" t="s">
        <v>449</v>
      </c>
      <c r="U40" t="s">
        <v>187</v>
      </c>
      <c r="V40" t="s">
        <v>520</v>
      </c>
      <c r="W40" t="s">
        <v>521</v>
      </c>
      <c r="X40" t="s">
        <v>449</v>
      </c>
      <c r="Y40" t="s">
        <v>450</v>
      </c>
      <c r="Z40">
        <v>8626</v>
      </c>
      <c r="AA40">
        <v>19</v>
      </c>
      <c r="AB40">
        <v>52</v>
      </c>
      <c r="AC40" t="s">
        <v>522</v>
      </c>
      <c r="AD40" t="s">
        <v>523</v>
      </c>
      <c r="AE40" t="s">
        <v>524</v>
      </c>
      <c r="AI40" t="s">
        <v>525</v>
      </c>
      <c r="AJ40" s="2">
        <v>45763.552118055559</v>
      </c>
      <c r="AK40" t="s">
        <v>526</v>
      </c>
      <c r="AL40" t="s">
        <v>65</v>
      </c>
      <c r="AM40" s="3">
        <v>2.1180555555555554</v>
      </c>
      <c r="AN40" t="s">
        <v>66</v>
      </c>
      <c r="AO40" t="s">
        <v>67</v>
      </c>
    </row>
    <row r="41" spans="1:41" x14ac:dyDescent="0.2">
      <c r="A41">
        <v>370874</v>
      </c>
      <c r="B41" t="s">
        <v>527</v>
      </c>
      <c r="C41" t="s">
        <v>167</v>
      </c>
      <c r="D41" t="s">
        <v>528</v>
      </c>
      <c r="E41" t="s">
        <v>529</v>
      </c>
      <c r="F41">
        <v>353618</v>
      </c>
      <c r="G41" s="1">
        <v>39990</v>
      </c>
      <c r="H41" s="1">
        <v>45786</v>
      </c>
      <c r="I41" s="1">
        <v>46218</v>
      </c>
      <c r="J41" t="s">
        <v>45</v>
      </c>
      <c r="K41" t="s">
        <v>45</v>
      </c>
      <c r="L41" t="s">
        <v>46</v>
      </c>
      <c r="M41" s="1">
        <v>45335</v>
      </c>
      <c r="N41" t="s">
        <v>47</v>
      </c>
      <c r="O41" t="s">
        <v>48</v>
      </c>
      <c r="P41" t="s">
        <v>49</v>
      </c>
      <c r="Q41" t="s">
        <v>530</v>
      </c>
      <c r="R41" t="s">
        <v>531</v>
      </c>
      <c r="S41">
        <v>2495</v>
      </c>
      <c r="T41" t="s">
        <v>365</v>
      </c>
      <c r="U41" t="s">
        <v>532</v>
      </c>
      <c r="V41" t="s">
        <v>533</v>
      </c>
      <c r="W41" t="s">
        <v>367</v>
      </c>
      <c r="X41" t="s">
        <v>76</v>
      </c>
      <c r="Y41" t="s">
        <v>434</v>
      </c>
      <c r="Z41">
        <v>3029</v>
      </c>
      <c r="AA41">
        <v>47</v>
      </c>
      <c r="AB41">
        <v>80</v>
      </c>
      <c r="AC41" t="s">
        <v>534</v>
      </c>
      <c r="AD41" t="s">
        <v>535</v>
      </c>
      <c r="AE41" t="s">
        <v>536</v>
      </c>
      <c r="AF41" t="s">
        <v>537</v>
      </c>
      <c r="AG41" t="s">
        <v>538</v>
      </c>
      <c r="AH41" t="s">
        <v>539</v>
      </c>
      <c r="AI41" t="s">
        <v>179</v>
      </c>
      <c r="AJ41" s="2">
        <v>45786.969050925924</v>
      </c>
      <c r="AK41" t="s">
        <v>540</v>
      </c>
      <c r="AL41" t="s">
        <v>65</v>
      </c>
      <c r="AM41" s="4">
        <v>0.38194444444444442</v>
      </c>
      <c r="AN41" t="s">
        <v>66</v>
      </c>
      <c r="AO41" t="s">
        <v>67</v>
      </c>
    </row>
    <row r="42" spans="1:41" x14ac:dyDescent="0.2">
      <c r="A42">
        <v>372945</v>
      </c>
      <c r="B42" t="s">
        <v>541</v>
      </c>
      <c r="C42" t="s">
        <v>542</v>
      </c>
      <c r="D42" t="s">
        <v>543</v>
      </c>
      <c r="E42" t="s">
        <v>544</v>
      </c>
      <c r="F42">
        <v>361002</v>
      </c>
      <c r="G42" s="1">
        <v>34973</v>
      </c>
      <c r="H42" s="1">
        <v>45777</v>
      </c>
      <c r="I42" s="1">
        <v>46143</v>
      </c>
      <c r="J42" t="s">
        <v>45</v>
      </c>
      <c r="K42" t="s">
        <v>45</v>
      </c>
      <c r="L42" t="s">
        <v>545</v>
      </c>
      <c r="M42" s="1">
        <v>44281</v>
      </c>
      <c r="N42" t="s">
        <v>47</v>
      </c>
      <c r="O42" t="s">
        <v>48</v>
      </c>
      <c r="P42" t="s">
        <v>49</v>
      </c>
      <c r="Q42" t="s">
        <v>546</v>
      </c>
      <c r="R42" t="s">
        <v>547</v>
      </c>
      <c r="S42">
        <v>1766</v>
      </c>
      <c r="T42" t="s">
        <v>52</v>
      </c>
      <c r="U42">
        <v>9</v>
      </c>
      <c r="V42" t="s">
        <v>548</v>
      </c>
      <c r="W42" t="s">
        <v>54</v>
      </c>
      <c r="X42" t="s">
        <v>76</v>
      </c>
      <c r="Y42" t="s">
        <v>56</v>
      </c>
      <c r="Z42">
        <v>1106</v>
      </c>
      <c r="AA42">
        <v>44</v>
      </c>
      <c r="AB42">
        <v>37</v>
      </c>
      <c r="AC42" t="s">
        <v>549</v>
      </c>
      <c r="AD42" t="s">
        <v>550</v>
      </c>
      <c r="AE42" t="s">
        <v>551</v>
      </c>
      <c r="AF42" t="s">
        <v>552</v>
      </c>
      <c r="AG42" t="s">
        <v>553</v>
      </c>
      <c r="AH42" t="s">
        <v>554</v>
      </c>
      <c r="AI42" t="s">
        <v>555</v>
      </c>
      <c r="AJ42" s="2">
        <v>45855.935914351852</v>
      </c>
      <c r="AK42" t="s">
        <v>556</v>
      </c>
      <c r="AL42" t="s">
        <v>65</v>
      </c>
      <c r="AM42" s="4">
        <v>0.93055555555555558</v>
      </c>
      <c r="AN42" t="s">
        <v>66</v>
      </c>
      <c r="AO42" t="s">
        <v>101</v>
      </c>
    </row>
    <row r="43" spans="1:41" x14ac:dyDescent="0.2">
      <c r="A43">
        <v>370262</v>
      </c>
      <c r="B43" t="s">
        <v>557</v>
      </c>
      <c r="C43" t="s">
        <v>558</v>
      </c>
      <c r="D43" t="s">
        <v>559</v>
      </c>
      <c r="E43">
        <v>32548276</v>
      </c>
      <c r="F43">
        <v>260804</v>
      </c>
      <c r="G43" s="1">
        <v>32709</v>
      </c>
      <c r="H43" s="1">
        <v>45768</v>
      </c>
      <c r="I43" s="1">
        <v>46113</v>
      </c>
      <c r="J43" t="s">
        <v>45</v>
      </c>
      <c r="K43" t="s">
        <v>45</v>
      </c>
      <c r="L43" t="s">
        <v>429</v>
      </c>
      <c r="M43" s="1">
        <v>38968</v>
      </c>
      <c r="N43" t="s">
        <v>47</v>
      </c>
      <c r="O43" t="s">
        <v>48</v>
      </c>
      <c r="P43" t="s">
        <v>49</v>
      </c>
      <c r="Q43" t="s">
        <v>560</v>
      </c>
      <c r="R43" t="s">
        <v>561</v>
      </c>
      <c r="S43">
        <v>6675</v>
      </c>
      <c r="T43" t="s">
        <v>365</v>
      </c>
      <c r="U43" t="s">
        <v>562</v>
      </c>
      <c r="V43" t="s">
        <v>563</v>
      </c>
      <c r="W43" t="s">
        <v>367</v>
      </c>
      <c r="X43" t="s">
        <v>76</v>
      </c>
      <c r="Y43" t="s">
        <v>434</v>
      </c>
      <c r="Z43">
        <v>261</v>
      </c>
      <c r="AA43">
        <v>46</v>
      </c>
      <c r="AB43">
        <v>166</v>
      </c>
      <c r="AC43" t="s">
        <v>564</v>
      </c>
      <c r="AD43" t="s">
        <v>565</v>
      </c>
      <c r="AE43" t="s">
        <v>566</v>
      </c>
      <c r="AI43" t="s">
        <v>567</v>
      </c>
      <c r="AJ43" s="2">
        <v>45769.111678240741</v>
      </c>
      <c r="AK43" t="s">
        <v>568</v>
      </c>
      <c r="AL43" t="s">
        <v>65</v>
      </c>
      <c r="AM43" s="3">
        <v>1.7291666666666667</v>
      </c>
      <c r="AN43" t="s">
        <v>66</v>
      </c>
      <c r="AO43" t="s">
        <v>67</v>
      </c>
    </row>
    <row r="44" spans="1:41" x14ac:dyDescent="0.2">
      <c r="A44">
        <v>371067</v>
      </c>
      <c r="B44" t="s">
        <v>569</v>
      </c>
      <c r="C44" t="s">
        <v>167</v>
      </c>
      <c r="D44" t="s">
        <v>570</v>
      </c>
      <c r="E44" t="s">
        <v>571</v>
      </c>
      <c r="F44">
        <v>353501</v>
      </c>
      <c r="G44" s="1">
        <v>31440</v>
      </c>
      <c r="H44" s="1">
        <v>45791</v>
      </c>
      <c r="I44" s="1">
        <v>46157</v>
      </c>
      <c r="J44" t="s">
        <v>45</v>
      </c>
      <c r="K44" t="s">
        <v>45</v>
      </c>
      <c r="L44" t="s">
        <v>72</v>
      </c>
      <c r="M44" s="1">
        <v>44847</v>
      </c>
      <c r="N44" t="s">
        <v>47</v>
      </c>
      <c r="O44" t="s">
        <v>48</v>
      </c>
      <c r="P44" t="s">
        <v>49</v>
      </c>
      <c r="Q44" t="s">
        <v>572</v>
      </c>
      <c r="R44" t="s">
        <v>573</v>
      </c>
      <c r="S44">
        <v>5320</v>
      </c>
      <c r="T44" t="s">
        <v>52</v>
      </c>
      <c r="U44">
        <v>6</v>
      </c>
      <c r="V44" t="s">
        <v>574</v>
      </c>
      <c r="W44" t="s">
        <v>54</v>
      </c>
      <c r="X44" t="s">
        <v>76</v>
      </c>
      <c r="Y44" t="s">
        <v>56</v>
      </c>
      <c r="Z44">
        <v>794</v>
      </c>
      <c r="AA44">
        <v>59</v>
      </c>
      <c r="AB44">
        <v>78</v>
      </c>
      <c r="AC44" t="s">
        <v>575</v>
      </c>
      <c r="AD44" t="s">
        <v>576</v>
      </c>
      <c r="AE44" t="s">
        <v>577</v>
      </c>
      <c r="AF44" t="s">
        <v>578</v>
      </c>
      <c r="AG44" t="s">
        <v>579</v>
      </c>
      <c r="AH44" t="s">
        <v>580</v>
      </c>
      <c r="AI44" t="s">
        <v>581</v>
      </c>
      <c r="AJ44" s="2">
        <v>45793.727569444447</v>
      </c>
      <c r="AK44" t="s">
        <v>540</v>
      </c>
      <c r="AL44" t="s">
        <v>65</v>
      </c>
      <c r="AM44" s="3">
        <v>1.4652777777777777</v>
      </c>
      <c r="AN44" t="s">
        <v>66</v>
      </c>
      <c r="AO44" t="s">
        <v>67</v>
      </c>
    </row>
    <row r="45" spans="1:41" x14ac:dyDescent="0.2">
      <c r="A45">
        <v>365659</v>
      </c>
      <c r="B45" t="s">
        <v>582</v>
      </c>
      <c r="C45" t="s">
        <v>583</v>
      </c>
      <c r="D45" t="s">
        <v>584</v>
      </c>
      <c r="E45" t="s">
        <v>585</v>
      </c>
      <c r="F45">
        <v>159501</v>
      </c>
      <c r="G45" s="1">
        <v>37694</v>
      </c>
      <c r="H45" s="1">
        <v>45575</v>
      </c>
      <c r="I45" s="1">
        <v>46188</v>
      </c>
      <c r="J45" t="s">
        <v>45</v>
      </c>
      <c r="K45" t="s">
        <v>45</v>
      </c>
      <c r="L45" t="s">
        <v>72</v>
      </c>
      <c r="M45" s="1">
        <v>45575</v>
      </c>
      <c r="N45" t="s">
        <v>47</v>
      </c>
      <c r="O45" t="s">
        <v>48</v>
      </c>
      <c r="P45" t="s">
        <v>586</v>
      </c>
      <c r="Q45" t="s">
        <v>587</v>
      </c>
      <c r="R45" t="s">
        <v>588</v>
      </c>
      <c r="S45">
        <v>853</v>
      </c>
      <c r="T45" t="s">
        <v>92</v>
      </c>
      <c r="U45" t="s">
        <v>589</v>
      </c>
      <c r="V45" t="s">
        <v>590</v>
      </c>
      <c r="W45" t="s">
        <v>591</v>
      </c>
      <c r="X45" t="s">
        <v>52</v>
      </c>
      <c r="Y45" t="s">
        <v>110</v>
      </c>
      <c r="Z45">
        <v>2282</v>
      </c>
      <c r="AA45">
        <v>36</v>
      </c>
      <c r="AB45">
        <v>45</v>
      </c>
      <c r="AC45" t="s">
        <v>592</v>
      </c>
      <c r="AD45" t="s">
        <v>593</v>
      </c>
      <c r="AE45" t="s">
        <v>594</v>
      </c>
      <c r="AF45" t="s">
        <v>595</v>
      </c>
      <c r="AG45" t="s">
        <v>596</v>
      </c>
      <c r="AH45" t="s">
        <v>597</v>
      </c>
      <c r="AJ45" s="2">
        <v>45588.975729166668</v>
      </c>
      <c r="AK45" t="s">
        <v>592</v>
      </c>
      <c r="AL45" t="s">
        <v>65</v>
      </c>
      <c r="AM45" s="3">
        <v>2.3333333333333335</v>
      </c>
      <c r="AN45" t="s">
        <v>66</v>
      </c>
      <c r="AO45" t="s">
        <v>101</v>
      </c>
    </row>
    <row r="46" spans="1:41" x14ac:dyDescent="0.2">
      <c r="A46">
        <v>370013</v>
      </c>
      <c r="B46" t="s">
        <v>582</v>
      </c>
      <c r="C46" t="s">
        <v>118</v>
      </c>
      <c r="D46" t="s">
        <v>598</v>
      </c>
      <c r="E46" t="s">
        <v>599</v>
      </c>
      <c r="F46">
        <v>20401</v>
      </c>
      <c r="G46" s="1">
        <v>38426</v>
      </c>
      <c r="H46" s="1">
        <v>45757</v>
      </c>
      <c r="I46" s="1">
        <v>46127</v>
      </c>
      <c r="J46" t="s">
        <v>45</v>
      </c>
      <c r="K46" t="s">
        <v>45</v>
      </c>
      <c r="L46" t="s">
        <v>429</v>
      </c>
      <c r="M46" s="1">
        <v>43635</v>
      </c>
      <c r="N46" t="s">
        <v>47</v>
      </c>
      <c r="O46" t="s">
        <v>48</v>
      </c>
      <c r="P46" t="s">
        <v>49</v>
      </c>
      <c r="Q46" t="s">
        <v>600</v>
      </c>
      <c r="R46" t="s">
        <v>601</v>
      </c>
      <c r="S46">
        <v>8207</v>
      </c>
      <c r="T46" t="s">
        <v>52</v>
      </c>
      <c r="U46">
        <v>3</v>
      </c>
      <c r="V46" t="s">
        <v>602</v>
      </c>
      <c r="W46" t="s">
        <v>54</v>
      </c>
      <c r="X46" t="s">
        <v>55</v>
      </c>
      <c r="Y46" t="s">
        <v>56</v>
      </c>
      <c r="Z46">
        <v>1602</v>
      </c>
      <c r="AA46">
        <v>57</v>
      </c>
      <c r="AB46">
        <v>166</v>
      </c>
      <c r="AC46" t="s">
        <v>603</v>
      </c>
      <c r="AD46" t="s">
        <v>604</v>
      </c>
      <c r="AE46" t="s">
        <v>605</v>
      </c>
      <c r="AF46" t="s">
        <v>606</v>
      </c>
      <c r="AG46" t="s">
        <v>607</v>
      </c>
      <c r="AH46" t="s">
        <v>608</v>
      </c>
      <c r="AJ46" s="2">
        <v>45761.773495370369</v>
      </c>
      <c r="AK46" t="s">
        <v>609</v>
      </c>
      <c r="AL46" t="s">
        <v>65</v>
      </c>
      <c r="AM46" s="4">
        <v>0.70138888888888884</v>
      </c>
      <c r="AN46" t="s">
        <v>66</v>
      </c>
      <c r="AO46" t="s">
        <v>67</v>
      </c>
    </row>
    <row r="47" spans="1:41" x14ac:dyDescent="0.2">
      <c r="A47">
        <v>369607</v>
      </c>
      <c r="B47" t="s">
        <v>582</v>
      </c>
      <c r="C47" t="s">
        <v>182</v>
      </c>
      <c r="D47" t="s">
        <v>610</v>
      </c>
      <c r="E47" t="s">
        <v>611</v>
      </c>
      <c r="F47">
        <v>45744</v>
      </c>
      <c r="G47" s="1">
        <v>36986</v>
      </c>
      <c r="H47" s="1">
        <v>45743</v>
      </c>
      <c r="I47" s="1">
        <v>46127</v>
      </c>
      <c r="J47" t="s">
        <v>45</v>
      </c>
      <c r="K47" t="s">
        <v>326</v>
      </c>
      <c r="L47" t="s">
        <v>72</v>
      </c>
      <c r="M47" s="1">
        <v>44188</v>
      </c>
      <c r="N47" t="s">
        <v>47</v>
      </c>
      <c r="O47" t="s">
        <v>48</v>
      </c>
      <c r="P47" t="s">
        <v>49</v>
      </c>
      <c r="Q47" t="s">
        <v>612</v>
      </c>
      <c r="R47" t="s">
        <v>613</v>
      </c>
      <c r="S47">
        <v>2797</v>
      </c>
      <c r="T47" t="s">
        <v>52</v>
      </c>
      <c r="U47">
        <v>5</v>
      </c>
      <c r="V47" t="s">
        <v>614</v>
      </c>
      <c r="W47" t="s">
        <v>54</v>
      </c>
      <c r="X47" t="s">
        <v>493</v>
      </c>
      <c r="Y47" t="s">
        <v>434</v>
      </c>
      <c r="Z47">
        <v>1879</v>
      </c>
      <c r="AA47">
        <v>68</v>
      </c>
      <c r="AB47">
        <v>210</v>
      </c>
      <c r="AC47" t="s">
        <v>615</v>
      </c>
      <c r="AD47" t="s">
        <v>616</v>
      </c>
      <c r="AE47" t="s">
        <v>617</v>
      </c>
      <c r="AF47" t="s">
        <v>618</v>
      </c>
      <c r="AG47" t="s">
        <v>619</v>
      </c>
      <c r="AH47" t="s">
        <v>617</v>
      </c>
      <c r="AI47" t="s">
        <v>620</v>
      </c>
      <c r="AJ47" s="2">
        <v>45747.631435185183</v>
      </c>
      <c r="AK47" t="s">
        <v>540</v>
      </c>
      <c r="AL47" t="s">
        <v>65</v>
      </c>
      <c r="AM47" s="3">
        <v>2.1805555555555554</v>
      </c>
      <c r="AN47" t="s">
        <v>66</v>
      </c>
      <c r="AO47" t="s">
        <v>67</v>
      </c>
    </row>
    <row r="48" spans="1:41" x14ac:dyDescent="0.2">
      <c r="A48">
        <v>371943</v>
      </c>
      <c r="B48" t="s">
        <v>621</v>
      </c>
      <c r="C48" t="s">
        <v>182</v>
      </c>
      <c r="D48" t="s">
        <v>622</v>
      </c>
      <c r="E48" t="s">
        <v>623</v>
      </c>
      <c r="F48">
        <v>43407</v>
      </c>
      <c r="G48" s="1">
        <v>39946</v>
      </c>
      <c r="H48" s="1">
        <v>45818</v>
      </c>
      <c r="J48" t="s">
        <v>45</v>
      </c>
      <c r="K48" t="s">
        <v>326</v>
      </c>
      <c r="L48" t="s">
        <v>72</v>
      </c>
      <c r="N48" t="s">
        <v>47</v>
      </c>
      <c r="O48" t="s">
        <v>48</v>
      </c>
      <c r="P48" t="s">
        <v>49</v>
      </c>
      <c r="Q48" t="s">
        <v>624</v>
      </c>
      <c r="R48" t="s">
        <v>625</v>
      </c>
      <c r="S48">
        <v>1436</v>
      </c>
      <c r="T48" t="s">
        <v>92</v>
      </c>
      <c r="U48" t="s">
        <v>187</v>
      </c>
      <c r="V48" t="s">
        <v>447</v>
      </c>
      <c r="W48" t="s">
        <v>448</v>
      </c>
      <c r="X48" t="s">
        <v>449</v>
      </c>
      <c r="Y48" t="s">
        <v>450</v>
      </c>
      <c r="Z48">
        <v>3071</v>
      </c>
      <c r="AA48">
        <v>31</v>
      </c>
      <c r="AB48">
        <v>38</v>
      </c>
      <c r="AC48" t="s">
        <v>451</v>
      </c>
      <c r="AD48" t="s">
        <v>452</v>
      </c>
      <c r="AE48" t="s">
        <v>453</v>
      </c>
      <c r="AF48" t="s">
        <v>454</v>
      </c>
      <c r="AG48" t="s">
        <v>473</v>
      </c>
      <c r="AH48" t="s">
        <v>474</v>
      </c>
      <c r="AJ48" s="2">
        <v>45825.640972222223</v>
      </c>
      <c r="AK48" t="s">
        <v>456</v>
      </c>
      <c r="AL48" t="s">
        <v>65</v>
      </c>
      <c r="AM48" s="4">
        <v>0.52777777777777779</v>
      </c>
      <c r="AN48" t="s">
        <v>66</v>
      </c>
      <c r="AO48" t="s">
        <v>67</v>
      </c>
    </row>
    <row r="49" spans="1:41" x14ac:dyDescent="0.2">
      <c r="A49">
        <v>368073</v>
      </c>
      <c r="B49" t="s">
        <v>626</v>
      </c>
      <c r="C49" t="s">
        <v>197</v>
      </c>
      <c r="D49" t="s">
        <v>627</v>
      </c>
      <c r="E49" t="s">
        <v>628</v>
      </c>
      <c r="F49">
        <v>95501</v>
      </c>
      <c r="G49" s="1">
        <v>37680</v>
      </c>
      <c r="H49" s="1">
        <v>45379</v>
      </c>
      <c r="I49" s="1">
        <v>45931</v>
      </c>
      <c r="J49" t="s">
        <v>45</v>
      </c>
      <c r="K49" t="s">
        <v>45</v>
      </c>
      <c r="L49" t="s">
        <v>72</v>
      </c>
      <c r="M49" s="1">
        <v>45177</v>
      </c>
      <c r="N49" t="s">
        <v>47</v>
      </c>
      <c r="O49" t="s">
        <v>48</v>
      </c>
      <c r="P49" t="s">
        <v>49</v>
      </c>
      <c r="Q49" t="s">
        <v>629</v>
      </c>
      <c r="R49" t="s">
        <v>630</v>
      </c>
      <c r="S49">
        <v>456</v>
      </c>
      <c r="T49" t="s">
        <v>92</v>
      </c>
      <c r="U49" t="s">
        <v>202</v>
      </c>
      <c r="V49" t="s">
        <v>203</v>
      </c>
      <c r="W49" t="s">
        <v>204</v>
      </c>
      <c r="X49" t="s">
        <v>52</v>
      </c>
      <c r="Y49" t="s">
        <v>110</v>
      </c>
      <c r="Z49">
        <v>2146</v>
      </c>
      <c r="AA49">
        <v>36</v>
      </c>
      <c r="AB49">
        <v>45</v>
      </c>
      <c r="AC49" t="s">
        <v>205</v>
      </c>
      <c r="AD49" t="s">
        <v>631</v>
      </c>
      <c r="AE49" t="s">
        <v>632</v>
      </c>
      <c r="AF49" t="s">
        <v>633</v>
      </c>
      <c r="AG49" t="s">
        <v>209</v>
      </c>
      <c r="AH49" t="s">
        <v>210</v>
      </c>
      <c r="AI49" t="s">
        <v>634</v>
      </c>
      <c r="AJ49" s="2">
        <v>45699.779062499998</v>
      </c>
      <c r="AK49" t="s">
        <v>149</v>
      </c>
      <c r="AL49" t="s">
        <v>65</v>
      </c>
      <c r="AM49" s="3">
        <v>2.0138888888888888</v>
      </c>
      <c r="AN49" t="s">
        <v>66</v>
      </c>
      <c r="AO49" t="s">
        <v>101</v>
      </c>
    </row>
    <row r="50" spans="1:41" x14ac:dyDescent="0.2">
      <c r="A50">
        <v>370831</v>
      </c>
      <c r="B50" t="s">
        <v>635</v>
      </c>
      <c r="C50" t="s">
        <v>636</v>
      </c>
      <c r="E50" t="s">
        <v>637</v>
      </c>
      <c r="F50">
        <v>520100</v>
      </c>
      <c r="G50" s="1">
        <v>40900</v>
      </c>
      <c r="H50" s="1">
        <v>45567</v>
      </c>
      <c r="J50" t="s">
        <v>45</v>
      </c>
      <c r="K50" t="s">
        <v>45</v>
      </c>
      <c r="L50" t="s">
        <v>72</v>
      </c>
      <c r="M50" s="1">
        <v>45316</v>
      </c>
      <c r="N50" t="s">
        <v>47</v>
      </c>
      <c r="O50" t="s">
        <v>48</v>
      </c>
      <c r="P50" t="s">
        <v>406</v>
      </c>
      <c r="Q50" t="s">
        <v>638</v>
      </c>
      <c r="R50" t="s">
        <v>639</v>
      </c>
      <c r="S50">
        <v>25</v>
      </c>
      <c r="T50" t="s">
        <v>257</v>
      </c>
      <c r="U50" t="s">
        <v>640</v>
      </c>
      <c r="V50" t="s">
        <v>641</v>
      </c>
      <c r="W50" t="s">
        <v>260</v>
      </c>
      <c r="X50" t="s">
        <v>257</v>
      </c>
      <c r="Y50" t="s">
        <v>642</v>
      </c>
      <c r="Z50">
        <v>5369</v>
      </c>
      <c r="AA50">
        <v>30</v>
      </c>
      <c r="AB50">
        <v>34</v>
      </c>
      <c r="AC50" t="s">
        <v>643</v>
      </c>
      <c r="AD50" t="s">
        <v>644</v>
      </c>
      <c r="AE50" t="s">
        <v>645</v>
      </c>
      <c r="AF50" t="s">
        <v>646</v>
      </c>
      <c r="AG50" t="s">
        <v>647</v>
      </c>
      <c r="AH50" t="s">
        <v>648</v>
      </c>
      <c r="AI50" t="s">
        <v>649</v>
      </c>
      <c r="AJ50" s="2">
        <v>45785.571168981478</v>
      </c>
      <c r="AK50" t="s">
        <v>650</v>
      </c>
      <c r="AL50" t="s">
        <v>651</v>
      </c>
      <c r="AM50" s="4">
        <v>0.96527777777777779</v>
      </c>
      <c r="AN50" t="s">
        <v>66</v>
      </c>
      <c r="AO50" t="s">
        <v>67</v>
      </c>
    </row>
    <row r="51" spans="1:41" x14ac:dyDescent="0.2">
      <c r="A51">
        <v>366433</v>
      </c>
      <c r="B51" t="s">
        <v>652</v>
      </c>
      <c r="C51" t="s">
        <v>182</v>
      </c>
      <c r="E51" t="s">
        <v>653</v>
      </c>
      <c r="F51">
        <v>109703</v>
      </c>
      <c r="G51" s="1">
        <v>38120</v>
      </c>
      <c r="H51" s="1">
        <v>45581</v>
      </c>
      <c r="I51" s="1">
        <v>45915</v>
      </c>
      <c r="J51" t="s">
        <v>45</v>
      </c>
      <c r="K51" t="s">
        <v>45</v>
      </c>
      <c r="L51" t="s">
        <v>72</v>
      </c>
      <c r="M51" s="1">
        <v>45581</v>
      </c>
      <c r="N51" t="s">
        <v>47</v>
      </c>
      <c r="O51" t="s">
        <v>48</v>
      </c>
      <c r="P51" t="s">
        <v>49</v>
      </c>
      <c r="Q51" t="s">
        <v>654</v>
      </c>
      <c r="R51" t="s">
        <v>655</v>
      </c>
      <c r="S51">
        <v>277</v>
      </c>
      <c r="T51" t="s">
        <v>257</v>
      </c>
      <c r="U51" t="s">
        <v>640</v>
      </c>
      <c r="V51" t="s">
        <v>656</v>
      </c>
      <c r="W51" t="s">
        <v>260</v>
      </c>
      <c r="X51" t="s">
        <v>257</v>
      </c>
      <c r="Y51" t="s">
        <v>110</v>
      </c>
      <c r="Z51">
        <v>2437</v>
      </c>
      <c r="AA51">
        <v>35</v>
      </c>
      <c r="AB51">
        <v>160</v>
      </c>
      <c r="AC51" t="s">
        <v>657</v>
      </c>
      <c r="AD51" t="s">
        <v>658</v>
      </c>
      <c r="AE51" t="s">
        <v>659</v>
      </c>
      <c r="AI51" t="s">
        <v>658</v>
      </c>
      <c r="AJ51" s="2">
        <v>45618.929201388892</v>
      </c>
      <c r="AK51" t="s">
        <v>660</v>
      </c>
      <c r="AL51" t="s">
        <v>65</v>
      </c>
      <c r="AM51" s="4">
        <v>0.97222222222222221</v>
      </c>
      <c r="AN51" t="s">
        <v>66</v>
      </c>
      <c r="AO51" t="s">
        <v>67</v>
      </c>
    </row>
    <row r="52" spans="1:41" x14ac:dyDescent="0.2">
      <c r="A52">
        <v>366649</v>
      </c>
      <c r="B52" t="s">
        <v>661</v>
      </c>
      <c r="C52" t="s">
        <v>662</v>
      </c>
      <c r="D52" t="s">
        <v>663</v>
      </c>
      <c r="E52" t="s">
        <v>664</v>
      </c>
      <c r="F52">
        <v>416099</v>
      </c>
      <c r="G52" s="1">
        <v>37316</v>
      </c>
      <c r="H52" s="1">
        <v>45616</v>
      </c>
      <c r="I52" s="1">
        <v>45962</v>
      </c>
      <c r="J52" t="s">
        <v>45</v>
      </c>
      <c r="K52" t="s">
        <v>45</v>
      </c>
      <c r="L52" t="s">
        <v>72</v>
      </c>
      <c r="N52" t="s">
        <v>47</v>
      </c>
      <c r="O52" t="s">
        <v>48</v>
      </c>
      <c r="P52" t="s">
        <v>49</v>
      </c>
      <c r="Q52" t="s">
        <v>665</v>
      </c>
      <c r="R52" t="s">
        <v>666</v>
      </c>
      <c r="S52">
        <v>5</v>
      </c>
      <c r="T52" t="s">
        <v>156</v>
      </c>
      <c r="U52" t="s">
        <v>667</v>
      </c>
      <c r="V52" t="s">
        <v>668</v>
      </c>
      <c r="W52" t="s">
        <v>159</v>
      </c>
      <c r="X52" t="s">
        <v>55</v>
      </c>
      <c r="Y52" t="s">
        <v>56</v>
      </c>
      <c r="Z52">
        <v>902</v>
      </c>
      <c r="AA52">
        <v>47</v>
      </c>
      <c r="AB52">
        <v>174</v>
      </c>
      <c r="AC52" t="s">
        <v>669</v>
      </c>
      <c r="AD52" t="s">
        <v>670</v>
      </c>
      <c r="AE52" t="s">
        <v>671</v>
      </c>
      <c r="AF52" t="s">
        <v>672</v>
      </c>
      <c r="AG52" t="s">
        <v>673</v>
      </c>
      <c r="AH52" t="s">
        <v>674</v>
      </c>
      <c r="AI52" t="s">
        <v>179</v>
      </c>
      <c r="AJ52" s="2">
        <v>45631.724687499998</v>
      </c>
      <c r="AK52" t="s">
        <v>540</v>
      </c>
      <c r="AL52" t="s">
        <v>65</v>
      </c>
      <c r="AM52" s="4">
        <v>0.52777777777777779</v>
      </c>
      <c r="AN52" t="s">
        <v>66</v>
      </c>
      <c r="AO52" t="s">
        <v>67</v>
      </c>
    </row>
    <row r="53" spans="1:41" x14ac:dyDescent="0.2">
      <c r="A53">
        <v>367101</v>
      </c>
      <c r="B53" t="s">
        <v>675</v>
      </c>
      <c r="C53" t="s">
        <v>676</v>
      </c>
      <c r="D53" t="s">
        <v>677</v>
      </c>
      <c r="E53" t="s">
        <v>678</v>
      </c>
      <c r="F53">
        <v>280071</v>
      </c>
      <c r="G53" s="1">
        <v>37765</v>
      </c>
      <c r="H53" s="1">
        <v>45594</v>
      </c>
      <c r="I53" s="1">
        <v>45931</v>
      </c>
      <c r="J53" t="s">
        <v>45</v>
      </c>
      <c r="K53" t="s">
        <v>45</v>
      </c>
      <c r="L53" t="s">
        <v>72</v>
      </c>
      <c r="M53" s="1">
        <v>44518</v>
      </c>
      <c r="N53" t="s">
        <v>47</v>
      </c>
      <c r="O53" t="s">
        <v>48</v>
      </c>
      <c r="P53" t="s">
        <v>49</v>
      </c>
      <c r="Q53" t="s">
        <v>679</v>
      </c>
      <c r="R53" t="s">
        <v>680</v>
      </c>
      <c r="S53">
        <v>116</v>
      </c>
      <c r="T53" t="s">
        <v>92</v>
      </c>
      <c r="U53" t="s">
        <v>681</v>
      </c>
      <c r="V53" t="s">
        <v>682</v>
      </c>
      <c r="W53" t="s">
        <v>683</v>
      </c>
      <c r="X53" t="s">
        <v>52</v>
      </c>
      <c r="Y53" t="s">
        <v>110</v>
      </c>
      <c r="Z53">
        <v>2402</v>
      </c>
      <c r="AA53">
        <v>43</v>
      </c>
      <c r="AB53">
        <v>174</v>
      </c>
      <c r="AC53" t="s">
        <v>684</v>
      </c>
      <c r="AD53" t="s">
        <v>685</v>
      </c>
      <c r="AE53" t="s">
        <v>686</v>
      </c>
      <c r="AF53" t="s">
        <v>687</v>
      </c>
      <c r="AG53" t="s">
        <v>688</v>
      </c>
      <c r="AH53" t="s">
        <v>689</v>
      </c>
      <c r="AI53" t="s">
        <v>690</v>
      </c>
      <c r="AJ53" s="2">
        <v>45660.793043981481</v>
      </c>
      <c r="AK53" t="s">
        <v>684</v>
      </c>
      <c r="AL53" t="s">
        <v>65</v>
      </c>
      <c r="AM53" s="4">
        <v>0.4236111111111111</v>
      </c>
      <c r="AN53" t="s">
        <v>66</v>
      </c>
      <c r="AO53" t="s">
        <v>67</v>
      </c>
    </row>
    <row r="54" spans="1:41" x14ac:dyDescent="0.2">
      <c r="A54">
        <v>365895</v>
      </c>
      <c r="B54" t="s">
        <v>691</v>
      </c>
      <c r="C54" t="s">
        <v>692</v>
      </c>
      <c r="D54" t="s">
        <v>693</v>
      </c>
      <c r="E54">
        <v>32787280</v>
      </c>
      <c r="F54">
        <v>481903</v>
      </c>
      <c r="G54" s="1">
        <v>32364</v>
      </c>
      <c r="H54" s="1">
        <v>45592</v>
      </c>
      <c r="I54" s="1">
        <v>46296</v>
      </c>
      <c r="J54" t="s">
        <v>45</v>
      </c>
      <c r="K54" t="s">
        <v>45</v>
      </c>
      <c r="L54" t="s">
        <v>72</v>
      </c>
      <c r="M54" s="1">
        <v>38968</v>
      </c>
      <c r="N54" t="s">
        <v>47</v>
      </c>
      <c r="O54" t="s">
        <v>48</v>
      </c>
      <c r="P54" t="s">
        <v>49</v>
      </c>
      <c r="Q54" t="s">
        <v>694</v>
      </c>
      <c r="R54" t="s">
        <v>695</v>
      </c>
      <c r="S54">
        <v>8120</v>
      </c>
      <c r="T54" t="s">
        <v>365</v>
      </c>
      <c r="U54" t="s">
        <v>432</v>
      </c>
      <c r="V54" t="s">
        <v>696</v>
      </c>
      <c r="W54" t="s">
        <v>367</v>
      </c>
      <c r="X54" t="s">
        <v>76</v>
      </c>
      <c r="Y54" t="s">
        <v>434</v>
      </c>
      <c r="Z54">
        <v>384</v>
      </c>
      <c r="AA54">
        <v>58</v>
      </c>
      <c r="AB54">
        <v>158</v>
      </c>
      <c r="AC54" t="s">
        <v>697</v>
      </c>
      <c r="AD54" t="s">
        <v>698</v>
      </c>
      <c r="AE54" t="s">
        <v>699</v>
      </c>
      <c r="AF54" t="s">
        <v>700</v>
      </c>
      <c r="AG54" t="s">
        <v>701</v>
      </c>
      <c r="AH54" t="s">
        <v>702</v>
      </c>
      <c r="AI54" t="s">
        <v>703</v>
      </c>
      <c r="AJ54" s="2">
        <v>45594.861238425925</v>
      </c>
      <c r="AK54" t="s">
        <v>704</v>
      </c>
      <c r="AL54" t="s">
        <v>65</v>
      </c>
      <c r="AM54" s="3">
        <v>2.1041666666666665</v>
      </c>
      <c r="AN54" t="s">
        <v>66</v>
      </c>
      <c r="AO54" t="s">
        <v>67</v>
      </c>
    </row>
    <row r="55" spans="1:41" x14ac:dyDescent="0.2">
      <c r="A55">
        <v>371204</v>
      </c>
      <c r="B55" t="s">
        <v>705</v>
      </c>
      <c r="C55" t="s">
        <v>151</v>
      </c>
      <c r="D55" t="s">
        <v>706</v>
      </c>
      <c r="E55" t="s">
        <v>707</v>
      </c>
      <c r="F55">
        <v>380102</v>
      </c>
      <c r="G55" s="1">
        <v>33848</v>
      </c>
      <c r="H55" s="1">
        <v>45791</v>
      </c>
      <c r="I55" s="1">
        <v>46143</v>
      </c>
      <c r="J55" t="s">
        <v>45</v>
      </c>
      <c r="K55" t="s">
        <v>45</v>
      </c>
      <c r="L55" t="s">
        <v>46</v>
      </c>
      <c r="M55" s="1">
        <v>41070</v>
      </c>
      <c r="N55" t="s">
        <v>47</v>
      </c>
      <c r="O55" t="s">
        <v>48</v>
      </c>
      <c r="P55" t="s">
        <v>49</v>
      </c>
      <c r="Q55" t="s">
        <v>708</v>
      </c>
      <c r="R55" t="s">
        <v>709</v>
      </c>
      <c r="S55">
        <v>1669</v>
      </c>
      <c r="T55" t="s">
        <v>52</v>
      </c>
      <c r="U55">
        <v>8</v>
      </c>
      <c r="V55" t="s">
        <v>710</v>
      </c>
      <c r="W55" t="s">
        <v>54</v>
      </c>
      <c r="X55" t="s">
        <v>76</v>
      </c>
      <c r="Y55" t="s">
        <v>56</v>
      </c>
      <c r="Z55">
        <v>1076</v>
      </c>
      <c r="AA55">
        <v>49</v>
      </c>
      <c r="AB55">
        <v>37</v>
      </c>
      <c r="AC55" t="s">
        <v>711</v>
      </c>
      <c r="AD55" t="s">
        <v>712</v>
      </c>
      <c r="AE55" t="s">
        <v>713</v>
      </c>
      <c r="AF55" t="s">
        <v>714</v>
      </c>
      <c r="AG55" t="s">
        <v>715</v>
      </c>
      <c r="AH55" t="s">
        <v>716</v>
      </c>
      <c r="AJ55" s="2">
        <v>45798.635405092595</v>
      </c>
      <c r="AK55" t="s">
        <v>717</v>
      </c>
      <c r="AL55" t="s">
        <v>65</v>
      </c>
      <c r="AM55" s="3">
        <v>1.2743055555555556</v>
      </c>
      <c r="AN55" t="s">
        <v>66</v>
      </c>
      <c r="AO55" t="s">
        <v>101</v>
      </c>
    </row>
    <row r="56" spans="1:41" x14ac:dyDescent="0.2">
      <c r="A56">
        <v>371768</v>
      </c>
      <c r="B56" t="s">
        <v>718</v>
      </c>
      <c r="C56" t="s">
        <v>323</v>
      </c>
      <c r="D56" t="s">
        <v>324</v>
      </c>
      <c r="E56" t="s">
        <v>719</v>
      </c>
      <c r="F56">
        <v>500742</v>
      </c>
      <c r="G56" s="1">
        <v>36347</v>
      </c>
      <c r="H56" s="1">
        <v>45810</v>
      </c>
      <c r="I56" s="1">
        <v>46037</v>
      </c>
      <c r="J56" t="s">
        <v>45</v>
      </c>
      <c r="K56" t="s">
        <v>45</v>
      </c>
      <c r="L56" t="s">
        <v>72</v>
      </c>
      <c r="M56" s="1">
        <v>45081</v>
      </c>
      <c r="N56" t="s">
        <v>47</v>
      </c>
      <c r="O56" t="s">
        <v>48</v>
      </c>
      <c r="P56" t="s">
        <v>49</v>
      </c>
      <c r="Q56" t="s">
        <v>720</v>
      </c>
      <c r="R56" t="s">
        <v>721</v>
      </c>
      <c r="S56">
        <v>1100</v>
      </c>
      <c r="T56" t="s">
        <v>92</v>
      </c>
      <c r="U56" t="s">
        <v>329</v>
      </c>
      <c r="V56" t="s">
        <v>722</v>
      </c>
      <c r="W56" t="s">
        <v>723</v>
      </c>
      <c r="X56" t="s">
        <v>76</v>
      </c>
      <c r="Y56" t="s">
        <v>110</v>
      </c>
      <c r="Z56">
        <v>1638</v>
      </c>
      <c r="AA56">
        <v>36</v>
      </c>
      <c r="AB56">
        <v>160</v>
      </c>
      <c r="AC56" t="s">
        <v>368</v>
      </c>
      <c r="AD56" t="s">
        <v>369</v>
      </c>
      <c r="AE56" t="s">
        <v>370</v>
      </c>
      <c r="AF56" t="s">
        <v>724</v>
      </c>
      <c r="AG56" t="s">
        <v>725</v>
      </c>
      <c r="AH56" t="s">
        <v>726</v>
      </c>
      <c r="AI56" t="s">
        <v>385</v>
      </c>
      <c r="AJ56" s="2">
        <v>45818.923194444447</v>
      </c>
      <c r="AK56" t="s">
        <v>727</v>
      </c>
      <c r="AL56" t="s">
        <v>65</v>
      </c>
      <c r="AM56" s="4">
        <v>0.4236111111111111</v>
      </c>
      <c r="AN56" t="s">
        <v>66</v>
      </c>
      <c r="AO56" t="s">
        <v>67</v>
      </c>
    </row>
    <row r="57" spans="1:41" x14ac:dyDescent="0.2">
      <c r="A57">
        <v>371051</v>
      </c>
      <c r="B57" t="s">
        <v>728</v>
      </c>
      <c r="C57" t="s">
        <v>167</v>
      </c>
      <c r="D57" t="s">
        <v>570</v>
      </c>
      <c r="E57">
        <v>32652604</v>
      </c>
      <c r="F57">
        <v>353524</v>
      </c>
      <c r="G57" s="1">
        <v>34465</v>
      </c>
      <c r="H57" s="1">
        <v>45789</v>
      </c>
      <c r="I57" s="1">
        <v>46157</v>
      </c>
      <c r="J57" t="s">
        <v>45</v>
      </c>
      <c r="K57" t="s">
        <v>326</v>
      </c>
      <c r="L57" t="s">
        <v>72</v>
      </c>
      <c r="M57" s="1">
        <v>40031</v>
      </c>
      <c r="N57" t="s">
        <v>47</v>
      </c>
      <c r="O57" t="s">
        <v>48</v>
      </c>
      <c r="P57" t="s">
        <v>49</v>
      </c>
      <c r="Q57" t="s">
        <v>729</v>
      </c>
      <c r="R57" t="s">
        <v>730</v>
      </c>
      <c r="S57">
        <v>6460</v>
      </c>
      <c r="T57" t="s">
        <v>52</v>
      </c>
      <c r="U57">
        <v>6</v>
      </c>
      <c r="V57" t="s">
        <v>574</v>
      </c>
      <c r="W57" t="s">
        <v>54</v>
      </c>
      <c r="X57" t="s">
        <v>76</v>
      </c>
      <c r="Y57" t="s">
        <v>56</v>
      </c>
      <c r="Z57">
        <v>286</v>
      </c>
      <c r="AA57">
        <v>53</v>
      </c>
      <c r="AB57">
        <v>38</v>
      </c>
      <c r="AC57" t="s">
        <v>578</v>
      </c>
      <c r="AD57" t="s">
        <v>579</v>
      </c>
      <c r="AE57" t="s">
        <v>580</v>
      </c>
      <c r="AF57" t="s">
        <v>731</v>
      </c>
      <c r="AG57" t="s">
        <v>732</v>
      </c>
      <c r="AH57" t="s">
        <v>733</v>
      </c>
      <c r="AI57" t="s">
        <v>734</v>
      </c>
      <c r="AJ57" s="2">
        <v>45793.6950462963</v>
      </c>
      <c r="AK57" t="s">
        <v>540</v>
      </c>
      <c r="AL57" t="s">
        <v>65</v>
      </c>
      <c r="AM57" s="3">
        <v>1.1875</v>
      </c>
      <c r="AN57" t="s">
        <v>66</v>
      </c>
      <c r="AO57" t="s">
        <v>67</v>
      </c>
    </row>
    <row r="58" spans="1:41" x14ac:dyDescent="0.2">
      <c r="A58">
        <v>365043</v>
      </c>
      <c r="B58" t="s">
        <v>728</v>
      </c>
      <c r="C58" t="s">
        <v>735</v>
      </c>
      <c r="D58" t="s">
        <v>736</v>
      </c>
      <c r="E58" t="s">
        <v>737</v>
      </c>
      <c r="F58">
        <v>245412</v>
      </c>
      <c r="G58" s="1">
        <v>33532</v>
      </c>
      <c r="H58" s="1">
        <v>45565</v>
      </c>
      <c r="I58" s="1">
        <v>46280</v>
      </c>
      <c r="J58" t="s">
        <v>45</v>
      </c>
      <c r="K58" t="s">
        <v>45</v>
      </c>
      <c r="L58" t="s">
        <v>72</v>
      </c>
      <c r="M58" s="1">
        <v>42147</v>
      </c>
      <c r="N58" t="s">
        <v>47</v>
      </c>
      <c r="O58" t="s">
        <v>48</v>
      </c>
      <c r="P58" t="s">
        <v>49</v>
      </c>
      <c r="Q58" t="s">
        <v>738</v>
      </c>
      <c r="R58" t="s">
        <v>739</v>
      </c>
      <c r="S58">
        <v>6795</v>
      </c>
      <c r="T58" t="s">
        <v>52</v>
      </c>
      <c r="U58">
        <v>1</v>
      </c>
      <c r="V58" t="s">
        <v>740</v>
      </c>
      <c r="W58" t="s">
        <v>54</v>
      </c>
      <c r="X58" t="s">
        <v>76</v>
      </c>
      <c r="Y58" t="s">
        <v>56</v>
      </c>
      <c r="Z58">
        <v>190</v>
      </c>
      <c r="AA58">
        <v>47</v>
      </c>
      <c r="AB58">
        <v>144</v>
      </c>
      <c r="AC58" t="s">
        <v>741</v>
      </c>
      <c r="AD58" t="s">
        <v>742</v>
      </c>
      <c r="AE58" t="s">
        <v>743</v>
      </c>
      <c r="AI58" t="s">
        <v>744</v>
      </c>
      <c r="AJ58" s="2">
        <v>45567.136770833335</v>
      </c>
      <c r="AK58" t="s">
        <v>704</v>
      </c>
      <c r="AL58" t="s">
        <v>65</v>
      </c>
      <c r="AM58" s="3">
        <v>2.4861111111111112</v>
      </c>
      <c r="AN58" t="s">
        <v>66</v>
      </c>
      <c r="AO58" t="s">
        <v>67</v>
      </c>
    </row>
    <row r="59" spans="1:41" x14ac:dyDescent="0.2">
      <c r="A59">
        <v>372893</v>
      </c>
      <c r="B59" t="s">
        <v>745</v>
      </c>
      <c r="C59" t="s">
        <v>558</v>
      </c>
      <c r="D59" t="s">
        <v>746</v>
      </c>
      <c r="E59">
        <v>32539334</v>
      </c>
      <c r="F59">
        <v>260310</v>
      </c>
      <c r="G59" s="1">
        <v>33044</v>
      </c>
      <c r="H59" s="1">
        <v>45855</v>
      </c>
      <c r="I59" s="1">
        <v>46188</v>
      </c>
      <c r="J59" t="s">
        <v>45</v>
      </c>
      <c r="K59" t="s">
        <v>45</v>
      </c>
      <c r="L59" t="s">
        <v>429</v>
      </c>
      <c r="M59" s="1">
        <v>42481</v>
      </c>
      <c r="N59" t="s">
        <v>47</v>
      </c>
      <c r="O59" t="s">
        <v>48</v>
      </c>
      <c r="P59" t="s">
        <v>49</v>
      </c>
      <c r="Q59" t="s">
        <v>747</v>
      </c>
      <c r="R59" t="s">
        <v>748</v>
      </c>
      <c r="S59">
        <v>5460</v>
      </c>
      <c r="T59" t="s">
        <v>365</v>
      </c>
      <c r="U59" t="s">
        <v>562</v>
      </c>
      <c r="V59" t="s">
        <v>749</v>
      </c>
      <c r="W59" t="s">
        <v>367</v>
      </c>
      <c r="X59" t="s">
        <v>76</v>
      </c>
      <c r="Y59" t="s">
        <v>434</v>
      </c>
      <c r="Z59">
        <v>254</v>
      </c>
      <c r="AA59">
        <v>47</v>
      </c>
      <c r="AB59">
        <v>166</v>
      </c>
      <c r="AC59" t="s">
        <v>750</v>
      </c>
      <c r="AD59" t="s">
        <v>751</v>
      </c>
      <c r="AE59" t="s">
        <v>752</v>
      </c>
      <c r="AI59" t="s">
        <v>500</v>
      </c>
      <c r="AJ59" s="2">
        <v>45855.826041666667</v>
      </c>
      <c r="AK59" t="s">
        <v>84</v>
      </c>
      <c r="AL59" t="s">
        <v>65</v>
      </c>
      <c r="AM59" s="3">
        <v>1.7708333333333333</v>
      </c>
      <c r="AN59" t="s">
        <v>66</v>
      </c>
      <c r="AO59" t="s">
        <v>67</v>
      </c>
    </row>
    <row r="60" spans="1:41" x14ac:dyDescent="0.2">
      <c r="A60">
        <v>361460</v>
      </c>
      <c r="B60" t="s">
        <v>753</v>
      </c>
      <c r="C60" t="s">
        <v>754</v>
      </c>
      <c r="D60" t="s">
        <v>134</v>
      </c>
      <c r="E60" t="s">
        <v>755</v>
      </c>
      <c r="F60">
        <v>180303</v>
      </c>
      <c r="G60" s="1">
        <v>38391</v>
      </c>
      <c r="H60" s="1">
        <v>45386</v>
      </c>
      <c r="I60" s="1">
        <v>46037</v>
      </c>
      <c r="J60" t="s">
        <v>45</v>
      </c>
      <c r="K60" t="s">
        <v>45</v>
      </c>
      <c r="L60" t="s">
        <v>72</v>
      </c>
      <c r="M60" s="1">
        <v>43250</v>
      </c>
      <c r="N60" t="s">
        <v>47</v>
      </c>
      <c r="O60" t="s">
        <v>48</v>
      </c>
      <c r="P60" t="s">
        <v>49</v>
      </c>
      <c r="Q60" t="s">
        <v>756</v>
      </c>
      <c r="R60" t="s">
        <v>757</v>
      </c>
      <c r="S60">
        <v>450</v>
      </c>
      <c r="T60" t="s">
        <v>257</v>
      </c>
      <c r="U60" t="s">
        <v>758</v>
      </c>
      <c r="V60" t="s">
        <v>753</v>
      </c>
      <c r="W60" t="s">
        <v>260</v>
      </c>
      <c r="X60" t="s">
        <v>257</v>
      </c>
      <c r="Y60" t="s">
        <v>110</v>
      </c>
      <c r="Z60">
        <v>2434</v>
      </c>
      <c r="AA60">
        <v>39</v>
      </c>
      <c r="AB60">
        <v>160</v>
      </c>
      <c r="AC60" t="s">
        <v>759</v>
      </c>
      <c r="AD60" t="s">
        <v>760</v>
      </c>
      <c r="AE60" t="s">
        <v>761</v>
      </c>
      <c r="AJ60" s="2">
        <v>45455.713553240741</v>
      </c>
      <c r="AK60" t="s">
        <v>149</v>
      </c>
      <c r="AL60" t="s">
        <v>65</v>
      </c>
      <c r="AM60" s="4">
        <v>0.54166666666666663</v>
      </c>
      <c r="AN60" t="s">
        <v>66</v>
      </c>
      <c r="AO60" t="s">
        <v>67</v>
      </c>
    </row>
    <row r="61" spans="1:41" x14ac:dyDescent="0.2">
      <c r="A61">
        <v>372838</v>
      </c>
      <c r="B61" t="s">
        <v>762</v>
      </c>
      <c r="C61" t="s">
        <v>763</v>
      </c>
      <c r="D61" t="s">
        <v>764</v>
      </c>
      <c r="E61" s="5">
        <v>5.3700000000000001E+91</v>
      </c>
      <c r="F61">
        <v>471901</v>
      </c>
      <c r="G61" s="1">
        <v>36100</v>
      </c>
      <c r="H61" s="1">
        <v>45854</v>
      </c>
      <c r="J61" t="s">
        <v>45</v>
      </c>
      <c r="K61" t="s">
        <v>45</v>
      </c>
      <c r="L61" t="s">
        <v>72</v>
      </c>
      <c r="M61" s="1">
        <v>45485</v>
      </c>
      <c r="N61" t="s">
        <v>47</v>
      </c>
      <c r="O61" t="s">
        <v>48</v>
      </c>
      <c r="P61" t="s">
        <v>49</v>
      </c>
      <c r="Q61" t="s">
        <v>765</v>
      </c>
      <c r="R61" t="s">
        <v>766</v>
      </c>
      <c r="S61">
        <v>1499</v>
      </c>
      <c r="T61" t="s">
        <v>92</v>
      </c>
      <c r="U61" t="s">
        <v>767</v>
      </c>
      <c r="V61" t="s">
        <v>768</v>
      </c>
      <c r="W61" t="s">
        <v>769</v>
      </c>
      <c r="X61" t="s">
        <v>92</v>
      </c>
      <c r="Y61" t="s">
        <v>770</v>
      </c>
      <c r="Z61">
        <v>2628</v>
      </c>
      <c r="AA61">
        <v>50</v>
      </c>
      <c r="AB61">
        <v>146</v>
      </c>
      <c r="AC61" t="s">
        <v>771</v>
      </c>
      <c r="AD61" t="s">
        <v>772</v>
      </c>
      <c r="AE61" t="s">
        <v>773</v>
      </c>
      <c r="AF61" t="s">
        <v>774</v>
      </c>
      <c r="AG61" t="s">
        <v>775</v>
      </c>
      <c r="AH61" t="s">
        <v>776</v>
      </c>
      <c r="AI61" t="s">
        <v>777</v>
      </c>
      <c r="AJ61" s="2">
        <v>45854.767581018517</v>
      </c>
      <c r="AK61" t="s">
        <v>771</v>
      </c>
      <c r="AL61" t="s">
        <v>65</v>
      </c>
      <c r="AM61" s="4">
        <v>0.21527777777777779</v>
      </c>
      <c r="AN61" t="s">
        <v>66</v>
      </c>
      <c r="AO61" t="s">
        <v>67</v>
      </c>
    </row>
    <row r="62" spans="1:41" x14ac:dyDescent="0.2">
      <c r="A62">
        <v>370007</v>
      </c>
      <c r="B62" t="s">
        <v>778</v>
      </c>
      <c r="C62" t="s">
        <v>182</v>
      </c>
      <c r="D62" t="s">
        <v>779</v>
      </c>
      <c r="E62" t="s">
        <v>780</v>
      </c>
      <c r="F62">
        <v>45616</v>
      </c>
      <c r="G62" s="1">
        <v>32509</v>
      </c>
      <c r="H62" s="1">
        <v>45615</v>
      </c>
      <c r="J62" t="s">
        <v>45</v>
      </c>
      <c r="K62" t="s">
        <v>45</v>
      </c>
      <c r="L62" t="s">
        <v>72</v>
      </c>
      <c r="N62" t="s">
        <v>47</v>
      </c>
      <c r="O62" t="s">
        <v>48</v>
      </c>
      <c r="P62" t="s">
        <v>49</v>
      </c>
      <c r="Q62" t="s">
        <v>781</v>
      </c>
      <c r="R62" t="s">
        <v>782</v>
      </c>
      <c r="S62">
        <v>3939</v>
      </c>
      <c r="T62" t="s">
        <v>92</v>
      </c>
      <c r="U62" t="s">
        <v>187</v>
      </c>
      <c r="V62" t="s">
        <v>447</v>
      </c>
      <c r="W62" t="s">
        <v>448</v>
      </c>
      <c r="X62" t="s">
        <v>92</v>
      </c>
      <c r="Y62" t="s">
        <v>450</v>
      </c>
      <c r="Z62">
        <v>1247</v>
      </c>
      <c r="AA62">
        <v>50</v>
      </c>
      <c r="AB62">
        <v>144</v>
      </c>
      <c r="AC62" t="s">
        <v>451</v>
      </c>
      <c r="AD62" t="s">
        <v>452</v>
      </c>
      <c r="AE62" t="s">
        <v>453</v>
      </c>
      <c r="AF62" t="s">
        <v>783</v>
      </c>
      <c r="AG62" t="s">
        <v>784</v>
      </c>
      <c r="AH62" t="s">
        <v>785</v>
      </c>
      <c r="AI62" t="s">
        <v>786</v>
      </c>
      <c r="AJ62" s="2">
        <v>45761.748333333337</v>
      </c>
      <c r="AK62" t="s">
        <v>650</v>
      </c>
      <c r="AL62" t="s">
        <v>65</v>
      </c>
      <c r="AM62" s="3">
        <v>2.2569444444444446</v>
      </c>
      <c r="AN62" t="s">
        <v>66</v>
      </c>
      <c r="AO62" t="s">
        <v>67</v>
      </c>
    </row>
    <row r="63" spans="1:41" x14ac:dyDescent="0.2">
      <c r="A63">
        <v>371231</v>
      </c>
      <c r="B63" t="s">
        <v>787</v>
      </c>
      <c r="C63" t="s">
        <v>788</v>
      </c>
      <c r="D63" t="s">
        <v>789</v>
      </c>
      <c r="E63" t="s">
        <v>790</v>
      </c>
      <c r="G63" s="1">
        <v>45770</v>
      </c>
      <c r="H63" s="1">
        <v>45798</v>
      </c>
      <c r="I63" s="1">
        <v>46174</v>
      </c>
      <c r="J63" t="s">
        <v>45</v>
      </c>
      <c r="K63" t="s">
        <v>45</v>
      </c>
      <c r="L63" t="s">
        <v>72</v>
      </c>
      <c r="M63" s="1">
        <v>43235</v>
      </c>
      <c r="N63" t="s">
        <v>89</v>
      </c>
      <c r="O63" t="s">
        <v>121</v>
      </c>
      <c r="P63" t="s">
        <v>49</v>
      </c>
      <c r="Q63" t="s">
        <v>791</v>
      </c>
      <c r="R63" t="s">
        <v>792</v>
      </c>
      <c r="S63">
        <v>60</v>
      </c>
      <c r="T63" t="s">
        <v>52</v>
      </c>
      <c r="U63">
        <v>8</v>
      </c>
      <c r="V63" t="s">
        <v>793</v>
      </c>
      <c r="W63" t="s">
        <v>54</v>
      </c>
      <c r="X63" t="s">
        <v>52</v>
      </c>
      <c r="Y63" t="s">
        <v>125</v>
      </c>
      <c r="Z63">
        <v>2783</v>
      </c>
      <c r="AA63">
        <v>255</v>
      </c>
      <c r="AB63">
        <v>189</v>
      </c>
      <c r="AC63" t="s">
        <v>794</v>
      </c>
      <c r="AD63" t="s">
        <v>795</v>
      </c>
      <c r="AE63" t="s">
        <v>796</v>
      </c>
      <c r="AF63" t="s">
        <v>797</v>
      </c>
      <c r="AG63" t="s">
        <v>798</v>
      </c>
      <c r="AH63" t="s">
        <v>799</v>
      </c>
      <c r="AJ63" s="2">
        <v>45799.695717592593</v>
      </c>
      <c r="AK63" t="s">
        <v>800</v>
      </c>
      <c r="AL63" t="s">
        <v>65</v>
      </c>
      <c r="AM63" s="3">
        <v>1.53125</v>
      </c>
      <c r="AN63" t="s">
        <v>66</v>
      </c>
      <c r="AO63" t="s">
        <v>101</v>
      </c>
    </row>
    <row r="64" spans="1:41" x14ac:dyDescent="0.2">
      <c r="A64">
        <v>347647</v>
      </c>
      <c r="B64" t="s">
        <v>801</v>
      </c>
      <c r="C64" t="s">
        <v>763</v>
      </c>
      <c r="E64" t="s">
        <v>802</v>
      </c>
      <c r="F64">
        <v>470303</v>
      </c>
      <c r="G64" s="1">
        <v>38140</v>
      </c>
      <c r="H64" s="1">
        <v>44760</v>
      </c>
      <c r="I64" s="1">
        <v>46143</v>
      </c>
      <c r="J64" t="s">
        <v>72</v>
      </c>
      <c r="K64" t="s">
        <v>45</v>
      </c>
      <c r="L64" t="s">
        <v>72</v>
      </c>
      <c r="N64" t="s">
        <v>89</v>
      </c>
      <c r="O64" t="s">
        <v>48</v>
      </c>
      <c r="P64" t="s">
        <v>49</v>
      </c>
      <c r="Q64" t="s">
        <v>803</v>
      </c>
      <c r="R64" t="s">
        <v>804</v>
      </c>
      <c r="S64">
        <v>650</v>
      </c>
      <c r="T64" t="s">
        <v>257</v>
      </c>
      <c r="U64" t="s">
        <v>258</v>
      </c>
      <c r="V64" t="s">
        <v>805</v>
      </c>
      <c r="W64" t="s">
        <v>260</v>
      </c>
      <c r="X64" t="s">
        <v>257</v>
      </c>
      <c r="Y64" t="s">
        <v>110</v>
      </c>
      <c r="Z64">
        <v>2576</v>
      </c>
      <c r="AA64">
        <v>30</v>
      </c>
      <c r="AB64">
        <v>28</v>
      </c>
      <c r="AC64" t="s">
        <v>806</v>
      </c>
      <c r="AD64" t="s">
        <v>807</v>
      </c>
      <c r="AE64" t="s">
        <v>808</v>
      </c>
      <c r="AF64" t="s">
        <v>264</v>
      </c>
      <c r="AG64" t="s">
        <v>265</v>
      </c>
      <c r="AH64" t="s">
        <v>266</v>
      </c>
      <c r="AJ64" s="2">
        <v>45029.672615740739</v>
      </c>
      <c r="AK64" t="s">
        <v>100</v>
      </c>
      <c r="AL64" t="s">
        <v>65</v>
      </c>
      <c r="AM64" s="3">
        <v>1.2847222222222223</v>
      </c>
      <c r="AN64" t="s">
        <v>809</v>
      </c>
      <c r="AO64" t="s">
        <v>67</v>
      </c>
    </row>
    <row r="65" spans="1:41" x14ac:dyDescent="0.2">
      <c r="A65">
        <v>367003</v>
      </c>
      <c r="B65" t="s">
        <v>810</v>
      </c>
      <c r="C65" t="s">
        <v>182</v>
      </c>
      <c r="D65" t="s">
        <v>811</v>
      </c>
      <c r="E65" t="s">
        <v>812</v>
      </c>
      <c r="F65">
        <v>45134</v>
      </c>
      <c r="G65" s="1">
        <v>38674</v>
      </c>
      <c r="H65" s="1">
        <v>45646</v>
      </c>
      <c r="I65" s="1">
        <v>45992</v>
      </c>
      <c r="J65" t="s">
        <v>45</v>
      </c>
      <c r="K65" t="s">
        <v>45</v>
      </c>
      <c r="L65" t="s">
        <v>429</v>
      </c>
      <c r="M65" s="1">
        <v>45334</v>
      </c>
      <c r="N65" t="s">
        <v>47</v>
      </c>
      <c r="O65" t="s">
        <v>48</v>
      </c>
      <c r="P65" t="s">
        <v>49</v>
      </c>
      <c r="Q65" t="s">
        <v>813</v>
      </c>
      <c r="R65" t="s">
        <v>814</v>
      </c>
      <c r="S65">
        <v>3159</v>
      </c>
      <c r="T65" t="s">
        <v>365</v>
      </c>
      <c r="U65" t="s">
        <v>815</v>
      </c>
      <c r="V65" t="s">
        <v>816</v>
      </c>
      <c r="W65" t="s">
        <v>367</v>
      </c>
      <c r="X65" t="s">
        <v>493</v>
      </c>
      <c r="Y65" t="s">
        <v>434</v>
      </c>
      <c r="Z65">
        <v>86</v>
      </c>
      <c r="AA65">
        <v>54</v>
      </c>
      <c r="AB65">
        <v>160</v>
      </c>
      <c r="AC65" t="s">
        <v>817</v>
      </c>
      <c r="AD65" t="s">
        <v>818</v>
      </c>
      <c r="AE65" t="s">
        <v>819</v>
      </c>
      <c r="AF65" t="s">
        <v>820</v>
      </c>
      <c r="AH65" t="s">
        <v>821</v>
      </c>
      <c r="AI65" t="s">
        <v>179</v>
      </c>
      <c r="AJ65" s="2">
        <v>45652.856736111113</v>
      </c>
      <c r="AK65" t="s">
        <v>556</v>
      </c>
      <c r="AL65" t="s">
        <v>65</v>
      </c>
      <c r="AM65" s="3">
        <v>2.1041666666666665</v>
      </c>
      <c r="AN65" t="s">
        <v>66</v>
      </c>
      <c r="AO65" t="s">
        <v>67</v>
      </c>
    </row>
    <row r="66" spans="1:41" x14ac:dyDescent="0.2">
      <c r="A66">
        <v>361157</v>
      </c>
      <c r="B66" t="s">
        <v>822</v>
      </c>
      <c r="C66" t="s">
        <v>763</v>
      </c>
      <c r="D66" t="s">
        <v>823</v>
      </c>
      <c r="E66" t="s">
        <v>824</v>
      </c>
      <c r="F66">
        <v>473402</v>
      </c>
      <c r="G66" s="1">
        <v>43544</v>
      </c>
      <c r="H66" s="1">
        <v>45447</v>
      </c>
      <c r="J66" t="s">
        <v>45</v>
      </c>
      <c r="K66" t="s">
        <v>45</v>
      </c>
      <c r="L66" t="s">
        <v>72</v>
      </c>
      <c r="M66" s="1">
        <v>44463</v>
      </c>
      <c r="N66" t="s">
        <v>47</v>
      </c>
      <c r="O66" t="s">
        <v>48</v>
      </c>
      <c r="P66" t="s">
        <v>49</v>
      </c>
      <c r="Q66" t="s">
        <v>825</v>
      </c>
      <c r="R66" t="s">
        <v>826</v>
      </c>
      <c r="S66">
        <v>830</v>
      </c>
      <c r="T66" t="s">
        <v>92</v>
      </c>
      <c r="U66" t="s">
        <v>767</v>
      </c>
      <c r="V66" t="s">
        <v>768</v>
      </c>
      <c r="W66" t="s">
        <v>769</v>
      </c>
      <c r="X66" t="s">
        <v>92</v>
      </c>
      <c r="Y66" t="s">
        <v>770</v>
      </c>
      <c r="Z66">
        <v>10188</v>
      </c>
      <c r="AA66">
        <v>13</v>
      </c>
      <c r="AB66">
        <v>76</v>
      </c>
      <c r="AC66" t="s">
        <v>771</v>
      </c>
      <c r="AD66" t="s">
        <v>827</v>
      </c>
      <c r="AE66" t="s">
        <v>828</v>
      </c>
      <c r="AF66" t="s">
        <v>774</v>
      </c>
      <c r="AG66" t="s">
        <v>775</v>
      </c>
      <c r="AH66" t="s">
        <v>776</v>
      </c>
      <c r="AI66" t="s">
        <v>829</v>
      </c>
      <c r="AJ66" s="2">
        <v>45448.696828703702</v>
      </c>
      <c r="AK66" t="s">
        <v>771</v>
      </c>
      <c r="AL66" t="s">
        <v>65</v>
      </c>
      <c r="AM66" s="4">
        <v>0.3263888888888889</v>
      </c>
      <c r="AN66" t="s">
        <v>66</v>
      </c>
      <c r="AO66" t="s">
        <v>67</v>
      </c>
    </row>
    <row r="67" spans="1:41" x14ac:dyDescent="0.2">
      <c r="A67">
        <v>368720</v>
      </c>
      <c r="B67" t="s">
        <v>830</v>
      </c>
      <c r="C67" t="s">
        <v>831</v>
      </c>
      <c r="D67" t="s">
        <v>832</v>
      </c>
      <c r="E67" t="s">
        <v>833</v>
      </c>
      <c r="F67">
        <v>441101</v>
      </c>
      <c r="G67" s="1">
        <v>44609</v>
      </c>
      <c r="H67" s="1">
        <v>45561</v>
      </c>
      <c r="I67" s="1">
        <v>46266</v>
      </c>
      <c r="J67" t="s">
        <v>45</v>
      </c>
      <c r="K67" t="s">
        <v>45</v>
      </c>
      <c r="L67" t="s">
        <v>72</v>
      </c>
      <c r="M67" s="1">
        <v>44601</v>
      </c>
      <c r="N67" t="s">
        <v>47</v>
      </c>
      <c r="O67" t="s">
        <v>48</v>
      </c>
      <c r="P67" t="s">
        <v>49</v>
      </c>
      <c r="Q67" t="s">
        <v>834</v>
      </c>
      <c r="R67" t="s">
        <v>835</v>
      </c>
      <c r="S67">
        <v>773</v>
      </c>
      <c r="T67" t="s">
        <v>257</v>
      </c>
      <c r="U67" t="s">
        <v>836</v>
      </c>
      <c r="V67" t="s">
        <v>837</v>
      </c>
      <c r="W67" t="s">
        <v>260</v>
      </c>
      <c r="X67" t="s">
        <v>257</v>
      </c>
      <c r="Y67" t="s">
        <v>110</v>
      </c>
      <c r="Z67">
        <v>11686</v>
      </c>
      <c r="AA67">
        <v>12</v>
      </c>
      <c r="AB67">
        <v>189</v>
      </c>
      <c r="AC67" t="s">
        <v>838</v>
      </c>
      <c r="AD67" t="s">
        <v>839</v>
      </c>
      <c r="AE67" t="s">
        <v>840</v>
      </c>
      <c r="AF67" t="s">
        <v>841</v>
      </c>
      <c r="AG67" t="s">
        <v>842</v>
      </c>
      <c r="AH67" t="s">
        <v>843</v>
      </c>
      <c r="AI67" t="s">
        <v>844</v>
      </c>
      <c r="AJ67" s="2">
        <v>45720.628194444442</v>
      </c>
      <c r="AK67" t="s">
        <v>838</v>
      </c>
      <c r="AL67" t="s">
        <v>65</v>
      </c>
      <c r="AM67" s="3">
        <v>1.375</v>
      </c>
      <c r="AN67" t="s">
        <v>66</v>
      </c>
      <c r="AO67" t="s">
        <v>101</v>
      </c>
    </row>
    <row r="68" spans="1:41" x14ac:dyDescent="0.2">
      <c r="A68">
        <v>357364</v>
      </c>
      <c r="B68" t="s">
        <v>845</v>
      </c>
      <c r="C68" t="s">
        <v>42</v>
      </c>
      <c r="D68" t="s">
        <v>846</v>
      </c>
      <c r="E68" t="s">
        <v>847</v>
      </c>
      <c r="H68" s="1">
        <v>43983</v>
      </c>
      <c r="J68" t="s">
        <v>326</v>
      </c>
      <c r="K68" t="s">
        <v>45</v>
      </c>
      <c r="L68" t="s">
        <v>72</v>
      </c>
      <c r="N68" t="s">
        <v>89</v>
      </c>
      <c r="O68" t="s">
        <v>642</v>
      </c>
      <c r="P68" t="s">
        <v>848</v>
      </c>
      <c r="Q68" t="s">
        <v>849</v>
      </c>
      <c r="R68" t="s">
        <v>850</v>
      </c>
      <c r="T68" t="s">
        <v>92</v>
      </c>
      <c r="U68" t="s">
        <v>851</v>
      </c>
      <c r="V68" t="s">
        <v>852</v>
      </c>
      <c r="W68" t="s">
        <v>853</v>
      </c>
      <c r="X68" t="s">
        <v>449</v>
      </c>
      <c r="Y68" t="s">
        <v>854</v>
      </c>
      <c r="Z68">
        <v>11066</v>
      </c>
      <c r="AA68">
        <v>6</v>
      </c>
      <c r="AB68">
        <v>78</v>
      </c>
      <c r="AC68" t="s">
        <v>855</v>
      </c>
      <c r="AD68" t="s">
        <v>856</v>
      </c>
      <c r="AE68" t="s">
        <v>857</v>
      </c>
      <c r="AF68" t="s">
        <v>858</v>
      </c>
      <c r="AG68" t="s">
        <v>859</v>
      </c>
      <c r="AH68" t="s">
        <v>860</v>
      </c>
      <c r="AI68" t="s">
        <v>861</v>
      </c>
      <c r="AJ68" s="2">
        <v>45330.664212962962</v>
      </c>
      <c r="AK68" t="s">
        <v>149</v>
      </c>
      <c r="AL68" t="s">
        <v>862</v>
      </c>
      <c r="AM68" s="3">
        <v>2.0625</v>
      </c>
      <c r="AN68" t="s">
        <v>66</v>
      </c>
      <c r="AO68" t="s">
        <v>67</v>
      </c>
    </row>
    <row r="69" spans="1:41" x14ac:dyDescent="0.2">
      <c r="A69">
        <v>357365</v>
      </c>
      <c r="B69" t="s">
        <v>863</v>
      </c>
      <c r="C69" t="s">
        <v>42</v>
      </c>
      <c r="D69" t="s">
        <v>846</v>
      </c>
      <c r="E69" t="s">
        <v>864</v>
      </c>
      <c r="H69" s="1">
        <v>43983</v>
      </c>
      <c r="J69" t="s">
        <v>326</v>
      </c>
      <c r="K69" t="s">
        <v>45</v>
      </c>
      <c r="L69" t="s">
        <v>72</v>
      </c>
      <c r="N69" t="s">
        <v>89</v>
      </c>
      <c r="O69" t="s">
        <v>642</v>
      </c>
      <c r="P69" t="s">
        <v>848</v>
      </c>
      <c r="Q69" t="s">
        <v>849</v>
      </c>
      <c r="R69" t="s">
        <v>850</v>
      </c>
      <c r="S69">
        <v>6296</v>
      </c>
      <c r="T69" t="s">
        <v>92</v>
      </c>
      <c r="U69" t="s">
        <v>851</v>
      </c>
      <c r="V69" t="s">
        <v>852</v>
      </c>
      <c r="W69" t="s">
        <v>853</v>
      </c>
      <c r="X69" t="s">
        <v>449</v>
      </c>
      <c r="Y69" t="s">
        <v>854</v>
      </c>
      <c r="Z69">
        <v>11086</v>
      </c>
      <c r="AA69">
        <v>6</v>
      </c>
      <c r="AB69">
        <v>78</v>
      </c>
      <c r="AC69" t="s">
        <v>855</v>
      </c>
      <c r="AD69" t="s">
        <v>856</v>
      </c>
      <c r="AE69" t="s">
        <v>857</v>
      </c>
      <c r="AF69" t="s">
        <v>858</v>
      </c>
      <c r="AG69" t="s">
        <v>859</v>
      </c>
      <c r="AH69" t="s">
        <v>860</v>
      </c>
      <c r="AI69" t="s">
        <v>861</v>
      </c>
      <c r="AJ69" s="2">
        <v>45330.664444444446</v>
      </c>
      <c r="AK69" t="s">
        <v>149</v>
      </c>
      <c r="AL69" t="s">
        <v>862</v>
      </c>
      <c r="AM69" s="3">
        <v>2.0694444444444446</v>
      </c>
      <c r="AN69" t="s">
        <v>66</v>
      </c>
      <c r="AO69" t="s">
        <v>67</v>
      </c>
    </row>
    <row r="70" spans="1:41" x14ac:dyDescent="0.2">
      <c r="A70">
        <v>357366</v>
      </c>
      <c r="B70" t="s">
        <v>865</v>
      </c>
      <c r="C70" t="s">
        <v>42</v>
      </c>
      <c r="D70" t="s">
        <v>846</v>
      </c>
      <c r="E70" t="s">
        <v>866</v>
      </c>
      <c r="J70" t="s">
        <v>326</v>
      </c>
      <c r="K70" t="s">
        <v>45</v>
      </c>
      <c r="L70" t="s">
        <v>72</v>
      </c>
      <c r="N70" t="s">
        <v>89</v>
      </c>
      <c r="O70" t="s">
        <v>642</v>
      </c>
      <c r="P70" t="s">
        <v>848</v>
      </c>
      <c r="Q70" t="s">
        <v>849</v>
      </c>
      <c r="R70" t="s">
        <v>850</v>
      </c>
      <c r="S70">
        <v>6296</v>
      </c>
      <c r="T70" t="s">
        <v>92</v>
      </c>
      <c r="U70" t="s">
        <v>851</v>
      </c>
      <c r="V70" t="s">
        <v>852</v>
      </c>
      <c r="W70" t="s">
        <v>853</v>
      </c>
      <c r="X70" t="s">
        <v>92</v>
      </c>
      <c r="Y70" t="s">
        <v>96</v>
      </c>
      <c r="Z70">
        <v>11526</v>
      </c>
      <c r="AA70">
        <v>4</v>
      </c>
      <c r="AB70">
        <v>78</v>
      </c>
      <c r="AC70" t="s">
        <v>855</v>
      </c>
      <c r="AD70" t="s">
        <v>856</v>
      </c>
      <c r="AE70" t="s">
        <v>857</v>
      </c>
      <c r="AF70" t="s">
        <v>858</v>
      </c>
      <c r="AG70" t="s">
        <v>867</v>
      </c>
      <c r="AH70" t="s">
        <v>860</v>
      </c>
      <c r="AI70" t="s">
        <v>868</v>
      </c>
      <c r="AJ70" s="2">
        <v>45330.664675925924</v>
      </c>
      <c r="AK70" t="s">
        <v>149</v>
      </c>
      <c r="AL70" t="s">
        <v>862</v>
      </c>
      <c r="AM70" s="4">
        <v>0.11805555555555555</v>
      </c>
      <c r="AN70" t="s">
        <v>66</v>
      </c>
      <c r="AO70" t="s">
        <v>67</v>
      </c>
    </row>
    <row r="71" spans="1:41" x14ac:dyDescent="0.2">
      <c r="A71">
        <v>367007</v>
      </c>
      <c r="B71" t="s">
        <v>869</v>
      </c>
      <c r="C71" t="s">
        <v>278</v>
      </c>
      <c r="D71" t="s">
        <v>870</v>
      </c>
      <c r="E71" t="s">
        <v>871</v>
      </c>
      <c r="F71">
        <v>420911</v>
      </c>
      <c r="G71" s="1">
        <v>30439</v>
      </c>
      <c r="H71" s="1">
        <v>45583</v>
      </c>
      <c r="I71" s="1">
        <v>45945</v>
      </c>
      <c r="J71" t="s">
        <v>45</v>
      </c>
      <c r="K71" t="s">
        <v>45</v>
      </c>
      <c r="L71" t="s">
        <v>429</v>
      </c>
      <c r="M71" s="1">
        <v>39343</v>
      </c>
      <c r="N71" t="s">
        <v>47</v>
      </c>
      <c r="O71" t="s">
        <v>48</v>
      </c>
      <c r="P71" t="s">
        <v>49</v>
      </c>
      <c r="Q71" t="s">
        <v>872</v>
      </c>
      <c r="R71" t="s">
        <v>873</v>
      </c>
      <c r="S71">
        <v>5030</v>
      </c>
      <c r="T71" t="s">
        <v>365</v>
      </c>
      <c r="U71" t="s">
        <v>432</v>
      </c>
      <c r="V71" t="s">
        <v>874</v>
      </c>
      <c r="W71" t="s">
        <v>367</v>
      </c>
      <c r="X71" t="s">
        <v>76</v>
      </c>
      <c r="Y71" t="s">
        <v>434</v>
      </c>
      <c r="Z71">
        <v>354</v>
      </c>
      <c r="AA71">
        <v>64</v>
      </c>
      <c r="AB71">
        <v>66</v>
      </c>
      <c r="AC71" t="s">
        <v>875</v>
      </c>
      <c r="AD71" t="s">
        <v>876</v>
      </c>
      <c r="AE71" t="s">
        <v>877</v>
      </c>
      <c r="AF71" t="s">
        <v>878</v>
      </c>
      <c r="AG71" t="s">
        <v>879</v>
      </c>
      <c r="AH71" t="s">
        <v>880</v>
      </c>
      <c r="AI71" t="s">
        <v>179</v>
      </c>
      <c r="AJ71" s="2">
        <v>45652.860891203702</v>
      </c>
      <c r="AK71" t="s">
        <v>556</v>
      </c>
      <c r="AL71" t="s">
        <v>65</v>
      </c>
      <c r="AM71" s="3">
        <v>2.4375</v>
      </c>
      <c r="AN71" t="s">
        <v>66</v>
      </c>
      <c r="AO71" t="s">
        <v>67</v>
      </c>
    </row>
    <row r="72" spans="1:41" x14ac:dyDescent="0.2">
      <c r="A72">
        <v>369449</v>
      </c>
      <c r="B72" t="s">
        <v>881</v>
      </c>
      <c r="C72" t="s">
        <v>662</v>
      </c>
      <c r="D72" t="s">
        <v>882</v>
      </c>
      <c r="E72" t="s">
        <v>883</v>
      </c>
      <c r="F72">
        <v>418502</v>
      </c>
      <c r="G72" s="1">
        <v>36195</v>
      </c>
      <c r="H72" s="1">
        <v>45615</v>
      </c>
      <c r="I72" s="1">
        <v>45962</v>
      </c>
      <c r="J72" t="s">
        <v>45</v>
      </c>
      <c r="K72" t="s">
        <v>45</v>
      </c>
      <c r="L72" t="s">
        <v>72</v>
      </c>
      <c r="M72" s="1">
        <v>44580</v>
      </c>
      <c r="N72" t="s">
        <v>47</v>
      </c>
      <c r="O72" t="s">
        <v>48</v>
      </c>
      <c r="P72" t="s">
        <v>49</v>
      </c>
      <c r="Q72" t="s">
        <v>884</v>
      </c>
      <c r="R72" t="s">
        <v>885</v>
      </c>
      <c r="S72">
        <v>9</v>
      </c>
      <c r="T72" t="s">
        <v>156</v>
      </c>
      <c r="U72" t="s">
        <v>667</v>
      </c>
      <c r="V72" t="s">
        <v>886</v>
      </c>
      <c r="W72" t="s">
        <v>159</v>
      </c>
      <c r="X72" t="s">
        <v>55</v>
      </c>
      <c r="Y72" t="s">
        <v>56</v>
      </c>
      <c r="Z72">
        <v>906</v>
      </c>
      <c r="AA72">
        <v>59</v>
      </c>
      <c r="AB72">
        <v>166</v>
      </c>
      <c r="AC72" t="s">
        <v>887</v>
      </c>
      <c r="AD72" t="s">
        <v>888</v>
      </c>
      <c r="AE72" t="s">
        <v>889</v>
      </c>
      <c r="AF72" t="s">
        <v>890</v>
      </c>
      <c r="AG72" t="s">
        <v>891</v>
      </c>
      <c r="AH72" t="s">
        <v>892</v>
      </c>
      <c r="AI72" t="s">
        <v>179</v>
      </c>
      <c r="AJ72" s="2">
        <v>45741.54488425926</v>
      </c>
      <c r="AK72" t="s">
        <v>132</v>
      </c>
      <c r="AL72" t="s">
        <v>65</v>
      </c>
      <c r="AM72" s="3">
        <v>2.4930555555555554</v>
      </c>
      <c r="AN72" t="s">
        <v>66</v>
      </c>
      <c r="AO72" t="s">
        <v>67</v>
      </c>
    </row>
    <row r="73" spans="1:41" x14ac:dyDescent="0.2">
      <c r="A73">
        <v>371767</v>
      </c>
      <c r="B73" t="s">
        <v>893</v>
      </c>
      <c r="C73" t="s">
        <v>182</v>
      </c>
      <c r="D73" t="s">
        <v>894</v>
      </c>
      <c r="E73" s="5">
        <v>916036000000</v>
      </c>
      <c r="G73" s="1">
        <v>45601</v>
      </c>
      <c r="H73" s="1">
        <v>45818</v>
      </c>
      <c r="I73" s="1">
        <v>46082</v>
      </c>
      <c r="J73" t="s">
        <v>45</v>
      </c>
      <c r="K73" t="s">
        <v>45</v>
      </c>
      <c r="L73" t="s">
        <v>72</v>
      </c>
      <c r="M73" s="1">
        <v>43577</v>
      </c>
      <c r="N73" t="s">
        <v>47</v>
      </c>
      <c r="O73" t="s">
        <v>642</v>
      </c>
      <c r="P73" t="s">
        <v>848</v>
      </c>
      <c r="Q73" t="s">
        <v>895</v>
      </c>
      <c r="R73" t="s">
        <v>896</v>
      </c>
      <c r="S73">
        <v>872</v>
      </c>
      <c r="T73" t="s">
        <v>449</v>
      </c>
      <c r="U73" t="s">
        <v>187</v>
      </c>
      <c r="V73" t="s">
        <v>897</v>
      </c>
      <c r="W73" t="s">
        <v>898</v>
      </c>
      <c r="X73" t="s">
        <v>449</v>
      </c>
      <c r="Y73" t="s">
        <v>110</v>
      </c>
      <c r="Z73">
        <v>2586</v>
      </c>
      <c r="AA73">
        <v>75</v>
      </c>
      <c r="AB73">
        <v>172</v>
      </c>
      <c r="AC73" t="s">
        <v>899</v>
      </c>
      <c r="AD73" t="s">
        <v>900</v>
      </c>
      <c r="AE73" t="s">
        <v>901</v>
      </c>
      <c r="AF73" t="s">
        <v>902</v>
      </c>
      <c r="AG73" t="s">
        <v>903</v>
      </c>
      <c r="AH73" t="s">
        <v>904</v>
      </c>
      <c r="AI73" t="s">
        <v>900</v>
      </c>
      <c r="AJ73" s="2">
        <v>45818.919965277775</v>
      </c>
      <c r="AK73" t="s">
        <v>899</v>
      </c>
      <c r="AL73" t="s">
        <v>65</v>
      </c>
      <c r="AM73" s="3">
        <v>2.2291666666666665</v>
      </c>
      <c r="AN73" t="s">
        <v>66</v>
      </c>
      <c r="AO73" t="s">
        <v>67</v>
      </c>
    </row>
    <row r="74" spans="1:41" x14ac:dyDescent="0.2">
      <c r="A74">
        <v>371769</v>
      </c>
      <c r="B74" t="s">
        <v>905</v>
      </c>
      <c r="C74" t="s">
        <v>182</v>
      </c>
      <c r="D74" t="s">
        <v>894</v>
      </c>
      <c r="E74" t="s">
        <v>906</v>
      </c>
      <c r="G74" s="1">
        <v>45085</v>
      </c>
      <c r="H74" s="1">
        <v>45453</v>
      </c>
      <c r="I74" s="1">
        <v>46082</v>
      </c>
      <c r="J74" t="s">
        <v>45</v>
      </c>
      <c r="K74" t="s">
        <v>45</v>
      </c>
      <c r="L74" t="s">
        <v>72</v>
      </c>
      <c r="M74" s="1">
        <v>43832</v>
      </c>
      <c r="N74" t="s">
        <v>47</v>
      </c>
      <c r="O74" t="s">
        <v>121</v>
      </c>
      <c r="P74" t="s">
        <v>907</v>
      </c>
      <c r="Q74" t="s">
        <v>908</v>
      </c>
      <c r="R74" t="s">
        <v>909</v>
      </c>
      <c r="S74">
        <v>965</v>
      </c>
      <c r="T74" t="s">
        <v>449</v>
      </c>
      <c r="U74" t="s">
        <v>187</v>
      </c>
      <c r="V74" t="s">
        <v>897</v>
      </c>
      <c r="W74" t="s">
        <v>898</v>
      </c>
      <c r="X74" t="s">
        <v>449</v>
      </c>
      <c r="Y74" t="s">
        <v>110</v>
      </c>
      <c r="Z74">
        <v>2567</v>
      </c>
      <c r="AA74">
        <v>66</v>
      </c>
      <c r="AB74">
        <v>172</v>
      </c>
      <c r="AC74" t="s">
        <v>899</v>
      </c>
      <c r="AD74" t="s">
        <v>900</v>
      </c>
      <c r="AE74" t="s">
        <v>910</v>
      </c>
      <c r="AF74" t="s">
        <v>911</v>
      </c>
      <c r="AG74" t="s">
        <v>912</v>
      </c>
      <c r="AH74" t="s">
        <v>913</v>
      </c>
      <c r="AI74" t="s">
        <v>900</v>
      </c>
      <c r="AJ74" s="2">
        <v>45818.923217592594</v>
      </c>
      <c r="AK74" t="s">
        <v>899</v>
      </c>
      <c r="AL74" t="s">
        <v>65</v>
      </c>
      <c r="AM74" s="3">
        <v>2.2083333333333335</v>
      </c>
      <c r="AN74" t="s">
        <v>66</v>
      </c>
      <c r="AO74" t="s">
        <v>67</v>
      </c>
    </row>
    <row r="75" spans="1:41" x14ac:dyDescent="0.2">
      <c r="A75">
        <v>371770</v>
      </c>
      <c r="B75" t="s">
        <v>914</v>
      </c>
      <c r="C75" t="s">
        <v>182</v>
      </c>
      <c r="D75" t="s">
        <v>915</v>
      </c>
      <c r="E75">
        <v>91602590</v>
      </c>
      <c r="G75" s="1">
        <v>41373</v>
      </c>
      <c r="H75" s="1">
        <v>45818</v>
      </c>
      <c r="I75" s="1">
        <v>46082</v>
      </c>
      <c r="J75" t="s">
        <v>45</v>
      </c>
      <c r="K75" t="s">
        <v>45</v>
      </c>
      <c r="L75" t="s">
        <v>72</v>
      </c>
      <c r="M75" s="1">
        <v>43559</v>
      </c>
      <c r="N75" t="s">
        <v>47</v>
      </c>
      <c r="O75" t="s">
        <v>642</v>
      </c>
      <c r="P75" t="s">
        <v>848</v>
      </c>
      <c r="Q75" t="s">
        <v>916</v>
      </c>
      <c r="R75" t="s">
        <v>917</v>
      </c>
      <c r="S75">
        <v>5605</v>
      </c>
      <c r="T75" t="s">
        <v>449</v>
      </c>
      <c r="U75" t="s">
        <v>187</v>
      </c>
      <c r="V75" t="s">
        <v>897</v>
      </c>
      <c r="W75" t="s">
        <v>898</v>
      </c>
      <c r="X75" t="s">
        <v>449</v>
      </c>
      <c r="Y75" t="s">
        <v>110</v>
      </c>
      <c r="Z75">
        <v>2587</v>
      </c>
      <c r="AA75">
        <v>62</v>
      </c>
      <c r="AB75">
        <v>172</v>
      </c>
      <c r="AC75" t="s">
        <v>899</v>
      </c>
      <c r="AD75" t="s">
        <v>900</v>
      </c>
      <c r="AE75" t="s">
        <v>901</v>
      </c>
      <c r="AF75" t="s">
        <v>902</v>
      </c>
      <c r="AG75" t="s">
        <v>903</v>
      </c>
      <c r="AH75" t="s">
        <v>904</v>
      </c>
      <c r="AI75" t="s">
        <v>900</v>
      </c>
      <c r="AJ75" s="2">
        <v>45818.925810185188</v>
      </c>
      <c r="AK75" t="s">
        <v>899</v>
      </c>
      <c r="AL75" t="s">
        <v>65</v>
      </c>
      <c r="AM75" s="3">
        <v>2.2222222222222223</v>
      </c>
      <c r="AN75" t="s">
        <v>66</v>
      </c>
      <c r="AO75" t="s">
        <v>67</v>
      </c>
    </row>
    <row r="76" spans="1:41" x14ac:dyDescent="0.2">
      <c r="A76">
        <v>371771</v>
      </c>
      <c r="B76" t="s">
        <v>918</v>
      </c>
      <c r="C76" t="s">
        <v>182</v>
      </c>
      <c r="D76" t="s">
        <v>915</v>
      </c>
      <c r="E76" t="s">
        <v>919</v>
      </c>
      <c r="G76" s="1">
        <v>44137</v>
      </c>
      <c r="H76" s="1">
        <v>45818</v>
      </c>
      <c r="I76" s="1">
        <v>46082</v>
      </c>
      <c r="J76" t="s">
        <v>45</v>
      </c>
      <c r="K76" t="s">
        <v>45</v>
      </c>
      <c r="L76" t="s">
        <v>72</v>
      </c>
      <c r="M76" s="1">
        <v>44245</v>
      </c>
      <c r="N76" t="s">
        <v>47</v>
      </c>
      <c r="O76" t="s">
        <v>642</v>
      </c>
      <c r="P76" t="s">
        <v>848</v>
      </c>
      <c r="Q76" t="s">
        <v>920</v>
      </c>
      <c r="R76" t="s">
        <v>921</v>
      </c>
      <c r="S76">
        <v>30</v>
      </c>
      <c r="T76" t="s">
        <v>449</v>
      </c>
      <c r="U76" t="s">
        <v>187</v>
      </c>
      <c r="V76" t="s">
        <v>897</v>
      </c>
      <c r="W76" t="s">
        <v>898</v>
      </c>
      <c r="X76" t="s">
        <v>449</v>
      </c>
      <c r="Y76" t="s">
        <v>110</v>
      </c>
      <c r="Z76">
        <v>2588</v>
      </c>
      <c r="AA76">
        <v>59</v>
      </c>
      <c r="AB76">
        <v>172</v>
      </c>
      <c r="AC76" t="s">
        <v>899</v>
      </c>
      <c r="AD76" t="s">
        <v>900</v>
      </c>
      <c r="AE76" t="s">
        <v>910</v>
      </c>
      <c r="AF76" t="s">
        <v>911</v>
      </c>
      <c r="AG76" t="s">
        <v>912</v>
      </c>
      <c r="AH76" t="s">
        <v>913</v>
      </c>
      <c r="AI76" t="s">
        <v>900</v>
      </c>
      <c r="AJ76" s="2">
        <v>45818.929664351854</v>
      </c>
      <c r="AK76" t="s">
        <v>899</v>
      </c>
      <c r="AL76" t="s">
        <v>65</v>
      </c>
      <c r="AM76" s="3">
        <v>2.2152777777777777</v>
      </c>
      <c r="AN76" t="s">
        <v>66</v>
      </c>
      <c r="AO76" t="s">
        <v>67</v>
      </c>
    </row>
    <row r="77" spans="1:41" x14ac:dyDescent="0.2">
      <c r="A77">
        <v>371944</v>
      </c>
      <c r="B77" t="s">
        <v>922</v>
      </c>
      <c r="C77" t="s">
        <v>182</v>
      </c>
      <c r="D77" t="s">
        <v>894</v>
      </c>
      <c r="E77" t="s">
        <v>923</v>
      </c>
      <c r="F77">
        <v>40632</v>
      </c>
      <c r="G77" s="1">
        <v>34516</v>
      </c>
      <c r="H77" s="1">
        <v>45820</v>
      </c>
      <c r="J77" t="s">
        <v>45</v>
      </c>
      <c r="K77" t="s">
        <v>326</v>
      </c>
      <c r="L77" t="s">
        <v>72</v>
      </c>
      <c r="M77" s="1">
        <v>37098</v>
      </c>
      <c r="N77" t="s">
        <v>47</v>
      </c>
      <c r="O77" t="s">
        <v>48</v>
      </c>
      <c r="P77" t="s">
        <v>49</v>
      </c>
      <c r="Q77" t="s">
        <v>924</v>
      </c>
      <c r="R77" t="s">
        <v>925</v>
      </c>
      <c r="S77">
        <v>2452</v>
      </c>
      <c r="T77" t="s">
        <v>92</v>
      </c>
      <c r="U77" t="s">
        <v>187</v>
      </c>
      <c r="V77" t="s">
        <v>447</v>
      </c>
      <c r="W77" t="s">
        <v>448</v>
      </c>
      <c r="X77" t="s">
        <v>92</v>
      </c>
      <c r="Y77" t="s">
        <v>450</v>
      </c>
      <c r="Z77">
        <v>1221</v>
      </c>
      <c r="AA77">
        <v>51</v>
      </c>
      <c r="AB77">
        <v>142</v>
      </c>
      <c r="AC77" t="s">
        <v>451</v>
      </c>
      <c r="AD77" t="s">
        <v>452</v>
      </c>
      <c r="AE77" t="s">
        <v>453</v>
      </c>
      <c r="AF77" t="s">
        <v>454</v>
      </c>
      <c r="AG77" t="s">
        <v>473</v>
      </c>
      <c r="AH77" t="s">
        <v>474</v>
      </c>
      <c r="AI77" t="s">
        <v>452</v>
      </c>
      <c r="AJ77" s="2">
        <v>45825.653449074074</v>
      </c>
      <c r="AK77" t="s">
        <v>456</v>
      </c>
      <c r="AL77" t="s">
        <v>475</v>
      </c>
      <c r="AM77" s="3">
        <v>2.2604166666666665</v>
      </c>
      <c r="AN77" t="s">
        <v>66</v>
      </c>
      <c r="AO77" t="s">
        <v>67</v>
      </c>
    </row>
    <row r="78" spans="1:41" x14ac:dyDescent="0.2">
      <c r="A78">
        <v>372472</v>
      </c>
      <c r="B78" t="s">
        <v>926</v>
      </c>
      <c r="C78" t="s">
        <v>134</v>
      </c>
      <c r="D78" t="s">
        <v>927</v>
      </c>
      <c r="E78" t="s">
        <v>928</v>
      </c>
      <c r="F78">
        <v>453507</v>
      </c>
      <c r="G78" s="1">
        <v>43761</v>
      </c>
      <c r="H78" s="1">
        <v>45826</v>
      </c>
      <c r="I78" s="1">
        <v>46204</v>
      </c>
      <c r="J78" t="s">
        <v>45</v>
      </c>
      <c r="K78" t="s">
        <v>45</v>
      </c>
      <c r="L78" t="s">
        <v>72</v>
      </c>
      <c r="M78" s="1">
        <v>45499</v>
      </c>
      <c r="N78" t="s">
        <v>47</v>
      </c>
      <c r="O78" t="s">
        <v>48</v>
      </c>
      <c r="P78" t="s">
        <v>49</v>
      </c>
      <c r="Q78" t="s">
        <v>929</v>
      </c>
      <c r="R78" t="s">
        <v>930</v>
      </c>
      <c r="S78">
        <v>2050</v>
      </c>
      <c r="T78" t="s">
        <v>92</v>
      </c>
      <c r="U78" t="s">
        <v>139</v>
      </c>
      <c r="V78" t="s">
        <v>140</v>
      </c>
      <c r="W78" t="s">
        <v>141</v>
      </c>
      <c r="X78" t="s">
        <v>92</v>
      </c>
      <c r="Y78" t="s">
        <v>110</v>
      </c>
      <c r="Z78">
        <v>10727</v>
      </c>
      <c r="AA78">
        <v>15</v>
      </c>
      <c r="AB78">
        <v>78</v>
      </c>
      <c r="AC78" t="s">
        <v>217</v>
      </c>
      <c r="AD78" t="s">
        <v>218</v>
      </c>
      <c r="AE78" t="s">
        <v>219</v>
      </c>
      <c r="AF78" t="s">
        <v>145</v>
      </c>
      <c r="AG78" t="s">
        <v>146</v>
      </c>
      <c r="AH78" t="s">
        <v>147</v>
      </c>
      <c r="AI78" t="s">
        <v>148</v>
      </c>
      <c r="AJ78" s="2">
        <v>45840.705081018517</v>
      </c>
      <c r="AK78" t="s">
        <v>217</v>
      </c>
      <c r="AL78" t="s">
        <v>65</v>
      </c>
      <c r="AM78" s="3">
        <v>1.9652777777777777</v>
      </c>
      <c r="AN78" t="s">
        <v>66</v>
      </c>
      <c r="AO78" t="s">
        <v>67</v>
      </c>
    </row>
    <row r="79" spans="1:41" x14ac:dyDescent="0.2">
      <c r="A79">
        <v>372899</v>
      </c>
      <c r="B79" t="s">
        <v>931</v>
      </c>
      <c r="C79" t="s">
        <v>69</v>
      </c>
      <c r="D79" t="s">
        <v>932</v>
      </c>
      <c r="E79" t="s">
        <v>933</v>
      </c>
      <c r="F79">
        <v>101905</v>
      </c>
      <c r="G79" s="1">
        <v>31728</v>
      </c>
      <c r="H79" s="1">
        <v>45835</v>
      </c>
      <c r="I79" s="1">
        <v>46188</v>
      </c>
      <c r="J79" t="s">
        <v>45</v>
      </c>
      <c r="K79" t="s">
        <v>45</v>
      </c>
      <c r="L79" t="s">
        <v>429</v>
      </c>
      <c r="M79" s="1">
        <v>43633</v>
      </c>
      <c r="N79" t="s">
        <v>47</v>
      </c>
      <c r="O79" t="s">
        <v>48</v>
      </c>
      <c r="P79" t="s">
        <v>49</v>
      </c>
      <c r="Q79" t="s">
        <v>934</v>
      </c>
      <c r="R79" t="s">
        <v>935</v>
      </c>
      <c r="S79">
        <v>5418</v>
      </c>
      <c r="T79" t="s">
        <v>365</v>
      </c>
      <c r="U79" t="s">
        <v>532</v>
      </c>
      <c r="V79" t="s">
        <v>936</v>
      </c>
      <c r="W79" t="s">
        <v>367</v>
      </c>
      <c r="X79" t="s">
        <v>76</v>
      </c>
      <c r="Y79" t="s">
        <v>434</v>
      </c>
      <c r="Z79">
        <v>175</v>
      </c>
      <c r="AA79">
        <v>57</v>
      </c>
      <c r="AB79">
        <v>158</v>
      </c>
      <c r="AC79" t="s">
        <v>937</v>
      </c>
      <c r="AD79" t="s">
        <v>938</v>
      </c>
      <c r="AE79" t="s">
        <v>939</v>
      </c>
      <c r="AI79" t="s">
        <v>179</v>
      </c>
      <c r="AJ79" s="2">
        <v>45855.876018518517</v>
      </c>
      <c r="AK79" t="s">
        <v>556</v>
      </c>
      <c r="AL79" t="s">
        <v>65</v>
      </c>
      <c r="AM79" s="3">
        <v>1.9583333333333333</v>
      </c>
      <c r="AN79" t="s">
        <v>66</v>
      </c>
      <c r="AO79" t="s">
        <v>67</v>
      </c>
    </row>
    <row r="80" spans="1:41" x14ac:dyDescent="0.2">
      <c r="A80">
        <v>369390</v>
      </c>
      <c r="B80" t="s">
        <v>940</v>
      </c>
      <c r="C80" t="s">
        <v>345</v>
      </c>
      <c r="D80" t="s">
        <v>941</v>
      </c>
      <c r="E80" t="s">
        <v>942</v>
      </c>
      <c r="F80">
        <v>50598</v>
      </c>
      <c r="G80" s="1">
        <v>45736</v>
      </c>
      <c r="H80" s="1">
        <v>45590</v>
      </c>
      <c r="I80" s="1">
        <v>45931</v>
      </c>
      <c r="J80" t="s">
        <v>45</v>
      </c>
      <c r="K80" t="s">
        <v>45</v>
      </c>
      <c r="L80" t="s">
        <v>72</v>
      </c>
      <c r="N80" t="s">
        <v>47</v>
      </c>
      <c r="O80" t="s">
        <v>121</v>
      </c>
      <c r="P80" t="s">
        <v>49</v>
      </c>
      <c r="Q80" t="s">
        <v>943</v>
      </c>
      <c r="R80" t="s">
        <v>944</v>
      </c>
      <c r="S80">
        <v>7963</v>
      </c>
      <c r="T80" t="s">
        <v>52</v>
      </c>
      <c r="U80">
        <v>2</v>
      </c>
      <c r="V80" t="s">
        <v>945</v>
      </c>
      <c r="W80" t="s">
        <v>54</v>
      </c>
      <c r="X80" t="s">
        <v>76</v>
      </c>
      <c r="Y80" t="s">
        <v>125</v>
      </c>
      <c r="Z80">
        <v>2795</v>
      </c>
      <c r="AA80">
        <v>84</v>
      </c>
      <c r="AB80">
        <v>158</v>
      </c>
      <c r="AC80" t="s">
        <v>946</v>
      </c>
      <c r="AD80" t="s">
        <v>947</v>
      </c>
      <c r="AE80" t="s">
        <v>948</v>
      </c>
      <c r="AJ80" s="2">
        <v>45736.806145833332</v>
      </c>
      <c r="AK80" t="s">
        <v>276</v>
      </c>
      <c r="AL80" t="s">
        <v>65</v>
      </c>
      <c r="AM80" s="3">
        <v>2.3263888888888888</v>
      </c>
      <c r="AN80" t="s">
        <v>66</v>
      </c>
      <c r="AO80" t="s">
        <v>67</v>
      </c>
    </row>
    <row r="81" spans="1:41" x14ac:dyDescent="0.2">
      <c r="A81">
        <v>365996</v>
      </c>
      <c r="B81" t="s">
        <v>949</v>
      </c>
      <c r="C81" t="s">
        <v>345</v>
      </c>
      <c r="D81" t="s">
        <v>950</v>
      </c>
      <c r="E81" t="s">
        <v>951</v>
      </c>
      <c r="G81" s="1">
        <v>45582</v>
      </c>
      <c r="H81" s="1">
        <v>45575</v>
      </c>
      <c r="I81" s="1">
        <v>45931</v>
      </c>
      <c r="J81" t="s">
        <v>45</v>
      </c>
      <c r="K81" t="s">
        <v>45</v>
      </c>
      <c r="L81" t="s">
        <v>72</v>
      </c>
      <c r="N81" t="s">
        <v>89</v>
      </c>
      <c r="O81" t="s">
        <v>121</v>
      </c>
      <c r="P81" t="s">
        <v>49</v>
      </c>
      <c r="Q81" t="s">
        <v>952</v>
      </c>
      <c r="R81" t="s">
        <v>953</v>
      </c>
      <c r="S81">
        <v>9679</v>
      </c>
      <c r="T81" t="s">
        <v>52</v>
      </c>
      <c r="U81">
        <v>2</v>
      </c>
      <c r="V81" t="s">
        <v>945</v>
      </c>
      <c r="W81" t="s">
        <v>54</v>
      </c>
      <c r="X81" t="s">
        <v>76</v>
      </c>
      <c r="Y81" t="s">
        <v>125</v>
      </c>
      <c r="Z81">
        <v>3066</v>
      </c>
      <c r="AA81">
        <v>77</v>
      </c>
      <c r="AB81">
        <v>38</v>
      </c>
      <c r="AC81" t="s">
        <v>946</v>
      </c>
      <c r="AD81" t="s">
        <v>947</v>
      </c>
      <c r="AE81" t="s">
        <v>948</v>
      </c>
      <c r="AI81" t="s">
        <v>947</v>
      </c>
      <c r="AJ81" s="2">
        <v>45600.638981481483</v>
      </c>
      <c r="AK81" t="s">
        <v>800</v>
      </c>
      <c r="AL81" t="s">
        <v>65</v>
      </c>
      <c r="AM81" s="3">
        <v>1.1527777777777777</v>
      </c>
      <c r="AN81" t="s">
        <v>66</v>
      </c>
      <c r="AO81" t="s">
        <v>67</v>
      </c>
    </row>
    <row r="82" spans="1:41" x14ac:dyDescent="0.2">
      <c r="A82">
        <v>369477</v>
      </c>
      <c r="B82" t="s">
        <v>954</v>
      </c>
      <c r="C82" t="s">
        <v>118</v>
      </c>
      <c r="E82" t="s">
        <v>955</v>
      </c>
      <c r="G82" s="1">
        <v>45357</v>
      </c>
      <c r="H82" s="1">
        <v>45740</v>
      </c>
      <c r="I82" s="1">
        <v>46113</v>
      </c>
      <c r="J82" t="s">
        <v>45</v>
      </c>
      <c r="K82" t="s">
        <v>45</v>
      </c>
      <c r="L82" t="s">
        <v>72</v>
      </c>
      <c r="M82" s="1">
        <v>41806</v>
      </c>
      <c r="N82" t="s">
        <v>89</v>
      </c>
      <c r="O82" t="s">
        <v>121</v>
      </c>
      <c r="P82" t="s">
        <v>49</v>
      </c>
      <c r="Q82" t="s">
        <v>956</v>
      </c>
      <c r="R82" t="s">
        <v>957</v>
      </c>
      <c r="S82">
        <v>6482</v>
      </c>
      <c r="T82" t="s">
        <v>365</v>
      </c>
      <c r="U82" t="s">
        <v>815</v>
      </c>
      <c r="V82" t="s">
        <v>958</v>
      </c>
      <c r="W82" t="s">
        <v>367</v>
      </c>
      <c r="X82" t="s">
        <v>76</v>
      </c>
      <c r="Y82" t="s">
        <v>125</v>
      </c>
      <c r="Z82">
        <v>2920</v>
      </c>
      <c r="AA82">
        <v>69</v>
      </c>
      <c r="AB82">
        <v>66</v>
      </c>
      <c r="AC82" t="s">
        <v>959</v>
      </c>
      <c r="AD82" t="s">
        <v>960</v>
      </c>
      <c r="AE82" t="s">
        <v>961</v>
      </c>
      <c r="AF82" t="s">
        <v>962</v>
      </c>
      <c r="AG82" t="s">
        <v>963</v>
      </c>
      <c r="AH82" t="s">
        <v>964</v>
      </c>
      <c r="AJ82" s="2">
        <v>45742.531898148147</v>
      </c>
      <c r="AK82" t="s">
        <v>800</v>
      </c>
      <c r="AL82" t="s">
        <v>65</v>
      </c>
      <c r="AM82" s="3">
        <v>2.1111111111111112</v>
      </c>
      <c r="AN82" t="s">
        <v>66</v>
      </c>
      <c r="AO82" t="s">
        <v>67</v>
      </c>
    </row>
    <row r="83" spans="1:41" x14ac:dyDescent="0.2">
      <c r="A83">
        <v>371864</v>
      </c>
      <c r="B83" t="s">
        <v>965</v>
      </c>
      <c r="C83" t="s">
        <v>735</v>
      </c>
      <c r="D83" t="s">
        <v>966</v>
      </c>
      <c r="E83">
        <v>32544768</v>
      </c>
      <c r="F83">
        <v>242205</v>
      </c>
      <c r="G83" s="1">
        <v>33533</v>
      </c>
      <c r="H83" s="1">
        <v>45814</v>
      </c>
      <c r="I83" s="1">
        <v>46174</v>
      </c>
      <c r="J83" t="s">
        <v>45</v>
      </c>
      <c r="K83" t="s">
        <v>45</v>
      </c>
      <c r="L83" t="s">
        <v>429</v>
      </c>
      <c r="M83" s="1">
        <v>41935</v>
      </c>
      <c r="N83" t="s">
        <v>47</v>
      </c>
      <c r="O83" t="s">
        <v>48</v>
      </c>
      <c r="P83" t="s">
        <v>49</v>
      </c>
      <c r="Q83" t="s">
        <v>967</v>
      </c>
      <c r="R83" t="s">
        <v>968</v>
      </c>
      <c r="S83">
        <v>2845</v>
      </c>
      <c r="T83" t="s">
        <v>365</v>
      </c>
      <c r="U83" t="s">
        <v>969</v>
      </c>
      <c r="V83" t="s">
        <v>970</v>
      </c>
      <c r="W83" t="s">
        <v>367</v>
      </c>
      <c r="X83" t="s">
        <v>76</v>
      </c>
      <c r="Y83" t="s">
        <v>434</v>
      </c>
      <c r="Z83">
        <v>203</v>
      </c>
      <c r="AA83">
        <v>51</v>
      </c>
      <c r="AB83">
        <v>142</v>
      </c>
      <c r="AC83" t="s">
        <v>971</v>
      </c>
      <c r="AD83" t="s">
        <v>972</v>
      </c>
      <c r="AE83" t="s">
        <v>973</v>
      </c>
      <c r="AF83" t="s">
        <v>974</v>
      </c>
      <c r="AG83" t="s">
        <v>975</v>
      </c>
      <c r="AH83" t="s">
        <v>976</v>
      </c>
      <c r="AI83" t="s">
        <v>977</v>
      </c>
      <c r="AJ83" s="2">
        <v>45821.606064814812</v>
      </c>
      <c r="AK83" t="s">
        <v>568</v>
      </c>
      <c r="AL83" t="s">
        <v>65</v>
      </c>
      <c r="AM83" s="3">
        <v>1.7083333333333333</v>
      </c>
      <c r="AN83" t="s">
        <v>66</v>
      </c>
      <c r="AO83" t="s">
        <v>67</v>
      </c>
    </row>
    <row r="84" spans="1:41" x14ac:dyDescent="0.2">
      <c r="A84">
        <v>372987</v>
      </c>
      <c r="B84" t="s">
        <v>978</v>
      </c>
      <c r="C84" t="s">
        <v>979</v>
      </c>
      <c r="D84" t="s">
        <v>980</v>
      </c>
      <c r="E84" t="s">
        <v>981</v>
      </c>
      <c r="F84">
        <v>32101</v>
      </c>
      <c r="G84" s="1">
        <v>39722</v>
      </c>
      <c r="H84" s="1">
        <v>45673</v>
      </c>
      <c r="I84" s="1">
        <v>46037</v>
      </c>
      <c r="J84" t="s">
        <v>45</v>
      </c>
      <c r="K84" t="s">
        <v>45</v>
      </c>
      <c r="L84" t="s">
        <v>46</v>
      </c>
      <c r="M84" s="1">
        <v>45713</v>
      </c>
      <c r="N84" t="s">
        <v>47</v>
      </c>
      <c r="O84" t="s">
        <v>48</v>
      </c>
      <c r="P84" t="s">
        <v>49</v>
      </c>
      <c r="Q84" t="s">
        <v>982</v>
      </c>
      <c r="R84" t="s">
        <v>983</v>
      </c>
      <c r="S84">
        <v>1560</v>
      </c>
      <c r="T84" t="s">
        <v>52</v>
      </c>
      <c r="U84">
        <v>8</v>
      </c>
      <c r="V84" t="s">
        <v>984</v>
      </c>
      <c r="W84" t="s">
        <v>54</v>
      </c>
      <c r="X84" t="s">
        <v>76</v>
      </c>
      <c r="Y84" t="s">
        <v>56</v>
      </c>
      <c r="Z84">
        <v>2993</v>
      </c>
      <c r="AA84">
        <v>40</v>
      </c>
      <c r="AB84">
        <v>138</v>
      </c>
      <c r="AC84" t="s">
        <v>985</v>
      </c>
      <c r="AD84" t="s">
        <v>986</v>
      </c>
      <c r="AE84" t="s">
        <v>987</v>
      </c>
      <c r="AI84" t="s">
        <v>988</v>
      </c>
      <c r="AJ84" s="2">
        <v>45855.981574074074</v>
      </c>
      <c r="AK84" t="s">
        <v>556</v>
      </c>
      <c r="AL84" t="s">
        <v>65</v>
      </c>
      <c r="AM84" s="3">
        <v>2.1944444444444446</v>
      </c>
      <c r="AN84" t="s">
        <v>66</v>
      </c>
      <c r="AO84" t="s">
        <v>67</v>
      </c>
    </row>
    <row r="85" spans="1:41" x14ac:dyDescent="0.2">
      <c r="A85">
        <v>371721</v>
      </c>
      <c r="B85" t="s">
        <v>989</v>
      </c>
      <c r="C85" t="s">
        <v>197</v>
      </c>
      <c r="D85" t="s">
        <v>990</v>
      </c>
      <c r="E85">
        <v>32732154</v>
      </c>
      <c r="F85">
        <v>90201</v>
      </c>
      <c r="G85" s="1">
        <v>37147</v>
      </c>
      <c r="H85" s="1">
        <v>45688</v>
      </c>
      <c r="I85" s="1">
        <v>46023</v>
      </c>
      <c r="J85" t="s">
        <v>45</v>
      </c>
      <c r="K85" t="s">
        <v>45</v>
      </c>
      <c r="L85" t="s">
        <v>46</v>
      </c>
      <c r="M85" s="1">
        <v>44491</v>
      </c>
      <c r="N85" t="s">
        <v>47</v>
      </c>
      <c r="O85" t="s">
        <v>48</v>
      </c>
      <c r="P85" t="s">
        <v>49</v>
      </c>
      <c r="Q85" t="s">
        <v>991</v>
      </c>
      <c r="R85" t="s">
        <v>992</v>
      </c>
      <c r="S85">
        <v>1152</v>
      </c>
      <c r="T85" t="s">
        <v>52</v>
      </c>
      <c r="U85">
        <v>8</v>
      </c>
      <c r="V85" t="s">
        <v>993</v>
      </c>
      <c r="W85" t="s">
        <v>54</v>
      </c>
      <c r="X85" t="s">
        <v>76</v>
      </c>
      <c r="Y85" t="s">
        <v>56</v>
      </c>
      <c r="Z85">
        <v>1807</v>
      </c>
      <c r="AA85">
        <v>54</v>
      </c>
      <c r="AB85">
        <v>37</v>
      </c>
      <c r="AC85" t="s">
        <v>994</v>
      </c>
      <c r="AD85" t="s">
        <v>995</v>
      </c>
      <c r="AE85" t="s">
        <v>996</v>
      </c>
      <c r="AF85" t="s">
        <v>994</v>
      </c>
      <c r="AG85" t="s">
        <v>995</v>
      </c>
      <c r="AH85" t="s">
        <v>997</v>
      </c>
      <c r="AI85" t="s">
        <v>998</v>
      </c>
      <c r="AJ85" s="2">
        <v>45818.750914351855</v>
      </c>
      <c r="AK85" t="s">
        <v>556</v>
      </c>
      <c r="AL85" t="s">
        <v>65</v>
      </c>
      <c r="AM85" s="3">
        <v>1.3159722222222223</v>
      </c>
      <c r="AN85" t="s">
        <v>66</v>
      </c>
      <c r="AO85" t="s">
        <v>101</v>
      </c>
    </row>
    <row r="86" spans="1:41" x14ac:dyDescent="0.2">
      <c r="A86">
        <v>367678</v>
      </c>
      <c r="B86" t="s">
        <v>999</v>
      </c>
      <c r="C86" t="s">
        <v>1000</v>
      </c>
      <c r="D86" t="s">
        <v>1001</v>
      </c>
      <c r="E86" t="s">
        <v>1002</v>
      </c>
      <c r="F86">
        <v>408901</v>
      </c>
      <c r="G86" s="1">
        <v>43656</v>
      </c>
      <c r="H86" s="1">
        <v>45628</v>
      </c>
      <c r="J86" t="s">
        <v>45</v>
      </c>
      <c r="K86" t="s">
        <v>45</v>
      </c>
      <c r="L86" t="s">
        <v>72</v>
      </c>
      <c r="M86" s="1">
        <v>45628</v>
      </c>
      <c r="N86" t="s">
        <v>47</v>
      </c>
      <c r="O86" t="s">
        <v>48</v>
      </c>
      <c r="P86" t="s">
        <v>49</v>
      </c>
      <c r="Q86" t="s">
        <v>1003</v>
      </c>
      <c r="R86" t="s">
        <v>1004</v>
      </c>
      <c r="S86">
        <v>995</v>
      </c>
      <c r="T86" t="s">
        <v>92</v>
      </c>
      <c r="U86" t="s">
        <v>1005</v>
      </c>
      <c r="V86" t="s">
        <v>590</v>
      </c>
      <c r="W86" t="s">
        <v>1006</v>
      </c>
      <c r="X86" t="s">
        <v>92</v>
      </c>
      <c r="Y86" t="s">
        <v>770</v>
      </c>
      <c r="Z86">
        <v>10027</v>
      </c>
      <c r="AA86">
        <v>15</v>
      </c>
      <c r="AB86">
        <v>78</v>
      </c>
      <c r="AC86" t="s">
        <v>1007</v>
      </c>
      <c r="AD86" t="s">
        <v>1008</v>
      </c>
      <c r="AE86" t="s">
        <v>1009</v>
      </c>
      <c r="AI86" t="s">
        <v>1010</v>
      </c>
      <c r="AJ86" s="2">
        <v>45686.262314814812</v>
      </c>
      <c r="AK86" t="s">
        <v>1011</v>
      </c>
      <c r="AL86" t="s">
        <v>65</v>
      </c>
      <c r="AM86" s="3">
        <v>1.7986111111111112</v>
      </c>
      <c r="AN86" t="s">
        <v>66</v>
      </c>
      <c r="AO86" t="s">
        <v>67</v>
      </c>
    </row>
    <row r="87" spans="1:41" x14ac:dyDescent="0.2">
      <c r="A87">
        <v>372061</v>
      </c>
      <c r="B87" t="s">
        <v>1012</v>
      </c>
      <c r="C87" t="s">
        <v>1013</v>
      </c>
      <c r="D87" t="s">
        <v>1014</v>
      </c>
      <c r="E87" t="s">
        <v>1015</v>
      </c>
      <c r="F87">
        <v>323536</v>
      </c>
      <c r="G87" s="1">
        <v>37540</v>
      </c>
      <c r="H87" s="1">
        <v>45557</v>
      </c>
      <c r="J87" t="s">
        <v>45</v>
      </c>
      <c r="K87" t="s">
        <v>45</v>
      </c>
      <c r="L87" t="s">
        <v>72</v>
      </c>
      <c r="M87" s="1">
        <v>44054</v>
      </c>
      <c r="N87" t="s">
        <v>47</v>
      </c>
      <c r="O87" t="s">
        <v>48</v>
      </c>
      <c r="P87" t="s">
        <v>49</v>
      </c>
      <c r="Q87" t="s">
        <v>1016</v>
      </c>
      <c r="R87" t="s">
        <v>1017</v>
      </c>
      <c r="S87">
        <v>1520</v>
      </c>
      <c r="T87" t="s">
        <v>156</v>
      </c>
      <c r="U87" t="s">
        <v>1018</v>
      </c>
      <c r="V87" t="s">
        <v>1019</v>
      </c>
      <c r="W87" t="s">
        <v>159</v>
      </c>
      <c r="X87" t="s">
        <v>156</v>
      </c>
      <c r="Y87" t="s">
        <v>450</v>
      </c>
      <c r="Z87">
        <v>1552</v>
      </c>
      <c r="AA87">
        <v>36</v>
      </c>
      <c r="AB87">
        <v>30</v>
      </c>
      <c r="AC87" t="s">
        <v>1020</v>
      </c>
      <c r="AD87" t="s">
        <v>1021</v>
      </c>
      <c r="AE87" t="s">
        <v>1022</v>
      </c>
      <c r="AI87" t="s">
        <v>1023</v>
      </c>
      <c r="AJ87" s="2">
        <v>45828.614814814813</v>
      </c>
      <c r="AK87" t="s">
        <v>1024</v>
      </c>
      <c r="AL87" t="s">
        <v>65</v>
      </c>
      <c r="AM87" s="3">
        <v>1.4375</v>
      </c>
      <c r="AN87" t="s">
        <v>66</v>
      </c>
      <c r="AO87" t="s">
        <v>67</v>
      </c>
    </row>
    <row r="88" spans="1:41" x14ac:dyDescent="0.2">
      <c r="A88">
        <v>369568</v>
      </c>
      <c r="B88" t="s">
        <v>1025</v>
      </c>
      <c r="C88" t="s">
        <v>182</v>
      </c>
      <c r="D88" t="s">
        <v>1026</v>
      </c>
      <c r="E88" s="5" t="s">
        <v>1027</v>
      </c>
      <c r="F88">
        <v>44301</v>
      </c>
      <c r="G88" s="1">
        <v>35192</v>
      </c>
      <c r="H88" s="1">
        <v>45742</v>
      </c>
      <c r="I88" s="1">
        <v>46113</v>
      </c>
      <c r="J88" t="s">
        <v>45</v>
      </c>
      <c r="K88" t="s">
        <v>326</v>
      </c>
      <c r="L88" t="s">
        <v>429</v>
      </c>
      <c r="M88" s="1">
        <v>44755</v>
      </c>
      <c r="N88" t="s">
        <v>47</v>
      </c>
      <c r="O88" t="s">
        <v>48</v>
      </c>
      <c r="P88" t="s">
        <v>49</v>
      </c>
      <c r="Q88" t="s">
        <v>1028</v>
      </c>
      <c r="R88" t="s">
        <v>1029</v>
      </c>
      <c r="S88">
        <v>879</v>
      </c>
      <c r="T88" t="s">
        <v>52</v>
      </c>
      <c r="U88">
        <v>5</v>
      </c>
      <c r="V88" t="s">
        <v>1030</v>
      </c>
      <c r="W88" t="s">
        <v>54</v>
      </c>
      <c r="X88" t="s">
        <v>493</v>
      </c>
      <c r="Y88" t="s">
        <v>434</v>
      </c>
      <c r="Z88">
        <v>710</v>
      </c>
      <c r="AA88">
        <v>71</v>
      </c>
      <c r="AB88">
        <v>34</v>
      </c>
      <c r="AC88" t="s">
        <v>1031</v>
      </c>
      <c r="AD88" t="s">
        <v>1032</v>
      </c>
      <c r="AE88" t="s">
        <v>1033</v>
      </c>
      <c r="AF88" t="s">
        <v>1034</v>
      </c>
      <c r="AG88" t="s">
        <v>1035</v>
      </c>
      <c r="AH88" t="s">
        <v>1036</v>
      </c>
      <c r="AI88" t="s">
        <v>500</v>
      </c>
      <c r="AJ88" s="2">
        <v>45750.880914351852</v>
      </c>
      <c r="AK88" t="s">
        <v>1037</v>
      </c>
      <c r="AL88" t="s">
        <v>65</v>
      </c>
      <c r="AM88" s="4">
        <v>0.19444444444444445</v>
      </c>
      <c r="AN88" t="s">
        <v>66</v>
      </c>
      <c r="AO88" t="s">
        <v>67</v>
      </c>
    </row>
    <row r="89" spans="1:41" x14ac:dyDescent="0.2">
      <c r="A89">
        <v>369696</v>
      </c>
      <c r="B89" t="s">
        <v>1038</v>
      </c>
      <c r="C89" t="s">
        <v>345</v>
      </c>
      <c r="D89" t="s">
        <v>1039</v>
      </c>
      <c r="E89">
        <v>32930232</v>
      </c>
      <c r="F89">
        <v>52301</v>
      </c>
      <c r="G89" s="1">
        <v>43370</v>
      </c>
      <c r="H89" s="1">
        <v>45558</v>
      </c>
      <c r="J89" t="s">
        <v>45</v>
      </c>
      <c r="K89" t="s">
        <v>45</v>
      </c>
      <c r="L89" t="s">
        <v>72</v>
      </c>
      <c r="M89" s="1">
        <v>40052</v>
      </c>
      <c r="N89" t="s">
        <v>47</v>
      </c>
      <c r="O89" t="s">
        <v>48</v>
      </c>
      <c r="P89" t="s">
        <v>49</v>
      </c>
      <c r="Q89" t="s">
        <v>1040</v>
      </c>
      <c r="R89" t="s">
        <v>1041</v>
      </c>
      <c r="S89">
        <v>5257</v>
      </c>
      <c r="T89" t="s">
        <v>156</v>
      </c>
      <c r="U89" t="s">
        <v>1018</v>
      </c>
      <c r="W89" t="s">
        <v>159</v>
      </c>
      <c r="X89" t="s">
        <v>156</v>
      </c>
      <c r="Y89" t="s">
        <v>450</v>
      </c>
      <c r="Z89">
        <v>2967</v>
      </c>
      <c r="AA89">
        <v>38</v>
      </c>
      <c r="AB89">
        <v>66</v>
      </c>
      <c r="AC89" t="s">
        <v>1042</v>
      </c>
      <c r="AD89" t="s">
        <v>1043</v>
      </c>
      <c r="AE89" t="s">
        <v>1044</v>
      </c>
      <c r="AF89" t="s">
        <v>1045</v>
      </c>
      <c r="AG89" t="s">
        <v>1046</v>
      </c>
      <c r="AH89" t="s">
        <v>1047</v>
      </c>
      <c r="AI89" t="s">
        <v>1048</v>
      </c>
      <c r="AJ89" s="2">
        <v>45749.591597222221</v>
      </c>
      <c r="AK89" t="s">
        <v>1024</v>
      </c>
      <c r="AL89" t="s">
        <v>65</v>
      </c>
      <c r="AM89" s="3">
        <v>2.3472222222222223</v>
      </c>
      <c r="AN89" t="s">
        <v>66</v>
      </c>
      <c r="AO89" t="s">
        <v>67</v>
      </c>
    </row>
    <row r="90" spans="1:41" x14ac:dyDescent="0.2">
      <c r="A90">
        <v>366023</v>
      </c>
      <c r="B90" t="s">
        <v>1049</v>
      </c>
      <c r="C90" t="s">
        <v>345</v>
      </c>
      <c r="D90" t="s">
        <v>1050</v>
      </c>
      <c r="E90" t="s">
        <v>1051</v>
      </c>
      <c r="F90">
        <v>52004</v>
      </c>
      <c r="G90" s="1">
        <v>45581</v>
      </c>
      <c r="H90" s="1">
        <v>45581</v>
      </c>
      <c r="I90" s="1">
        <v>45976</v>
      </c>
      <c r="J90" t="s">
        <v>45</v>
      </c>
      <c r="K90" t="s">
        <v>45</v>
      </c>
      <c r="L90" t="s">
        <v>46</v>
      </c>
      <c r="N90" t="s">
        <v>47</v>
      </c>
      <c r="O90" t="s">
        <v>48</v>
      </c>
      <c r="P90" t="s">
        <v>49</v>
      </c>
      <c r="Q90" t="s">
        <v>1052</v>
      </c>
      <c r="R90" t="s">
        <v>1053</v>
      </c>
      <c r="S90">
        <v>5958</v>
      </c>
      <c r="T90" t="s">
        <v>92</v>
      </c>
      <c r="U90" t="s">
        <v>350</v>
      </c>
      <c r="V90" t="s">
        <v>1054</v>
      </c>
      <c r="W90" t="s">
        <v>1055</v>
      </c>
      <c r="X90" t="s">
        <v>55</v>
      </c>
      <c r="Y90" t="s">
        <v>56</v>
      </c>
      <c r="Z90">
        <v>12253</v>
      </c>
      <c r="AA90">
        <v>7</v>
      </c>
      <c r="AB90">
        <v>50</v>
      </c>
      <c r="AC90" t="s">
        <v>1056</v>
      </c>
      <c r="AD90" t="s">
        <v>1057</v>
      </c>
      <c r="AE90" t="s">
        <v>1058</v>
      </c>
      <c r="AF90" t="s">
        <v>1059</v>
      </c>
      <c r="AG90" t="s">
        <v>1060</v>
      </c>
      <c r="AH90" t="s">
        <v>1061</v>
      </c>
      <c r="AJ90" s="2">
        <v>45600.929525462961</v>
      </c>
      <c r="AK90" t="s">
        <v>1056</v>
      </c>
      <c r="AL90" t="s">
        <v>65</v>
      </c>
      <c r="AM90" t="s">
        <v>1062</v>
      </c>
      <c r="AN90" t="s">
        <v>66</v>
      </c>
      <c r="AO90" t="s">
        <v>67</v>
      </c>
    </row>
    <row r="91" spans="1:41" x14ac:dyDescent="0.2">
      <c r="A91">
        <v>370978</v>
      </c>
      <c r="B91" t="s">
        <v>1063</v>
      </c>
      <c r="C91" t="s">
        <v>182</v>
      </c>
      <c r="D91" t="s">
        <v>1064</v>
      </c>
      <c r="E91" t="s">
        <v>1065</v>
      </c>
      <c r="F91">
        <v>40244</v>
      </c>
      <c r="G91" s="1">
        <v>32640</v>
      </c>
      <c r="H91" s="1">
        <v>45791</v>
      </c>
      <c r="I91" s="1">
        <v>45931</v>
      </c>
      <c r="J91" t="s">
        <v>45</v>
      </c>
      <c r="K91" t="s">
        <v>45</v>
      </c>
      <c r="L91" t="s">
        <v>429</v>
      </c>
      <c r="M91" s="1">
        <v>41550</v>
      </c>
      <c r="N91" t="s">
        <v>47</v>
      </c>
      <c r="O91" t="s">
        <v>48</v>
      </c>
      <c r="P91" t="s">
        <v>49</v>
      </c>
      <c r="Q91" t="s">
        <v>1066</v>
      </c>
      <c r="R91" t="s">
        <v>1067</v>
      </c>
      <c r="S91">
        <v>3677</v>
      </c>
      <c r="T91" t="s">
        <v>52</v>
      </c>
      <c r="U91">
        <v>5</v>
      </c>
      <c r="V91" t="s">
        <v>1068</v>
      </c>
      <c r="W91" t="s">
        <v>54</v>
      </c>
      <c r="X91" t="s">
        <v>493</v>
      </c>
      <c r="Y91" t="s">
        <v>434</v>
      </c>
      <c r="Z91">
        <v>732</v>
      </c>
      <c r="AA91">
        <v>62</v>
      </c>
      <c r="AB91">
        <v>152</v>
      </c>
      <c r="AC91" t="s">
        <v>1069</v>
      </c>
      <c r="AD91" t="s">
        <v>1070</v>
      </c>
      <c r="AE91" t="s">
        <v>1071</v>
      </c>
      <c r="AF91" t="s">
        <v>1072</v>
      </c>
      <c r="AG91" t="s">
        <v>1073</v>
      </c>
      <c r="AH91" t="s">
        <v>1071</v>
      </c>
      <c r="AI91" t="s">
        <v>1074</v>
      </c>
      <c r="AJ91" s="2">
        <v>45792.659189814818</v>
      </c>
      <c r="AK91" t="s">
        <v>501</v>
      </c>
      <c r="AL91" t="s">
        <v>65</v>
      </c>
      <c r="AM91" s="4">
        <v>6.9444444444444441E-3</v>
      </c>
      <c r="AN91" t="s">
        <v>66</v>
      </c>
      <c r="AO91" t="s">
        <v>67</v>
      </c>
    </row>
    <row r="92" spans="1:41" x14ac:dyDescent="0.2">
      <c r="A92">
        <v>367222</v>
      </c>
      <c r="B92" t="s">
        <v>1075</v>
      </c>
      <c r="C92" t="s">
        <v>558</v>
      </c>
      <c r="D92" t="s">
        <v>1076</v>
      </c>
      <c r="E92">
        <v>83780484</v>
      </c>
      <c r="F92">
        <v>261711</v>
      </c>
      <c r="G92" s="1">
        <v>42599</v>
      </c>
      <c r="H92" s="1">
        <v>45642</v>
      </c>
      <c r="I92" s="1">
        <v>46006</v>
      </c>
      <c r="J92" t="s">
        <v>45</v>
      </c>
      <c r="K92" t="s">
        <v>45</v>
      </c>
      <c r="L92" t="s">
        <v>72</v>
      </c>
      <c r="M92" s="1">
        <v>44713</v>
      </c>
      <c r="N92" t="s">
        <v>47</v>
      </c>
      <c r="O92" t="s">
        <v>48</v>
      </c>
      <c r="P92" t="s">
        <v>49</v>
      </c>
      <c r="Q92" t="s">
        <v>1077</v>
      </c>
      <c r="R92" t="s">
        <v>1078</v>
      </c>
      <c r="S92">
        <v>2091</v>
      </c>
      <c r="T92" t="s">
        <v>156</v>
      </c>
      <c r="U92" t="s">
        <v>1079</v>
      </c>
      <c r="V92" t="s">
        <v>1080</v>
      </c>
      <c r="W92" t="s">
        <v>159</v>
      </c>
      <c r="X92" t="s">
        <v>156</v>
      </c>
      <c r="Y92" t="s">
        <v>110</v>
      </c>
      <c r="Z92">
        <v>2619</v>
      </c>
      <c r="AA92">
        <v>38</v>
      </c>
      <c r="AB92">
        <v>158</v>
      </c>
      <c r="AC92" t="s">
        <v>1081</v>
      </c>
      <c r="AD92" t="s">
        <v>1082</v>
      </c>
      <c r="AE92" t="s">
        <v>1083</v>
      </c>
      <c r="AI92" t="s">
        <v>1084</v>
      </c>
      <c r="AJ92" s="2">
        <v>45665.950555555559</v>
      </c>
      <c r="AK92" t="s">
        <v>1081</v>
      </c>
      <c r="AL92" t="s">
        <v>65</v>
      </c>
      <c r="AM92" s="3">
        <v>1.0208333333333333</v>
      </c>
      <c r="AN92" t="s">
        <v>66</v>
      </c>
      <c r="AO92" t="s">
        <v>67</v>
      </c>
    </row>
    <row r="93" spans="1:41" x14ac:dyDescent="0.2">
      <c r="A93">
        <v>371158</v>
      </c>
      <c r="B93" t="s">
        <v>1085</v>
      </c>
      <c r="C93" t="s">
        <v>182</v>
      </c>
      <c r="D93" t="s">
        <v>1086</v>
      </c>
      <c r="E93" t="s">
        <v>1087</v>
      </c>
      <c r="F93">
        <v>44701</v>
      </c>
      <c r="G93" s="1">
        <v>38796</v>
      </c>
      <c r="H93" s="1">
        <v>45796</v>
      </c>
      <c r="I93" s="1">
        <v>46188</v>
      </c>
      <c r="J93" t="s">
        <v>45</v>
      </c>
      <c r="K93" t="s">
        <v>72</v>
      </c>
      <c r="L93" t="s">
        <v>72</v>
      </c>
      <c r="M93" s="1">
        <v>43292</v>
      </c>
      <c r="N93" t="s">
        <v>47</v>
      </c>
      <c r="O93" t="s">
        <v>48</v>
      </c>
      <c r="P93" t="s">
        <v>49</v>
      </c>
      <c r="Q93" t="s">
        <v>1088</v>
      </c>
      <c r="R93" t="s">
        <v>1089</v>
      </c>
      <c r="S93">
        <v>1730</v>
      </c>
      <c r="T93" t="s">
        <v>257</v>
      </c>
      <c r="U93" t="s">
        <v>640</v>
      </c>
      <c r="V93" t="s">
        <v>1090</v>
      </c>
      <c r="W93" t="s">
        <v>260</v>
      </c>
      <c r="X93" t="s">
        <v>257</v>
      </c>
      <c r="Y93" t="s">
        <v>110</v>
      </c>
      <c r="Z93">
        <v>2799</v>
      </c>
      <c r="AA93">
        <v>42</v>
      </c>
      <c r="AB93">
        <v>160</v>
      </c>
      <c r="AC93" t="s">
        <v>1091</v>
      </c>
      <c r="AD93" t="s">
        <v>1092</v>
      </c>
      <c r="AE93" t="s">
        <v>1093</v>
      </c>
      <c r="AF93" t="s">
        <v>1094</v>
      </c>
      <c r="AG93" t="s">
        <v>1095</v>
      </c>
      <c r="AH93" t="s">
        <v>1096</v>
      </c>
      <c r="AI93" t="s">
        <v>1092</v>
      </c>
      <c r="AJ93" s="2">
        <v>45797.772303240738</v>
      </c>
      <c r="AK93" t="s">
        <v>1097</v>
      </c>
      <c r="AL93" t="s">
        <v>65</v>
      </c>
      <c r="AM93" s="4">
        <v>0.18055555555555555</v>
      </c>
      <c r="AN93" t="s">
        <v>66</v>
      </c>
      <c r="AO93" t="s">
        <v>67</v>
      </c>
    </row>
    <row r="94" spans="1:41" x14ac:dyDescent="0.2">
      <c r="A94">
        <v>372642</v>
      </c>
      <c r="B94" t="s">
        <v>1098</v>
      </c>
      <c r="C94" t="s">
        <v>134</v>
      </c>
      <c r="D94" t="s">
        <v>1099</v>
      </c>
      <c r="E94" t="s">
        <v>1100</v>
      </c>
      <c r="F94">
        <v>451809</v>
      </c>
      <c r="G94" s="1">
        <v>40637</v>
      </c>
      <c r="H94" s="1">
        <v>45804</v>
      </c>
      <c r="I94" s="1">
        <v>46157</v>
      </c>
      <c r="J94" t="s">
        <v>45</v>
      </c>
      <c r="K94" t="s">
        <v>45</v>
      </c>
      <c r="L94" t="s">
        <v>72</v>
      </c>
      <c r="M94" s="1">
        <v>40695</v>
      </c>
      <c r="N94" t="s">
        <v>47</v>
      </c>
      <c r="O94" t="s">
        <v>48</v>
      </c>
      <c r="P94" t="s">
        <v>49</v>
      </c>
      <c r="Q94" t="s">
        <v>1101</v>
      </c>
      <c r="R94" t="s">
        <v>1102</v>
      </c>
      <c r="S94">
        <v>1421</v>
      </c>
      <c r="T94" t="s">
        <v>92</v>
      </c>
      <c r="U94" t="s">
        <v>139</v>
      </c>
      <c r="V94" t="s">
        <v>140</v>
      </c>
      <c r="W94" t="s">
        <v>141</v>
      </c>
      <c r="X94" t="s">
        <v>92</v>
      </c>
      <c r="Y94" t="s">
        <v>110</v>
      </c>
      <c r="Z94">
        <v>4488</v>
      </c>
      <c r="AA94">
        <v>25</v>
      </c>
      <c r="AB94">
        <v>116</v>
      </c>
      <c r="AC94" t="s">
        <v>1103</v>
      </c>
      <c r="AD94" t="s">
        <v>1104</v>
      </c>
      <c r="AE94" t="s">
        <v>1105</v>
      </c>
      <c r="AF94" t="s">
        <v>145</v>
      </c>
      <c r="AG94" t="s">
        <v>146</v>
      </c>
      <c r="AH94" t="s">
        <v>147</v>
      </c>
      <c r="AI94" t="s">
        <v>148</v>
      </c>
      <c r="AJ94" s="2">
        <v>45848.610497685186</v>
      </c>
      <c r="AK94" t="s">
        <v>1103</v>
      </c>
      <c r="AL94" t="s">
        <v>65</v>
      </c>
      <c r="AM94" s="4">
        <v>0.41666666666666669</v>
      </c>
      <c r="AN94" t="s">
        <v>66</v>
      </c>
      <c r="AO94" t="s">
        <v>67</v>
      </c>
    </row>
    <row r="95" spans="1:41" x14ac:dyDescent="0.2">
      <c r="A95">
        <v>355389</v>
      </c>
      <c r="B95" t="s">
        <v>1106</v>
      </c>
      <c r="C95" t="s">
        <v>1107</v>
      </c>
      <c r="D95" t="s">
        <v>1108</v>
      </c>
      <c r="E95">
        <v>57304524</v>
      </c>
      <c r="F95">
        <v>232401</v>
      </c>
      <c r="G95" s="1">
        <v>38089</v>
      </c>
      <c r="H95" s="1">
        <v>45260</v>
      </c>
      <c r="I95" s="1">
        <v>46143</v>
      </c>
      <c r="J95" t="s">
        <v>45</v>
      </c>
      <c r="K95" t="s">
        <v>45</v>
      </c>
      <c r="L95" t="s">
        <v>72</v>
      </c>
      <c r="M95" s="1">
        <v>45260</v>
      </c>
      <c r="N95" t="s">
        <v>47</v>
      </c>
      <c r="O95" t="s">
        <v>48</v>
      </c>
      <c r="P95" t="s">
        <v>49</v>
      </c>
      <c r="Q95" t="s">
        <v>1109</v>
      </c>
      <c r="R95" t="s">
        <v>1110</v>
      </c>
      <c r="S95">
        <v>798</v>
      </c>
      <c r="T95" t="s">
        <v>92</v>
      </c>
      <c r="U95" t="s">
        <v>1111</v>
      </c>
      <c r="V95" t="s">
        <v>1112</v>
      </c>
      <c r="W95" t="s">
        <v>1113</v>
      </c>
      <c r="X95" t="s">
        <v>52</v>
      </c>
      <c r="Y95" t="s">
        <v>110</v>
      </c>
      <c r="Z95">
        <v>2553</v>
      </c>
      <c r="AA95">
        <v>26</v>
      </c>
      <c r="AB95">
        <v>170</v>
      </c>
      <c r="AC95" t="s">
        <v>1114</v>
      </c>
      <c r="AD95" t="s">
        <v>1115</v>
      </c>
      <c r="AE95" t="s">
        <v>1116</v>
      </c>
      <c r="AJ95" s="2">
        <v>45261.692997685182</v>
      </c>
      <c r="AK95" t="s">
        <v>1114</v>
      </c>
      <c r="AL95" t="s">
        <v>65</v>
      </c>
      <c r="AM95" s="4">
        <v>0.56944444444444442</v>
      </c>
      <c r="AN95" t="s">
        <v>66</v>
      </c>
      <c r="AO95" t="s">
        <v>67</v>
      </c>
    </row>
    <row r="96" spans="1:41" x14ac:dyDescent="0.2">
      <c r="A96">
        <v>361610</v>
      </c>
      <c r="B96" t="s">
        <v>1117</v>
      </c>
      <c r="C96" t="s">
        <v>735</v>
      </c>
      <c r="D96" t="s">
        <v>1118</v>
      </c>
      <c r="E96" t="s">
        <v>1119</v>
      </c>
      <c r="F96">
        <v>245204</v>
      </c>
      <c r="G96" s="1">
        <v>45456</v>
      </c>
      <c r="H96" s="1">
        <v>45460</v>
      </c>
      <c r="I96" s="1">
        <v>46096</v>
      </c>
      <c r="J96" t="s">
        <v>45</v>
      </c>
      <c r="K96" t="s">
        <v>45</v>
      </c>
      <c r="L96" t="s">
        <v>72</v>
      </c>
      <c r="M96" s="1">
        <v>42515</v>
      </c>
      <c r="N96" t="s">
        <v>89</v>
      </c>
      <c r="O96" t="s">
        <v>121</v>
      </c>
      <c r="P96" t="s">
        <v>49</v>
      </c>
      <c r="Q96" t="s">
        <v>1120</v>
      </c>
      <c r="R96" t="s">
        <v>1121</v>
      </c>
      <c r="S96">
        <v>4090</v>
      </c>
      <c r="T96" t="s">
        <v>52</v>
      </c>
      <c r="U96">
        <v>1</v>
      </c>
      <c r="V96" t="s">
        <v>1122</v>
      </c>
      <c r="W96" t="s">
        <v>54</v>
      </c>
      <c r="X96" t="s">
        <v>52</v>
      </c>
      <c r="Y96" t="s">
        <v>125</v>
      </c>
      <c r="Z96">
        <v>3206</v>
      </c>
      <c r="AA96">
        <v>49</v>
      </c>
      <c r="AB96">
        <v>78</v>
      </c>
      <c r="AC96" t="s">
        <v>1123</v>
      </c>
      <c r="AD96" t="s">
        <v>1124</v>
      </c>
      <c r="AE96" t="s">
        <v>1125</v>
      </c>
      <c r="AF96" t="s">
        <v>1126</v>
      </c>
      <c r="AG96" t="s">
        <v>1124</v>
      </c>
      <c r="AH96" t="s">
        <v>1127</v>
      </c>
      <c r="AJ96" s="2">
        <v>45460.471215277779</v>
      </c>
      <c r="AK96" t="s">
        <v>132</v>
      </c>
      <c r="AL96" t="s">
        <v>65</v>
      </c>
      <c r="AM96" s="3">
        <v>1.9722222222222223</v>
      </c>
      <c r="AN96" t="s">
        <v>66</v>
      </c>
      <c r="AO96" t="s">
        <v>67</v>
      </c>
    </row>
    <row r="97" spans="1:41" x14ac:dyDescent="0.2">
      <c r="A97">
        <v>363887</v>
      </c>
      <c r="B97" t="s">
        <v>1128</v>
      </c>
      <c r="C97" t="s">
        <v>542</v>
      </c>
      <c r="D97" t="s">
        <v>1129</v>
      </c>
      <c r="E97" t="s">
        <v>1130</v>
      </c>
      <c r="F97">
        <v>360792</v>
      </c>
      <c r="G97" s="1">
        <v>44294</v>
      </c>
      <c r="H97" s="1">
        <v>45525</v>
      </c>
      <c r="J97" t="s">
        <v>45</v>
      </c>
      <c r="K97" t="s">
        <v>45</v>
      </c>
      <c r="L97" t="s">
        <v>72</v>
      </c>
      <c r="M97" s="1">
        <v>44545</v>
      </c>
      <c r="N97" t="s">
        <v>47</v>
      </c>
      <c r="O97" t="s">
        <v>48</v>
      </c>
      <c r="P97" t="s">
        <v>49</v>
      </c>
      <c r="Q97" t="s">
        <v>1131</v>
      </c>
      <c r="R97" t="s">
        <v>1132</v>
      </c>
      <c r="S97">
        <v>1402</v>
      </c>
      <c r="T97" t="s">
        <v>92</v>
      </c>
      <c r="U97" t="s">
        <v>1133</v>
      </c>
      <c r="V97" t="s">
        <v>1134</v>
      </c>
      <c r="W97" t="s">
        <v>1135</v>
      </c>
      <c r="X97" t="s">
        <v>92</v>
      </c>
      <c r="Y97" t="s">
        <v>770</v>
      </c>
      <c r="Z97">
        <v>10626</v>
      </c>
      <c r="AA97">
        <v>14</v>
      </c>
      <c r="AB97">
        <v>45</v>
      </c>
      <c r="AC97" t="s">
        <v>1136</v>
      </c>
      <c r="AD97" t="s">
        <v>1137</v>
      </c>
      <c r="AE97" t="s">
        <v>1138</v>
      </c>
      <c r="AF97" t="s">
        <v>1136</v>
      </c>
      <c r="AG97" t="s">
        <v>1137</v>
      </c>
      <c r="AH97" t="s">
        <v>1138</v>
      </c>
      <c r="AI97" t="s">
        <v>1137</v>
      </c>
      <c r="AJ97" s="2">
        <v>45525.964467592596</v>
      </c>
      <c r="AK97" t="s">
        <v>1136</v>
      </c>
      <c r="AL97" t="s">
        <v>65</v>
      </c>
      <c r="AM97" s="3">
        <v>2.1111111111111112</v>
      </c>
      <c r="AN97" t="s">
        <v>66</v>
      </c>
      <c r="AO97" t="s">
        <v>101</v>
      </c>
    </row>
    <row r="98" spans="1:41" x14ac:dyDescent="0.2">
      <c r="A98">
        <v>367392</v>
      </c>
      <c r="B98" t="s">
        <v>1139</v>
      </c>
      <c r="C98" t="s">
        <v>278</v>
      </c>
      <c r="D98" t="s">
        <v>1140</v>
      </c>
      <c r="E98">
        <v>32815024</v>
      </c>
      <c r="G98" s="1">
        <v>45672</v>
      </c>
      <c r="H98" s="1">
        <v>45673</v>
      </c>
      <c r="I98" s="1">
        <v>45976</v>
      </c>
      <c r="J98" t="s">
        <v>45</v>
      </c>
      <c r="K98" t="s">
        <v>45</v>
      </c>
      <c r="L98" t="s">
        <v>72</v>
      </c>
      <c r="N98" t="s">
        <v>89</v>
      </c>
      <c r="O98" t="s">
        <v>121</v>
      </c>
      <c r="P98" t="s">
        <v>49</v>
      </c>
      <c r="Q98" t="s">
        <v>1141</v>
      </c>
      <c r="R98" t="s">
        <v>1142</v>
      </c>
      <c r="S98">
        <v>9583</v>
      </c>
      <c r="T98" t="s">
        <v>52</v>
      </c>
      <c r="U98">
        <v>4</v>
      </c>
      <c r="V98" t="s">
        <v>1143</v>
      </c>
      <c r="W98" t="s">
        <v>54</v>
      </c>
      <c r="X98" t="s">
        <v>76</v>
      </c>
      <c r="Y98" t="s">
        <v>125</v>
      </c>
      <c r="Z98">
        <v>1123</v>
      </c>
      <c r="AA98">
        <v>92</v>
      </c>
      <c r="AB98">
        <v>174</v>
      </c>
      <c r="AC98" t="s">
        <v>1144</v>
      </c>
      <c r="AD98" t="s">
        <v>1145</v>
      </c>
      <c r="AE98" t="s">
        <v>1146</v>
      </c>
      <c r="AF98" t="s">
        <v>1147</v>
      </c>
      <c r="AG98" t="s">
        <v>1148</v>
      </c>
      <c r="AH98" t="s">
        <v>1149</v>
      </c>
      <c r="AJ98" s="2">
        <v>45673.495057870372</v>
      </c>
      <c r="AK98" t="s">
        <v>132</v>
      </c>
      <c r="AL98" t="s">
        <v>65</v>
      </c>
      <c r="AM98" s="4">
        <v>0.63888888888888884</v>
      </c>
      <c r="AN98" t="s">
        <v>66</v>
      </c>
      <c r="AO98" t="s">
        <v>67</v>
      </c>
    </row>
    <row r="99" spans="1:41" x14ac:dyDescent="0.2">
      <c r="A99">
        <v>369881</v>
      </c>
      <c r="B99" t="s">
        <v>1150</v>
      </c>
      <c r="C99" t="s">
        <v>278</v>
      </c>
      <c r="D99" t="s">
        <v>1151</v>
      </c>
      <c r="E99" t="s">
        <v>1152</v>
      </c>
      <c r="G99" s="1">
        <v>45672</v>
      </c>
      <c r="H99" s="1">
        <v>45673</v>
      </c>
      <c r="I99" s="1">
        <v>45976</v>
      </c>
      <c r="J99" t="s">
        <v>45</v>
      </c>
      <c r="K99" t="s">
        <v>45</v>
      </c>
      <c r="L99" t="s">
        <v>72</v>
      </c>
      <c r="N99" t="s">
        <v>47</v>
      </c>
      <c r="O99" t="s">
        <v>121</v>
      </c>
      <c r="P99" t="s">
        <v>49</v>
      </c>
      <c r="Q99" t="s">
        <v>1153</v>
      </c>
      <c r="R99" t="s">
        <v>1154</v>
      </c>
      <c r="S99">
        <v>7463</v>
      </c>
      <c r="T99" t="s">
        <v>52</v>
      </c>
      <c r="U99">
        <v>4</v>
      </c>
      <c r="V99" t="s">
        <v>1143</v>
      </c>
      <c r="W99" t="s">
        <v>54</v>
      </c>
      <c r="X99" t="s">
        <v>76</v>
      </c>
      <c r="Y99" t="s">
        <v>125</v>
      </c>
      <c r="Z99">
        <v>1631</v>
      </c>
      <c r="AA99">
        <v>140</v>
      </c>
      <c r="AB99">
        <v>138</v>
      </c>
      <c r="AC99" t="s">
        <v>1144</v>
      </c>
      <c r="AD99" t="s">
        <v>1145</v>
      </c>
      <c r="AE99" t="s">
        <v>1146</v>
      </c>
      <c r="AF99" t="s">
        <v>1147</v>
      </c>
      <c r="AG99" t="s">
        <v>1148</v>
      </c>
      <c r="AH99" t="s">
        <v>1149</v>
      </c>
      <c r="AI99" t="s">
        <v>1145</v>
      </c>
      <c r="AJ99" s="2">
        <v>45756.733402777776</v>
      </c>
      <c r="AK99" t="s">
        <v>84</v>
      </c>
      <c r="AL99" t="s">
        <v>65</v>
      </c>
      <c r="AM99" s="3">
        <v>1</v>
      </c>
      <c r="AN99" t="s">
        <v>66</v>
      </c>
      <c r="AO99" t="s">
        <v>67</v>
      </c>
    </row>
    <row r="100" spans="1:41" x14ac:dyDescent="0.2">
      <c r="A100">
        <v>367416</v>
      </c>
      <c r="B100" t="s">
        <v>1155</v>
      </c>
      <c r="C100" t="s">
        <v>278</v>
      </c>
      <c r="D100" t="s">
        <v>1151</v>
      </c>
      <c r="E100" t="s">
        <v>1156</v>
      </c>
      <c r="G100" s="1">
        <v>45673</v>
      </c>
      <c r="H100" s="1">
        <v>45674</v>
      </c>
      <c r="I100" s="1">
        <v>45976</v>
      </c>
      <c r="J100" t="s">
        <v>45</v>
      </c>
      <c r="K100" t="s">
        <v>45</v>
      </c>
      <c r="L100" t="s">
        <v>72</v>
      </c>
      <c r="M100" s="1">
        <v>41410</v>
      </c>
      <c r="N100" t="s">
        <v>89</v>
      </c>
      <c r="O100" t="s">
        <v>121</v>
      </c>
      <c r="P100" t="s">
        <v>49</v>
      </c>
      <c r="Q100" t="s">
        <v>1157</v>
      </c>
      <c r="R100" t="s">
        <v>1158</v>
      </c>
      <c r="S100">
        <v>7212</v>
      </c>
      <c r="T100" t="s">
        <v>52</v>
      </c>
      <c r="U100">
        <v>4</v>
      </c>
      <c r="V100" t="s">
        <v>1143</v>
      </c>
      <c r="W100" t="s">
        <v>54</v>
      </c>
      <c r="X100" t="s">
        <v>76</v>
      </c>
      <c r="Y100" t="s">
        <v>125</v>
      </c>
      <c r="Z100">
        <v>2387</v>
      </c>
      <c r="AA100">
        <v>110</v>
      </c>
      <c r="AB100">
        <v>174</v>
      </c>
      <c r="AC100" t="s">
        <v>1144</v>
      </c>
      <c r="AD100" t="s">
        <v>1145</v>
      </c>
      <c r="AE100" t="s">
        <v>1146</v>
      </c>
      <c r="AF100" t="s">
        <v>1147</v>
      </c>
      <c r="AG100" t="s">
        <v>1148</v>
      </c>
      <c r="AH100" t="s">
        <v>1149</v>
      </c>
      <c r="AJ100" s="2">
        <v>45674.496666666666</v>
      </c>
      <c r="AK100" t="s">
        <v>132</v>
      </c>
      <c r="AL100" t="s">
        <v>65</v>
      </c>
      <c r="AM100" s="4">
        <v>0.2361111111111111</v>
      </c>
      <c r="AN100" t="s">
        <v>66</v>
      </c>
      <c r="AO100" t="s">
        <v>67</v>
      </c>
    </row>
    <row r="101" spans="1:41" x14ac:dyDescent="0.2">
      <c r="A101">
        <v>371527</v>
      </c>
      <c r="B101" t="s">
        <v>1159</v>
      </c>
      <c r="C101" t="s">
        <v>323</v>
      </c>
      <c r="E101" t="s">
        <v>1160</v>
      </c>
      <c r="G101" s="1">
        <v>41103</v>
      </c>
      <c r="H101" s="1">
        <v>45807</v>
      </c>
      <c r="J101" t="s">
        <v>72</v>
      </c>
      <c r="K101" t="s">
        <v>72</v>
      </c>
      <c r="L101" t="s">
        <v>72</v>
      </c>
      <c r="M101" s="1">
        <v>41103</v>
      </c>
      <c r="N101" t="s">
        <v>47</v>
      </c>
      <c r="O101" t="s">
        <v>48</v>
      </c>
      <c r="P101" t="s">
        <v>406</v>
      </c>
      <c r="Q101" t="s">
        <v>1161</v>
      </c>
      <c r="R101" t="s">
        <v>1162</v>
      </c>
      <c r="S101">
        <v>1329</v>
      </c>
      <c r="T101" t="s">
        <v>257</v>
      </c>
      <c r="U101" t="s">
        <v>329</v>
      </c>
      <c r="V101" t="s">
        <v>1163</v>
      </c>
      <c r="W101" t="s">
        <v>260</v>
      </c>
      <c r="X101" t="s">
        <v>257</v>
      </c>
      <c r="Y101" t="s">
        <v>642</v>
      </c>
      <c r="Z101">
        <v>5826</v>
      </c>
      <c r="AA101">
        <v>28</v>
      </c>
      <c r="AB101">
        <v>108</v>
      </c>
      <c r="AC101" t="s">
        <v>1164</v>
      </c>
      <c r="AD101" t="s">
        <v>1165</v>
      </c>
      <c r="AE101" t="s">
        <v>1166</v>
      </c>
      <c r="AI101" t="s">
        <v>1165</v>
      </c>
      <c r="AJ101" s="2">
        <v>45814.607835648145</v>
      </c>
      <c r="AK101" t="s">
        <v>1167</v>
      </c>
      <c r="AL101" t="s">
        <v>1168</v>
      </c>
      <c r="AM101" s="4">
        <v>0.93055555555555558</v>
      </c>
      <c r="AN101" t="s">
        <v>66</v>
      </c>
      <c r="AO101" t="s">
        <v>67</v>
      </c>
    </row>
    <row r="102" spans="1:41" x14ac:dyDescent="0.2">
      <c r="A102">
        <v>365950</v>
      </c>
      <c r="B102" t="s">
        <v>1169</v>
      </c>
      <c r="C102" t="s">
        <v>754</v>
      </c>
      <c r="D102" t="s">
        <v>1170</v>
      </c>
      <c r="E102" t="s">
        <v>1171</v>
      </c>
      <c r="F102">
        <v>180335</v>
      </c>
      <c r="G102" s="1">
        <v>33280</v>
      </c>
      <c r="H102" s="1">
        <v>45589</v>
      </c>
      <c r="I102" s="1">
        <v>45962</v>
      </c>
      <c r="J102" t="s">
        <v>45</v>
      </c>
      <c r="K102" t="s">
        <v>45</v>
      </c>
      <c r="L102" t="s">
        <v>72</v>
      </c>
      <c r="M102" s="1">
        <v>43396</v>
      </c>
      <c r="N102" t="s">
        <v>47</v>
      </c>
      <c r="O102" t="s">
        <v>48</v>
      </c>
      <c r="P102" t="s">
        <v>49</v>
      </c>
      <c r="Q102" t="s">
        <v>1172</v>
      </c>
      <c r="R102" t="s">
        <v>1173</v>
      </c>
      <c r="S102">
        <v>12</v>
      </c>
      <c r="T102" t="s">
        <v>257</v>
      </c>
      <c r="U102" t="s">
        <v>836</v>
      </c>
      <c r="V102" t="s">
        <v>1174</v>
      </c>
      <c r="W102" t="s">
        <v>260</v>
      </c>
      <c r="X102" t="s">
        <v>257</v>
      </c>
      <c r="Y102" t="s">
        <v>110</v>
      </c>
      <c r="Z102">
        <v>519</v>
      </c>
      <c r="AA102">
        <v>74</v>
      </c>
      <c r="AB102">
        <v>37</v>
      </c>
      <c r="AC102" t="s">
        <v>1175</v>
      </c>
      <c r="AD102" t="s">
        <v>1176</v>
      </c>
      <c r="AE102" t="s">
        <v>1177</v>
      </c>
      <c r="AF102" t="s">
        <v>1178</v>
      </c>
      <c r="AG102" t="s">
        <v>1179</v>
      </c>
      <c r="AH102" t="s">
        <v>1180</v>
      </c>
      <c r="AI102" t="s">
        <v>1181</v>
      </c>
      <c r="AJ102" s="2">
        <v>45596.626458333332</v>
      </c>
      <c r="AK102" t="s">
        <v>660</v>
      </c>
      <c r="AL102" t="s">
        <v>65</v>
      </c>
      <c r="AM102" s="3">
        <v>1.2951388888888888</v>
      </c>
      <c r="AN102" t="s">
        <v>66</v>
      </c>
      <c r="AO102" t="s">
        <v>101</v>
      </c>
    </row>
    <row r="103" spans="1:41" x14ac:dyDescent="0.2">
      <c r="A103">
        <v>372371</v>
      </c>
      <c r="B103" t="s">
        <v>1182</v>
      </c>
      <c r="C103" t="s">
        <v>278</v>
      </c>
      <c r="E103">
        <v>32411998</v>
      </c>
      <c r="F103">
        <v>422604</v>
      </c>
      <c r="G103" s="1">
        <v>35671</v>
      </c>
      <c r="H103" s="1">
        <v>45832</v>
      </c>
      <c r="I103" s="1">
        <v>46143</v>
      </c>
      <c r="J103" t="s">
        <v>45</v>
      </c>
      <c r="K103" t="s">
        <v>45</v>
      </c>
      <c r="L103" t="s">
        <v>429</v>
      </c>
      <c r="M103" s="1">
        <v>41710</v>
      </c>
      <c r="N103" t="s">
        <v>47</v>
      </c>
      <c r="O103" t="s">
        <v>48</v>
      </c>
      <c r="P103" t="s">
        <v>49</v>
      </c>
      <c r="Q103" t="s">
        <v>1183</v>
      </c>
      <c r="R103" t="s">
        <v>1184</v>
      </c>
      <c r="S103">
        <v>7914</v>
      </c>
      <c r="T103" t="s">
        <v>52</v>
      </c>
      <c r="U103">
        <v>4</v>
      </c>
      <c r="V103" t="s">
        <v>1185</v>
      </c>
      <c r="W103" t="s">
        <v>54</v>
      </c>
      <c r="X103" t="s">
        <v>55</v>
      </c>
      <c r="Y103" t="s">
        <v>56</v>
      </c>
      <c r="Z103">
        <v>655</v>
      </c>
      <c r="AA103">
        <v>43</v>
      </c>
      <c r="AB103">
        <v>152</v>
      </c>
      <c r="AC103" t="s">
        <v>1186</v>
      </c>
      <c r="AD103" t="s">
        <v>1187</v>
      </c>
      <c r="AE103" t="s">
        <v>1188</v>
      </c>
      <c r="AF103" t="s">
        <v>1189</v>
      </c>
      <c r="AG103" t="s">
        <v>1190</v>
      </c>
      <c r="AH103" t="s">
        <v>1191</v>
      </c>
      <c r="AI103" t="s">
        <v>1192</v>
      </c>
      <c r="AJ103" s="2">
        <v>45838.795162037037</v>
      </c>
      <c r="AK103" t="s">
        <v>307</v>
      </c>
      <c r="AL103" t="s">
        <v>65</v>
      </c>
      <c r="AM103" s="4">
        <v>0.51388888888888884</v>
      </c>
      <c r="AN103" t="s">
        <v>66</v>
      </c>
      <c r="AO103" t="s">
        <v>67</v>
      </c>
    </row>
    <row r="104" spans="1:41" x14ac:dyDescent="0.2">
      <c r="A104">
        <v>367226</v>
      </c>
      <c r="B104" t="s">
        <v>1193</v>
      </c>
      <c r="C104" t="s">
        <v>662</v>
      </c>
      <c r="D104" t="s">
        <v>1194</v>
      </c>
      <c r="E104">
        <v>88401400</v>
      </c>
      <c r="F104">
        <v>412101</v>
      </c>
      <c r="G104" s="1">
        <v>37447</v>
      </c>
      <c r="H104" s="1">
        <v>45566</v>
      </c>
      <c r="I104" s="1">
        <v>45915</v>
      </c>
      <c r="J104" t="s">
        <v>45</v>
      </c>
      <c r="K104" t="s">
        <v>45</v>
      </c>
      <c r="L104" t="s">
        <v>72</v>
      </c>
      <c r="M104" s="1">
        <v>42529</v>
      </c>
      <c r="N104" t="s">
        <v>47</v>
      </c>
      <c r="O104" t="s">
        <v>48</v>
      </c>
      <c r="P104" t="s">
        <v>49</v>
      </c>
      <c r="Q104" t="s">
        <v>1195</v>
      </c>
      <c r="R104" t="s">
        <v>1196</v>
      </c>
      <c r="S104">
        <v>470</v>
      </c>
      <c r="T104" t="s">
        <v>92</v>
      </c>
      <c r="U104" t="s">
        <v>1197</v>
      </c>
      <c r="V104" t="s">
        <v>1198</v>
      </c>
      <c r="W104" t="s">
        <v>1199</v>
      </c>
      <c r="X104" t="s">
        <v>52</v>
      </c>
      <c r="Y104" t="s">
        <v>110</v>
      </c>
      <c r="Z104">
        <v>2122</v>
      </c>
      <c r="AA104">
        <v>39</v>
      </c>
      <c r="AB104">
        <v>158</v>
      </c>
      <c r="AC104" t="s">
        <v>1200</v>
      </c>
      <c r="AD104" t="s">
        <v>1201</v>
      </c>
      <c r="AE104" t="s">
        <v>1202</v>
      </c>
      <c r="AF104" t="s">
        <v>1203</v>
      </c>
      <c r="AG104" t="s">
        <v>1204</v>
      </c>
      <c r="AH104" t="s">
        <v>1205</v>
      </c>
      <c r="AJ104" s="2">
        <v>45666.595185185186</v>
      </c>
      <c r="AK104" t="s">
        <v>1203</v>
      </c>
      <c r="AL104" t="s">
        <v>65</v>
      </c>
      <c r="AM104" s="4">
        <v>0.35416666666666669</v>
      </c>
      <c r="AN104" t="s">
        <v>66</v>
      </c>
      <c r="AO104" t="s">
        <v>67</v>
      </c>
    </row>
    <row r="105" spans="1:41" x14ac:dyDescent="0.2">
      <c r="A105">
        <v>371599</v>
      </c>
      <c r="B105" t="s">
        <v>1206</v>
      </c>
      <c r="C105" t="s">
        <v>86</v>
      </c>
      <c r="D105" t="s">
        <v>1207</v>
      </c>
      <c r="E105" t="s">
        <v>1208</v>
      </c>
      <c r="F105">
        <v>202301</v>
      </c>
      <c r="G105" s="1">
        <v>32964</v>
      </c>
      <c r="H105" s="1">
        <v>45790</v>
      </c>
      <c r="I105" s="1">
        <v>46143</v>
      </c>
      <c r="J105" t="s">
        <v>45</v>
      </c>
      <c r="K105" t="s">
        <v>45</v>
      </c>
      <c r="L105" t="s">
        <v>72</v>
      </c>
      <c r="M105" s="1">
        <v>43731</v>
      </c>
      <c r="N105" t="s">
        <v>47</v>
      </c>
      <c r="O105" t="s">
        <v>48</v>
      </c>
      <c r="P105" t="s">
        <v>49</v>
      </c>
      <c r="Q105" t="s">
        <v>1209</v>
      </c>
      <c r="R105" t="s">
        <v>1210</v>
      </c>
      <c r="S105">
        <v>895</v>
      </c>
      <c r="T105" t="s">
        <v>92</v>
      </c>
      <c r="U105" t="s">
        <v>93</v>
      </c>
      <c r="V105" t="s">
        <v>506</v>
      </c>
      <c r="W105" t="s">
        <v>507</v>
      </c>
      <c r="X105" t="s">
        <v>92</v>
      </c>
      <c r="Y105" t="s">
        <v>110</v>
      </c>
      <c r="Z105">
        <v>1970</v>
      </c>
      <c r="AA105">
        <v>37</v>
      </c>
      <c r="AB105">
        <v>144</v>
      </c>
      <c r="AC105" t="s">
        <v>508</v>
      </c>
      <c r="AD105" t="s">
        <v>509</v>
      </c>
      <c r="AE105" t="s">
        <v>510</v>
      </c>
      <c r="AF105" t="s">
        <v>1211</v>
      </c>
      <c r="AG105" t="s">
        <v>1212</v>
      </c>
      <c r="AH105" t="s">
        <v>1213</v>
      </c>
      <c r="AI105" t="s">
        <v>1214</v>
      </c>
      <c r="AJ105" s="2">
        <v>45817.700023148151</v>
      </c>
      <c r="AK105" t="s">
        <v>100</v>
      </c>
      <c r="AL105" t="s">
        <v>65</v>
      </c>
      <c r="AM105" s="4">
        <v>0.3611111111111111</v>
      </c>
      <c r="AN105" t="s">
        <v>66</v>
      </c>
      <c r="AO105" t="s">
        <v>67</v>
      </c>
    </row>
    <row r="106" spans="1:41" x14ac:dyDescent="0.2">
      <c r="A106">
        <v>365175</v>
      </c>
      <c r="B106" t="s">
        <v>1215</v>
      </c>
      <c r="C106" t="s">
        <v>1107</v>
      </c>
      <c r="D106" t="s">
        <v>1216</v>
      </c>
      <c r="E106" t="s">
        <v>1217</v>
      </c>
      <c r="F106">
        <v>231501</v>
      </c>
      <c r="G106" s="1">
        <v>38089</v>
      </c>
      <c r="H106" s="1">
        <v>45551</v>
      </c>
      <c r="I106" s="1">
        <v>45931</v>
      </c>
      <c r="J106" t="s">
        <v>45</v>
      </c>
      <c r="K106" t="s">
        <v>45</v>
      </c>
      <c r="L106" t="s">
        <v>72</v>
      </c>
      <c r="M106" s="1">
        <v>45551</v>
      </c>
      <c r="N106" t="s">
        <v>47</v>
      </c>
      <c r="O106" t="s">
        <v>48</v>
      </c>
      <c r="P106" t="s">
        <v>49</v>
      </c>
      <c r="Q106" t="s">
        <v>1218</v>
      </c>
      <c r="R106" t="s">
        <v>1219</v>
      </c>
      <c r="S106">
        <v>840</v>
      </c>
      <c r="T106" t="s">
        <v>92</v>
      </c>
      <c r="U106" t="s">
        <v>1111</v>
      </c>
      <c r="V106" t="s">
        <v>1112</v>
      </c>
      <c r="W106" t="s">
        <v>1113</v>
      </c>
      <c r="X106" t="s">
        <v>52</v>
      </c>
      <c r="Y106" t="s">
        <v>110</v>
      </c>
      <c r="Z106">
        <v>1529</v>
      </c>
      <c r="AA106">
        <v>36</v>
      </c>
      <c r="AB106">
        <v>170</v>
      </c>
      <c r="AC106" t="s">
        <v>1114</v>
      </c>
      <c r="AD106" t="s">
        <v>1115</v>
      </c>
      <c r="AE106" t="s">
        <v>1116</v>
      </c>
      <c r="AF106" t="s">
        <v>1220</v>
      </c>
      <c r="AG106" t="s">
        <v>1221</v>
      </c>
      <c r="AH106" t="s">
        <v>1222</v>
      </c>
      <c r="AJ106" s="2">
        <v>45572.846250000002</v>
      </c>
      <c r="AK106" t="s">
        <v>1114</v>
      </c>
      <c r="AL106" t="s">
        <v>65</v>
      </c>
      <c r="AM106" s="4">
        <v>0.5625</v>
      </c>
      <c r="AN106" t="s">
        <v>66</v>
      </c>
      <c r="AO106" t="s">
        <v>67</v>
      </c>
    </row>
    <row r="107" spans="1:41" x14ac:dyDescent="0.2">
      <c r="A107">
        <v>370471</v>
      </c>
      <c r="B107" t="s">
        <v>1223</v>
      </c>
      <c r="C107" t="s">
        <v>182</v>
      </c>
      <c r="D107" t="s">
        <v>1224</v>
      </c>
      <c r="E107" t="s">
        <v>1225</v>
      </c>
      <c r="F107">
        <v>42108</v>
      </c>
      <c r="G107" s="1">
        <v>40563</v>
      </c>
      <c r="H107" s="1">
        <v>45769</v>
      </c>
      <c r="J107" t="s">
        <v>45</v>
      </c>
      <c r="K107" t="s">
        <v>72</v>
      </c>
      <c r="L107" t="s">
        <v>72</v>
      </c>
      <c r="N107" t="s">
        <v>47</v>
      </c>
      <c r="O107" t="s">
        <v>48</v>
      </c>
      <c r="P107" t="s">
        <v>49</v>
      </c>
      <c r="Q107" t="s">
        <v>1226</v>
      </c>
      <c r="R107" t="s">
        <v>1227</v>
      </c>
      <c r="S107">
        <v>1934</v>
      </c>
      <c r="T107" t="s">
        <v>92</v>
      </c>
      <c r="U107" t="s">
        <v>187</v>
      </c>
      <c r="V107" t="s">
        <v>447</v>
      </c>
      <c r="W107" t="s">
        <v>1228</v>
      </c>
      <c r="X107" t="s">
        <v>449</v>
      </c>
      <c r="Y107" t="s">
        <v>450</v>
      </c>
      <c r="Z107">
        <v>4267</v>
      </c>
      <c r="AA107">
        <v>23</v>
      </c>
      <c r="AB107">
        <v>52</v>
      </c>
      <c r="AC107" t="s">
        <v>1229</v>
      </c>
      <c r="AD107" t="s">
        <v>1230</v>
      </c>
      <c r="AE107" t="s">
        <v>1231</v>
      </c>
      <c r="AF107" t="s">
        <v>451</v>
      </c>
      <c r="AG107" t="s">
        <v>452</v>
      </c>
      <c r="AH107" t="s">
        <v>453</v>
      </c>
      <c r="AJ107" s="2">
        <v>45776.637789351851</v>
      </c>
      <c r="AK107" t="s">
        <v>456</v>
      </c>
      <c r="AL107" t="s">
        <v>65</v>
      </c>
      <c r="AM107" s="3">
        <v>1.2430555555555556</v>
      </c>
      <c r="AN107" t="s">
        <v>66</v>
      </c>
      <c r="AO107" t="s">
        <v>67</v>
      </c>
    </row>
    <row r="108" spans="1:41" x14ac:dyDescent="0.2">
      <c r="A108">
        <v>371724</v>
      </c>
      <c r="B108" t="s">
        <v>1232</v>
      </c>
      <c r="C108" t="s">
        <v>662</v>
      </c>
      <c r="D108" t="s">
        <v>345</v>
      </c>
      <c r="E108" t="s">
        <v>1233</v>
      </c>
      <c r="F108">
        <v>416601</v>
      </c>
      <c r="G108" s="1">
        <v>37285</v>
      </c>
      <c r="H108" s="1">
        <v>45614</v>
      </c>
      <c r="I108" s="1">
        <v>45962</v>
      </c>
      <c r="J108" t="s">
        <v>45</v>
      </c>
      <c r="K108" t="s">
        <v>45</v>
      </c>
      <c r="L108" t="s">
        <v>46</v>
      </c>
      <c r="M108" s="1">
        <v>41870</v>
      </c>
      <c r="N108" t="s">
        <v>47</v>
      </c>
      <c r="O108" t="s">
        <v>48</v>
      </c>
      <c r="P108" t="s">
        <v>49</v>
      </c>
      <c r="Q108" t="s">
        <v>1234</v>
      </c>
      <c r="R108" t="s">
        <v>1235</v>
      </c>
      <c r="S108">
        <v>145</v>
      </c>
      <c r="T108" t="s">
        <v>156</v>
      </c>
      <c r="U108" t="s">
        <v>667</v>
      </c>
      <c r="V108" t="s">
        <v>1236</v>
      </c>
      <c r="W108" t="s">
        <v>159</v>
      </c>
      <c r="X108" t="s">
        <v>55</v>
      </c>
      <c r="Y108" t="s">
        <v>56</v>
      </c>
      <c r="Z108">
        <v>2120</v>
      </c>
      <c r="AA108">
        <v>45</v>
      </c>
      <c r="AB108">
        <v>160</v>
      </c>
      <c r="AC108" t="s">
        <v>1237</v>
      </c>
      <c r="AD108" t="s">
        <v>1238</v>
      </c>
      <c r="AE108" t="s">
        <v>1239</v>
      </c>
      <c r="AF108" t="s">
        <v>1240</v>
      </c>
      <c r="AG108" t="s">
        <v>1241</v>
      </c>
      <c r="AH108" t="s">
        <v>1242</v>
      </c>
      <c r="AI108" t="s">
        <v>179</v>
      </c>
      <c r="AJ108" s="2">
        <v>45818.762118055558</v>
      </c>
      <c r="AK108" t="s">
        <v>556</v>
      </c>
      <c r="AL108" t="s">
        <v>65</v>
      </c>
      <c r="AM108" s="3">
        <v>1.4583333333333333</v>
      </c>
      <c r="AN108" t="s">
        <v>66</v>
      </c>
      <c r="AO108" t="s">
        <v>67</v>
      </c>
    </row>
    <row r="109" spans="1:41" x14ac:dyDescent="0.2">
      <c r="A109">
        <v>369960</v>
      </c>
      <c r="B109" t="s">
        <v>1243</v>
      </c>
      <c r="C109" t="s">
        <v>1244</v>
      </c>
      <c r="D109" t="s">
        <v>1245</v>
      </c>
      <c r="E109" t="s">
        <v>1246</v>
      </c>
      <c r="F109">
        <v>461102</v>
      </c>
      <c r="G109" s="1">
        <v>44518</v>
      </c>
      <c r="H109" s="1">
        <v>45630</v>
      </c>
      <c r="J109" t="s">
        <v>45</v>
      </c>
      <c r="K109" t="s">
        <v>45</v>
      </c>
      <c r="L109" t="s">
        <v>545</v>
      </c>
      <c r="M109" s="1">
        <v>43580</v>
      </c>
      <c r="N109" t="s">
        <v>47</v>
      </c>
      <c r="O109" t="s">
        <v>48</v>
      </c>
      <c r="P109" t="s">
        <v>49</v>
      </c>
      <c r="Q109" t="s">
        <v>1247</v>
      </c>
      <c r="R109" t="s">
        <v>1248</v>
      </c>
      <c r="S109">
        <v>1130</v>
      </c>
      <c r="T109" t="s">
        <v>92</v>
      </c>
      <c r="U109" t="s">
        <v>1249</v>
      </c>
      <c r="V109" t="s">
        <v>1250</v>
      </c>
      <c r="W109" t="s">
        <v>1251</v>
      </c>
      <c r="X109" t="s">
        <v>92</v>
      </c>
      <c r="Y109" t="s">
        <v>770</v>
      </c>
      <c r="Z109">
        <v>2695</v>
      </c>
      <c r="AA109">
        <v>34</v>
      </c>
      <c r="AB109">
        <v>144</v>
      </c>
      <c r="AC109" t="s">
        <v>1252</v>
      </c>
      <c r="AD109" t="s">
        <v>1253</v>
      </c>
      <c r="AE109" t="s">
        <v>1254</v>
      </c>
      <c r="AF109" t="s">
        <v>1255</v>
      </c>
      <c r="AG109" t="s">
        <v>1256</v>
      </c>
      <c r="AH109" t="s">
        <v>1257</v>
      </c>
      <c r="AI109" t="s">
        <v>1258</v>
      </c>
      <c r="AJ109" s="2">
        <v>45758.626296296294</v>
      </c>
      <c r="AK109" t="s">
        <v>375</v>
      </c>
      <c r="AL109" t="s">
        <v>65</v>
      </c>
      <c r="AM109" s="4">
        <v>0.65277777777777779</v>
      </c>
      <c r="AN109" t="s">
        <v>66</v>
      </c>
      <c r="AO109" t="s">
        <v>67</v>
      </c>
    </row>
    <row r="110" spans="1:41" x14ac:dyDescent="0.2">
      <c r="A110">
        <v>367784</v>
      </c>
      <c r="B110" t="s">
        <v>1243</v>
      </c>
      <c r="C110" t="s">
        <v>763</v>
      </c>
      <c r="D110" t="s">
        <v>1259</v>
      </c>
      <c r="E110" t="s">
        <v>1260</v>
      </c>
      <c r="F110">
        <v>472801</v>
      </c>
      <c r="G110" s="1">
        <v>38579</v>
      </c>
      <c r="H110" s="1">
        <v>45412</v>
      </c>
      <c r="J110" t="s">
        <v>45</v>
      </c>
      <c r="K110" t="s">
        <v>45</v>
      </c>
      <c r="L110" t="s">
        <v>72</v>
      </c>
      <c r="M110" s="1">
        <v>45412</v>
      </c>
      <c r="N110" t="s">
        <v>47</v>
      </c>
      <c r="O110" t="s">
        <v>48</v>
      </c>
      <c r="P110" t="s">
        <v>49</v>
      </c>
      <c r="Q110" t="s">
        <v>1261</v>
      </c>
      <c r="R110" t="s">
        <v>1262</v>
      </c>
      <c r="S110">
        <v>970</v>
      </c>
      <c r="T110" t="s">
        <v>92</v>
      </c>
      <c r="U110" t="s">
        <v>767</v>
      </c>
      <c r="V110" t="s">
        <v>768</v>
      </c>
      <c r="W110" t="s">
        <v>769</v>
      </c>
      <c r="X110" t="s">
        <v>92</v>
      </c>
      <c r="Y110" t="s">
        <v>770</v>
      </c>
      <c r="Z110">
        <v>2632</v>
      </c>
      <c r="AA110">
        <v>46</v>
      </c>
      <c r="AB110">
        <v>48</v>
      </c>
      <c r="AC110" t="s">
        <v>1263</v>
      </c>
      <c r="AD110" t="s">
        <v>1264</v>
      </c>
      <c r="AE110" t="s">
        <v>1265</v>
      </c>
      <c r="AF110" t="s">
        <v>774</v>
      </c>
      <c r="AG110" t="s">
        <v>775</v>
      </c>
      <c r="AH110" t="s">
        <v>776</v>
      </c>
      <c r="AI110" t="s">
        <v>1266</v>
      </c>
      <c r="AJ110" s="2">
        <v>45691.637083333335</v>
      </c>
      <c r="AK110" t="s">
        <v>1263</v>
      </c>
      <c r="AL110" t="s">
        <v>65</v>
      </c>
      <c r="AM110" s="4">
        <v>0.20833333333333334</v>
      </c>
      <c r="AN110" t="s">
        <v>66</v>
      </c>
      <c r="AO110" t="s">
        <v>67</v>
      </c>
    </row>
    <row r="111" spans="1:41" x14ac:dyDescent="0.2">
      <c r="A111">
        <v>366130</v>
      </c>
      <c r="B111" t="s">
        <v>1267</v>
      </c>
      <c r="C111" t="s">
        <v>558</v>
      </c>
      <c r="D111" t="s">
        <v>1268</v>
      </c>
      <c r="E111">
        <v>32856084</v>
      </c>
      <c r="F111">
        <v>260501</v>
      </c>
      <c r="G111" s="1">
        <v>37511</v>
      </c>
      <c r="H111" s="1">
        <v>45601</v>
      </c>
      <c r="I111" s="1">
        <v>46204</v>
      </c>
      <c r="J111" t="s">
        <v>45</v>
      </c>
      <c r="K111" t="s">
        <v>45</v>
      </c>
      <c r="L111" t="s">
        <v>429</v>
      </c>
      <c r="M111" s="1">
        <v>41851</v>
      </c>
      <c r="N111" t="s">
        <v>47</v>
      </c>
      <c r="O111" t="s">
        <v>48</v>
      </c>
      <c r="P111" t="s">
        <v>49</v>
      </c>
      <c r="Q111" t="s">
        <v>1269</v>
      </c>
      <c r="R111" t="s">
        <v>1270</v>
      </c>
      <c r="S111">
        <v>6310</v>
      </c>
      <c r="T111" t="s">
        <v>52</v>
      </c>
      <c r="U111">
        <v>4</v>
      </c>
      <c r="V111" t="s">
        <v>1271</v>
      </c>
      <c r="W111" t="s">
        <v>54</v>
      </c>
      <c r="X111" t="s">
        <v>493</v>
      </c>
      <c r="Y111" t="s">
        <v>56</v>
      </c>
      <c r="Z111">
        <v>2054</v>
      </c>
      <c r="AA111">
        <v>49</v>
      </c>
      <c r="AB111">
        <v>210</v>
      </c>
      <c r="AC111" t="s">
        <v>1272</v>
      </c>
      <c r="AD111" t="s">
        <v>1273</v>
      </c>
      <c r="AE111" t="s">
        <v>1274</v>
      </c>
      <c r="AI111" t="s">
        <v>1275</v>
      </c>
      <c r="AJ111" s="2">
        <v>45603.884050925924</v>
      </c>
      <c r="AK111" t="s">
        <v>501</v>
      </c>
      <c r="AL111" t="s">
        <v>65</v>
      </c>
      <c r="AM111" s="3">
        <v>2.0972222222222223</v>
      </c>
      <c r="AN111" t="s">
        <v>66</v>
      </c>
      <c r="AO111" t="s">
        <v>67</v>
      </c>
    </row>
    <row r="112" spans="1:41" x14ac:dyDescent="0.2">
      <c r="A112">
        <v>365102</v>
      </c>
      <c r="B112" t="s">
        <v>1276</v>
      </c>
      <c r="C112" t="s">
        <v>662</v>
      </c>
      <c r="D112" t="s">
        <v>1277</v>
      </c>
      <c r="E112" t="s">
        <v>1278</v>
      </c>
      <c r="G112" s="1">
        <v>45132</v>
      </c>
      <c r="H112" s="1">
        <v>45524</v>
      </c>
      <c r="J112" t="s">
        <v>45</v>
      </c>
      <c r="K112" t="s">
        <v>45</v>
      </c>
      <c r="L112" t="s">
        <v>72</v>
      </c>
      <c r="N112" t="s">
        <v>47</v>
      </c>
      <c r="O112" t="s">
        <v>48</v>
      </c>
      <c r="P112" t="s">
        <v>49</v>
      </c>
      <c r="Q112" t="s">
        <v>1279</v>
      </c>
      <c r="R112" t="s">
        <v>1280</v>
      </c>
      <c r="S112">
        <v>940</v>
      </c>
      <c r="T112" t="s">
        <v>92</v>
      </c>
      <c r="U112" t="s">
        <v>1197</v>
      </c>
      <c r="V112" t="s">
        <v>1281</v>
      </c>
      <c r="W112" t="s">
        <v>1282</v>
      </c>
      <c r="X112" t="s">
        <v>92</v>
      </c>
      <c r="Y112" t="s">
        <v>96</v>
      </c>
      <c r="Z112">
        <v>12163</v>
      </c>
      <c r="AA112">
        <v>10</v>
      </c>
      <c r="AB112">
        <v>44</v>
      </c>
      <c r="AC112" t="s">
        <v>1283</v>
      </c>
      <c r="AD112" t="s">
        <v>1284</v>
      </c>
      <c r="AE112" t="s">
        <v>1285</v>
      </c>
      <c r="AJ112" s="2">
        <v>45568.619016203702</v>
      </c>
      <c r="AK112" t="s">
        <v>1283</v>
      </c>
      <c r="AL112" t="s">
        <v>65</v>
      </c>
      <c r="AM112" s="4">
        <v>0.98958333333333337</v>
      </c>
      <c r="AN112" t="s">
        <v>66</v>
      </c>
      <c r="AO112" t="s">
        <v>67</v>
      </c>
    </row>
    <row r="113" spans="1:41" x14ac:dyDescent="0.2">
      <c r="A113">
        <v>365100</v>
      </c>
      <c r="B113" t="s">
        <v>1286</v>
      </c>
      <c r="C113" t="s">
        <v>662</v>
      </c>
      <c r="D113" t="s">
        <v>1277</v>
      </c>
      <c r="E113" t="s">
        <v>1287</v>
      </c>
      <c r="G113" s="1">
        <v>45117</v>
      </c>
      <c r="H113" s="1">
        <v>45524</v>
      </c>
      <c r="J113" t="s">
        <v>45</v>
      </c>
      <c r="K113" t="s">
        <v>45</v>
      </c>
      <c r="L113" t="s">
        <v>72</v>
      </c>
      <c r="N113" t="s">
        <v>47</v>
      </c>
      <c r="O113" t="s">
        <v>121</v>
      </c>
      <c r="P113" t="s">
        <v>49</v>
      </c>
      <c r="Q113" t="s">
        <v>1288</v>
      </c>
      <c r="R113" t="s">
        <v>1289</v>
      </c>
      <c r="S113">
        <v>741</v>
      </c>
      <c r="T113" t="s">
        <v>92</v>
      </c>
      <c r="U113" t="s">
        <v>1197</v>
      </c>
      <c r="V113" t="s">
        <v>1281</v>
      </c>
      <c r="W113" t="s">
        <v>1282</v>
      </c>
      <c r="X113" t="s">
        <v>92</v>
      </c>
      <c r="Y113" t="s">
        <v>96</v>
      </c>
      <c r="Z113">
        <v>12166</v>
      </c>
      <c r="AA113">
        <v>9</v>
      </c>
      <c r="AB113">
        <v>44</v>
      </c>
      <c r="AC113" t="s">
        <v>1283</v>
      </c>
      <c r="AD113" t="s">
        <v>1284</v>
      </c>
      <c r="AE113" t="s">
        <v>1285</v>
      </c>
      <c r="AJ113" s="2">
        <v>45568.614305555559</v>
      </c>
      <c r="AK113" t="s">
        <v>1283</v>
      </c>
      <c r="AL113" t="s">
        <v>65</v>
      </c>
      <c r="AM113" s="3">
        <v>1.28125</v>
      </c>
      <c r="AN113" t="s">
        <v>66</v>
      </c>
      <c r="AO113" t="s">
        <v>67</v>
      </c>
    </row>
    <row r="114" spans="1:41" x14ac:dyDescent="0.2">
      <c r="A114">
        <v>365099</v>
      </c>
      <c r="B114" t="s">
        <v>1290</v>
      </c>
      <c r="C114" t="s">
        <v>662</v>
      </c>
      <c r="D114" t="s">
        <v>1277</v>
      </c>
      <c r="E114" t="s">
        <v>1291</v>
      </c>
      <c r="G114" s="1">
        <v>45338</v>
      </c>
      <c r="H114" s="1">
        <v>45526</v>
      </c>
      <c r="J114" t="s">
        <v>45</v>
      </c>
      <c r="K114" t="s">
        <v>45</v>
      </c>
      <c r="L114" t="s">
        <v>72</v>
      </c>
      <c r="N114" t="s">
        <v>47</v>
      </c>
      <c r="O114" t="s">
        <v>121</v>
      </c>
      <c r="P114" t="s">
        <v>49</v>
      </c>
      <c r="Q114" t="s">
        <v>1292</v>
      </c>
      <c r="R114" t="s">
        <v>1293</v>
      </c>
      <c r="S114">
        <v>884</v>
      </c>
      <c r="T114" t="s">
        <v>92</v>
      </c>
      <c r="U114" t="s">
        <v>1197</v>
      </c>
      <c r="V114" t="s">
        <v>1281</v>
      </c>
      <c r="W114" t="s">
        <v>1282</v>
      </c>
      <c r="X114" t="s">
        <v>92</v>
      </c>
      <c r="Y114" t="s">
        <v>96</v>
      </c>
      <c r="Z114">
        <v>12167</v>
      </c>
      <c r="AA114">
        <v>9</v>
      </c>
      <c r="AB114">
        <v>44</v>
      </c>
      <c r="AC114" t="s">
        <v>1283</v>
      </c>
      <c r="AD114" t="s">
        <v>1284</v>
      </c>
      <c r="AE114" t="s">
        <v>1285</v>
      </c>
      <c r="AJ114" s="2">
        <v>45568.613668981481</v>
      </c>
      <c r="AK114" t="s">
        <v>1283</v>
      </c>
      <c r="AL114" t="s">
        <v>65</v>
      </c>
      <c r="AM114" s="3">
        <v>1.2881944444444444</v>
      </c>
      <c r="AN114" t="s">
        <v>66</v>
      </c>
      <c r="AO114" t="s">
        <v>67</v>
      </c>
    </row>
    <row r="115" spans="1:41" x14ac:dyDescent="0.2">
      <c r="A115">
        <v>365074</v>
      </c>
      <c r="B115" t="s">
        <v>1294</v>
      </c>
      <c r="C115" t="s">
        <v>662</v>
      </c>
      <c r="D115" t="s">
        <v>1277</v>
      </c>
      <c r="E115" t="s">
        <v>1295</v>
      </c>
      <c r="G115" s="1">
        <v>45272</v>
      </c>
      <c r="H115" s="1">
        <v>45557</v>
      </c>
      <c r="J115" t="s">
        <v>45</v>
      </c>
      <c r="K115" t="s">
        <v>45</v>
      </c>
      <c r="L115" t="s">
        <v>72</v>
      </c>
      <c r="N115" t="s">
        <v>47</v>
      </c>
      <c r="O115" t="s">
        <v>48</v>
      </c>
      <c r="P115" t="s">
        <v>49</v>
      </c>
      <c r="Q115" t="s">
        <v>1296</v>
      </c>
      <c r="R115" t="s">
        <v>1297</v>
      </c>
      <c r="S115">
        <v>690</v>
      </c>
      <c r="T115" t="s">
        <v>92</v>
      </c>
      <c r="U115" t="s">
        <v>1197</v>
      </c>
      <c r="V115" t="s">
        <v>1281</v>
      </c>
      <c r="W115" t="s">
        <v>1282</v>
      </c>
      <c r="X115" t="s">
        <v>92</v>
      </c>
      <c r="Y115" t="s">
        <v>96</v>
      </c>
      <c r="Z115">
        <v>12165</v>
      </c>
      <c r="AA115">
        <v>10</v>
      </c>
      <c r="AB115">
        <v>44</v>
      </c>
      <c r="AC115" t="s">
        <v>1283</v>
      </c>
      <c r="AD115" t="s">
        <v>1284</v>
      </c>
      <c r="AE115" t="s">
        <v>1285</v>
      </c>
      <c r="AJ115" s="2">
        <v>45567.821516203701</v>
      </c>
      <c r="AK115" t="s">
        <v>1283</v>
      </c>
      <c r="AL115" t="s">
        <v>65</v>
      </c>
      <c r="AM115" s="3">
        <v>1.0243055555555556</v>
      </c>
      <c r="AN115" t="s">
        <v>66</v>
      </c>
      <c r="AO115" t="s">
        <v>67</v>
      </c>
    </row>
    <row r="116" spans="1:41" x14ac:dyDescent="0.2">
      <c r="A116">
        <v>365098</v>
      </c>
      <c r="B116" t="s">
        <v>1298</v>
      </c>
      <c r="C116" t="s">
        <v>662</v>
      </c>
      <c r="D116" t="s">
        <v>1277</v>
      </c>
      <c r="E116" t="s">
        <v>1299</v>
      </c>
      <c r="G116" s="1">
        <v>45127</v>
      </c>
      <c r="H116" s="1">
        <v>45526</v>
      </c>
      <c r="J116" t="s">
        <v>45</v>
      </c>
      <c r="K116" t="s">
        <v>45</v>
      </c>
      <c r="L116" t="s">
        <v>72</v>
      </c>
      <c r="N116" t="s">
        <v>47</v>
      </c>
      <c r="O116" t="s">
        <v>48</v>
      </c>
      <c r="P116" t="s">
        <v>49</v>
      </c>
      <c r="Q116" t="s">
        <v>1300</v>
      </c>
      <c r="R116" t="s">
        <v>1301</v>
      </c>
      <c r="S116">
        <v>1138</v>
      </c>
      <c r="T116" t="s">
        <v>92</v>
      </c>
      <c r="U116" t="s">
        <v>1197</v>
      </c>
      <c r="V116" t="s">
        <v>1281</v>
      </c>
      <c r="W116" t="s">
        <v>1282</v>
      </c>
      <c r="X116" t="s">
        <v>92</v>
      </c>
      <c r="Y116" t="s">
        <v>96</v>
      </c>
      <c r="Z116">
        <v>12164</v>
      </c>
      <c r="AA116">
        <v>9</v>
      </c>
      <c r="AB116">
        <v>44</v>
      </c>
      <c r="AC116" t="s">
        <v>1283</v>
      </c>
      <c r="AD116" t="s">
        <v>1284</v>
      </c>
      <c r="AE116" t="s">
        <v>1285</v>
      </c>
      <c r="AJ116" s="2">
        <v>45568.612662037034</v>
      </c>
      <c r="AK116" t="s">
        <v>1283</v>
      </c>
      <c r="AL116" t="s">
        <v>65</v>
      </c>
      <c r="AM116" s="3">
        <v>1.0173611111111112</v>
      </c>
      <c r="AN116" t="s">
        <v>66</v>
      </c>
      <c r="AO116" t="s">
        <v>67</v>
      </c>
    </row>
    <row r="117" spans="1:41" x14ac:dyDescent="0.2">
      <c r="A117">
        <v>366937</v>
      </c>
      <c r="B117" t="s">
        <v>1302</v>
      </c>
      <c r="C117" t="s">
        <v>662</v>
      </c>
      <c r="D117" t="s">
        <v>1277</v>
      </c>
      <c r="E117" t="s">
        <v>1303</v>
      </c>
      <c r="G117" s="1">
        <v>43551</v>
      </c>
      <c r="H117" s="1">
        <v>45552</v>
      </c>
      <c r="J117" t="s">
        <v>45</v>
      </c>
      <c r="K117" t="s">
        <v>72</v>
      </c>
      <c r="L117" t="s">
        <v>72</v>
      </c>
      <c r="M117" s="1">
        <v>41026</v>
      </c>
      <c r="N117" t="s">
        <v>89</v>
      </c>
      <c r="O117" t="s">
        <v>121</v>
      </c>
      <c r="P117" t="s">
        <v>49</v>
      </c>
      <c r="Q117" t="s">
        <v>1304</v>
      </c>
      <c r="R117" t="s">
        <v>1305</v>
      </c>
      <c r="S117">
        <v>916</v>
      </c>
      <c r="T117" t="s">
        <v>92</v>
      </c>
      <c r="U117" t="s">
        <v>1197</v>
      </c>
      <c r="V117" t="s">
        <v>1198</v>
      </c>
      <c r="W117" t="s">
        <v>1199</v>
      </c>
      <c r="X117" t="s">
        <v>92</v>
      </c>
      <c r="Y117" t="s">
        <v>1306</v>
      </c>
      <c r="Z117">
        <v>3082</v>
      </c>
      <c r="AA117">
        <v>20</v>
      </c>
      <c r="AB117">
        <v>38</v>
      </c>
      <c r="AC117" t="s">
        <v>1307</v>
      </c>
      <c r="AD117" t="s">
        <v>1308</v>
      </c>
      <c r="AE117" t="s">
        <v>1309</v>
      </c>
      <c r="AF117" t="s">
        <v>1310</v>
      </c>
      <c r="AG117" t="s">
        <v>1311</v>
      </c>
      <c r="AH117" t="s">
        <v>1312</v>
      </c>
      <c r="AI117" t="s">
        <v>1201</v>
      </c>
      <c r="AJ117" s="2">
        <v>45645.745300925926</v>
      </c>
      <c r="AK117" t="s">
        <v>1313</v>
      </c>
      <c r="AL117" t="s">
        <v>65</v>
      </c>
      <c r="AM117" s="3">
        <v>2.0138888888888888</v>
      </c>
      <c r="AN117" t="s">
        <v>66</v>
      </c>
      <c r="AO117" t="s">
        <v>67</v>
      </c>
    </row>
    <row r="118" spans="1:41" x14ac:dyDescent="0.2">
      <c r="A118">
        <v>367646</v>
      </c>
      <c r="B118" t="s">
        <v>1314</v>
      </c>
      <c r="C118" t="s">
        <v>1107</v>
      </c>
      <c r="D118" t="s">
        <v>1315</v>
      </c>
      <c r="E118">
        <v>32720542</v>
      </c>
      <c r="F118">
        <v>238502</v>
      </c>
      <c r="G118" s="1">
        <v>34915</v>
      </c>
      <c r="H118" s="1">
        <v>45672</v>
      </c>
      <c r="I118" s="1">
        <v>46037</v>
      </c>
      <c r="J118" t="s">
        <v>45</v>
      </c>
      <c r="K118" t="s">
        <v>45</v>
      </c>
      <c r="L118" t="s">
        <v>72</v>
      </c>
      <c r="M118" s="1">
        <v>43866</v>
      </c>
      <c r="N118" t="s">
        <v>47</v>
      </c>
      <c r="O118" t="s">
        <v>48</v>
      </c>
      <c r="P118" t="s">
        <v>49</v>
      </c>
      <c r="Q118" t="s">
        <v>1316</v>
      </c>
      <c r="R118" t="s">
        <v>1317</v>
      </c>
      <c r="S118">
        <v>1100</v>
      </c>
      <c r="T118" t="s">
        <v>52</v>
      </c>
      <c r="U118">
        <v>9</v>
      </c>
      <c r="V118" t="s">
        <v>1318</v>
      </c>
      <c r="W118" t="s">
        <v>54</v>
      </c>
      <c r="X118" t="s">
        <v>76</v>
      </c>
      <c r="Y118" t="s">
        <v>56</v>
      </c>
      <c r="Z118">
        <v>1138</v>
      </c>
      <c r="AA118">
        <v>55</v>
      </c>
      <c r="AB118">
        <v>52</v>
      </c>
      <c r="AC118" t="s">
        <v>1319</v>
      </c>
      <c r="AD118" t="s">
        <v>1320</v>
      </c>
      <c r="AE118" t="s">
        <v>1321</v>
      </c>
      <c r="AI118" t="s">
        <v>1322</v>
      </c>
      <c r="AJ118" s="2">
        <v>45685.662407407406</v>
      </c>
      <c r="AK118" t="s">
        <v>180</v>
      </c>
      <c r="AL118" t="s">
        <v>65</v>
      </c>
      <c r="AM118" s="3">
        <v>2.2291666666666665</v>
      </c>
      <c r="AN118" t="s">
        <v>66</v>
      </c>
      <c r="AO118" t="s">
        <v>101</v>
      </c>
    </row>
    <row r="119" spans="1:41" x14ac:dyDescent="0.2">
      <c r="A119">
        <v>367921</v>
      </c>
      <c r="B119" t="s">
        <v>1323</v>
      </c>
      <c r="C119" t="s">
        <v>788</v>
      </c>
      <c r="D119" t="s">
        <v>1324</v>
      </c>
      <c r="E119" t="s">
        <v>1325</v>
      </c>
      <c r="F119">
        <v>85301</v>
      </c>
      <c r="G119" s="1">
        <v>41600</v>
      </c>
      <c r="H119" s="1">
        <v>45679</v>
      </c>
      <c r="J119" t="s">
        <v>45</v>
      </c>
      <c r="K119" t="s">
        <v>72</v>
      </c>
      <c r="L119" t="s">
        <v>72</v>
      </c>
      <c r="N119" t="s">
        <v>47</v>
      </c>
      <c r="O119" t="s">
        <v>48</v>
      </c>
      <c r="P119" t="s">
        <v>586</v>
      </c>
      <c r="Q119" t="s">
        <v>1326</v>
      </c>
      <c r="R119" t="s">
        <v>1327</v>
      </c>
      <c r="S119">
        <v>-17</v>
      </c>
      <c r="T119" t="s">
        <v>1328</v>
      </c>
      <c r="U119" t="s">
        <v>1329</v>
      </c>
      <c r="V119" t="s">
        <v>1330</v>
      </c>
      <c r="W119" t="s">
        <v>1331</v>
      </c>
      <c r="X119" t="s">
        <v>1328</v>
      </c>
      <c r="Y119" t="s">
        <v>450</v>
      </c>
      <c r="Z119">
        <v>5786</v>
      </c>
      <c r="AA119">
        <v>11</v>
      </c>
      <c r="AB119">
        <v>28</v>
      </c>
      <c r="AC119" t="s">
        <v>1332</v>
      </c>
      <c r="AD119" t="s">
        <v>1333</v>
      </c>
      <c r="AE119" t="s">
        <v>1334</v>
      </c>
      <c r="AI119" t="s">
        <v>1333</v>
      </c>
      <c r="AJ119" s="2">
        <v>45693.812442129631</v>
      </c>
      <c r="AK119" t="s">
        <v>526</v>
      </c>
      <c r="AL119" t="s">
        <v>65</v>
      </c>
      <c r="AM119" s="4">
        <v>0.91666666666666663</v>
      </c>
      <c r="AN119" t="s">
        <v>66</v>
      </c>
      <c r="AO119" t="s">
        <v>67</v>
      </c>
    </row>
    <row r="120" spans="1:41" x14ac:dyDescent="0.2">
      <c r="A120">
        <v>367922</v>
      </c>
      <c r="B120" t="s">
        <v>1335</v>
      </c>
      <c r="C120" t="s">
        <v>788</v>
      </c>
      <c r="D120" t="s">
        <v>1336</v>
      </c>
      <c r="E120" t="s">
        <v>1337</v>
      </c>
      <c r="G120" s="1">
        <v>43810</v>
      </c>
      <c r="H120" s="1">
        <v>45679</v>
      </c>
      <c r="J120" t="s">
        <v>45</v>
      </c>
      <c r="K120" t="s">
        <v>45</v>
      </c>
      <c r="L120" t="s">
        <v>72</v>
      </c>
      <c r="N120" t="s">
        <v>47</v>
      </c>
      <c r="O120" t="s">
        <v>48</v>
      </c>
      <c r="P120" t="s">
        <v>49</v>
      </c>
      <c r="Q120" t="s">
        <v>1338</v>
      </c>
      <c r="R120" t="s">
        <v>1339</v>
      </c>
      <c r="S120">
        <v>117</v>
      </c>
      <c r="T120" t="s">
        <v>1328</v>
      </c>
      <c r="U120" t="s">
        <v>1329</v>
      </c>
      <c r="V120" t="s">
        <v>1330</v>
      </c>
      <c r="W120" t="s">
        <v>1331</v>
      </c>
      <c r="X120" t="s">
        <v>1328</v>
      </c>
      <c r="Y120" t="s">
        <v>450</v>
      </c>
      <c r="Z120">
        <v>10606</v>
      </c>
      <c r="AA120">
        <v>17</v>
      </c>
      <c r="AB120">
        <v>45</v>
      </c>
      <c r="AC120" t="s">
        <v>1340</v>
      </c>
      <c r="AD120" t="s">
        <v>1341</v>
      </c>
      <c r="AE120" t="s">
        <v>1342</v>
      </c>
      <c r="AJ120" s="2">
        <v>45693.812881944446</v>
      </c>
      <c r="AK120" t="s">
        <v>526</v>
      </c>
      <c r="AL120" t="s">
        <v>65</v>
      </c>
      <c r="AM120" s="4">
        <v>4.8611111111111112E-2</v>
      </c>
      <c r="AN120" t="s">
        <v>66</v>
      </c>
      <c r="AO120" t="s">
        <v>67</v>
      </c>
    </row>
    <row r="121" spans="1:41" x14ac:dyDescent="0.2">
      <c r="A121">
        <v>365873</v>
      </c>
      <c r="B121" t="s">
        <v>1343</v>
      </c>
      <c r="C121" t="s">
        <v>118</v>
      </c>
      <c r="E121" t="s">
        <v>1344</v>
      </c>
      <c r="I121" s="1">
        <v>45962</v>
      </c>
      <c r="J121" t="s">
        <v>45</v>
      </c>
      <c r="K121" t="s">
        <v>45</v>
      </c>
      <c r="L121" t="s">
        <v>46</v>
      </c>
      <c r="N121" t="s">
        <v>89</v>
      </c>
      <c r="O121" t="s">
        <v>48</v>
      </c>
      <c r="P121" t="s">
        <v>49</v>
      </c>
      <c r="T121" t="s">
        <v>92</v>
      </c>
      <c r="U121" t="s">
        <v>1345</v>
      </c>
      <c r="V121" t="s">
        <v>1346</v>
      </c>
      <c r="W121" t="s">
        <v>1347</v>
      </c>
      <c r="X121" t="s">
        <v>92</v>
      </c>
      <c r="Y121" t="s">
        <v>110</v>
      </c>
      <c r="Z121">
        <v>12203</v>
      </c>
      <c r="AA121">
        <v>3</v>
      </c>
      <c r="AB121">
        <v>44</v>
      </c>
      <c r="AC121" t="s">
        <v>1348</v>
      </c>
      <c r="AD121" t="s">
        <v>1349</v>
      </c>
      <c r="AE121" t="s">
        <v>1350</v>
      </c>
      <c r="AF121" t="s">
        <v>1351</v>
      </c>
      <c r="AG121" t="s">
        <v>1352</v>
      </c>
      <c r="AH121" t="s">
        <v>1353</v>
      </c>
      <c r="AJ121" s="2">
        <v>45594.774502314816</v>
      </c>
      <c r="AK121" t="s">
        <v>149</v>
      </c>
      <c r="AL121" t="s">
        <v>65</v>
      </c>
      <c r="AM121" s="3">
        <v>1.4131944444444444</v>
      </c>
      <c r="AN121" t="s">
        <v>66</v>
      </c>
      <c r="AO121" t="s">
        <v>67</v>
      </c>
    </row>
    <row r="122" spans="1:41" x14ac:dyDescent="0.2">
      <c r="A122">
        <v>365874</v>
      </c>
      <c r="B122" t="s">
        <v>1354</v>
      </c>
      <c r="C122" t="s">
        <v>118</v>
      </c>
      <c r="E122" s="5" t="s">
        <v>1355</v>
      </c>
      <c r="I122" s="1">
        <v>45962</v>
      </c>
      <c r="J122" t="s">
        <v>45</v>
      </c>
      <c r="K122" t="s">
        <v>45</v>
      </c>
      <c r="L122" t="s">
        <v>46</v>
      </c>
      <c r="N122" t="s">
        <v>89</v>
      </c>
      <c r="O122" t="s">
        <v>48</v>
      </c>
      <c r="P122" t="s">
        <v>49</v>
      </c>
      <c r="T122" t="s">
        <v>92</v>
      </c>
      <c r="U122" t="s">
        <v>1345</v>
      </c>
      <c r="V122" t="s">
        <v>1346</v>
      </c>
      <c r="W122" t="s">
        <v>1347</v>
      </c>
      <c r="X122" t="s">
        <v>92</v>
      </c>
      <c r="Y122" t="s">
        <v>110</v>
      </c>
      <c r="Z122">
        <v>12204</v>
      </c>
      <c r="AA122">
        <v>4</v>
      </c>
      <c r="AB122">
        <v>48</v>
      </c>
      <c r="AC122" t="s">
        <v>1348</v>
      </c>
      <c r="AD122" t="s">
        <v>1349</v>
      </c>
      <c r="AE122" t="s">
        <v>1350</v>
      </c>
      <c r="AF122" t="s">
        <v>1351</v>
      </c>
      <c r="AG122" t="s">
        <v>1352</v>
      </c>
      <c r="AH122" t="s">
        <v>1353</v>
      </c>
      <c r="AJ122" s="2">
        <v>45594.774745370371</v>
      </c>
      <c r="AK122" t="s">
        <v>149</v>
      </c>
      <c r="AL122" t="s">
        <v>65</v>
      </c>
      <c r="AM122" s="4">
        <v>0.73263888888888884</v>
      </c>
      <c r="AN122" t="s">
        <v>66</v>
      </c>
      <c r="AO122" t="s">
        <v>67</v>
      </c>
    </row>
    <row r="123" spans="1:41" x14ac:dyDescent="0.2">
      <c r="A123">
        <v>365875</v>
      </c>
      <c r="B123" t="s">
        <v>1356</v>
      </c>
      <c r="C123" t="s">
        <v>118</v>
      </c>
      <c r="E123" t="s">
        <v>1357</v>
      </c>
      <c r="I123" s="1">
        <v>45962</v>
      </c>
      <c r="J123" t="s">
        <v>45</v>
      </c>
      <c r="K123" t="s">
        <v>45</v>
      </c>
      <c r="L123" t="s">
        <v>46</v>
      </c>
      <c r="N123" t="s">
        <v>89</v>
      </c>
      <c r="O123" t="s">
        <v>48</v>
      </c>
      <c r="P123" t="s">
        <v>49</v>
      </c>
      <c r="T123" t="s">
        <v>92</v>
      </c>
      <c r="U123" t="s">
        <v>1345</v>
      </c>
      <c r="V123" t="s">
        <v>1346</v>
      </c>
      <c r="W123" t="s">
        <v>1347</v>
      </c>
      <c r="X123" t="s">
        <v>92</v>
      </c>
      <c r="Y123" t="s">
        <v>110</v>
      </c>
      <c r="Z123">
        <v>12206</v>
      </c>
      <c r="AA123">
        <v>3</v>
      </c>
      <c r="AB123">
        <v>48</v>
      </c>
      <c r="AC123" t="s">
        <v>1348</v>
      </c>
      <c r="AD123" t="s">
        <v>1349</v>
      </c>
      <c r="AE123" t="s">
        <v>1350</v>
      </c>
      <c r="AF123" t="s">
        <v>1351</v>
      </c>
      <c r="AG123" t="s">
        <v>1352</v>
      </c>
      <c r="AH123" t="s">
        <v>1353</v>
      </c>
      <c r="AJ123" s="2">
        <v>45594.775034722225</v>
      </c>
      <c r="AK123" t="s">
        <v>149</v>
      </c>
      <c r="AL123" t="s">
        <v>65</v>
      </c>
      <c r="AM123" s="4">
        <v>0.76041666666666663</v>
      </c>
      <c r="AN123" t="s">
        <v>66</v>
      </c>
      <c r="AO123" t="s">
        <v>67</v>
      </c>
    </row>
    <row r="124" spans="1:41" x14ac:dyDescent="0.2">
      <c r="A124">
        <v>365872</v>
      </c>
      <c r="B124" t="s">
        <v>1358</v>
      </c>
      <c r="C124" t="s">
        <v>118</v>
      </c>
      <c r="E124" s="5" t="s">
        <v>1359</v>
      </c>
      <c r="I124" s="1">
        <v>45962</v>
      </c>
      <c r="J124" t="s">
        <v>45</v>
      </c>
      <c r="K124" t="s">
        <v>45</v>
      </c>
      <c r="L124" t="s">
        <v>46</v>
      </c>
      <c r="N124" t="s">
        <v>89</v>
      </c>
      <c r="O124" t="s">
        <v>48</v>
      </c>
      <c r="P124" t="s">
        <v>49</v>
      </c>
      <c r="T124" t="s">
        <v>92</v>
      </c>
      <c r="U124" t="s">
        <v>1345</v>
      </c>
      <c r="V124" t="s">
        <v>1346</v>
      </c>
      <c r="W124" t="s">
        <v>1347</v>
      </c>
      <c r="X124" t="s">
        <v>92</v>
      </c>
      <c r="Y124" t="s">
        <v>110</v>
      </c>
      <c r="Z124">
        <v>12207</v>
      </c>
      <c r="AA124">
        <v>3</v>
      </c>
      <c r="AB124">
        <v>48</v>
      </c>
      <c r="AC124" t="s">
        <v>1348</v>
      </c>
      <c r="AD124" t="s">
        <v>1349</v>
      </c>
      <c r="AE124" t="s">
        <v>1350</v>
      </c>
      <c r="AF124" t="s">
        <v>1351</v>
      </c>
      <c r="AG124" t="s">
        <v>1352</v>
      </c>
      <c r="AH124" t="s">
        <v>1353</v>
      </c>
      <c r="AJ124" s="2">
        <v>45594.774143518516</v>
      </c>
      <c r="AK124" t="s">
        <v>149</v>
      </c>
      <c r="AL124" t="s">
        <v>65</v>
      </c>
      <c r="AM124" s="4">
        <v>0.76736111111111116</v>
      </c>
      <c r="AN124" t="s">
        <v>66</v>
      </c>
      <c r="AO124" t="s">
        <v>67</v>
      </c>
    </row>
    <row r="125" spans="1:41" x14ac:dyDescent="0.2">
      <c r="A125">
        <v>365876</v>
      </c>
      <c r="B125" t="s">
        <v>1360</v>
      </c>
      <c r="C125" t="s">
        <v>118</v>
      </c>
      <c r="E125" s="5" t="s">
        <v>1361</v>
      </c>
      <c r="I125" s="1">
        <v>45962</v>
      </c>
      <c r="J125" t="s">
        <v>45</v>
      </c>
      <c r="K125" t="s">
        <v>45</v>
      </c>
      <c r="L125" t="s">
        <v>46</v>
      </c>
      <c r="N125" t="s">
        <v>89</v>
      </c>
      <c r="O125" t="s">
        <v>48</v>
      </c>
      <c r="P125" t="s">
        <v>49</v>
      </c>
      <c r="T125" t="s">
        <v>92</v>
      </c>
      <c r="U125" t="s">
        <v>1345</v>
      </c>
      <c r="V125" t="s">
        <v>1346</v>
      </c>
      <c r="W125" t="s">
        <v>1347</v>
      </c>
      <c r="X125" t="s">
        <v>92</v>
      </c>
      <c r="Y125" t="s">
        <v>110</v>
      </c>
      <c r="Z125">
        <v>12208</v>
      </c>
      <c r="AA125">
        <v>3</v>
      </c>
      <c r="AB125">
        <v>48</v>
      </c>
      <c r="AC125" t="s">
        <v>1348</v>
      </c>
      <c r="AD125" t="s">
        <v>1349</v>
      </c>
      <c r="AE125" t="s">
        <v>1350</v>
      </c>
      <c r="AF125" t="s">
        <v>1351</v>
      </c>
      <c r="AG125" t="s">
        <v>1352</v>
      </c>
      <c r="AH125" t="s">
        <v>1353</v>
      </c>
      <c r="AJ125" s="2">
        <v>45594.776145833333</v>
      </c>
      <c r="AK125" t="s">
        <v>149</v>
      </c>
      <c r="AL125" t="s">
        <v>65</v>
      </c>
      <c r="AM125" s="4">
        <v>0.77430555555555558</v>
      </c>
      <c r="AN125" t="s">
        <v>66</v>
      </c>
      <c r="AO125" t="s">
        <v>67</v>
      </c>
    </row>
    <row r="126" spans="1:41" x14ac:dyDescent="0.2">
      <c r="A126">
        <v>366870</v>
      </c>
      <c r="B126" t="s">
        <v>1362</v>
      </c>
      <c r="C126" t="s">
        <v>118</v>
      </c>
      <c r="D126" t="s">
        <v>1363</v>
      </c>
      <c r="E126" t="s">
        <v>1364</v>
      </c>
      <c r="G126" s="1">
        <v>45505</v>
      </c>
      <c r="H126" s="1">
        <v>45638</v>
      </c>
      <c r="I126" s="1">
        <v>45962</v>
      </c>
      <c r="J126" t="s">
        <v>72</v>
      </c>
      <c r="K126" t="s">
        <v>45</v>
      </c>
      <c r="L126" t="s">
        <v>72</v>
      </c>
      <c r="M126" s="1">
        <v>45638</v>
      </c>
      <c r="N126" t="s">
        <v>89</v>
      </c>
      <c r="O126" t="s">
        <v>121</v>
      </c>
      <c r="P126" t="s">
        <v>49</v>
      </c>
      <c r="Q126" t="s">
        <v>1365</v>
      </c>
      <c r="R126" t="s">
        <v>1366</v>
      </c>
      <c r="S126">
        <v>3420</v>
      </c>
      <c r="T126" t="s">
        <v>92</v>
      </c>
      <c r="U126" t="s">
        <v>1345</v>
      </c>
      <c r="V126" t="s">
        <v>1346</v>
      </c>
      <c r="W126" t="s">
        <v>1347</v>
      </c>
      <c r="X126" t="s">
        <v>92</v>
      </c>
      <c r="Y126" t="s">
        <v>110</v>
      </c>
      <c r="Z126">
        <v>9506</v>
      </c>
      <c r="AA126">
        <v>15</v>
      </c>
      <c r="AB126">
        <v>28</v>
      </c>
      <c r="AC126" t="s">
        <v>1348</v>
      </c>
      <c r="AD126" t="s">
        <v>1349</v>
      </c>
      <c r="AE126" t="s">
        <v>1350</v>
      </c>
      <c r="AF126" t="s">
        <v>1351</v>
      </c>
      <c r="AG126" t="s">
        <v>1352</v>
      </c>
      <c r="AH126" t="s">
        <v>1353</v>
      </c>
      <c r="AJ126" s="2">
        <v>45642.982754629629</v>
      </c>
      <c r="AK126" t="s">
        <v>660</v>
      </c>
      <c r="AL126" t="s">
        <v>65</v>
      </c>
      <c r="AM126" s="3">
        <v>2.1527777777777777</v>
      </c>
      <c r="AN126" t="s">
        <v>66</v>
      </c>
      <c r="AO126" t="s">
        <v>67</v>
      </c>
    </row>
    <row r="127" spans="1:41" x14ac:dyDescent="0.2">
      <c r="A127">
        <v>366856</v>
      </c>
      <c r="B127" t="s">
        <v>1367</v>
      </c>
      <c r="C127" t="s">
        <v>118</v>
      </c>
      <c r="E127" t="s">
        <v>1368</v>
      </c>
      <c r="G127" s="1">
        <v>43210</v>
      </c>
      <c r="H127" s="1">
        <v>45638</v>
      </c>
      <c r="I127" s="1">
        <v>45962</v>
      </c>
      <c r="J127" t="s">
        <v>72</v>
      </c>
      <c r="K127" t="s">
        <v>45</v>
      </c>
      <c r="L127" t="s">
        <v>72</v>
      </c>
      <c r="M127" s="1">
        <v>45638</v>
      </c>
      <c r="N127" t="s">
        <v>47</v>
      </c>
      <c r="O127" t="s">
        <v>121</v>
      </c>
      <c r="P127" t="s">
        <v>49</v>
      </c>
      <c r="Q127" t="s">
        <v>1369</v>
      </c>
      <c r="R127" t="s">
        <v>1370</v>
      </c>
      <c r="S127">
        <v>977</v>
      </c>
      <c r="T127" t="s">
        <v>92</v>
      </c>
      <c r="U127" t="s">
        <v>1345</v>
      </c>
      <c r="V127" t="s">
        <v>1346</v>
      </c>
      <c r="W127" t="s">
        <v>1347</v>
      </c>
      <c r="X127" t="s">
        <v>92</v>
      </c>
      <c r="Y127" t="s">
        <v>110</v>
      </c>
      <c r="Z127">
        <v>9507</v>
      </c>
      <c r="AA127">
        <v>9</v>
      </c>
      <c r="AB127">
        <v>28</v>
      </c>
      <c r="AC127" t="s">
        <v>1348</v>
      </c>
      <c r="AD127" t="s">
        <v>1349</v>
      </c>
      <c r="AE127" t="s">
        <v>1350</v>
      </c>
      <c r="AF127" t="s">
        <v>1351</v>
      </c>
      <c r="AG127" t="s">
        <v>1352</v>
      </c>
      <c r="AH127" t="s">
        <v>1353</v>
      </c>
      <c r="AJ127" s="2">
        <v>45642.735081018516</v>
      </c>
      <c r="AK127" t="s">
        <v>1371</v>
      </c>
      <c r="AL127" t="s">
        <v>65</v>
      </c>
      <c r="AM127" s="3">
        <v>2.1597222222222223</v>
      </c>
      <c r="AN127" t="s">
        <v>66</v>
      </c>
      <c r="AO127" t="s">
        <v>67</v>
      </c>
    </row>
    <row r="128" spans="1:41" x14ac:dyDescent="0.2">
      <c r="A128">
        <v>366858</v>
      </c>
      <c r="B128" t="s">
        <v>1372</v>
      </c>
      <c r="C128" t="s">
        <v>118</v>
      </c>
      <c r="E128" t="s">
        <v>1373</v>
      </c>
      <c r="G128" s="1">
        <v>43210</v>
      </c>
      <c r="H128" s="1">
        <v>45638</v>
      </c>
      <c r="I128" s="1">
        <v>45962</v>
      </c>
      <c r="J128" t="s">
        <v>72</v>
      </c>
      <c r="K128" t="s">
        <v>45</v>
      </c>
      <c r="L128" t="s">
        <v>72</v>
      </c>
      <c r="M128" s="1">
        <v>45638</v>
      </c>
      <c r="N128" t="s">
        <v>89</v>
      </c>
      <c r="O128" t="s">
        <v>121</v>
      </c>
      <c r="P128" t="s">
        <v>49</v>
      </c>
      <c r="T128" t="s">
        <v>92</v>
      </c>
      <c r="U128" t="s">
        <v>1345</v>
      </c>
      <c r="V128" t="s">
        <v>1346</v>
      </c>
      <c r="W128" t="s">
        <v>1347</v>
      </c>
      <c r="X128" t="s">
        <v>92</v>
      </c>
      <c r="Y128" t="s">
        <v>110</v>
      </c>
      <c r="Z128">
        <v>9508</v>
      </c>
      <c r="AA128">
        <v>6</v>
      </c>
      <c r="AB128">
        <v>28</v>
      </c>
      <c r="AC128" t="s">
        <v>1348</v>
      </c>
      <c r="AD128" t="s">
        <v>1349</v>
      </c>
      <c r="AE128" t="s">
        <v>1350</v>
      </c>
      <c r="AF128" t="s">
        <v>1351</v>
      </c>
      <c r="AG128" t="s">
        <v>1352</v>
      </c>
      <c r="AH128" t="s">
        <v>1353</v>
      </c>
      <c r="AJ128" s="2">
        <v>45642.738912037035</v>
      </c>
      <c r="AK128" t="s">
        <v>1371</v>
      </c>
      <c r="AL128" t="s">
        <v>65</v>
      </c>
      <c r="AM128" s="3">
        <v>2.1666666666666665</v>
      </c>
      <c r="AN128" t="s">
        <v>66</v>
      </c>
      <c r="AO128" t="s">
        <v>67</v>
      </c>
    </row>
    <row r="129" spans="1:41" x14ac:dyDescent="0.2">
      <c r="A129">
        <v>366859</v>
      </c>
      <c r="B129" t="s">
        <v>1374</v>
      </c>
      <c r="C129" t="s">
        <v>118</v>
      </c>
      <c r="E129" t="s">
        <v>1375</v>
      </c>
      <c r="G129" s="1">
        <v>43210</v>
      </c>
      <c r="H129" s="1">
        <v>45638</v>
      </c>
      <c r="I129" s="1">
        <v>45962</v>
      </c>
      <c r="J129" t="s">
        <v>72</v>
      </c>
      <c r="K129" t="s">
        <v>45</v>
      </c>
      <c r="L129" t="s">
        <v>72</v>
      </c>
      <c r="M129" s="1">
        <v>45638</v>
      </c>
      <c r="N129" t="s">
        <v>89</v>
      </c>
      <c r="O129" t="s">
        <v>121</v>
      </c>
      <c r="P129" t="s">
        <v>49</v>
      </c>
      <c r="T129" t="s">
        <v>92</v>
      </c>
      <c r="U129" t="s">
        <v>1345</v>
      </c>
      <c r="V129" t="s">
        <v>1346</v>
      </c>
      <c r="W129" t="s">
        <v>1347</v>
      </c>
      <c r="X129" t="s">
        <v>92</v>
      </c>
      <c r="Y129" t="s">
        <v>110</v>
      </c>
      <c r="Z129">
        <v>9509</v>
      </c>
      <c r="AA129">
        <v>5</v>
      </c>
      <c r="AB129">
        <v>28</v>
      </c>
      <c r="AC129" t="s">
        <v>1348</v>
      </c>
      <c r="AD129" t="s">
        <v>1349</v>
      </c>
      <c r="AE129" t="s">
        <v>1350</v>
      </c>
      <c r="AF129" t="s">
        <v>1351</v>
      </c>
      <c r="AG129" t="s">
        <v>1352</v>
      </c>
      <c r="AH129" t="s">
        <v>1353</v>
      </c>
      <c r="AJ129" s="2">
        <v>45642.740057870367</v>
      </c>
      <c r="AK129" t="s">
        <v>1371</v>
      </c>
      <c r="AL129" t="s">
        <v>65</v>
      </c>
      <c r="AM129" s="3">
        <v>2.1736111111111112</v>
      </c>
      <c r="AN129" t="s">
        <v>66</v>
      </c>
      <c r="AO129" t="s">
        <v>67</v>
      </c>
    </row>
    <row r="130" spans="1:41" x14ac:dyDescent="0.2">
      <c r="A130">
        <v>344253</v>
      </c>
      <c r="B130" t="s">
        <v>1376</v>
      </c>
      <c r="C130" t="s">
        <v>118</v>
      </c>
      <c r="E130">
        <v>32696492</v>
      </c>
      <c r="F130">
        <v>20499</v>
      </c>
      <c r="G130" s="1">
        <v>44823</v>
      </c>
      <c r="H130" s="1">
        <v>44824</v>
      </c>
      <c r="I130" s="1">
        <v>45931</v>
      </c>
      <c r="J130" t="s">
        <v>45</v>
      </c>
      <c r="K130" t="s">
        <v>45</v>
      </c>
      <c r="L130" t="s">
        <v>72</v>
      </c>
      <c r="N130" t="s">
        <v>89</v>
      </c>
      <c r="O130" t="s">
        <v>121</v>
      </c>
      <c r="P130" t="s">
        <v>49</v>
      </c>
      <c r="Q130" t="s">
        <v>1377</v>
      </c>
      <c r="R130" t="s">
        <v>1378</v>
      </c>
      <c r="S130">
        <v>4580</v>
      </c>
      <c r="T130" t="s">
        <v>296</v>
      </c>
      <c r="U130" t="s">
        <v>297</v>
      </c>
      <c r="V130" t="s">
        <v>1379</v>
      </c>
      <c r="W130" t="s">
        <v>299</v>
      </c>
      <c r="X130" t="s">
        <v>296</v>
      </c>
      <c r="Y130" t="s">
        <v>125</v>
      </c>
      <c r="Z130">
        <v>2221</v>
      </c>
      <c r="AA130">
        <v>41</v>
      </c>
      <c r="AB130">
        <v>160</v>
      </c>
      <c r="AC130" t="s">
        <v>1380</v>
      </c>
      <c r="AD130" t="s">
        <v>1381</v>
      </c>
      <c r="AE130" t="s">
        <v>1382</v>
      </c>
      <c r="AF130" t="s">
        <v>1383</v>
      </c>
      <c r="AG130" t="s">
        <v>1384</v>
      </c>
      <c r="AH130" t="s">
        <v>1385</v>
      </c>
      <c r="AI130" t="s">
        <v>306</v>
      </c>
      <c r="AJ130" s="2">
        <v>44876.905011574076</v>
      </c>
      <c r="AK130" t="s">
        <v>132</v>
      </c>
      <c r="AL130" t="s">
        <v>65</v>
      </c>
      <c r="AM130" s="4">
        <v>0.61111111111111116</v>
      </c>
      <c r="AN130" t="s">
        <v>66</v>
      </c>
      <c r="AO130" t="s">
        <v>67</v>
      </c>
    </row>
    <row r="131" spans="1:41" x14ac:dyDescent="0.2">
      <c r="A131">
        <v>370518</v>
      </c>
      <c r="B131" t="s">
        <v>1386</v>
      </c>
      <c r="C131" t="s">
        <v>118</v>
      </c>
      <c r="D131" t="s">
        <v>598</v>
      </c>
      <c r="E131">
        <v>52123084</v>
      </c>
      <c r="G131" s="1">
        <v>45777</v>
      </c>
      <c r="H131" s="1">
        <v>45488</v>
      </c>
      <c r="I131" s="1">
        <v>46249</v>
      </c>
      <c r="J131" t="s">
        <v>45</v>
      </c>
      <c r="K131" t="s">
        <v>45</v>
      </c>
      <c r="L131" t="s">
        <v>72</v>
      </c>
      <c r="N131" t="s">
        <v>47</v>
      </c>
      <c r="O131" t="s">
        <v>121</v>
      </c>
      <c r="P131" t="s">
        <v>49</v>
      </c>
      <c r="Q131" t="s">
        <v>1387</v>
      </c>
      <c r="R131" t="s">
        <v>1388</v>
      </c>
      <c r="S131">
        <v>6837</v>
      </c>
      <c r="T131" t="s">
        <v>296</v>
      </c>
      <c r="U131" t="s">
        <v>1389</v>
      </c>
      <c r="V131" t="s">
        <v>1390</v>
      </c>
      <c r="W131" t="s">
        <v>299</v>
      </c>
      <c r="X131" t="s">
        <v>296</v>
      </c>
      <c r="Y131" t="s">
        <v>125</v>
      </c>
      <c r="Z131">
        <v>2823</v>
      </c>
      <c r="AA131">
        <v>49</v>
      </c>
      <c r="AB131">
        <v>158</v>
      </c>
      <c r="AC131" t="s">
        <v>1391</v>
      </c>
      <c r="AD131" t="s">
        <v>1392</v>
      </c>
      <c r="AE131" t="s">
        <v>1393</v>
      </c>
      <c r="AI131" t="s">
        <v>1394</v>
      </c>
      <c r="AJ131" s="2">
        <v>45777.630925925929</v>
      </c>
      <c r="AK131" t="s">
        <v>132</v>
      </c>
      <c r="AL131" t="s">
        <v>65</v>
      </c>
      <c r="AM131" s="3">
        <v>1.5138888888888888</v>
      </c>
      <c r="AN131" t="s">
        <v>66</v>
      </c>
      <c r="AO131" t="s">
        <v>67</v>
      </c>
    </row>
    <row r="132" spans="1:41" x14ac:dyDescent="0.2">
      <c r="A132">
        <v>371425</v>
      </c>
      <c r="B132" t="s">
        <v>1395</v>
      </c>
      <c r="C132" t="s">
        <v>118</v>
      </c>
      <c r="D132" t="s">
        <v>1396</v>
      </c>
      <c r="E132" t="s">
        <v>1397</v>
      </c>
      <c r="F132">
        <v>20698</v>
      </c>
      <c r="G132" s="1">
        <v>45616</v>
      </c>
      <c r="H132" s="1">
        <v>45600</v>
      </c>
      <c r="I132" s="1">
        <v>46249</v>
      </c>
      <c r="J132" t="s">
        <v>45</v>
      </c>
      <c r="K132" t="s">
        <v>45</v>
      </c>
      <c r="L132" t="s">
        <v>72</v>
      </c>
      <c r="N132" t="s">
        <v>89</v>
      </c>
      <c r="O132" t="s">
        <v>121</v>
      </c>
      <c r="P132" t="s">
        <v>49</v>
      </c>
      <c r="Q132" t="s">
        <v>1398</v>
      </c>
      <c r="R132" t="s">
        <v>1399</v>
      </c>
      <c r="S132">
        <v>2851</v>
      </c>
      <c r="T132" t="s">
        <v>296</v>
      </c>
      <c r="U132" t="s">
        <v>297</v>
      </c>
      <c r="V132" t="s">
        <v>1400</v>
      </c>
      <c r="W132" t="s">
        <v>299</v>
      </c>
      <c r="X132" t="s">
        <v>296</v>
      </c>
      <c r="Y132" t="s">
        <v>125</v>
      </c>
      <c r="Z132">
        <v>1770</v>
      </c>
      <c r="AA132">
        <v>111</v>
      </c>
      <c r="AB132">
        <v>160</v>
      </c>
      <c r="AC132" t="s">
        <v>1401</v>
      </c>
      <c r="AD132" t="s">
        <v>1402</v>
      </c>
      <c r="AE132" t="s">
        <v>1403</v>
      </c>
      <c r="AF132" t="s">
        <v>303</v>
      </c>
      <c r="AG132" t="s">
        <v>304</v>
      </c>
      <c r="AH132" t="s">
        <v>305</v>
      </c>
      <c r="AI132" t="s">
        <v>1404</v>
      </c>
      <c r="AJ132" s="2">
        <v>45810.834004629629</v>
      </c>
      <c r="AK132" t="s">
        <v>84</v>
      </c>
      <c r="AL132" t="s">
        <v>65</v>
      </c>
      <c r="AM132" s="3">
        <v>1.2708333333333333</v>
      </c>
      <c r="AN132" t="s">
        <v>66</v>
      </c>
      <c r="AO132" t="s">
        <v>67</v>
      </c>
    </row>
    <row r="133" spans="1:41" x14ac:dyDescent="0.2">
      <c r="A133">
        <v>369510</v>
      </c>
      <c r="B133" t="s">
        <v>1405</v>
      </c>
      <c r="C133" t="s">
        <v>118</v>
      </c>
      <c r="D133" t="s">
        <v>1396</v>
      </c>
      <c r="E133" t="s">
        <v>1406</v>
      </c>
      <c r="G133" s="1">
        <v>45588</v>
      </c>
      <c r="H133" s="1">
        <v>45538</v>
      </c>
      <c r="I133" s="1">
        <v>46249</v>
      </c>
      <c r="J133" t="s">
        <v>45</v>
      </c>
      <c r="K133" t="s">
        <v>45</v>
      </c>
      <c r="L133" t="s">
        <v>72</v>
      </c>
      <c r="N133" t="s">
        <v>89</v>
      </c>
      <c r="O133" t="s">
        <v>121</v>
      </c>
      <c r="P133" t="s">
        <v>49</v>
      </c>
      <c r="Q133" t="s">
        <v>1407</v>
      </c>
      <c r="R133" t="s">
        <v>1408</v>
      </c>
      <c r="S133">
        <v>5754</v>
      </c>
      <c r="T133" t="s">
        <v>296</v>
      </c>
      <c r="U133" t="s">
        <v>297</v>
      </c>
      <c r="V133" t="s">
        <v>1400</v>
      </c>
      <c r="W133" t="s">
        <v>299</v>
      </c>
      <c r="X133" t="s">
        <v>296</v>
      </c>
      <c r="Y133" t="s">
        <v>125</v>
      </c>
      <c r="Z133">
        <v>2535</v>
      </c>
      <c r="AA133">
        <v>59</v>
      </c>
      <c r="AB133">
        <v>160</v>
      </c>
      <c r="AC133" t="s">
        <v>1401</v>
      </c>
      <c r="AD133" t="s">
        <v>1402</v>
      </c>
      <c r="AE133" t="s">
        <v>1403</v>
      </c>
      <c r="AF133" t="s">
        <v>303</v>
      </c>
      <c r="AG133" t="s">
        <v>304</v>
      </c>
      <c r="AH133" t="s">
        <v>305</v>
      </c>
      <c r="AI133" t="s">
        <v>179</v>
      </c>
      <c r="AJ133" s="2">
        <v>45742.778032407405</v>
      </c>
      <c r="AK133" t="s">
        <v>660</v>
      </c>
      <c r="AL133" t="s">
        <v>65</v>
      </c>
      <c r="AM133" s="3">
        <v>1.8263888888888888</v>
      </c>
      <c r="AN133" t="s">
        <v>66</v>
      </c>
      <c r="AO133" t="s">
        <v>67</v>
      </c>
    </row>
    <row r="134" spans="1:41" x14ac:dyDescent="0.2">
      <c r="A134">
        <v>370139</v>
      </c>
      <c r="B134" t="s">
        <v>1409</v>
      </c>
      <c r="C134" t="s">
        <v>118</v>
      </c>
      <c r="D134" t="s">
        <v>1410</v>
      </c>
      <c r="E134" t="s">
        <v>1411</v>
      </c>
      <c r="G134" s="1">
        <v>45665</v>
      </c>
      <c r="H134" s="1">
        <v>45670</v>
      </c>
      <c r="I134" s="1">
        <v>46037</v>
      </c>
      <c r="J134" t="s">
        <v>45</v>
      </c>
      <c r="K134" t="s">
        <v>45</v>
      </c>
      <c r="L134" t="s">
        <v>72</v>
      </c>
      <c r="N134" t="s">
        <v>47</v>
      </c>
      <c r="O134" t="s">
        <v>121</v>
      </c>
      <c r="P134" t="s">
        <v>49</v>
      </c>
      <c r="Q134" t="s">
        <v>1412</v>
      </c>
      <c r="R134" t="s">
        <v>1413</v>
      </c>
      <c r="S134">
        <v>5490</v>
      </c>
      <c r="T134" t="s">
        <v>296</v>
      </c>
      <c r="U134" t="s">
        <v>297</v>
      </c>
      <c r="V134" t="s">
        <v>1414</v>
      </c>
      <c r="W134" t="s">
        <v>299</v>
      </c>
      <c r="X134" t="s">
        <v>296</v>
      </c>
      <c r="Y134" t="s">
        <v>125</v>
      </c>
      <c r="Z134">
        <v>2680</v>
      </c>
      <c r="AA134">
        <v>69</v>
      </c>
      <c r="AB134">
        <v>158</v>
      </c>
      <c r="AC134" t="s">
        <v>1415</v>
      </c>
      <c r="AD134" t="s">
        <v>1416</v>
      </c>
      <c r="AE134" t="s">
        <v>1417</v>
      </c>
      <c r="AI134" t="s">
        <v>306</v>
      </c>
      <c r="AJ134" s="2">
        <v>45763.932916666665</v>
      </c>
      <c r="AK134" t="s">
        <v>1167</v>
      </c>
      <c r="AL134" t="s">
        <v>65</v>
      </c>
      <c r="AM134" s="4">
        <v>0.70138888888888884</v>
      </c>
      <c r="AN134" t="s">
        <v>66</v>
      </c>
      <c r="AO134" t="s">
        <v>67</v>
      </c>
    </row>
    <row r="135" spans="1:41" x14ac:dyDescent="0.2">
      <c r="A135">
        <v>368392</v>
      </c>
      <c r="B135" t="s">
        <v>1418</v>
      </c>
      <c r="C135" t="s">
        <v>692</v>
      </c>
      <c r="D135" t="s">
        <v>1419</v>
      </c>
      <c r="E135" t="s">
        <v>1420</v>
      </c>
      <c r="G135" s="1">
        <v>45708</v>
      </c>
      <c r="H135" s="1">
        <v>45709</v>
      </c>
      <c r="I135" s="1">
        <v>45992</v>
      </c>
      <c r="J135" t="s">
        <v>45</v>
      </c>
      <c r="K135" t="s">
        <v>45</v>
      </c>
      <c r="L135" t="s">
        <v>72</v>
      </c>
      <c r="M135" s="1">
        <v>42088</v>
      </c>
      <c r="N135" t="s">
        <v>89</v>
      </c>
      <c r="O135" t="s">
        <v>121</v>
      </c>
      <c r="P135" t="s">
        <v>49</v>
      </c>
      <c r="Q135" t="s">
        <v>1421</v>
      </c>
      <c r="R135" t="s">
        <v>1422</v>
      </c>
      <c r="S135">
        <v>7120</v>
      </c>
      <c r="T135" t="s">
        <v>52</v>
      </c>
      <c r="U135">
        <v>4</v>
      </c>
      <c r="V135" t="s">
        <v>1423</v>
      </c>
      <c r="W135" t="s">
        <v>54</v>
      </c>
      <c r="X135" t="s">
        <v>52</v>
      </c>
      <c r="Y135" t="s">
        <v>125</v>
      </c>
      <c r="Z135">
        <v>2659</v>
      </c>
      <c r="AA135">
        <v>97</v>
      </c>
      <c r="AB135">
        <v>160</v>
      </c>
      <c r="AC135" t="s">
        <v>1424</v>
      </c>
      <c r="AD135" t="s">
        <v>1425</v>
      </c>
      <c r="AE135" t="s">
        <v>1426</v>
      </c>
      <c r="AF135" t="s">
        <v>1427</v>
      </c>
      <c r="AG135" t="s">
        <v>1428</v>
      </c>
      <c r="AH135" t="s">
        <v>1429</v>
      </c>
      <c r="AJ135" s="2">
        <v>45709.506550925929</v>
      </c>
      <c r="AK135" t="s">
        <v>132</v>
      </c>
      <c r="AL135" t="s">
        <v>65</v>
      </c>
      <c r="AM135" s="3">
        <v>1.0555555555555556</v>
      </c>
      <c r="AN135" t="s">
        <v>66</v>
      </c>
      <c r="AO135" t="s">
        <v>67</v>
      </c>
    </row>
    <row r="136" spans="1:41" x14ac:dyDescent="0.2">
      <c r="A136">
        <v>369900</v>
      </c>
      <c r="B136" t="s">
        <v>1430</v>
      </c>
      <c r="C136" t="s">
        <v>692</v>
      </c>
      <c r="D136" t="s">
        <v>1419</v>
      </c>
      <c r="E136" t="s">
        <v>1431</v>
      </c>
      <c r="G136" s="1">
        <v>45335</v>
      </c>
      <c r="H136" s="1">
        <v>45756</v>
      </c>
      <c r="I136" s="1">
        <v>45992</v>
      </c>
      <c r="J136" t="s">
        <v>45</v>
      </c>
      <c r="K136" t="s">
        <v>45</v>
      </c>
      <c r="L136" t="s">
        <v>72</v>
      </c>
      <c r="M136" s="1">
        <v>41835</v>
      </c>
      <c r="N136" t="s">
        <v>89</v>
      </c>
      <c r="O136" t="s">
        <v>121</v>
      </c>
      <c r="P136" t="s">
        <v>49</v>
      </c>
      <c r="Q136" t="s">
        <v>1432</v>
      </c>
      <c r="R136" t="s">
        <v>1433</v>
      </c>
      <c r="S136">
        <v>9037</v>
      </c>
      <c r="T136" t="s">
        <v>52</v>
      </c>
      <c r="U136">
        <v>4</v>
      </c>
      <c r="V136" t="s">
        <v>1423</v>
      </c>
      <c r="W136" t="s">
        <v>54</v>
      </c>
      <c r="X136" t="s">
        <v>52</v>
      </c>
      <c r="Y136" t="s">
        <v>125</v>
      </c>
      <c r="Z136">
        <v>3228</v>
      </c>
      <c r="AA136">
        <v>92</v>
      </c>
      <c r="AB136">
        <v>30</v>
      </c>
      <c r="AC136" t="s">
        <v>1424</v>
      </c>
      <c r="AD136" t="s">
        <v>1425</v>
      </c>
      <c r="AE136" t="s">
        <v>1426</v>
      </c>
      <c r="AJ136" s="2">
        <v>45757.54791666667</v>
      </c>
      <c r="AK136" t="s">
        <v>800</v>
      </c>
      <c r="AL136" t="s">
        <v>65</v>
      </c>
      <c r="AM136" s="3">
        <v>1.4722222222222223</v>
      </c>
      <c r="AN136" t="s">
        <v>66</v>
      </c>
      <c r="AO136" t="s">
        <v>67</v>
      </c>
    </row>
    <row r="137" spans="1:41" x14ac:dyDescent="0.2">
      <c r="A137">
        <v>370315</v>
      </c>
      <c r="B137" t="s">
        <v>1434</v>
      </c>
      <c r="C137" t="s">
        <v>692</v>
      </c>
      <c r="D137" t="s">
        <v>1419</v>
      </c>
      <c r="E137" t="s">
        <v>1435</v>
      </c>
      <c r="G137" s="1">
        <v>45769</v>
      </c>
      <c r="H137" s="1">
        <v>45709</v>
      </c>
      <c r="I137" s="1">
        <v>45992</v>
      </c>
      <c r="J137" t="s">
        <v>45</v>
      </c>
      <c r="K137" t="s">
        <v>45</v>
      </c>
      <c r="L137" t="s">
        <v>72</v>
      </c>
      <c r="M137" s="1">
        <v>42186</v>
      </c>
      <c r="N137" t="s">
        <v>47</v>
      </c>
      <c r="O137" t="s">
        <v>121</v>
      </c>
      <c r="P137" t="s">
        <v>49</v>
      </c>
      <c r="Q137" t="s">
        <v>1436</v>
      </c>
      <c r="R137" t="s">
        <v>1437</v>
      </c>
      <c r="S137">
        <v>6532</v>
      </c>
      <c r="T137" t="s">
        <v>52</v>
      </c>
      <c r="U137">
        <v>4</v>
      </c>
      <c r="V137" t="s">
        <v>1423</v>
      </c>
      <c r="W137" t="s">
        <v>54</v>
      </c>
      <c r="X137" t="s">
        <v>52</v>
      </c>
      <c r="Y137" t="s">
        <v>125</v>
      </c>
      <c r="Z137">
        <v>4806</v>
      </c>
      <c r="AA137">
        <v>93</v>
      </c>
      <c r="AB137">
        <v>210</v>
      </c>
      <c r="AC137" t="s">
        <v>1424</v>
      </c>
      <c r="AD137" t="s">
        <v>1425</v>
      </c>
      <c r="AE137" t="s">
        <v>1426</v>
      </c>
      <c r="AF137" t="s">
        <v>1427</v>
      </c>
      <c r="AG137" t="s">
        <v>1428</v>
      </c>
      <c r="AH137" t="s">
        <v>1429</v>
      </c>
      <c r="AJ137" s="2">
        <v>45770.652974537035</v>
      </c>
      <c r="AK137" t="s">
        <v>660</v>
      </c>
      <c r="AL137" t="s">
        <v>65</v>
      </c>
      <c r="AM137" s="3">
        <v>2.125</v>
      </c>
      <c r="AN137" t="s">
        <v>66</v>
      </c>
      <c r="AO137" t="s">
        <v>67</v>
      </c>
    </row>
    <row r="138" spans="1:41" x14ac:dyDescent="0.2">
      <c r="A138">
        <v>371875</v>
      </c>
      <c r="B138" t="s">
        <v>1438</v>
      </c>
      <c r="C138" t="s">
        <v>692</v>
      </c>
      <c r="D138" t="s">
        <v>1419</v>
      </c>
      <c r="E138" t="s">
        <v>1439</v>
      </c>
      <c r="G138" s="1">
        <v>45754</v>
      </c>
      <c r="H138" s="1">
        <v>45743</v>
      </c>
      <c r="I138" s="1">
        <v>46096</v>
      </c>
      <c r="J138" t="s">
        <v>45</v>
      </c>
      <c r="K138" t="s">
        <v>45</v>
      </c>
      <c r="L138" t="s">
        <v>72</v>
      </c>
      <c r="M138" s="1">
        <v>39388</v>
      </c>
      <c r="N138" t="s">
        <v>89</v>
      </c>
      <c r="O138" t="s">
        <v>121</v>
      </c>
      <c r="P138" t="s">
        <v>49</v>
      </c>
      <c r="Q138" t="s">
        <v>1440</v>
      </c>
      <c r="R138" t="s">
        <v>1441</v>
      </c>
      <c r="S138">
        <v>6000</v>
      </c>
      <c r="T138" t="s">
        <v>52</v>
      </c>
      <c r="U138">
        <v>4</v>
      </c>
      <c r="V138" t="s">
        <v>1423</v>
      </c>
      <c r="W138" t="s">
        <v>54</v>
      </c>
      <c r="X138" t="s">
        <v>52</v>
      </c>
      <c r="Y138" t="s">
        <v>125</v>
      </c>
      <c r="Z138">
        <v>2960</v>
      </c>
      <c r="AA138">
        <v>92</v>
      </c>
      <c r="AB138">
        <v>66</v>
      </c>
      <c r="AC138" t="s">
        <v>1424</v>
      </c>
      <c r="AD138" t="s">
        <v>1425</v>
      </c>
      <c r="AE138" t="s">
        <v>1426</v>
      </c>
      <c r="AF138" t="s">
        <v>1427</v>
      </c>
      <c r="AG138" t="s">
        <v>1428</v>
      </c>
      <c r="AH138" t="s">
        <v>1429</v>
      </c>
      <c r="AJ138" s="2">
        <v>45821.653287037036</v>
      </c>
      <c r="AK138" t="s">
        <v>660</v>
      </c>
      <c r="AL138" t="s">
        <v>65</v>
      </c>
      <c r="AM138" s="3">
        <v>2.3263888888888888</v>
      </c>
      <c r="AN138" t="s">
        <v>66</v>
      </c>
      <c r="AO138" t="s">
        <v>67</v>
      </c>
    </row>
    <row r="139" spans="1:41" x14ac:dyDescent="0.2">
      <c r="A139">
        <v>370975</v>
      </c>
      <c r="B139" t="s">
        <v>1442</v>
      </c>
      <c r="C139" t="s">
        <v>831</v>
      </c>
      <c r="E139" t="s">
        <v>1443</v>
      </c>
      <c r="F139">
        <v>449905</v>
      </c>
      <c r="G139" s="1">
        <v>37555</v>
      </c>
      <c r="H139" s="1">
        <v>45785</v>
      </c>
      <c r="I139" s="1">
        <v>46113</v>
      </c>
      <c r="J139" t="s">
        <v>45</v>
      </c>
      <c r="K139" t="s">
        <v>45</v>
      </c>
      <c r="L139" t="s">
        <v>72</v>
      </c>
      <c r="N139" t="s">
        <v>47</v>
      </c>
      <c r="O139" t="s">
        <v>48</v>
      </c>
      <c r="P139" t="s">
        <v>49</v>
      </c>
      <c r="Q139" t="s">
        <v>1444</v>
      </c>
      <c r="R139" t="s">
        <v>1445</v>
      </c>
      <c r="S139">
        <v>5</v>
      </c>
      <c r="T139" t="s">
        <v>156</v>
      </c>
      <c r="U139" t="s">
        <v>1446</v>
      </c>
      <c r="V139" t="s">
        <v>1447</v>
      </c>
      <c r="W139" t="s">
        <v>159</v>
      </c>
      <c r="X139" t="s">
        <v>156</v>
      </c>
      <c r="Y139" t="s">
        <v>110</v>
      </c>
      <c r="Z139">
        <v>1572</v>
      </c>
      <c r="AA139">
        <v>45</v>
      </c>
      <c r="AB139">
        <v>45</v>
      </c>
      <c r="AC139" t="s">
        <v>1448</v>
      </c>
      <c r="AD139" t="s">
        <v>1449</v>
      </c>
      <c r="AE139" t="s">
        <v>1450</v>
      </c>
      <c r="AF139" t="s">
        <v>1451</v>
      </c>
      <c r="AG139" t="s">
        <v>1452</v>
      </c>
      <c r="AH139" t="s">
        <v>1453</v>
      </c>
      <c r="AI139" t="s">
        <v>1454</v>
      </c>
      <c r="AJ139" s="2">
        <v>45792.604351851849</v>
      </c>
      <c r="AK139" t="s">
        <v>1455</v>
      </c>
      <c r="AL139" t="s">
        <v>65</v>
      </c>
      <c r="AM139" s="3">
        <v>2.2708333333333335</v>
      </c>
      <c r="AN139" t="s">
        <v>66</v>
      </c>
      <c r="AO139" t="s">
        <v>101</v>
      </c>
    </row>
    <row r="140" spans="1:41" x14ac:dyDescent="0.2">
      <c r="A140">
        <v>371061</v>
      </c>
      <c r="B140" t="s">
        <v>1456</v>
      </c>
      <c r="C140" t="s">
        <v>103</v>
      </c>
      <c r="D140" t="s">
        <v>1457</v>
      </c>
      <c r="E140" t="s">
        <v>1458</v>
      </c>
      <c r="F140">
        <v>319402</v>
      </c>
      <c r="G140" s="1">
        <v>37398</v>
      </c>
      <c r="H140" s="1">
        <v>45330</v>
      </c>
      <c r="I140" s="1">
        <v>46327</v>
      </c>
      <c r="J140" t="s">
        <v>45</v>
      </c>
      <c r="K140" t="s">
        <v>45</v>
      </c>
      <c r="L140" t="s">
        <v>72</v>
      </c>
      <c r="M140" s="1">
        <v>43665</v>
      </c>
      <c r="N140" t="s">
        <v>47</v>
      </c>
      <c r="O140" t="s">
        <v>48</v>
      </c>
      <c r="P140" t="s">
        <v>49</v>
      </c>
      <c r="Q140" t="s">
        <v>1459</v>
      </c>
      <c r="R140" t="s">
        <v>1460</v>
      </c>
      <c r="S140">
        <v>29</v>
      </c>
      <c r="T140" t="s">
        <v>92</v>
      </c>
      <c r="U140" t="s">
        <v>107</v>
      </c>
      <c r="V140" t="s">
        <v>108</v>
      </c>
      <c r="W140" t="s">
        <v>109</v>
      </c>
      <c r="X140" t="s">
        <v>52</v>
      </c>
      <c r="Y140" t="s">
        <v>110</v>
      </c>
      <c r="Z140">
        <v>2207</v>
      </c>
      <c r="AA140">
        <v>38</v>
      </c>
      <c r="AB140">
        <v>160</v>
      </c>
      <c r="AC140" t="s">
        <v>1461</v>
      </c>
      <c r="AD140" t="s">
        <v>1462</v>
      </c>
      <c r="AE140" t="s">
        <v>1463</v>
      </c>
      <c r="AF140" t="s">
        <v>1464</v>
      </c>
      <c r="AG140" t="s">
        <v>1462</v>
      </c>
      <c r="AH140" t="s">
        <v>1465</v>
      </c>
      <c r="AI140" t="s">
        <v>1462</v>
      </c>
      <c r="AJ140" s="2">
        <v>45818.719525462962</v>
      </c>
      <c r="AK140" t="s">
        <v>100</v>
      </c>
      <c r="AL140" t="s">
        <v>65</v>
      </c>
      <c r="AM140" s="4">
        <v>0.75</v>
      </c>
      <c r="AN140" t="s">
        <v>66</v>
      </c>
      <c r="AO140" t="s">
        <v>67</v>
      </c>
    </row>
    <row r="141" spans="1:41" x14ac:dyDescent="0.2">
      <c r="A141">
        <v>371008</v>
      </c>
      <c r="B141" t="s">
        <v>1466</v>
      </c>
      <c r="C141" t="s">
        <v>182</v>
      </c>
      <c r="D141" t="s">
        <v>1467</v>
      </c>
      <c r="E141" t="s">
        <v>1468</v>
      </c>
      <c r="F141">
        <v>40518</v>
      </c>
      <c r="G141" s="1">
        <v>36803</v>
      </c>
      <c r="H141" s="1">
        <v>45788</v>
      </c>
      <c r="I141" s="1">
        <v>46113</v>
      </c>
      <c r="J141" t="s">
        <v>45</v>
      </c>
      <c r="K141" t="s">
        <v>45</v>
      </c>
      <c r="L141" t="s">
        <v>429</v>
      </c>
      <c r="M141" s="1">
        <v>42613</v>
      </c>
      <c r="N141" t="s">
        <v>47</v>
      </c>
      <c r="O141" t="s">
        <v>48</v>
      </c>
      <c r="P141" t="s">
        <v>49</v>
      </c>
      <c r="Q141" t="s">
        <v>1469</v>
      </c>
      <c r="R141" t="s">
        <v>1470</v>
      </c>
      <c r="S141">
        <v>4609</v>
      </c>
      <c r="T141" t="s">
        <v>52</v>
      </c>
      <c r="U141">
        <v>5</v>
      </c>
      <c r="V141" t="s">
        <v>1068</v>
      </c>
      <c r="W141" t="s">
        <v>54</v>
      </c>
      <c r="X141" t="s">
        <v>493</v>
      </c>
      <c r="Y141" t="s">
        <v>434</v>
      </c>
      <c r="Z141">
        <v>735</v>
      </c>
      <c r="AA141">
        <v>55</v>
      </c>
      <c r="AB141">
        <v>28</v>
      </c>
      <c r="AC141" t="s">
        <v>1069</v>
      </c>
      <c r="AD141" t="s">
        <v>1070</v>
      </c>
      <c r="AE141" t="s">
        <v>1071</v>
      </c>
      <c r="AF141" t="s">
        <v>1072</v>
      </c>
      <c r="AG141" t="s">
        <v>1073</v>
      </c>
      <c r="AH141" t="s">
        <v>1071</v>
      </c>
      <c r="AI141" t="s">
        <v>1471</v>
      </c>
      <c r="AJ141" s="2">
        <v>45792.745983796296</v>
      </c>
      <c r="AK141" t="s">
        <v>1472</v>
      </c>
      <c r="AL141" t="s">
        <v>65</v>
      </c>
      <c r="AM141" s="3">
        <v>1.3333333333333333</v>
      </c>
      <c r="AN141" t="s">
        <v>66</v>
      </c>
      <c r="AO141" t="s">
        <v>67</v>
      </c>
    </row>
    <row r="142" spans="1:41" x14ac:dyDescent="0.2">
      <c r="A142">
        <v>371066</v>
      </c>
      <c r="B142" t="s">
        <v>1473</v>
      </c>
      <c r="C142" t="s">
        <v>167</v>
      </c>
      <c r="D142" t="s">
        <v>1474</v>
      </c>
      <c r="E142">
        <v>32605754</v>
      </c>
      <c r="F142">
        <v>352711</v>
      </c>
      <c r="G142" s="1">
        <v>31441</v>
      </c>
      <c r="H142" s="1">
        <v>45791</v>
      </c>
      <c r="I142" s="1">
        <v>46143</v>
      </c>
      <c r="J142" t="s">
        <v>45</v>
      </c>
      <c r="K142" t="s">
        <v>326</v>
      </c>
      <c r="L142" t="s">
        <v>72</v>
      </c>
      <c r="M142" s="1">
        <v>43242</v>
      </c>
      <c r="N142" t="s">
        <v>47</v>
      </c>
      <c r="O142" t="s">
        <v>48</v>
      </c>
      <c r="P142" t="s">
        <v>49</v>
      </c>
      <c r="Q142" t="s">
        <v>1475</v>
      </c>
      <c r="R142" t="s">
        <v>1476</v>
      </c>
      <c r="S142">
        <v>5710</v>
      </c>
      <c r="T142" t="s">
        <v>52</v>
      </c>
      <c r="U142">
        <v>6</v>
      </c>
      <c r="V142" t="s">
        <v>1477</v>
      </c>
      <c r="W142" t="s">
        <v>54</v>
      </c>
      <c r="X142" t="s">
        <v>76</v>
      </c>
      <c r="Y142" t="s">
        <v>56</v>
      </c>
      <c r="Z142">
        <v>797</v>
      </c>
      <c r="AA142">
        <v>58</v>
      </c>
      <c r="AB142">
        <v>176</v>
      </c>
      <c r="AC142" t="s">
        <v>1478</v>
      </c>
      <c r="AD142" t="s">
        <v>1479</v>
      </c>
      <c r="AE142" t="s">
        <v>1480</v>
      </c>
      <c r="AF142" t="s">
        <v>1478</v>
      </c>
      <c r="AG142" t="s">
        <v>1479</v>
      </c>
      <c r="AH142" t="s">
        <v>1480</v>
      </c>
      <c r="AI142" t="s">
        <v>1481</v>
      </c>
      <c r="AJ142" s="2">
        <v>45793.724641203706</v>
      </c>
      <c r="AK142" t="s">
        <v>540</v>
      </c>
      <c r="AL142" t="s">
        <v>65</v>
      </c>
      <c r="AM142" s="4">
        <v>0.25694444444444442</v>
      </c>
      <c r="AN142" t="s">
        <v>66</v>
      </c>
      <c r="AO142" t="s">
        <v>67</v>
      </c>
    </row>
    <row r="143" spans="1:41" x14ac:dyDescent="0.2">
      <c r="A143">
        <v>365255</v>
      </c>
      <c r="B143" t="s">
        <v>1482</v>
      </c>
      <c r="C143" t="s">
        <v>735</v>
      </c>
      <c r="D143" t="s">
        <v>1483</v>
      </c>
      <c r="E143" t="s">
        <v>1484</v>
      </c>
      <c r="F143">
        <v>243902</v>
      </c>
      <c r="G143" s="1">
        <v>31201</v>
      </c>
      <c r="H143" s="1">
        <v>45574</v>
      </c>
      <c r="I143" s="1">
        <v>45931</v>
      </c>
      <c r="J143" t="s">
        <v>45</v>
      </c>
      <c r="K143" t="s">
        <v>45</v>
      </c>
      <c r="L143" t="s">
        <v>72</v>
      </c>
      <c r="M143" s="1">
        <v>45104</v>
      </c>
      <c r="N143" t="s">
        <v>47</v>
      </c>
      <c r="O143" t="s">
        <v>48</v>
      </c>
      <c r="P143" t="s">
        <v>49</v>
      </c>
      <c r="Q143" t="s">
        <v>1485</v>
      </c>
      <c r="R143" t="s">
        <v>1486</v>
      </c>
      <c r="S143">
        <v>4383</v>
      </c>
      <c r="T143" t="s">
        <v>296</v>
      </c>
      <c r="U143" t="s">
        <v>1487</v>
      </c>
      <c r="V143" t="s">
        <v>1488</v>
      </c>
      <c r="W143" t="s">
        <v>299</v>
      </c>
      <c r="X143" t="s">
        <v>76</v>
      </c>
      <c r="Y143" t="s">
        <v>56</v>
      </c>
      <c r="Z143">
        <v>9</v>
      </c>
      <c r="AA143">
        <v>62</v>
      </c>
      <c r="AB143">
        <v>146</v>
      </c>
      <c r="AC143" t="s">
        <v>1489</v>
      </c>
      <c r="AD143" t="s">
        <v>1490</v>
      </c>
      <c r="AE143" t="s">
        <v>1491</v>
      </c>
      <c r="AF143" t="s">
        <v>1492</v>
      </c>
      <c r="AG143" t="s">
        <v>1493</v>
      </c>
      <c r="AH143" t="s">
        <v>1491</v>
      </c>
      <c r="AI143" t="s">
        <v>1494</v>
      </c>
      <c r="AJ143" s="2">
        <v>45574.670347222222</v>
      </c>
      <c r="AK143" t="s">
        <v>375</v>
      </c>
      <c r="AL143" t="s">
        <v>65</v>
      </c>
      <c r="AM143" s="4">
        <v>7.6388888888888895E-2</v>
      </c>
      <c r="AN143" t="s">
        <v>66</v>
      </c>
      <c r="AO143" t="s">
        <v>67</v>
      </c>
    </row>
    <row r="144" spans="1:41" x14ac:dyDescent="0.2">
      <c r="A144">
        <v>370162</v>
      </c>
      <c r="B144" t="s">
        <v>1495</v>
      </c>
      <c r="C144" t="s">
        <v>278</v>
      </c>
      <c r="D144" t="s">
        <v>134</v>
      </c>
      <c r="E144" t="s">
        <v>1496</v>
      </c>
      <c r="F144">
        <v>422806</v>
      </c>
      <c r="G144" s="1">
        <v>33412</v>
      </c>
      <c r="H144" s="1">
        <v>45568</v>
      </c>
      <c r="I144" s="1">
        <v>46096</v>
      </c>
      <c r="J144" t="s">
        <v>45</v>
      </c>
      <c r="K144" t="s">
        <v>45</v>
      </c>
      <c r="L144" t="s">
        <v>429</v>
      </c>
      <c r="M144" s="1">
        <v>43529</v>
      </c>
      <c r="N144" t="s">
        <v>47</v>
      </c>
      <c r="O144" t="s">
        <v>48</v>
      </c>
      <c r="P144" t="s">
        <v>49</v>
      </c>
      <c r="Q144" t="s">
        <v>1497</v>
      </c>
      <c r="R144" t="s">
        <v>1498</v>
      </c>
      <c r="S144">
        <v>3990</v>
      </c>
      <c r="T144" t="s">
        <v>365</v>
      </c>
      <c r="U144" t="s">
        <v>432</v>
      </c>
      <c r="V144" t="s">
        <v>1499</v>
      </c>
      <c r="W144" t="s">
        <v>367</v>
      </c>
      <c r="X144" t="s">
        <v>55</v>
      </c>
      <c r="Y144" t="s">
        <v>434</v>
      </c>
      <c r="Z144">
        <v>337</v>
      </c>
      <c r="AA144">
        <v>58</v>
      </c>
      <c r="AB144">
        <v>166</v>
      </c>
      <c r="AC144" t="s">
        <v>1500</v>
      </c>
      <c r="AD144" t="s">
        <v>1501</v>
      </c>
      <c r="AE144" t="s">
        <v>1502</v>
      </c>
      <c r="AF144" t="s">
        <v>1503</v>
      </c>
      <c r="AH144" t="s">
        <v>1504</v>
      </c>
      <c r="AI144" t="s">
        <v>179</v>
      </c>
      <c r="AJ144" s="2">
        <v>45764.632893518516</v>
      </c>
      <c r="AK144" t="s">
        <v>1500</v>
      </c>
      <c r="AL144" t="s">
        <v>65</v>
      </c>
      <c r="AM144" s="3">
        <v>2.1805555555555554</v>
      </c>
      <c r="AN144" t="s">
        <v>66</v>
      </c>
      <c r="AO144" t="s">
        <v>67</v>
      </c>
    </row>
    <row r="145" spans="1:41" x14ac:dyDescent="0.2">
      <c r="A145">
        <v>369325</v>
      </c>
      <c r="B145" t="s">
        <v>1505</v>
      </c>
      <c r="C145" t="s">
        <v>236</v>
      </c>
      <c r="D145" t="s">
        <v>1506</v>
      </c>
      <c r="E145">
        <v>70700046</v>
      </c>
      <c r="F145">
        <v>211502</v>
      </c>
      <c r="G145" s="1">
        <v>34455</v>
      </c>
      <c r="H145" s="1">
        <v>45580</v>
      </c>
      <c r="J145" t="s">
        <v>45</v>
      </c>
      <c r="K145" t="s">
        <v>45</v>
      </c>
      <c r="L145" t="s">
        <v>72</v>
      </c>
      <c r="M145" s="1">
        <v>41554</v>
      </c>
      <c r="N145" t="s">
        <v>47</v>
      </c>
      <c r="O145" t="s">
        <v>48</v>
      </c>
      <c r="P145" t="s">
        <v>49</v>
      </c>
      <c r="Q145" t="s">
        <v>1507</v>
      </c>
      <c r="R145" t="s">
        <v>1508</v>
      </c>
      <c r="S145">
        <v>1475</v>
      </c>
      <c r="T145" t="s">
        <v>92</v>
      </c>
      <c r="U145" t="s">
        <v>1509</v>
      </c>
      <c r="V145" t="s">
        <v>506</v>
      </c>
      <c r="W145" t="s">
        <v>1510</v>
      </c>
      <c r="X145" t="s">
        <v>52</v>
      </c>
      <c r="Y145" t="s">
        <v>410</v>
      </c>
      <c r="Z145">
        <v>1391</v>
      </c>
      <c r="AA145">
        <v>47</v>
      </c>
      <c r="AB145">
        <v>174</v>
      </c>
      <c r="AC145" t="s">
        <v>1511</v>
      </c>
      <c r="AD145" t="s">
        <v>1512</v>
      </c>
      <c r="AE145" t="s">
        <v>1513</v>
      </c>
      <c r="AF145" t="s">
        <v>1514</v>
      </c>
      <c r="AG145" t="s">
        <v>1515</v>
      </c>
      <c r="AH145" t="s">
        <v>1516</v>
      </c>
      <c r="AI145" t="s">
        <v>1517</v>
      </c>
      <c r="AJ145" s="2">
        <v>45791.806805555556</v>
      </c>
      <c r="AK145" t="s">
        <v>100</v>
      </c>
      <c r="AL145" t="s">
        <v>65</v>
      </c>
      <c r="AM145" s="4">
        <v>0.25694444444444442</v>
      </c>
      <c r="AN145" t="s">
        <v>66</v>
      </c>
      <c r="AO145" t="s">
        <v>67</v>
      </c>
    </row>
    <row r="146" spans="1:41" x14ac:dyDescent="0.2">
      <c r="A146">
        <v>364749</v>
      </c>
      <c r="B146" t="s">
        <v>1518</v>
      </c>
      <c r="C146" t="s">
        <v>345</v>
      </c>
      <c r="D146" t="s">
        <v>1050</v>
      </c>
      <c r="E146" s="5" t="s">
        <v>1519</v>
      </c>
      <c r="F146">
        <v>52001</v>
      </c>
      <c r="G146" s="1">
        <v>32593</v>
      </c>
      <c r="H146" s="1">
        <v>45553</v>
      </c>
      <c r="I146" s="1">
        <v>45931</v>
      </c>
      <c r="J146" t="s">
        <v>45</v>
      </c>
      <c r="K146" t="s">
        <v>45</v>
      </c>
      <c r="L146" t="s">
        <v>72</v>
      </c>
      <c r="M146" s="1">
        <v>42439</v>
      </c>
      <c r="N146" t="s">
        <v>47</v>
      </c>
      <c r="O146" t="s">
        <v>48</v>
      </c>
      <c r="P146" t="s">
        <v>49</v>
      </c>
      <c r="Q146" t="s">
        <v>1520</v>
      </c>
      <c r="R146" t="s">
        <v>1521</v>
      </c>
      <c r="S146">
        <v>7982</v>
      </c>
      <c r="T146" t="s">
        <v>52</v>
      </c>
      <c r="U146">
        <v>2</v>
      </c>
      <c r="V146" t="s">
        <v>1522</v>
      </c>
      <c r="W146" t="s">
        <v>54</v>
      </c>
      <c r="X146" t="s">
        <v>55</v>
      </c>
      <c r="Y146" t="s">
        <v>56</v>
      </c>
      <c r="Z146">
        <v>575</v>
      </c>
      <c r="AA146">
        <v>63</v>
      </c>
      <c r="AB146">
        <v>30</v>
      </c>
      <c r="AC146" t="s">
        <v>1523</v>
      </c>
      <c r="AD146" t="s">
        <v>1524</v>
      </c>
      <c r="AE146" t="s">
        <v>1525</v>
      </c>
      <c r="AF146" t="s">
        <v>1526</v>
      </c>
      <c r="AG146" t="s">
        <v>1527</v>
      </c>
      <c r="AH146" t="s">
        <v>1528</v>
      </c>
      <c r="AI146" t="s">
        <v>1529</v>
      </c>
      <c r="AJ146" s="2">
        <v>45558.879791666666</v>
      </c>
      <c r="AK146" t="s">
        <v>540</v>
      </c>
      <c r="AL146" t="s">
        <v>65</v>
      </c>
      <c r="AM146" s="4">
        <v>0.95138888888888884</v>
      </c>
      <c r="AN146" t="s">
        <v>66</v>
      </c>
      <c r="AO146" t="s">
        <v>67</v>
      </c>
    </row>
    <row r="147" spans="1:41" x14ac:dyDescent="0.2">
      <c r="A147">
        <v>366747</v>
      </c>
      <c r="B147" t="s">
        <v>1530</v>
      </c>
      <c r="C147" t="s">
        <v>1531</v>
      </c>
      <c r="D147" t="s">
        <v>1532</v>
      </c>
      <c r="E147" t="s">
        <v>1533</v>
      </c>
      <c r="F147">
        <v>120201</v>
      </c>
      <c r="G147" s="1">
        <v>39148</v>
      </c>
      <c r="H147" s="1">
        <v>45629</v>
      </c>
      <c r="I147" s="1">
        <v>45992</v>
      </c>
      <c r="J147" t="s">
        <v>45</v>
      </c>
      <c r="K147" t="s">
        <v>45</v>
      </c>
      <c r="L147" t="s">
        <v>72</v>
      </c>
      <c r="M147" s="1">
        <v>44565</v>
      </c>
      <c r="N147" t="s">
        <v>47</v>
      </c>
      <c r="O147" t="s">
        <v>48</v>
      </c>
      <c r="P147" t="s">
        <v>49</v>
      </c>
      <c r="Q147" t="s">
        <v>1534</v>
      </c>
      <c r="R147" t="s">
        <v>1535</v>
      </c>
      <c r="S147">
        <v>647</v>
      </c>
      <c r="T147" t="s">
        <v>257</v>
      </c>
      <c r="U147" t="s">
        <v>258</v>
      </c>
      <c r="V147" t="s">
        <v>1536</v>
      </c>
      <c r="W147" t="s">
        <v>260</v>
      </c>
      <c r="X147" t="s">
        <v>257</v>
      </c>
      <c r="Y147" t="s">
        <v>110</v>
      </c>
      <c r="Z147">
        <v>1347</v>
      </c>
      <c r="AA147">
        <v>35</v>
      </c>
      <c r="AB147">
        <v>45</v>
      </c>
      <c r="AC147" t="s">
        <v>1537</v>
      </c>
      <c r="AD147" t="s">
        <v>1538</v>
      </c>
      <c r="AE147" t="s">
        <v>1539</v>
      </c>
      <c r="AF147" t="s">
        <v>264</v>
      </c>
      <c r="AG147" t="s">
        <v>265</v>
      </c>
      <c r="AH147" t="s">
        <v>266</v>
      </c>
      <c r="AI147" t="s">
        <v>1540</v>
      </c>
      <c r="AJ147" s="2">
        <v>45636.610358796293</v>
      </c>
      <c r="AK147" t="s">
        <v>1537</v>
      </c>
      <c r="AL147" t="s">
        <v>65</v>
      </c>
      <c r="AM147" s="3">
        <v>2.3194444444444446</v>
      </c>
      <c r="AN147" t="s">
        <v>66</v>
      </c>
      <c r="AO147" t="s">
        <v>101</v>
      </c>
    </row>
    <row r="148" spans="1:41" x14ac:dyDescent="0.2">
      <c r="A148">
        <v>369856</v>
      </c>
      <c r="B148" t="s">
        <v>1541</v>
      </c>
      <c r="C148" t="s">
        <v>197</v>
      </c>
      <c r="D148" t="s">
        <v>1542</v>
      </c>
      <c r="E148" t="s">
        <v>1543</v>
      </c>
      <c r="F148">
        <v>99101</v>
      </c>
      <c r="G148" s="1">
        <v>44307</v>
      </c>
      <c r="H148" s="1">
        <v>45583</v>
      </c>
      <c r="I148" s="1">
        <v>46266</v>
      </c>
      <c r="J148" t="s">
        <v>45</v>
      </c>
      <c r="K148" t="s">
        <v>45</v>
      </c>
      <c r="L148" t="s">
        <v>72</v>
      </c>
      <c r="N148" t="s">
        <v>47</v>
      </c>
      <c r="O148" t="s">
        <v>48</v>
      </c>
      <c r="P148" t="s">
        <v>49</v>
      </c>
      <c r="Q148" t="s">
        <v>1544</v>
      </c>
      <c r="R148" t="s">
        <v>1545</v>
      </c>
      <c r="S148">
        <v>2451</v>
      </c>
      <c r="T148" t="s">
        <v>92</v>
      </c>
      <c r="U148" t="s">
        <v>202</v>
      </c>
      <c r="V148" t="s">
        <v>203</v>
      </c>
      <c r="W148" t="s">
        <v>204</v>
      </c>
      <c r="X148" t="s">
        <v>92</v>
      </c>
      <c r="Y148" t="s">
        <v>110</v>
      </c>
      <c r="Z148">
        <v>11546</v>
      </c>
      <c r="AA148">
        <v>14</v>
      </c>
      <c r="AB148">
        <v>45</v>
      </c>
      <c r="AC148" t="s">
        <v>1546</v>
      </c>
      <c r="AD148" t="s">
        <v>206</v>
      </c>
      <c r="AE148" t="s">
        <v>1547</v>
      </c>
      <c r="AF148" t="s">
        <v>1548</v>
      </c>
      <c r="AG148" t="s">
        <v>1549</v>
      </c>
      <c r="AH148" t="s">
        <v>1550</v>
      </c>
      <c r="AI148" t="s">
        <v>206</v>
      </c>
      <c r="AJ148" s="2">
        <v>45755.815162037034</v>
      </c>
      <c r="AK148" t="s">
        <v>212</v>
      </c>
      <c r="AL148" t="s">
        <v>65</v>
      </c>
      <c r="AM148" s="3">
        <v>2.4375</v>
      </c>
      <c r="AN148" t="s">
        <v>66</v>
      </c>
      <c r="AO148" t="s">
        <v>101</v>
      </c>
    </row>
    <row r="149" spans="1:41" x14ac:dyDescent="0.2">
      <c r="A149">
        <v>372930</v>
      </c>
      <c r="B149" t="s">
        <v>1551</v>
      </c>
      <c r="C149" t="s">
        <v>134</v>
      </c>
      <c r="D149" t="s">
        <v>1552</v>
      </c>
      <c r="E149" t="s">
        <v>1553</v>
      </c>
      <c r="G149" s="1">
        <v>44649</v>
      </c>
      <c r="H149" s="1">
        <v>45505</v>
      </c>
      <c r="I149" s="1">
        <v>46218</v>
      </c>
      <c r="J149" t="s">
        <v>45</v>
      </c>
      <c r="K149" t="s">
        <v>45</v>
      </c>
      <c r="L149" t="s">
        <v>46</v>
      </c>
      <c r="N149" t="s">
        <v>47</v>
      </c>
      <c r="O149" t="s">
        <v>48</v>
      </c>
      <c r="P149" t="s">
        <v>49</v>
      </c>
      <c r="Q149" t="s">
        <v>1554</v>
      </c>
      <c r="R149" t="s">
        <v>1555</v>
      </c>
      <c r="S149">
        <v>152</v>
      </c>
      <c r="T149" t="s">
        <v>92</v>
      </c>
      <c r="U149" t="s">
        <v>139</v>
      </c>
      <c r="V149" t="s">
        <v>1556</v>
      </c>
      <c r="W149" t="s">
        <v>1557</v>
      </c>
      <c r="X149" t="s">
        <v>76</v>
      </c>
      <c r="Y149" t="s">
        <v>434</v>
      </c>
      <c r="Z149">
        <v>12026</v>
      </c>
      <c r="AA149">
        <v>9</v>
      </c>
      <c r="AB149">
        <v>210</v>
      </c>
      <c r="AC149" t="s">
        <v>1558</v>
      </c>
      <c r="AD149" t="s">
        <v>1559</v>
      </c>
      <c r="AE149" t="s">
        <v>1560</v>
      </c>
      <c r="AF149" t="s">
        <v>1561</v>
      </c>
      <c r="AG149" t="s">
        <v>1562</v>
      </c>
      <c r="AH149" t="s">
        <v>1563</v>
      </c>
      <c r="AJ149" s="2">
        <v>45855.917662037034</v>
      </c>
      <c r="AK149" t="s">
        <v>556</v>
      </c>
      <c r="AL149" t="s">
        <v>65</v>
      </c>
      <c r="AM149" s="4">
        <v>0.52083333333333337</v>
      </c>
      <c r="AN149" t="s">
        <v>66</v>
      </c>
      <c r="AO149" t="s">
        <v>67</v>
      </c>
    </row>
    <row r="150" spans="1:41" x14ac:dyDescent="0.2">
      <c r="A150">
        <v>370789</v>
      </c>
      <c r="B150" t="s">
        <v>1564</v>
      </c>
      <c r="C150" t="s">
        <v>1565</v>
      </c>
      <c r="D150" t="s">
        <v>1566</v>
      </c>
      <c r="E150">
        <v>32828142</v>
      </c>
      <c r="F150">
        <v>392606</v>
      </c>
      <c r="G150" s="1">
        <v>37182</v>
      </c>
      <c r="H150" s="1">
        <v>45547</v>
      </c>
      <c r="I150" s="1">
        <v>46266</v>
      </c>
      <c r="J150" t="s">
        <v>45</v>
      </c>
      <c r="K150" t="s">
        <v>45</v>
      </c>
      <c r="L150" t="s">
        <v>72</v>
      </c>
      <c r="M150" s="1">
        <v>43389</v>
      </c>
      <c r="N150" t="s">
        <v>47</v>
      </c>
      <c r="O150" t="s">
        <v>48</v>
      </c>
      <c r="P150" t="s">
        <v>49</v>
      </c>
      <c r="Q150" t="s">
        <v>1567</v>
      </c>
      <c r="R150" t="s">
        <v>1568</v>
      </c>
      <c r="S150">
        <v>4674</v>
      </c>
      <c r="T150" t="s">
        <v>52</v>
      </c>
      <c r="U150">
        <v>2</v>
      </c>
      <c r="V150" t="s">
        <v>1569</v>
      </c>
      <c r="W150" t="s">
        <v>54</v>
      </c>
      <c r="X150" t="s">
        <v>76</v>
      </c>
      <c r="Y150" t="s">
        <v>56</v>
      </c>
      <c r="Z150">
        <v>1956</v>
      </c>
      <c r="AA150">
        <v>49</v>
      </c>
      <c r="AB150">
        <v>160</v>
      </c>
      <c r="AC150" t="s">
        <v>1570</v>
      </c>
      <c r="AD150" t="s">
        <v>1571</v>
      </c>
      <c r="AE150" t="s">
        <v>1572</v>
      </c>
      <c r="AF150" t="s">
        <v>1573</v>
      </c>
      <c r="AG150" t="s">
        <v>1574</v>
      </c>
      <c r="AH150" t="s">
        <v>1575</v>
      </c>
      <c r="AI150" t="s">
        <v>1576</v>
      </c>
      <c r="AJ150" s="2">
        <v>45784.680069444446</v>
      </c>
      <c r="AK150" t="s">
        <v>1577</v>
      </c>
      <c r="AL150" t="s">
        <v>65</v>
      </c>
      <c r="AM150" s="3">
        <v>1.4791666666666667</v>
      </c>
      <c r="AN150" t="s">
        <v>809</v>
      </c>
      <c r="AO150" t="s">
        <v>67</v>
      </c>
    </row>
    <row r="151" spans="1:41" x14ac:dyDescent="0.2">
      <c r="A151">
        <v>369219</v>
      </c>
      <c r="B151" t="s">
        <v>1578</v>
      </c>
      <c r="C151" t="s">
        <v>118</v>
      </c>
      <c r="D151" t="s">
        <v>1579</v>
      </c>
      <c r="E151" t="s">
        <v>1580</v>
      </c>
      <c r="G151" s="1">
        <v>45357</v>
      </c>
      <c r="H151" s="1">
        <v>45727</v>
      </c>
      <c r="I151" s="1">
        <v>46082</v>
      </c>
      <c r="J151" t="s">
        <v>45</v>
      </c>
      <c r="K151" t="s">
        <v>45</v>
      </c>
      <c r="L151" t="s">
        <v>46</v>
      </c>
      <c r="N151" t="s">
        <v>47</v>
      </c>
      <c r="O151" t="s">
        <v>48</v>
      </c>
      <c r="P151" t="s">
        <v>49</v>
      </c>
      <c r="Q151" t="s">
        <v>1581</v>
      </c>
      <c r="R151" t="s">
        <v>1582</v>
      </c>
      <c r="S151">
        <v>573</v>
      </c>
      <c r="T151" t="s">
        <v>1328</v>
      </c>
      <c r="U151" t="s">
        <v>1583</v>
      </c>
      <c r="V151" t="s">
        <v>1584</v>
      </c>
      <c r="W151" t="s">
        <v>1585</v>
      </c>
      <c r="X151" t="s">
        <v>55</v>
      </c>
      <c r="Y151" t="s">
        <v>434</v>
      </c>
      <c r="Z151">
        <v>12211</v>
      </c>
      <c r="AA151">
        <v>10</v>
      </c>
      <c r="AB151">
        <v>78</v>
      </c>
      <c r="AC151" t="s">
        <v>1586</v>
      </c>
      <c r="AD151" t="s">
        <v>1587</v>
      </c>
      <c r="AE151" t="s">
        <v>1588</v>
      </c>
      <c r="AI151" t="s">
        <v>179</v>
      </c>
      <c r="AJ151" s="2">
        <v>45729.644768518519</v>
      </c>
      <c r="AK151" t="s">
        <v>307</v>
      </c>
      <c r="AL151" t="s">
        <v>65</v>
      </c>
      <c r="AM151" s="4">
        <v>0.2986111111111111</v>
      </c>
      <c r="AN151" t="s">
        <v>66</v>
      </c>
      <c r="AO151" t="s">
        <v>67</v>
      </c>
    </row>
    <row r="152" spans="1:41" x14ac:dyDescent="0.2">
      <c r="A152">
        <v>368809</v>
      </c>
      <c r="B152" t="s">
        <v>1589</v>
      </c>
      <c r="C152" t="s">
        <v>662</v>
      </c>
      <c r="D152" t="s">
        <v>1277</v>
      </c>
      <c r="E152" t="s">
        <v>1590</v>
      </c>
      <c r="F152">
        <v>417902</v>
      </c>
      <c r="G152" s="1">
        <v>36880</v>
      </c>
      <c r="H152" s="1">
        <v>45713</v>
      </c>
      <c r="I152" s="1">
        <v>46054</v>
      </c>
      <c r="J152" t="s">
        <v>45</v>
      </c>
      <c r="K152" t="s">
        <v>45</v>
      </c>
      <c r="L152" t="s">
        <v>46</v>
      </c>
      <c r="N152" t="s">
        <v>47</v>
      </c>
      <c r="O152" t="s">
        <v>48</v>
      </c>
      <c r="P152" t="s">
        <v>49</v>
      </c>
      <c r="Q152" t="s">
        <v>1591</v>
      </c>
      <c r="R152" t="s">
        <v>1592</v>
      </c>
      <c r="S152">
        <v>1035</v>
      </c>
      <c r="T152" t="s">
        <v>156</v>
      </c>
      <c r="U152" t="s">
        <v>667</v>
      </c>
      <c r="V152" t="s">
        <v>1593</v>
      </c>
      <c r="W152" t="s">
        <v>159</v>
      </c>
      <c r="X152" t="s">
        <v>55</v>
      </c>
      <c r="Y152" t="s">
        <v>56</v>
      </c>
      <c r="Z152">
        <v>1842</v>
      </c>
      <c r="AA152">
        <v>36</v>
      </c>
      <c r="AB152">
        <v>166</v>
      </c>
      <c r="AC152" t="s">
        <v>1237</v>
      </c>
      <c r="AD152" t="s">
        <v>1238</v>
      </c>
      <c r="AE152" t="s">
        <v>1239</v>
      </c>
      <c r="AF152" t="s">
        <v>1594</v>
      </c>
      <c r="AG152" t="s">
        <v>1595</v>
      </c>
      <c r="AH152" t="s">
        <v>1596</v>
      </c>
      <c r="AI152" t="s">
        <v>179</v>
      </c>
      <c r="AJ152" s="2">
        <v>45722.627488425926</v>
      </c>
      <c r="AK152" t="s">
        <v>307</v>
      </c>
      <c r="AL152" t="s">
        <v>65</v>
      </c>
      <c r="AM152" s="3">
        <v>1.9930555555555556</v>
      </c>
      <c r="AN152" t="s">
        <v>809</v>
      </c>
      <c r="AO152" t="s">
        <v>67</v>
      </c>
    </row>
    <row r="153" spans="1:41" x14ac:dyDescent="0.2">
      <c r="A153">
        <v>368810</v>
      </c>
      <c r="B153" t="s">
        <v>1597</v>
      </c>
      <c r="C153" t="s">
        <v>662</v>
      </c>
      <c r="D153" t="s">
        <v>1598</v>
      </c>
      <c r="E153" t="s">
        <v>1599</v>
      </c>
      <c r="F153">
        <v>417903</v>
      </c>
      <c r="G153" s="1">
        <v>40245</v>
      </c>
      <c r="H153" s="1">
        <v>45713</v>
      </c>
      <c r="I153" s="1">
        <v>46054</v>
      </c>
      <c r="J153" t="s">
        <v>45</v>
      </c>
      <c r="K153" t="s">
        <v>45</v>
      </c>
      <c r="L153" t="s">
        <v>46</v>
      </c>
      <c r="M153" s="1">
        <v>43613</v>
      </c>
      <c r="N153" t="s">
        <v>47</v>
      </c>
      <c r="O153" t="s">
        <v>48</v>
      </c>
      <c r="P153" t="s">
        <v>49</v>
      </c>
      <c r="Q153" t="s">
        <v>1600</v>
      </c>
      <c r="R153" t="s">
        <v>1601</v>
      </c>
      <c r="S153">
        <v>1362</v>
      </c>
      <c r="T153" t="s">
        <v>156</v>
      </c>
      <c r="U153" t="s">
        <v>667</v>
      </c>
      <c r="V153" t="s">
        <v>1593</v>
      </c>
      <c r="W153" t="s">
        <v>159</v>
      </c>
      <c r="X153" t="s">
        <v>55</v>
      </c>
      <c r="Y153" t="s">
        <v>56</v>
      </c>
      <c r="Z153">
        <v>3227</v>
      </c>
      <c r="AA153">
        <v>31</v>
      </c>
      <c r="AB153">
        <v>30</v>
      </c>
      <c r="AC153" t="s">
        <v>1237</v>
      </c>
      <c r="AD153" t="s">
        <v>1238</v>
      </c>
      <c r="AE153" t="s">
        <v>1239</v>
      </c>
      <c r="AF153" t="s">
        <v>1594</v>
      </c>
      <c r="AG153" t="s">
        <v>1595</v>
      </c>
      <c r="AH153" t="s">
        <v>1596</v>
      </c>
      <c r="AI153" t="s">
        <v>179</v>
      </c>
      <c r="AJ153" s="2">
        <v>45722.631435185183</v>
      </c>
      <c r="AK153" t="s">
        <v>307</v>
      </c>
      <c r="AL153" t="s">
        <v>65</v>
      </c>
      <c r="AM153" s="3">
        <v>1.4652777777777777</v>
      </c>
      <c r="AN153" t="s">
        <v>809</v>
      </c>
      <c r="AO153" t="s">
        <v>67</v>
      </c>
    </row>
    <row r="154" spans="1:41" x14ac:dyDescent="0.2">
      <c r="A154">
        <v>372175</v>
      </c>
      <c r="B154" t="s">
        <v>1602</v>
      </c>
      <c r="C154" t="s">
        <v>167</v>
      </c>
      <c r="D154" t="s">
        <v>1603</v>
      </c>
      <c r="E154" t="s">
        <v>1604</v>
      </c>
      <c r="F154">
        <v>352813</v>
      </c>
      <c r="G154" s="1">
        <v>34324</v>
      </c>
      <c r="H154" s="1">
        <v>45832</v>
      </c>
      <c r="I154" s="1">
        <v>46157</v>
      </c>
      <c r="J154" t="s">
        <v>45</v>
      </c>
      <c r="K154" t="s">
        <v>45</v>
      </c>
      <c r="L154" t="s">
        <v>72</v>
      </c>
      <c r="M154" s="1">
        <v>43951</v>
      </c>
      <c r="N154" t="s">
        <v>47</v>
      </c>
      <c r="O154" t="s">
        <v>48</v>
      </c>
      <c r="P154" t="s">
        <v>49</v>
      </c>
      <c r="Q154" t="s">
        <v>1605</v>
      </c>
      <c r="R154" t="s">
        <v>1606</v>
      </c>
      <c r="S154">
        <v>3630</v>
      </c>
      <c r="T154" t="s">
        <v>52</v>
      </c>
      <c r="U154">
        <v>6</v>
      </c>
      <c r="V154" t="s">
        <v>172</v>
      </c>
      <c r="W154" t="s">
        <v>54</v>
      </c>
      <c r="X154" t="s">
        <v>76</v>
      </c>
      <c r="Y154" t="s">
        <v>56</v>
      </c>
      <c r="Z154">
        <v>826</v>
      </c>
      <c r="AA154">
        <v>43</v>
      </c>
      <c r="AB154">
        <v>80</v>
      </c>
      <c r="AC154" t="s">
        <v>173</v>
      </c>
      <c r="AD154" t="s">
        <v>174</v>
      </c>
      <c r="AE154" t="s">
        <v>175</v>
      </c>
      <c r="AF154" t="s">
        <v>273</v>
      </c>
      <c r="AG154" t="s">
        <v>274</v>
      </c>
      <c r="AH154" t="s">
        <v>275</v>
      </c>
      <c r="AI154" t="s">
        <v>179</v>
      </c>
      <c r="AJ154" s="2">
        <v>45832.995474537034</v>
      </c>
      <c r="AK154" t="s">
        <v>276</v>
      </c>
      <c r="AL154" t="s">
        <v>65</v>
      </c>
      <c r="AM154" s="3">
        <v>1.625</v>
      </c>
      <c r="AN154" t="s">
        <v>66</v>
      </c>
      <c r="AO154" t="s">
        <v>67</v>
      </c>
    </row>
    <row r="155" spans="1:41" x14ac:dyDescent="0.2">
      <c r="A155">
        <v>371293</v>
      </c>
      <c r="B155" t="s">
        <v>1607</v>
      </c>
      <c r="C155" t="s">
        <v>167</v>
      </c>
      <c r="D155" t="s">
        <v>570</v>
      </c>
      <c r="E155" t="s">
        <v>1608</v>
      </c>
      <c r="F155">
        <v>353522</v>
      </c>
      <c r="G155" s="1">
        <v>33084</v>
      </c>
      <c r="H155" s="1">
        <v>45796</v>
      </c>
      <c r="I155" s="1">
        <v>46157</v>
      </c>
      <c r="J155" t="s">
        <v>45</v>
      </c>
      <c r="K155" t="s">
        <v>45</v>
      </c>
      <c r="L155" t="s">
        <v>429</v>
      </c>
      <c r="M155" s="1">
        <v>45567</v>
      </c>
      <c r="N155" t="s">
        <v>47</v>
      </c>
      <c r="O155" t="s">
        <v>48</v>
      </c>
      <c r="P155" t="s">
        <v>49</v>
      </c>
      <c r="Q155" t="s">
        <v>1609</v>
      </c>
      <c r="R155" t="s">
        <v>1610</v>
      </c>
      <c r="S155">
        <v>5592</v>
      </c>
      <c r="T155" t="s">
        <v>365</v>
      </c>
      <c r="U155" t="s">
        <v>532</v>
      </c>
      <c r="V155" t="s">
        <v>1611</v>
      </c>
      <c r="W155" t="s">
        <v>367</v>
      </c>
      <c r="X155" t="s">
        <v>76</v>
      </c>
      <c r="Y155" t="s">
        <v>434</v>
      </c>
      <c r="Z155">
        <v>291</v>
      </c>
      <c r="AA155">
        <v>55</v>
      </c>
      <c r="AB155">
        <v>166</v>
      </c>
      <c r="AC155" t="s">
        <v>575</v>
      </c>
      <c r="AD155" t="s">
        <v>576</v>
      </c>
      <c r="AE155" t="s">
        <v>577</v>
      </c>
      <c r="AF155" t="s">
        <v>1612</v>
      </c>
      <c r="AG155" t="s">
        <v>1613</v>
      </c>
      <c r="AH155" t="s">
        <v>1614</v>
      </c>
      <c r="AI155" t="s">
        <v>179</v>
      </c>
      <c r="AJ155" s="2">
        <v>45804.687210648146</v>
      </c>
      <c r="AK155" t="s">
        <v>568</v>
      </c>
      <c r="AL155" t="s">
        <v>65</v>
      </c>
      <c r="AM155" s="3">
        <v>1.7916666666666667</v>
      </c>
      <c r="AN155" t="s">
        <v>66</v>
      </c>
      <c r="AO155" t="s">
        <v>67</v>
      </c>
    </row>
    <row r="156" spans="1:41" x14ac:dyDescent="0.2">
      <c r="A156">
        <v>372433</v>
      </c>
      <c r="B156" t="s">
        <v>1615</v>
      </c>
      <c r="C156" t="s">
        <v>182</v>
      </c>
      <c r="D156" t="s">
        <v>1616</v>
      </c>
      <c r="E156">
        <v>32398322</v>
      </c>
      <c r="F156">
        <v>42603</v>
      </c>
      <c r="G156" s="1">
        <v>32472</v>
      </c>
      <c r="H156" s="1">
        <v>45813</v>
      </c>
      <c r="I156" s="1">
        <v>46188</v>
      </c>
      <c r="J156" t="s">
        <v>45</v>
      </c>
      <c r="K156" t="s">
        <v>45</v>
      </c>
      <c r="L156" t="s">
        <v>429</v>
      </c>
      <c r="M156" s="1">
        <v>45099</v>
      </c>
      <c r="N156" t="s">
        <v>47</v>
      </c>
      <c r="O156" t="s">
        <v>48</v>
      </c>
      <c r="P156" t="s">
        <v>49</v>
      </c>
      <c r="Q156" t="s">
        <v>1617</v>
      </c>
      <c r="R156" t="s">
        <v>1618</v>
      </c>
      <c r="S156">
        <v>4613</v>
      </c>
      <c r="T156" t="s">
        <v>52</v>
      </c>
      <c r="U156">
        <v>5</v>
      </c>
      <c r="V156" t="s">
        <v>1619</v>
      </c>
      <c r="W156" t="s">
        <v>54</v>
      </c>
      <c r="X156" t="s">
        <v>493</v>
      </c>
      <c r="Y156" t="s">
        <v>434</v>
      </c>
      <c r="Z156">
        <v>683</v>
      </c>
      <c r="AA156">
        <v>73</v>
      </c>
      <c r="AB156">
        <v>34</v>
      </c>
      <c r="AC156" t="s">
        <v>1620</v>
      </c>
      <c r="AD156" t="s">
        <v>1621</v>
      </c>
      <c r="AE156" t="s">
        <v>1622</v>
      </c>
      <c r="AF156" t="s">
        <v>1623</v>
      </c>
      <c r="AG156" t="s">
        <v>1624</v>
      </c>
      <c r="AH156" t="s">
        <v>1625</v>
      </c>
      <c r="AI156" t="s">
        <v>1626</v>
      </c>
      <c r="AJ156" s="2">
        <v>45839.679583333331</v>
      </c>
      <c r="AK156" t="s">
        <v>501</v>
      </c>
      <c r="AL156" t="s">
        <v>65</v>
      </c>
      <c r="AM156" s="3">
        <v>1.5069444444444444</v>
      </c>
      <c r="AN156" t="s">
        <v>66</v>
      </c>
      <c r="AO156" t="s">
        <v>67</v>
      </c>
    </row>
    <row r="157" spans="1:41" x14ac:dyDescent="0.2">
      <c r="A157">
        <v>370564</v>
      </c>
      <c r="B157" t="s">
        <v>1627</v>
      </c>
      <c r="C157" t="s">
        <v>86</v>
      </c>
      <c r="D157" t="s">
        <v>1628</v>
      </c>
      <c r="E157">
        <v>32851614</v>
      </c>
      <c r="F157">
        <v>203802</v>
      </c>
      <c r="G157" s="1">
        <v>37408</v>
      </c>
      <c r="H157" s="1">
        <v>45775</v>
      </c>
      <c r="I157" s="1">
        <v>46157</v>
      </c>
      <c r="J157" t="s">
        <v>45</v>
      </c>
      <c r="K157" t="s">
        <v>45</v>
      </c>
      <c r="L157" t="s">
        <v>72</v>
      </c>
      <c r="M157" s="1">
        <v>44287</v>
      </c>
      <c r="N157" t="s">
        <v>47</v>
      </c>
      <c r="O157" t="s">
        <v>48</v>
      </c>
      <c r="P157" t="s">
        <v>49</v>
      </c>
      <c r="Q157" t="s">
        <v>1629</v>
      </c>
      <c r="R157" t="s">
        <v>1630</v>
      </c>
      <c r="S157">
        <v>820</v>
      </c>
      <c r="T157" t="s">
        <v>52</v>
      </c>
      <c r="U157">
        <v>9</v>
      </c>
      <c r="V157" t="s">
        <v>1631</v>
      </c>
      <c r="W157" t="s">
        <v>54</v>
      </c>
      <c r="X157" t="s">
        <v>76</v>
      </c>
      <c r="Y157" t="s">
        <v>56</v>
      </c>
      <c r="Z157">
        <v>1097</v>
      </c>
      <c r="AA157">
        <v>43</v>
      </c>
      <c r="AB157">
        <v>97</v>
      </c>
      <c r="AC157" t="s">
        <v>1632</v>
      </c>
      <c r="AD157" t="s">
        <v>1633</v>
      </c>
      <c r="AE157" t="s">
        <v>1634</v>
      </c>
      <c r="AF157" t="s">
        <v>1635</v>
      </c>
      <c r="AG157" t="s">
        <v>1636</v>
      </c>
      <c r="AH157" t="s">
        <v>1637</v>
      </c>
      <c r="AI157" t="s">
        <v>1638</v>
      </c>
      <c r="AJ157" s="2">
        <v>45777.959444444445</v>
      </c>
      <c r="AK157" t="s">
        <v>540</v>
      </c>
      <c r="AL157" t="s">
        <v>65</v>
      </c>
      <c r="AM157" s="3">
        <v>1.3645833333333333</v>
      </c>
      <c r="AN157" t="s">
        <v>66</v>
      </c>
      <c r="AO157" t="s">
        <v>101</v>
      </c>
    </row>
    <row r="158" spans="1:41" x14ac:dyDescent="0.2">
      <c r="A158">
        <v>363185</v>
      </c>
      <c r="B158" t="s">
        <v>1639</v>
      </c>
      <c r="C158" t="s">
        <v>182</v>
      </c>
      <c r="D158" t="s">
        <v>932</v>
      </c>
      <c r="E158" t="s">
        <v>1640</v>
      </c>
      <c r="F158">
        <v>41201</v>
      </c>
      <c r="G158" s="1">
        <v>33482</v>
      </c>
      <c r="H158" s="1">
        <v>45497</v>
      </c>
      <c r="J158" t="s">
        <v>45</v>
      </c>
      <c r="K158" t="s">
        <v>72</v>
      </c>
      <c r="L158" t="s">
        <v>72</v>
      </c>
      <c r="M158" s="1">
        <v>39063</v>
      </c>
      <c r="N158" t="s">
        <v>47</v>
      </c>
      <c r="O158" t="s">
        <v>48</v>
      </c>
      <c r="P158" t="s">
        <v>49</v>
      </c>
      <c r="Q158" t="s">
        <v>1641</v>
      </c>
      <c r="R158" t="s">
        <v>1642</v>
      </c>
      <c r="S158">
        <v>803</v>
      </c>
      <c r="T158" t="s">
        <v>92</v>
      </c>
      <c r="U158" t="s">
        <v>187</v>
      </c>
      <c r="V158" t="s">
        <v>447</v>
      </c>
      <c r="W158" t="s">
        <v>448</v>
      </c>
      <c r="X158" t="s">
        <v>92</v>
      </c>
      <c r="Y158" t="s">
        <v>450</v>
      </c>
      <c r="Z158">
        <v>1222</v>
      </c>
      <c r="AA158">
        <v>49</v>
      </c>
      <c r="AB158">
        <v>144</v>
      </c>
      <c r="AC158" t="s">
        <v>451</v>
      </c>
      <c r="AD158" t="s">
        <v>452</v>
      </c>
      <c r="AE158" t="s">
        <v>453</v>
      </c>
      <c r="AF158" t="s">
        <v>454</v>
      </c>
      <c r="AG158" t="s">
        <v>473</v>
      </c>
      <c r="AH158" t="s">
        <v>474</v>
      </c>
      <c r="AI158" t="s">
        <v>452</v>
      </c>
      <c r="AJ158" s="2">
        <v>45506.680787037039</v>
      </c>
      <c r="AK158" t="s">
        <v>526</v>
      </c>
      <c r="AL158" t="s">
        <v>475</v>
      </c>
      <c r="AM158" s="3">
        <v>2.125</v>
      </c>
      <c r="AN158" t="s">
        <v>66</v>
      </c>
      <c r="AO158" t="s">
        <v>67</v>
      </c>
    </row>
    <row r="159" spans="1:41" x14ac:dyDescent="0.2">
      <c r="A159">
        <v>365389</v>
      </c>
      <c r="B159" t="s">
        <v>1643</v>
      </c>
      <c r="C159" t="s">
        <v>221</v>
      </c>
      <c r="D159" t="s">
        <v>1644</v>
      </c>
      <c r="E159" t="s">
        <v>1645</v>
      </c>
      <c r="F159">
        <v>10702</v>
      </c>
      <c r="G159" s="1">
        <v>33162</v>
      </c>
      <c r="H159" s="1">
        <v>45575</v>
      </c>
      <c r="I159" s="1">
        <v>45915</v>
      </c>
      <c r="J159" t="s">
        <v>45</v>
      </c>
      <c r="K159" t="s">
        <v>45</v>
      </c>
      <c r="L159" t="s">
        <v>46</v>
      </c>
      <c r="M159" s="1">
        <v>45324</v>
      </c>
      <c r="N159" t="s">
        <v>47</v>
      </c>
      <c r="O159" t="s">
        <v>48</v>
      </c>
      <c r="P159" t="s">
        <v>49</v>
      </c>
      <c r="Q159" t="s">
        <v>1646</v>
      </c>
      <c r="R159" t="s">
        <v>1647</v>
      </c>
      <c r="S159">
        <v>970</v>
      </c>
      <c r="T159" t="s">
        <v>52</v>
      </c>
      <c r="U159">
        <v>8</v>
      </c>
      <c r="V159" t="s">
        <v>1648</v>
      </c>
      <c r="W159" t="s">
        <v>54</v>
      </c>
      <c r="X159" t="s">
        <v>76</v>
      </c>
      <c r="Y159" t="s">
        <v>56</v>
      </c>
      <c r="Z159">
        <v>1040</v>
      </c>
      <c r="AA159">
        <v>44</v>
      </c>
      <c r="AB159">
        <v>189</v>
      </c>
      <c r="AC159" t="s">
        <v>1649</v>
      </c>
      <c r="AD159" t="s">
        <v>1650</v>
      </c>
      <c r="AE159" t="s">
        <v>1651</v>
      </c>
      <c r="AF159" t="s">
        <v>1652</v>
      </c>
      <c r="AG159" t="s">
        <v>1653</v>
      </c>
      <c r="AH159" t="s">
        <v>1654</v>
      </c>
      <c r="AJ159" s="2">
        <v>45580.983402777776</v>
      </c>
      <c r="AK159" t="s">
        <v>717</v>
      </c>
      <c r="AL159" t="s">
        <v>65</v>
      </c>
      <c r="AM159" s="3">
        <v>1.5451388888888888</v>
      </c>
      <c r="AN159" t="s">
        <v>66</v>
      </c>
      <c r="AO159" t="s">
        <v>101</v>
      </c>
    </row>
    <row r="160" spans="1:41" x14ac:dyDescent="0.2">
      <c r="A160">
        <v>369526</v>
      </c>
      <c r="B160" t="s">
        <v>1655</v>
      </c>
      <c r="C160" t="s">
        <v>182</v>
      </c>
      <c r="D160" t="s">
        <v>1656</v>
      </c>
      <c r="E160" t="s">
        <v>1657</v>
      </c>
      <c r="F160">
        <v>43211</v>
      </c>
      <c r="G160" s="1">
        <v>32509</v>
      </c>
      <c r="H160" s="1">
        <v>45736</v>
      </c>
      <c r="J160" t="s">
        <v>45</v>
      </c>
      <c r="K160" t="s">
        <v>72</v>
      </c>
      <c r="L160" t="s">
        <v>72</v>
      </c>
      <c r="M160" s="1">
        <v>37537</v>
      </c>
      <c r="N160" t="s">
        <v>47</v>
      </c>
      <c r="O160" t="s">
        <v>48</v>
      </c>
      <c r="P160" t="s">
        <v>49</v>
      </c>
      <c r="Q160" t="s">
        <v>1658</v>
      </c>
      <c r="R160" t="s">
        <v>1659</v>
      </c>
      <c r="S160">
        <v>2803</v>
      </c>
      <c r="T160" t="s">
        <v>92</v>
      </c>
      <c r="U160" t="s">
        <v>187</v>
      </c>
      <c r="V160" t="s">
        <v>447</v>
      </c>
      <c r="W160" t="s">
        <v>448</v>
      </c>
      <c r="X160" t="s">
        <v>92</v>
      </c>
      <c r="Y160" t="s">
        <v>450</v>
      </c>
      <c r="Z160">
        <v>1234</v>
      </c>
      <c r="AA160">
        <v>53</v>
      </c>
      <c r="AB160">
        <v>38</v>
      </c>
      <c r="AC160" t="s">
        <v>451</v>
      </c>
      <c r="AD160" t="s">
        <v>452</v>
      </c>
      <c r="AE160" t="s">
        <v>453</v>
      </c>
      <c r="AF160" t="s">
        <v>454</v>
      </c>
      <c r="AG160" t="s">
        <v>473</v>
      </c>
      <c r="AI160" t="s">
        <v>1660</v>
      </c>
      <c r="AJ160" s="2">
        <v>45743.631932870368</v>
      </c>
      <c r="AK160" t="s">
        <v>526</v>
      </c>
      <c r="AL160" t="s">
        <v>65</v>
      </c>
      <c r="AM160" s="4">
        <v>0.54861111111111116</v>
      </c>
      <c r="AN160" t="s">
        <v>66</v>
      </c>
      <c r="AO160" t="s">
        <v>67</v>
      </c>
    </row>
    <row r="161" spans="1:41" x14ac:dyDescent="0.2">
      <c r="A161">
        <v>368389</v>
      </c>
      <c r="B161" t="s">
        <v>1661</v>
      </c>
      <c r="C161" t="s">
        <v>182</v>
      </c>
      <c r="D161" t="s">
        <v>779</v>
      </c>
      <c r="E161" t="s">
        <v>1662</v>
      </c>
      <c r="F161">
        <v>45601</v>
      </c>
      <c r="G161" s="1">
        <v>43020</v>
      </c>
      <c r="H161" s="1">
        <v>45699</v>
      </c>
      <c r="I161" s="1">
        <v>46006</v>
      </c>
      <c r="J161" t="s">
        <v>45</v>
      </c>
      <c r="K161" t="s">
        <v>45</v>
      </c>
      <c r="L161" t="s">
        <v>46</v>
      </c>
      <c r="N161" t="s">
        <v>47</v>
      </c>
      <c r="O161" t="s">
        <v>48</v>
      </c>
      <c r="P161" t="s">
        <v>49</v>
      </c>
      <c r="Q161" t="s">
        <v>1663</v>
      </c>
      <c r="R161" t="s">
        <v>1664</v>
      </c>
      <c r="S161">
        <v>3607</v>
      </c>
      <c r="T161" t="s">
        <v>52</v>
      </c>
      <c r="U161">
        <v>5</v>
      </c>
      <c r="V161" t="s">
        <v>1665</v>
      </c>
      <c r="W161" t="s">
        <v>54</v>
      </c>
      <c r="X161" t="s">
        <v>493</v>
      </c>
      <c r="Y161" t="s">
        <v>434</v>
      </c>
      <c r="Z161">
        <v>9106</v>
      </c>
      <c r="AA161">
        <v>23</v>
      </c>
      <c r="AB161">
        <v>28</v>
      </c>
      <c r="AC161" t="s">
        <v>1666</v>
      </c>
      <c r="AD161" t="s">
        <v>1667</v>
      </c>
      <c r="AE161" t="s">
        <v>1668</v>
      </c>
      <c r="AF161" t="s">
        <v>1669</v>
      </c>
      <c r="AG161" t="s">
        <v>1670</v>
      </c>
      <c r="AH161" t="s">
        <v>1671</v>
      </c>
      <c r="AI161" t="s">
        <v>1672</v>
      </c>
      <c r="AJ161" s="2">
        <v>45708.868993055556</v>
      </c>
      <c r="AK161" t="s">
        <v>403</v>
      </c>
      <c r="AL161" t="s">
        <v>65</v>
      </c>
      <c r="AM161" s="4">
        <v>0.57638888888888884</v>
      </c>
      <c r="AN161" t="s">
        <v>66</v>
      </c>
      <c r="AO161" t="s">
        <v>67</v>
      </c>
    </row>
    <row r="162" spans="1:41" x14ac:dyDescent="0.2">
      <c r="A162">
        <v>370704</v>
      </c>
      <c r="B162" t="s">
        <v>1673</v>
      </c>
      <c r="C162" t="s">
        <v>86</v>
      </c>
      <c r="D162" t="s">
        <v>1674</v>
      </c>
      <c r="E162" t="s">
        <v>1675</v>
      </c>
      <c r="F162">
        <v>200504</v>
      </c>
      <c r="G162" s="1">
        <v>41941</v>
      </c>
      <c r="H162" s="1">
        <v>45778</v>
      </c>
      <c r="I162" s="1">
        <v>46113</v>
      </c>
      <c r="J162" t="s">
        <v>45</v>
      </c>
      <c r="K162" t="s">
        <v>45</v>
      </c>
      <c r="L162" t="s">
        <v>46</v>
      </c>
      <c r="M162" s="1">
        <v>44041</v>
      </c>
      <c r="N162" t="s">
        <v>47</v>
      </c>
      <c r="O162" t="s">
        <v>48</v>
      </c>
      <c r="P162" t="s">
        <v>49</v>
      </c>
      <c r="Q162" t="s">
        <v>1676</v>
      </c>
      <c r="R162" t="s">
        <v>1677</v>
      </c>
      <c r="S162">
        <v>1298</v>
      </c>
      <c r="T162" t="s">
        <v>52</v>
      </c>
      <c r="U162">
        <v>9</v>
      </c>
      <c r="V162" t="s">
        <v>1678</v>
      </c>
      <c r="W162" t="s">
        <v>54</v>
      </c>
      <c r="X162" t="s">
        <v>76</v>
      </c>
      <c r="Y162" t="s">
        <v>56</v>
      </c>
      <c r="Z162">
        <v>7207</v>
      </c>
      <c r="AA162">
        <v>24</v>
      </c>
      <c r="AB162">
        <v>97</v>
      </c>
      <c r="AC162" t="s">
        <v>1679</v>
      </c>
      <c r="AD162" t="s">
        <v>1680</v>
      </c>
      <c r="AE162" t="s">
        <v>1681</v>
      </c>
      <c r="AF162" t="s">
        <v>1682</v>
      </c>
      <c r="AG162" t="s">
        <v>1683</v>
      </c>
      <c r="AH162" t="s">
        <v>1684</v>
      </c>
      <c r="AI162" t="s">
        <v>1685</v>
      </c>
      <c r="AJ162" s="2">
        <v>45783.550613425927</v>
      </c>
      <c r="AK162" t="s">
        <v>540</v>
      </c>
      <c r="AL162" t="s">
        <v>65</v>
      </c>
      <c r="AM162" s="3">
        <v>1.3229166666666667</v>
      </c>
      <c r="AN162" t="s">
        <v>66</v>
      </c>
      <c r="AO162" t="s">
        <v>101</v>
      </c>
    </row>
    <row r="163" spans="1:41" x14ac:dyDescent="0.2">
      <c r="A163">
        <v>364483</v>
      </c>
      <c r="B163" t="s">
        <v>1686</v>
      </c>
      <c r="C163" t="s">
        <v>1687</v>
      </c>
      <c r="D163" t="s">
        <v>1050</v>
      </c>
      <c r="E163" t="s">
        <v>1688</v>
      </c>
      <c r="J163" t="s">
        <v>45</v>
      </c>
      <c r="K163" t="s">
        <v>45</v>
      </c>
      <c r="L163" t="s">
        <v>72</v>
      </c>
      <c r="N163" t="s">
        <v>89</v>
      </c>
      <c r="O163" t="s">
        <v>48</v>
      </c>
      <c r="P163" t="s">
        <v>49</v>
      </c>
      <c r="Q163" t="s">
        <v>1689</v>
      </c>
      <c r="R163" t="s">
        <v>1690</v>
      </c>
      <c r="S163">
        <v>2</v>
      </c>
      <c r="T163" t="s">
        <v>257</v>
      </c>
      <c r="U163" t="s">
        <v>1691</v>
      </c>
      <c r="V163" t="s">
        <v>1692</v>
      </c>
      <c r="W163" t="s">
        <v>260</v>
      </c>
      <c r="X163" t="s">
        <v>257</v>
      </c>
      <c r="Y163" t="s">
        <v>96</v>
      </c>
      <c r="Z163">
        <v>12284</v>
      </c>
      <c r="AA163">
        <v>3</v>
      </c>
      <c r="AB163">
        <v>15</v>
      </c>
      <c r="AC163" t="s">
        <v>1693</v>
      </c>
      <c r="AD163" t="s">
        <v>1694</v>
      </c>
      <c r="AE163" t="s">
        <v>1695</v>
      </c>
      <c r="AJ163" s="2">
        <v>45547.805393518516</v>
      </c>
      <c r="AK163" t="s">
        <v>100</v>
      </c>
      <c r="AL163" t="s">
        <v>65</v>
      </c>
      <c r="AM163" s="4">
        <v>0.73263888888888884</v>
      </c>
      <c r="AN163" t="s">
        <v>66</v>
      </c>
      <c r="AO163" t="s">
        <v>101</v>
      </c>
    </row>
    <row r="164" spans="1:41" x14ac:dyDescent="0.2">
      <c r="A164">
        <v>362283</v>
      </c>
      <c r="B164" t="s">
        <v>1696</v>
      </c>
      <c r="C164" t="s">
        <v>1687</v>
      </c>
      <c r="D164" t="s">
        <v>1050</v>
      </c>
      <c r="E164" t="s">
        <v>1697</v>
      </c>
      <c r="G164" s="1">
        <v>43691</v>
      </c>
      <c r="H164" s="1">
        <v>43696</v>
      </c>
      <c r="J164" t="s">
        <v>45</v>
      </c>
      <c r="K164" t="s">
        <v>45</v>
      </c>
      <c r="L164" t="s">
        <v>72</v>
      </c>
      <c r="N164" t="s">
        <v>89</v>
      </c>
      <c r="O164" t="s">
        <v>48</v>
      </c>
      <c r="P164" t="s">
        <v>49</v>
      </c>
      <c r="Q164" t="s">
        <v>1689</v>
      </c>
      <c r="R164" t="s">
        <v>1690</v>
      </c>
      <c r="S164">
        <v>2</v>
      </c>
      <c r="T164" t="s">
        <v>257</v>
      </c>
      <c r="U164" t="s">
        <v>1691</v>
      </c>
      <c r="W164" t="s">
        <v>260</v>
      </c>
      <c r="X164" t="s">
        <v>257</v>
      </c>
      <c r="Y164" t="s">
        <v>110</v>
      </c>
      <c r="Z164">
        <v>10366</v>
      </c>
      <c r="AA164">
        <v>11</v>
      </c>
      <c r="AB164">
        <v>160</v>
      </c>
      <c r="AC164" t="s">
        <v>1693</v>
      </c>
      <c r="AD164" t="s">
        <v>1694</v>
      </c>
      <c r="AE164" t="s">
        <v>1695</v>
      </c>
      <c r="AF164" t="s">
        <v>1698</v>
      </c>
      <c r="AG164" t="s">
        <v>1699</v>
      </c>
      <c r="AH164" t="s">
        <v>1700</v>
      </c>
      <c r="AJ164" s="2">
        <v>45482.703194444446</v>
      </c>
      <c r="AK164" t="s">
        <v>132</v>
      </c>
      <c r="AL164" t="s">
        <v>1168</v>
      </c>
      <c r="AM164" s="3">
        <v>1.3125</v>
      </c>
      <c r="AN164" t="s">
        <v>66</v>
      </c>
      <c r="AO164" t="s">
        <v>67</v>
      </c>
    </row>
    <row r="165" spans="1:41" x14ac:dyDescent="0.2">
      <c r="A165">
        <v>368676</v>
      </c>
      <c r="B165" t="s">
        <v>1701</v>
      </c>
      <c r="C165" t="s">
        <v>182</v>
      </c>
      <c r="D165" t="s">
        <v>1702</v>
      </c>
      <c r="E165" t="s">
        <v>1703</v>
      </c>
      <c r="F165">
        <v>42308</v>
      </c>
      <c r="G165" s="1">
        <v>35473</v>
      </c>
      <c r="H165" s="1">
        <v>45714</v>
      </c>
      <c r="I165" s="1">
        <v>46082</v>
      </c>
      <c r="J165" t="s">
        <v>45</v>
      </c>
      <c r="K165" t="s">
        <v>45</v>
      </c>
      <c r="L165" t="s">
        <v>429</v>
      </c>
      <c r="M165" s="1">
        <v>45001</v>
      </c>
      <c r="N165" t="s">
        <v>47</v>
      </c>
      <c r="O165" t="s">
        <v>48</v>
      </c>
      <c r="P165" t="s">
        <v>49</v>
      </c>
      <c r="Q165" t="s">
        <v>1704</v>
      </c>
      <c r="R165" t="s">
        <v>1705</v>
      </c>
      <c r="S165">
        <v>810</v>
      </c>
      <c r="T165" t="s">
        <v>257</v>
      </c>
      <c r="U165" t="s">
        <v>640</v>
      </c>
      <c r="V165" t="s">
        <v>1706</v>
      </c>
      <c r="W165" t="s">
        <v>260</v>
      </c>
      <c r="X165" t="s">
        <v>493</v>
      </c>
      <c r="Y165" t="s">
        <v>56</v>
      </c>
      <c r="Z165">
        <v>1246</v>
      </c>
      <c r="AA165">
        <v>63</v>
      </c>
      <c r="AB165">
        <v>78</v>
      </c>
      <c r="AC165" t="s">
        <v>1707</v>
      </c>
      <c r="AD165" t="s">
        <v>1708</v>
      </c>
      <c r="AE165" t="s">
        <v>1709</v>
      </c>
      <c r="AF165" t="s">
        <v>1710</v>
      </c>
      <c r="AG165" t="s">
        <v>1711</v>
      </c>
      <c r="AH165" t="s">
        <v>1712</v>
      </c>
      <c r="AI165" t="s">
        <v>1708</v>
      </c>
      <c r="AJ165" s="2">
        <v>45719.829965277779</v>
      </c>
      <c r="AK165" t="s">
        <v>501</v>
      </c>
      <c r="AL165" t="s">
        <v>65</v>
      </c>
      <c r="AM165" s="4">
        <v>0.46527777777777779</v>
      </c>
      <c r="AN165" t="s">
        <v>66</v>
      </c>
      <c r="AO165" t="s">
        <v>67</v>
      </c>
    </row>
    <row r="166" spans="1:41" x14ac:dyDescent="0.2">
      <c r="A166">
        <v>361758</v>
      </c>
      <c r="B166" t="s">
        <v>1713</v>
      </c>
      <c r="C166" t="s">
        <v>763</v>
      </c>
      <c r="D166" t="s">
        <v>1714</v>
      </c>
      <c r="E166">
        <v>53704070</v>
      </c>
      <c r="F166">
        <v>470202</v>
      </c>
      <c r="G166" s="1">
        <v>38520</v>
      </c>
      <c r="H166" s="1">
        <v>45450</v>
      </c>
      <c r="J166" t="s">
        <v>45</v>
      </c>
      <c r="K166" t="s">
        <v>45</v>
      </c>
      <c r="L166" t="s">
        <v>72</v>
      </c>
      <c r="N166" t="s">
        <v>47</v>
      </c>
      <c r="O166" t="s">
        <v>48</v>
      </c>
      <c r="P166" t="s">
        <v>49</v>
      </c>
      <c r="Q166" t="s">
        <v>1715</v>
      </c>
      <c r="R166" t="s">
        <v>1716</v>
      </c>
      <c r="S166">
        <v>1210</v>
      </c>
      <c r="T166" t="s">
        <v>92</v>
      </c>
      <c r="U166" t="s">
        <v>767</v>
      </c>
      <c r="V166" t="s">
        <v>768</v>
      </c>
      <c r="W166" t="s">
        <v>769</v>
      </c>
      <c r="X166" t="s">
        <v>92</v>
      </c>
      <c r="Y166" t="s">
        <v>770</v>
      </c>
      <c r="Z166">
        <v>2630</v>
      </c>
      <c r="AA166">
        <v>38</v>
      </c>
      <c r="AB166">
        <v>152</v>
      </c>
      <c r="AC166" t="s">
        <v>1717</v>
      </c>
      <c r="AD166" t="s">
        <v>1718</v>
      </c>
      <c r="AE166" t="s">
        <v>1719</v>
      </c>
      <c r="AF166" t="s">
        <v>774</v>
      </c>
      <c r="AG166" t="s">
        <v>775</v>
      </c>
      <c r="AH166" t="s">
        <v>776</v>
      </c>
      <c r="AI166" t="s">
        <v>1720</v>
      </c>
      <c r="AJ166" s="2">
        <v>45464.616701388892</v>
      </c>
      <c r="AK166" t="s">
        <v>1721</v>
      </c>
      <c r="AL166" t="s">
        <v>65</v>
      </c>
      <c r="AM166" s="4">
        <v>0.25694444444444442</v>
      </c>
      <c r="AN166" t="s">
        <v>66</v>
      </c>
      <c r="AO166" t="s">
        <v>67</v>
      </c>
    </row>
    <row r="167" spans="1:41" x14ac:dyDescent="0.2">
      <c r="A167">
        <v>370322</v>
      </c>
      <c r="B167" t="s">
        <v>1722</v>
      </c>
      <c r="C167" t="s">
        <v>662</v>
      </c>
      <c r="D167" t="s">
        <v>1723</v>
      </c>
      <c r="E167" t="s">
        <v>1724</v>
      </c>
      <c r="F167">
        <v>417701</v>
      </c>
      <c r="G167" s="1">
        <v>37741</v>
      </c>
      <c r="H167" s="1">
        <v>45757</v>
      </c>
      <c r="I167" s="1">
        <v>46127</v>
      </c>
      <c r="J167" t="s">
        <v>45</v>
      </c>
      <c r="K167" t="s">
        <v>45</v>
      </c>
      <c r="L167" t="s">
        <v>72</v>
      </c>
      <c r="M167" s="1">
        <v>45190</v>
      </c>
      <c r="N167" t="s">
        <v>47</v>
      </c>
      <c r="O167" t="s">
        <v>48</v>
      </c>
      <c r="P167" t="s">
        <v>49</v>
      </c>
      <c r="Q167" t="s">
        <v>1725</v>
      </c>
      <c r="R167" t="s">
        <v>1726</v>
      </c>
      <c r="S167">
        <v>2562</v>
      </c>
      <c r="T167" t="s">
        <v>92</v>
      </c>
      <c r="U167" t="s">
        <v>1197</v>
      </c>
      <c r="V167" t="s">
        <v>1198</v>
      </c>
      <c r="W167" t="s">
        <v>1199</v>
      </c>
      <c r="X167" t="s">
        <v>52</v>
      </c>
      <c r="Y167" t="s">
        <v>110</v>
      </c>
      <c r="Z167">
        <v>2088</v>
      </c>
      <c r="AA167">
        <v>45</v>
      </c>
      <c r="AB167">
        <v>158</v>
      </c>
      <c r="AC167" t="s">
        <v>1200</v>
      </c>
      <c r="AD167" t="s">
        <v>1201</v>
      </c>
      <c r="AE167" t="s">
        <v>1202</v>
      </c>
      <c r="AF167" t="s">
        <v>1727</v>
      </c>
      <c r="AG167" t="s">
        <v>1728</v>
      </c>
      <c r="AH167" t="s">
        <v>1729</v>
      </c>
      <c r="AJ167" s="2">
        <v>45770.721712962964</v>
      </c>
      <c r="AK167" t="s">
        <v>660</v>
      </c>
      <c r="AL167" t="s">
        <v>65</v>
      </c>
      <c r="AM167" s="4">
        <v>0.34722222222222221</v>
      </c>
      <c r="AN167" t="s">
        <v>66</v>
      </c>
      <c r="AO167" t="s">
        <v>67</v>
      </c>
    </row>
    <row r="168" spans="1:41" x14ac:dyDescent="0.2">
      <c r="A168">
        <v>371100</v>
      </c>
      <c r="B168" t="s">
        <v>1730</v>
      </c>
      <c r="C168" t="s">
        <v>182</v>
      </c>
      <c r="D168" t="s">
        <v>1616</v>
      </c>
      <c r="E168" t="s">
        <v>1731</v>
      </c>
      <c r="F168">
        <v>42616</v>
      </c>
      <c r="G168" s="1">
        <v>40745</v>
      </c>
      <c r="H168" s="1">
        <v>45793</v>
      </c>
      <c r="I168" s="1">
        <v>46096</v>
      </c>
      <c r="J168" t="s">
        <v>45</v>
      </c>
      <c r="K168" t="s">
        <v>326</v>
      </c>
      <c r="L168" t="s">
        <v>46</v>
      </c>
      <c r="M168" s="1">
        <v>45057</v>
      </c>
      <c r="N168" t="s">
        <v>47</v>
      </c>
      <c r="O168" t="s">
        <v>48</v>
      </c>
      <c r="P168" t="s">
        <v>49</v>
      </c>
      <c r="Q168" t="s">
        <v>1732</v>
      </c>
      <c r="R168" t="s">
        <v>1733</v>
      </c>
      <c r="S168">
        <v>6336</v>
      </c>
      <c r="T168" t="s">
        <v>52</v>
      </c>
      <c r="U168">
        <v>5</v>
      </c>
      <c r="V168" t="s">
        <v>1734</v>
      </c>
      <c r="W168" t="s">
        <v>54</v>
      </c>
      <c r="X168" t="s">
        <v>493</v>
      </c>
      <c r="Y168" t="s">
        <v>434</v>
      </c>
      <c r="Z168">
        <v>4826</v>
      </c>
      <c r="AA168">
        <v>25</v>
      </c>
      <c r="AB168">
        <v>204</v>
      </c>
      <c r="AC168" t="s">
        <v>1735</v>
      </c>
      <c r="AD168" t="s">
        <v>1736</v>
      </c>
      <c r="AE168" t="s">
        <v>1737</v>
      </c>
      <c r="AF168" t="s">
        <v>1738</v>
      </c>
      <c r="AG168" t="s">
        <v>1739</v>
      </c>
      <c r="AI168" t="s">
        <v>500</v>
      </c>
      <c r="AJ168" s="2">
        <v>45796.645740740743</v>
      </c>
      <c r="AK168" t="s">
        <v>1740</v>
      </c>
      <c r="AL168" t="s">
        <v>65</v>
      </c>
      <c r="AM168" t="s">
        <v>1741</v>
      </c>
      <c r="AN168" t="s">
        <v>66</v>
      </c>
      <c r="AO168" t="s">
        <v>67</v>
      </c>
    </row>
    <row r="169" spans="1:41" x14ac:dyDescent="0.2">
      <c r="A169">
        <v>372127</v>
      </c>
      <c r="B169" t="s">
        <v>1742</v>
      </c>
      <c r="C169" t="s">
        <v>558</v>
      </c>
      <c r="D169" t="s">
        <v>1743</v>
      </c>
      <c r="E169">
        <v>32578578</v>
      </c>
      <c r="F169">
        <v>260111</v>
      </c>
      <c r="G169" s="1">
        <v>33521</v>
      </c>
      <c r="H169" s="1">
        <v>45825</v>
      </c>
      <c r="I169" s="1">
        <v>45931</v>
      </c>
      <c r="J169" t="s">
        <v>45</v>
      </c>
      <c r="K169" t="s">
        <v>45</v>
      </c>
      <c r="L169" t="s">
        <v>429</v>
      </c>
      <c r="M169" s="1">
        <v>43045</v>
      </c>
      <c r="N169" t="s">
        <v>47</v>
      </c>
      <c r="O169" t="s">
        <v>48</v>
      </c>
      <c r="P169" t="s">
        <v>49</v>
      </c>
      <c r="Q169" t="s">
        <v>1744</v>
      </c>
      <c r="R169" t="s">
        <v>1745</v>
      </c>
      <c r="S169">
        <v>5731</v>
      </c>
      <c r="T169" t="s">
        <v>365</v>
      </c>
      <c r="U169" t="s">
        <v>562</v>
      </c>
      <c r="V169" t="s">
        <v>1746</v>
      </c>
      <c r="W169" t="s">
        <v>367</v>
      </c>
      <c r="X169" t="s">
        <v>493</v>
      </c>
      <c r="Y169" t="s">
        <v>434</v>
      </c>
      <c r="Z169">
        <v>104</v>
      </c>
      <c r="AA169">
        <v>58</v>
      </c>
      <c r="AB169">
        <v>66</v>
      </c>
      <c r="AC169" t="s">
        <v>1747</v>
      </c>
      <c r="AD169" t="s">
        <v>1748</v>
      </c>
      <c r="AE169" t="s">
        <v>1749</v>
      </c>
      <c r="AI169" t="s">
        <v>500</v>
      </c>
      <c r="AJ169" s="2">
        <v>45831.885000000002</v>
      </c>
      <c r="AK169" t="s">
        <v>1740</v>
      </c>
      <c r="AL169" t="s">
        <v>65</v>
      </c>
      <c r="AM169" s="3">
        <v>2.4791666666666665</v>
      </c>
      <c r="AN169" t="s">
        <v>66</v>
      </c>
      <c r="AO169" t="s">
        <v>67</v>
      </c>
    </row>
    <row r="170" spans="1:41" x14ac:dyDescent="0.2">
      <c r="A170">
        <v>370085</v>
      </c>
      <c r="B170" t="s">
        <v>1750</v>
      </c>
      <c r="C170" t="s">
        <v>182</v>
      </c>
      <c r="D170" t="s">
        <v>610</v>
      </c>
      <c r="E170" t="s">
        <v>1751</v>
      </c>
      <c r="G170" s="1">
        <v>40080</v>
      </c>
      <c r="H170" s="1">
        <v>45756</v>
      </c>
      <c r="J170" t="s">
        <v>45</v>
      </c>
      <c r="K170" t="s">
        <v>45</v>
      </c>
      <c r="L170" t="s">
        <v>72</v>
      </c>
      <c r="N170" t="s">
        <v>47</v>
      </c>
      <c r="O170" t="s">
        <v>48</v>
      </c>
      <c r="P170" t="s">
        <v>1752</v>
      </c>
      <c r="Q170" t="s">
        <v>1753</v>
      </c>
      <c r="R170" t="s">
        <v>1754</v>
      </c>
      <c r="S170">
        <v>2395</v>
      </c>
      <c r="T170" t="s">
        <v>449</v>
      </c>
      <c r="U170" t="s">
        <v>187</v>
      </c>
      <c r="V170" t="s">
        <v>520</v>
      </c>
      <c r="W170" t="s">
        <v>521</v>
      </c>
      <c r="X170" t="s">
        <v>449</v>
      </c>
      <c r="Y170" t="s">
        <v>450</v>
      </c>
      <c r="Z170">
        <v>3089</v>
      </c>
      <c r="AA170">
        <v>23</v>
      </c>
      <c r="AB170">
        <v>52</v>
      </c>
      <c r="AC170" t="s">
        <v>522</v>
      </c>
      <c r="AD170" t="s">
        <v>523</v>
      </c>
      <c r="AE170" t="s">
        <v>524</v>
      </c>
      <c r="AI170" t="s">
        <v>523</v>
      </c>
      <c r="AJ170" s="2">
        <v>45763.557708333334</v>
      </c>
      <c r="AK170" t="s">
        <v>526</v>
      </c>
      <c r="AL170" t="s">
        <v>65</v>
      </c>
      <c r="AM170" s="3">
        <v>2.0833333333333335</v>
      </c>
      <c r="AN170" t="s">
        <v>66</v>
      </c>
      <c r="AO170" t="s">
        <v>67</v>
      </c>
    </row>
    <row r="171" spans="1:41" x14ac:dyDescent="0.2">
      <c r="A171">
        <v>371658</v>
      </c>
      <c r="B171" t="s">
        <v>1755</v>
      </c>
      <c r="C171" t="s">
        <v>42</v>
      </c>
      <c r="D171" t="s">
        <v>1756</v>
      </c>
      <c r="E171">
        <v>32881572</v>
      </c>
      <c r="F171">
        <v>291002</v>
      </c>
      <c r="G171" s="1">
        <v>45588</v>
      </c>
      <c r="H171" s="1">
        <v>45811</v>
      </c>
      <c r="I171" s="1">
        <v>46143</v>
      </c>
      <c r="J171" t="s">
        <v>45</v>
      </c>
      <c r="K171" t="s">
        <v>45</v>
      </c>
      <c r="L171" t="s">
        <v>46</v>
      </c>
      <c r="M171" s="1">
        <v>44833</v>
      </c>
      <c r="N171" t="s">
        <v>47</v>
      </c>
      <c r="O171" t="s">
        <v>48</v>
      </c>
      <c r="P171" t="s">
        <v>49</v>
      </c>
      <c r="Q171" t="s">
        <v>1757</v>
      </c>
      <c r="R171" t="s">
        <v>1758</v>
      </c>
      <c r="S171">
        <v>9192</v>
      </c>
      <c r="T171" t="s">
        <v>52</v>
      </c>
      <c r="U171">
        <v>3</v>
      </c>
      <c r="V171" t="s">
        <v>1759</v>
      </c>
      <c r="W171" t="s">
        <v>54</v>
      </c>
      <c r="X171" t="s">
        <v>55</v>
      </c>
      <c r="Y171" t="s">
        <v>56</v>
      </c>
      <c r="Z171">
        <v>2499</v>
      </c>
      <c r="AA171">
        <v>46</v>
      </c>
      <c r="AB171">
        <v>174</v>
      </c>
      <c r="AC171" t="s">
        <v>1760</v>
      </c>
      <c r="AD171" t="s">
        <v>1761</v>
      </c>
      <c r="AE171" t="s">
        <v>1762</v>
      </c>
      <c r="AF171" t="s">
        <v>1763</v>
      </c>
      <c r="AG171" t="s">
        <v>1764</v>
      </c>
      <c r="AH171" t="s">
        <v>1765</v>
      </c>
      <c r="AI171" t="s">
        <v>1766</v>
      </c>
      <c r="AJ171" s="2">
        <v>45817.849166666667</v>
      </c>
      <c r="AK171" t="s">
        <v>609</v>
      </c>
      <c r="AL171" t="s">
        <v>65</v>
      </c>
      <c r="AM171" s="4">
        <v>0.1736111111111111</v>
      </c>
      <c r="AN171" t="s">
        <v>66</v>
      </c>
      <c r="AO171" t="s">
        <v>67</v>
      </c>
    </row>
    <row r="172" spans="1:41" x14ac:dyDescent="0.2">
      <c r="A172">
        <v>370887</v>
      </c>
      <c r="B172" t="s">
        <v>1767</v>
      </c>
      <c r="C172" t="s">
        <v>86</v>
      </c>
      <c r="D172" t="s">
        <v>1768</v>
      </c>
      <c r="E172" t="s">
        <v>1769</v>
      </c>
      <c r="F172">
        <v>203001</v>
      </c>
      <c r="G172" s="1">
        <v>40686</v>
      </c>
      <c r="H172" s="1">
        <v>45764</v>
      </c>
      <c r="I172" s="1">
        <v>46143</v>
      </c>
      <c r="J172" t="s">
        <v>45</v>
      </c>
      <c r="K172" t="s">
        <v>45</v>
      </c>
      <c r="L172" t="s">
        <v>72</v>
      </c>
      <c r="M172" s="1">
        <v>45775</v>
      </c>
      <c r="N172" t="s">
        <v>47</v>
      </c>
      <c r="O172" t="s">
        <v>48</v>
      </c>
      <c r="P172" t="s">
        <v>49</v>
      </c>
      <c r="Q172" t="s">
        <v>1770</v>
      </c>
      <c r="R172" t="s">
        <v>1771</v>
      </c>
      <c r="S172">
        <v>833</v>
      </c>
      <c r="T172" t="s">
        <v>92</v>
      </c>
      <c r="U172" t="s">
        <v>93</v>
      </c>
      <c r="V172" t="s">
        <v>506</v>
      </c>
      <c r="W172" t="s">
        <v>507</v>
      </c>
      <c r="X172" t="s">
        <v>92</v>
      </c>
      <c r="Y172" t="s">
        <v>110</v>
      </c>
      <c r="Z172">
        <v>4466</v>
      </c>
      <c r="AA172">
        <v>26</v>
      </c>
      <c r="AB172">
        <v>210</v>
      </c>
      <c r="AC172" t="s">
        <v>508</v>
      </c>
      <c r="AD172" t="s">
        <v>509</v>
      </c>
      <c r="AE172" t="s">
        <v>510</v>
      </c>
      <c r="AF172" t="s">
        <v>1772</v>
      </c>
      <c r="AG172" t="s">
        <v>1773</v>
      </c>
      <c r="AH172" t="s">
        <v>1774</v>
      </c>
      <c r="AI172" t="s">
        <v>1775</v>
      </c>
      <c r="AJ172" s="2">
        <v>45788.772881944446</v>
      </c>
      <c r="AK172" t="s">
        <v>508</v>
      </c>
      <c r="AL172" t="s">
        <v>65</v>
      </c>
      <c r="AM172" s="3">
        <v>1.9166666666666667</v>
      </c>
      <c r="AN172" t="s">
        <v>66</v>
      </c>
      <c r="AO172" t="s">
        <v>67</v>
      </c>
    </row>
    <row r="173" spans="1:41" x14ac:dyDescent="0.2">
      <c r="A173">
        <v>371286</v>
      </c>
      <c r="B173" t="s">
        <v>1776</v>
      </c>
      <c r="C173" t="s">
        <v>167</v>
      </c>
      <c r="D173" t="s">
        <v>570</v>
      </c>
      <c r="E173" t="s">
        <v>1777</v>
      </c>
      <c r="F173">
        <v>353520</v>
      </c>
      <c r="G173" s="1">
        <v>33086</v>
      </c>
      <c r="H173" s="1">
        <v>45797</v>
      </c>
      <c r="I173" s="1">
        <v>46157</v>
      </c>
      <c r="J173" t="s">
        <v>45</v>
      </c>
      <c r="K173" t="s">
        <v>45</v>
      </c>
      <c r="L173" t="s">
        <v>429</v>
      </c>
      <c r="M173" s="1">
        <v>41892</v>
      </c>
      <c r="N173" t="s">
        <v>47</v>
      </c>
      <c r="O173" t="s">
        <v>48</v>
      </c>
      <c r="P173" t="s">
        <v>49</v>
      </c>
      <c r="Q173" t="s">
        <v>1778</v>
      </c>
      <c r="R173" t="s">
        <v>1779</v>
      </c>
      <c r="S173">
        <v>5080</v>
      </c>
      <c r="T173" t="s">
        <v>365</v>
      </c>
      <c r="U173" t="s">
        <v>532</v>
      </c>
      <c r="V173" t="s">
        <v>1611</v>
      </c>
      <c r="W173" t="s">
        <v>367</v>
      </c>
      <c r="X173" t="s">
        <v>76</v>
      </c>
      <c r="Y173" t="s">
        <v>434</v>
      </c>
      <c r="Z173">
        <v>289</v>
      </c>
      <c r="AA173">
        <v>58</v>
      </c>
      <c r="AB173">
        <v>158</v>
      </c>
      <c r="AC173" t="s">
        <v>1780</v>
      </c>
      <c r="AD173" t="s">
        <v>576</v>
      </c>
      <c r="AE173" t="s">
        <v>577</v>
      </c>
      <c r="AF173" t="s">
        <v>1612</v>
      </c>
      <c r="AG173" t="s">
        <v>1613</v>
      </c>
      <c r="AI173" t="s">
        <v>179</v>
      </c>
      <c r="AJ173" s="2">
        <v>45804.673263888886</v>
      </c>
      <c r="AK173" t="s">
        <v>568</v>
      </c>
      <c r="AL173" t="s">
        <v>65</v>
      </c>
      <c r="AM173" s="3">
        <v>2.0694444444444446</v>
      </c>
      <c r="AN173" t="s">
        <v>66</v>
      </c>
      <c r="AO173" t="s">
        <v>67</v>
      </c>
    </row>
    <row r="174" spans="1:41" x14ac:dyDescent="0.2">
      <c r="A174">
        <v>371913</v>
      </c>
      <c r="B174" t="s">
        <v>1781</v>
      </c>
      <c r="C174" t="s">
        <v>662</v>
      </c>
      <c r="D174" t="s">
        <v>1782</v>
      </c>
      <c r="E174" t="s">
        <v>1783</v>
      </c>
      <c r="F174">
        <v>415501</v>
      </c>
      <c r="G174" s="1">
        <v>37735</v>
      </c>
      <c r="H174" s="1">
        <v>45749</v>
      </c>
      <c r="I174" s="1">
        <v>46127</v>
      </c>
      <c r="J174" t="s">
        <v>45</v>
      </c>
      <c r="K174" t="s">
        <v>45</v>
      </c>
      <c r="L174" t="s">
        <v>72</v>
      </c>
      <c r="M174" s="1">
        <v>42923</v>
      </c>
      <c r="N174" t="s">
        <v>47</v>
      </c>
      <c r="O174" t="s">
        <v>48</v>
      </c>
      <c r="P174" t="s">
        <v>49</v>
      </c>
      <c r="Q174" t="s">
        <v>1784</v>
      </c>
      <c r="R174" t="s">
        <v>1785</v>
      </c>
      <c r="S174">
        <v>383</v>
      </c>
      <c r="T174" t="s">
        <v>92</v>
      </c>
      <c r="U174" t="s">
        <v>1197</v>
      </c>
      <c r="V174" t="s">
        <v>1198</v>
      </c>
      <c r="W174" t="s">
        <v>1199</v>
      </c>
      <c r="X174" t="s">
        <v>52</v>
      </c>
      <c r="Y174" t="s">
        <v>110</v>
      </c>
      <c r="Z174">
        <v>2383</v>
      </c>
      <c r="AA174">
        <v>37</v>
      </c>
      <c r="AB174">
        <v>158</v>
      </c>
      <c r="AC174" t="s">
        <v>1200</v>
      </c>
      <c r="AD174" t="s">
        <v>1201</v>
      </c>
      <c r="AE174" t="s">
        <v>1202</v>
      </c>
      <c r="AF174" t="s">
        <v>1786</v>
      </c>
      <c r="AG174" t="s">
        <v>1787</v>
      </c>
      <c r="AH174" t="s">
        <v>1788</v>
      </c>
      <c r="AJ174" s="2">
        <v>45824.81931712963</v>
      </c>
      <c r="AK174" t="s">
        <v>1200</v>
      </c>
      <c r="AL174" t="s">
        <v>65</v>
      </c>
      <c r="AM174" s="4">
        <v>0.34027777777777779</v>
      </c>
      <c r="AN174" t="s">
        <v>66</v>
      </c>
      <c r="AO174" t="s">
        <v>67</v>
      </c>
    </row>
    <row r="175" spans="1:41" x14ac:dyDescent="0.2">
      <c r="A175">
        <v>367939</v>
      </c>
      <c r="B175" t="s">
        <v>1789</v>
      </c>
      <c r="C175" t="s">
        <v>662</v>
      </c>
      <c r="D175" t="s">
        <v>1782</v>
      </c>
      <c r="E175" t="s">
        <v>1790</v>
      </c>
      <c r="H175" s="1">
        <v>45687</v>
      </c>
      <c r="J175" t="s">
        <v>45</v>
      </c>
      <c r="K175" t="s">
        <v>45</v>
      </c>
      <c r="L175" t="s">
        <v>72</v>
      </c>
      <c r="N175" t="s">
        <v>89</v>
      </c>
      <c r="O175" t="s">
        <v>121</v>
      </c>
      <c r="P175" t="s">
        <v>49</v>
      </c>
      <c r="T175" t="s">
        <v>92</v>
      </c>
      <c r="U175" t="s">
        <v>1197</v>
      </c>
      <c r="V175" t="s">
        <v>1791</v>
      </c>
      <c r="W175" t="s">
        <v>1792</v>
      </c>
      <c r="X175" t="s">
        <v>92</v>
      </c>
      <c r="Y175" t="s">
        <v>450</v>
      </c>
      <c r="Z175">
        <v>9366</v>
      </c>
      <c r="AA175">
        <v>11</v>
      </c>
      <c r="AB175">
        <v>28</v>
      </c>
      <c r="AC175" t="s">
        <v>1793</v>
      </c>
      <c r="AD175" t="s">
        <v>1794</v>
      </c>
      <c r="AE175" t="s">
        <v>1795</v>
      </c>
      <c r="AF175" t="s">
        <v>1796</v>
      </c>
      <c r="AG175" t="s">
        <v>1797</v>
      </c>
      <c r="AH175" t="s">
        <v>1798</v>
      </c>
      <c r="AJ175" s="2">
        <v>45693.84542824074</v>
      </c>
      <c r="AK175" t="s">
        <v>526</v>
      </c>
      <c r="AL175" t="s">
        <v>65</v>
      </c>
      <c r="AM175" s="3">
        <v>1.6736111111111112</v>
      </c>
      <c r="AN175" t="s">
        <v>66</v>
      </c>
      <c r="AO175" t="s">
        <v>67</v>
      </c>
    </row>
    <row r="176" spans="1:41" x14ac:dyDescent="0.2">
      <c r="A176">
        <v>369487</v>
      </c>
      <c r="B176" t="s">
        <v>1799</v>
      </c>
      <c r="C176" t="s">
        <v>42</v>
      </c>
      <c r="D176" t="s">
        <v>1800</v>
      </c>
      <c r="E176" t="s">
        <v>1801</v>
      </c>
      <c r="F176">
        <v>293101</v>
      </c>
      <c r="G176" s="1">
        <v>35490</v>
      </c>
      <c r="H176" s="1">
        <v>45686</v>
      </c>
      <c r="I176" s="1">
        <v>46006</v>
      </c>
      <c r="J176" t="s">
        <v>45</v>
      </c>
      <c r="K176" t="s">
        <v>45</v>
      </c>
      <c r="L176" t="s">
        <v>72</v>
      </c>
      <c r="M176" s="1">
        <v>43363</v>
      </c>
      <c r="N176" t="s">
        <v>47</v>
      </c>
      <c r="O176" t="s">
        <v>48</v>
      </c>
      <c r="P176" t="s">
        <v>49</v>
      </c>
      <c r="Q176" t="s">
        <v>1802</v>
      </c>
      <c r="R176" t="s">
        <v>1803</v>
      </c>
      <c r="S176">
        <v>4425</v>
      </c>
      <c r="T176" t="s">
        <v>257</v>
      </c>
      <c r="U176" t="s">
        <v>283</v>
      </c>
      <c r="V176" t="s">
        <v>1804</v>
      </c>
      <c r="W176" t="s">
        <v>260</v>
      </c>
      <c r="X176" t="s">
        <v>257</v>
      </c>
      <c r="Y176" t="s">
        <v>110</v>
      </c>
      <c r="Z176">
        <v>1287</v>
      </c>
      <c r="AA176">
        <v>53</v>
      </c>
      <c r="AB176">
        <v>66</v>
      </c>
      <c r="AC176" t="s">
        <v>1805</v>
      </c>
      <c r="AD176" t="s">
        <v>1806</v>
      </c>
      <c r="AE176" t="s">
        <v>1807</v>
      </c>
      <c r="AF176" t="s">
        <v>1808</v>
      </c>
      <c r="AG176" t="s">
        <v>1809</v>
      </c>
      <c r="AH176" t="s">
        <v>1810</v>
      </c>
      <c r="AJ176" s="2">
        <v>45742.608449074076</v>
      </c>
      <c r="AK176" t="s">
        <v>1811</v>
      </c>
      <c r="AL176" t="s">
        <v>65</v>
      </c>
      <c r="AM176" s="3">
        <v>2.1875</v>
      </c>
      <c r="AN176" t="s">
        <v>66</v>
      </c>
      <c r="AO176" t="s">
        <v>67</v>
      </c>
    </row>
    <row r="177" spans="1:41" x14ac:dyDescent="0.2">
      <c r="A177">
        <v>369196</v>
      </c>
      <c r="B177" t="s">
        <v>1812</v>
      </c>
      <c r="C177" t="s">
        <v>182</v>
      </c>
      <c r="D177" t="s">
        <v>1813</v>
      </c>
      <c r="E177" t="s">
        <v>1814</v>
      </c>
      <c r="F177">
        <v>44207</v>
      </c>
      <c r="G177" s="1">
        <v>36433</v>
      </c>
      <c r="H177" s="1">
        <v>45727</v>
      </c>
      <c r="I177" s="1">
        <v>46096</v>
      </c>
      <c r="J177" t="s">
        <v>45</v>
      </c>
      <c r="K177" t="s">
        <v>45</v>
      </c>
      <c r="L177" t="s">
        <v>429</v>
      </c>
      <c r="M177" s="1">
        <v>43151</v>
      </c>
      <c r="N177" t="s">
        <v>47</v>
      </c>
      <c r="O177" t="s">
        <v>48</v>
      </c>
      <c r="P177" t="s">
        <v>49</v>
      </c>
      <c r="Q177" t="s">
        <v>1815</v>
      </c>
      <c r="R177" t="s">
        <v>1816</v>
      </c>
      <c r="S177">
        <v>3176</v>
      </c>
      <c r="T177" t="s">
        <v>52</v>
      </c>
      <c r="U177">
        <v>5</v>
      </c>
      <c r="V177" t="s">
        <v>1817</v>
      </c>
      <c r="W177" t="s">
        <v>54</v>
      </c>
      <c r="X177" t="s">
        <v>493</v>
      </c>
      <c r="Y177" t="s">
        <v>434</v>
      </c>
      <c r="Z177">
        <v>1626</v>
      </c>
      <c r="AA177">
        <v>87</v>
      </c>
      <c r="AB177">
        <v>144</v>
      </c>
      <c r="AC177" t="s">
        <v>1818</v>
      </c>
      <c r="AD177" t="s">
        <v>1819</v>
      </c>
      <c r="AE177" t="s">
        <v>1820</v>
      </c>
      <c r="AF177" t="s">
        <v>1821</v>
      </c>
      <c r="AG177" t="s">
        <v>1822</v>
      </c>
      <c r="AH177" t="s">
        <v>1823</v>
      </c>
      <c r="AI177" t="s">
        <v>500</v>
      </c>
      <c r="AJ177" s="2">
        <v>45728.960428240738</v>
      </c>
      <c r="AK177" t="s">
        <v>1472</v>
      </c>
      <c r="AL177" t="s">
        <v>65</v>
      </c>
      <c r="AM177" s="3">
        <v>2</v>
      </c>
      <c r="AN177" t="s">
        <v>66</v>
      </c>
      <c r="AO177" t="s">
        <v>67</v>
      </c>
    </row>
    <row r="178" spans="1:41" x14ac:dyDescent="0.2">
      <c r="A178">
        <v>364601</v>
      </c>
      <c r="B178" t="s">
        <v>1824</v>
      </c>
      <c r="C178" t="s">
        <v>735</v>
      </c>
      <c r="D178" t="s">
        <v>1825</v>
      </c>
      <c r="E178" t="s">
        <v>1826</v>
      </c>
      <c r="F178">
        <v>244608</v>
      </c>
      <c r="G178" s="1">
        <v>45512</v>
      </c>
      <c r="H178" s="1">
        <v>45506</v>
      </c>
      <c r="I178" s="1">
        <v>46235</v>
      </c>
      <c r="J178" t="s">
        <v>45</v>
      </c>
      <c r="K178" t="s">
        <v>45</v>
      </c>
      <c r="L178" t="s">
        <v>46</v>
      </c>
      <c r="N178" t="s">
        <v>47</v>
      </c>
      <c r="O178" t="s">
        <v>48</v>
      </c>
      <c r="P178" t="s">
        <v>49</v>
      </c>
      <c r="Q178" t="s">
        <v>1827</v>
      </c>
      <c r="R178" t="s">
        <v>1828</v>
      </c>
      <c r="S178">
        <v>6805</v>
      </c>
      <c r="T178" t="s">
        <v>52</v>
      </c>
      <c r="U178">
        <v>1</v>
      </c>
      <c r="V178" t="s">
        <v>1122</v>
      </c>
      <c r="W178" t="s">
        <v>54</v>
      </c>
      <c r="X178" t="s">
        <v>76</v>
      </c>
      <c r="Y178" t="s">
        <v>56</v>
      </c>
      <c r="Z178">
        <v>12224</v>
      </c>
      <c r="AA178">
        <v>7</v>
      </c>
      <c r="AB178">
        <v>210</v>
      </c>
      <c r="AC178" t="s">
        <v>1829</v>
      </c>
      <c r="AD178" t="s">
        <v>1830</v>
      </c>
      <c r="AE178" t="s">
        <v>1831</v>
      </c>
      <c r="AF178" t="s">
        <v>1832</v>
      </c>
      <c r="AG178" t="s">
        <v>1833</v>
      </c>
      <c r="AH178" t="s">
        <v>1834</v>
      </c>
      <c r="AI178" t="s">
        <v>179</v>
      </c>
      <c r="AJ178" s="2">
        <v>45553.650925925926</v>
      </c>
      <c r="AK178" t="s">
        <v>132</v>
      </c>
      <c r="AL178" t="s">
        <v>65</v>
      </c>
      <c r="AM178" s="4">
        <v>0.47916666666666669</v>
      </c>
      <c r="AN178" t="s">
        <v>66</v>
      </c>
      <c r="AO178" t="s">
        <v>67</v>
      </c>
    </row>
    <row r="179" spans="1:41" x14ac:dyDescent="0.2">
      <c r="A179">
        <v>367429</v>
      </c>
      <c r="B179" t="s">
        <v>1835</v>
      </c>
      <c r="C179" t="s">
        <v>236</v>
      </c>
      <c r="D179" t="s">
        <v>1836</v>
      </c>
      <c r="E179">
        <v>70701330</v>
      </c>
      <c r="F179">
        <v>210301</v>
      </c>
      <c r="G179" s="1">
        <v>34856</v>
      </c>
      <c r="H179" s="1">
        <v>45673</v>
      </c>
      <c r="J179" t="s">
        <v>45</v>
      </c>
      <c r="K179" t="s">
        <v>45</v>
      </c>
      <c r="L179" t="s">
        <v>72</v>
      </c>
      <c r="N179" t="s">
        <v>47</v>
      </c>
      <c r="O179" t="s">
        <v>48</v>
      </c>
      <c r="P179" t="s">
        <v>49</v>
      </c>
      <c r="Q179" t="s">
        <v>1837</v>
      </c>
      <c r="R179" t="s">
        <v>1838</v>
      </c>
      <c r="S179">
        <v>1113</v>
      </c>
      <c r="T179" t="s">
        <v>92</v>
      </c>
      <c r="U179" t="s">
        <v>1509</v>
      </c>
      <c r="V179" t="s">
        <v>506</v>
      </c>
      <c r="W179" t="s">
        <v>1510</v>
      </c>
      <c r="X179" t="s">
        <v>52</v>
      </c>
      <c r="Y179" t="s">
        <v>410</v>
      </c>
      <c r="Z179">
        <v>1384</v>
      </c>
      <c r="AA179">
        <v>43</v>
      </c>
      <c r="AB179">
        <v>174</v>
      </c>
      <c r="AC179" t="s">
        <v>1511</v>
      </c>
      <c r="AD179" t="s">
        <v>1512</v>
      </c>
      <c r="AE179" t="s">
        <v>1513</v>
      </c>
      <c r="AF179" t="s">
        <v>1839</v>
      </c>
      <c r="AG179" t="s">
        <v>1840</v>
      </c>
      <c r="AH179" t="s">
        <v>1841</v>
      </c>
      <c r="AI179" t="s">
        <v>1842</v>
      </c>
      <c r="AJ179" s="2">
        <v>45791.806805555556</v>
      </c>
      <c r="AK179" t="s">
        <v>100</v>
      </c>
      <c r="AL179" t="s">
        <v>65</v>
      </c>
      <c r="AM179" s="4">
        <v>0.2638888888888889</v>
      </c>
      <c r="AN179" t="s">
        <v>809</v>
      </c>
      <c r="AO179" t="s">
        <v>67</v>
      </c>
    </row>
    <row r="180" spans="1:41" x14ac:dyDescent="0.2">
      <c r="A180">
        <v>369857</v>
      </c>
      <c r="B180" t="s">
        <v>1843</v>
      </c>
      <c r="C180" t="s">
        <v>197</v>
      </c>
      <c r="D180" t="s">
        <v>1844</v>
      </c>
      <c r="E180" t="s">
        <v>1845</v>
      </c>
      <c r="F180">
        <v>97701</v>
      </c>
      <c r="G180" s="1">
        <v>37705</v>
      </c>
      <c r="H180" s="1">
        <v>45583</v>
      </c>
      <c r="I180" s="1">
        <v>45931</v>
      </c>
      <c r="J180" t="s">
        <v>45</v>
      </c>
      <c r="K180" t="s">
        <v>45</v>
      </c>
      <c r="L180" t="s">
        <v>72</v>
      </c>
      <c r="N180" t="s">
        <v>47</v>
      </c>
      <c r="O180" t="s">
        <v>48</v>
      </c>
      <c r="P180" t="s">
        <v>49</v>
      </c>
      <c r="Q180" t="s">
        <v>1846</v>
      </c>
      <c r="R180" t="s">
        <v>1847</v>
      </c>
      <c r="S180">
        <v>195</v>
      </c>
      <c r="T180" t="s">
        <v>92</v>
      </c>
      <c r="U180" t="s">
        <v>202</v>
      </c>
      <c r="V180" t="s">
        <v>203</v>
      </c>
      <c r="W180" t="s">
        <v>204</v>
      </c>
      <c r="X180" t="s">
        <v>52</v>
      </c>
      <c r="Y180" t="s">
        <v>110</v>
      </c>
      <c r="Z180">
        <v>2150</v>
      </c>
      <c r="AA180">
        <v>42</v>
      </c>
      <c r="AB180">
        <v>189</v>
      </c>
      <c r="AC180" t="s">
        <v>205</v>
      </c>
      <c r="AD180" t="s">
        <v>206</v>
      </c>
      <c r="AE180" t="s">
        <v>1547</v>
      </c>
      <c r="AF180" t="s">
        <v>208</v>
      </c>
      <c r="AG180" t="s">
        <v>209</v>
      </c>
      <c r="AH180" t="s">
        <v>210</v>
      </c>
      <c r="AI180" t="s">
        <v>211</v>
      </c>
      <c r="AJ180" s="2">
        <v>45755.816134259258</v>
      </c>
      <c r="AK180" t="s">
        <v>212</v>
      </c>
      <c r="AL180" t="s">
        <v>65</v>
      </c>
      <c r="AM180" s="3">
        <v>1.6006944444444444</v>
      </c>
      <c r="AN180" t="s">
        <v>66</v>
      </c>
      <c r="AO180" t="s">
        <v>101</v>
      </c>
    </row>
    <row r="181" spans="1:41" x14ac:dyDescent="0.2">
      <c r="A181">
        <v>372259</v>
      </c>
      <c r="B181" t="s">
        <v>1848</v>
      </c>
      <c r="C181" t="s">
        <v>735</v>
      </c>
      <c r="D181" t="s">
        <v>1849</v>
      </c>
      <c r="E181" t="s">
        <v>1850</v>
      </c>
      <c r="F181">
        <v>240119</v>
      </c>
      <c r="G181" s="1">
        <v>30572</v>
      </c>
      <c r="H181" s="1">
        <v>45520</v>
      </c>
      <c r="I181" s="1">
        <v>46235</v>
      </c>
      <c r="J181" t="s">
        <v>45</v>
      </c>
      <c r="K181" t="s">
        <v>45</v>
      </c>
      <c r="L181" t="s">
        <v>72</v>
      </c>
      <c r="N181" t="s">
        <v>47</v>
      </c>
      <c r="O181" t="s">
        <v>48</v>
      </c>
      <c r="P181" t="s">
        <v>49</v>
      </c>
      <c r="Q181" t="s">
        <v>1851</v>
      </c>
      <c r="R181" t="s">
        <v>1852</v>
      </c>
      <c r="S181">
        <v>4190</v>
      </c>
      <c r="T181" t="s">
        <v>52</v>
      </c>
      <c r="U181">
        <v>1</v>
      </c>
      <c r="V181" t="s">
        <v>1853</v>
      </c>
      <c r="W181" t="s">
        <v>54</v>
      </c>
      <c r="X181" t="s">
        <v>76</v>
      </c>
      <c r="Y181" t="s">
        <v>56</v>
      </c>
      <c r="Z181">
        <v>554</v>
      </c>
      <c r="AA181">
        <v>58</v>
      </c>
      <c r="AB181">
        <v>78</v>
      </c>
      <c r="AC181" t="s">
        <v>1854</v>
      </c>
      <c r="AD181" t="s">
        <v>1855</v>
      </c>
      <c r="AE181" t="s">
        <v>1856</v>
      </c>
      <c r="AF181" t="s">
        <v>1857</v>
      </c>
      <c r="AG181" t="s">
        <v>1858</v>
      </c>
      <c r="AH181" t="s">
        <v>1859</v>
      </c>
      <c r="AI181" t="s">
        <v>1860</v>
      </c>
      <c r="AJ181" s="2">
        <v>45835.574421296296</v>
      </c>
      <c r="AK181" t="s">
        <v>1857</v>
      </c>
      <c r="AL181" t="s">
        <v>65</v>
      </c>
      <c r="AM181" s="4">
        <v>0.59027777777777779</v>
      </c>
      <c r="AN181" t="s">
        <v>66</v>
      </c>
      <c r="AO181" t="s">
        <v>67</v>
      </c>
    </row>
    <row r="182" spans="1:41" x14ac:dyDescent="0.2">
      <c r="A182">
        <v>367206</v>
      </c>
      <c r="B182" t="s">
        <v>1861</v>
      </c>
      <c r="C182" t="s">
        <v>182</v>
      </c>
      <c r="D182" t="s">
        <v>779</v>
      </c>
      <c r="E182" t="s">
        <v>1862</v>
      </c>
      <c r="G182" s="1">
        <v>45663</v>
      </c>
      <c r="H182" s="1">
        <v>45665</v>
      </c>
      <c r="I182" s="1">
        <v>45962</v>
      </c>
      <c r="J182" t="s">
        <v>45</v>
      </c>
      <c r="K182" t="s">
        <v>45</v>
      </c>
      <c r="L182" t="s">
        <v>72</v>
      </c>
      <c r="N182" t="s">
        <v>89</v>
      </c>
      <c r="O182" t="s">
        <v>121</v>
      </c>
      <c r="P182" t="s">
        <v>49</v>
      </c>
      <c r="Q182" t="s">
        <v>1863</v>
      </c>
      <c r="R182" t="s">
        <v>1864</v>
      </c>
      <c r="S182">
        <v>5969</v>
      </c>
      <c r="T182" t="s">
        <v>52</v>
      </c>
      <c r="U182">
        <v>5</v>
      </c>
      <c r="V182" t="s">
        <v>1665</v>
      </c>
      <c r="W182" t="s">
        <v>54</v>
      </c>
      <c r="X182" t="s">
        <v>52</v>
      </c>
      <c r="Y182" t="s">
        <v>125</v>
      </c>
      <c r="Z182">
        <v>2227</v>
      </c>
      <c r="AA182">
        <v>75</v>
      </c>
      <c r="AB182">
        <v>78</v>
      </c>
      <c r="AC182" t="s">
        <v>1666</v>
      </c>
      <c r="AD182" t="s">
        <v>1667</v>
      </c>
      <c r="AE182" t="s">
        <v>1668</v>
      </c>
      <c r="AF182" t="s">
        <v>1669</v>
      </c>
      <c r="AG182" t="s">
        <v>1670</v>
      </c>
      <c r="AH182" t="s">
        <v>1671</v>
      </c>
      <c r="AI182" t="s">
        <v>1865</v>
      </c>
      <c r="AJ182" s="2">
        <v>45665.505208333336</v>
      </c>
      <c r="AK182" t="s">
        <v>132</v>
      </c>
      <c r="AL182" t="s">
        <v>65</v>
      </c>
      <c r="AM182" s="4">
        <v>0.60416666666666663</v>
      </c>
      <c r="AN182" t="s">
        <v>66</v>
      </c>
      <c r="AO182" t="s">
        <v>67</v>
      </c>
    </row>
    <row r="183" spans="1:41" x14ac:dyDescent="0.2">
      <c r="A183">
        <v>366860</v>
      </c>
      <c r="B183" t="s">
        <v>1866</v>
      </c>
      <c r="C183" t="s">
        <v>182</v>
      </c>
      <c r="D183" t="s">
        <v>779</v>
      </c>
      <c r="E183" t="s">
        <v>1867</v>
      </c>
      <c r="G183" s="1">
        <v>45553</v>
      </c>
      <c r="H183" s="1">
        <v>45554</v>
      </c>
      <c r="I183" s="1">
        <v>45962</v>
      </c>
      <c r="J183" t="s">
        <v>45</v>
      </c>
      <c r="K183" t="s">
        <v>45</v>
      </c>
      <c r="L183" t="s">
        <v>72</v>
      </c>
      <c r="M183" s="1">
        <v>44431</v>
      </c>
      <c r="N183" t="s">
        <v>89</v>
      </c>
      <c r="O183" t="s">
        <v>121</v>
      </c>
      <c r="P183" t="s">
        <v>49</v>
      </c>
      <c r="Q183" t="s">
        <v>1868</v>
      </c>
      <c r="R183" t="s">
        <v>1869</v>
      </c>
      <c r="S183">
        <v>6113</v>
      </c>
      <c r="T183" t="s">
        <v>52</v>
      </c>
      <c r="U183">
        <v>5</v>
      </c>
      <c r="V183" t="s">
        <v>1665</v>
      </c>
      <c r="W183" t="s">
        <v>54</v>
      </c>
      <c r="X183" t="s">
        <v>76</v>
      </c>
      <c r="Y183" t="s">
        <v>125</v>
      </c>
      <c r="Z183">
        <v>2691</v>
      </c>
      <c r="AA183">
        <v>54</v>
      </c>
      <c r="AB183">
        <v>160</v>
      </c>
      <c r="AC183" t="s">
        <v>1666</v>
      </c>
      <c r="AD183" t="s">
        <v>1667</v>
      </c>
      <c r="AE183" t="s">
        <v>1668</v>
      </c>
      <c r="AI183" t="s">
        <v>1870</v>
      </c>
      <c r="AJ183" s="2">
        <v>45642.775300925925</v>
      </c>
      <c r="AK183" t="s">
        <v>1871</v>
      </c>
      <c r="AL183" t="s">
        <v>65</v>
      </c>
      <c r="AM183" s="3">
        <v>1.1944444444444444</v>
      </c>
      <c r="AN183" t="s">
        <v>66</v>
      </c>
      <c r="AO183" t="s">
        <v>67</v>
      </c>
    </row>
    <row r="184" spans="1:41" x14ac:dyDescent="0.2">
      <c r="A184">
        <v>367144</v>
      </c>
      <c r="B184" t="s">
        <v>1872</v>
      </c>
      <c r="C184" t="s">
        <v>182</v>
      </c>
      <c r="D184" t="s">
        <v>779</v>
      </c>
      <c r="E184" t="s">
        <v>1873</v>
      </c>
      <c r="G184" s="1">
        <v>45663</v>
      </c>
      <c r="H184" s="1">
        <v>45664</v>
      </c>
      <c r="I184" s="1">
        <v>45976</v>
      </c>
      <c r="J184" t="s">
        <v>45</v>
      </c>
      <c r="K184" t="s">
        <v>45</v>
      </c>
      <c r="L184" t="s">
        <v>72</v>
      </c>
      <c r="N184" t="s">
        <v>89</v>
      </c>
      <c r="O184" t="s">
        <v>121</v>
      </c>
      <c r="P184" t="s">
        <v>49</v>
      </c>
      <c r="Q184" t="s">
        <v>1874</v>
      </c>
      <c r="R184" t="s">
        <v>1875</v>
      </c>
      <c r="S184">
        <v>6560</v>
      </c>
      <c r="T184" t="s">
        <v>52</v>
      </c>
      <c r="U184">
        <v>5</v>
      </c>
      <c r="V184" t="s">
        <v>1665</v>
      </c>
      <c r="W184" t="s">
        <v>54</v>
      </c>
      <c r="X184" t="s">
        <v>52</v>
      </c>
      <c r="Y184" t="s">
        <v>125</v>
      </c>
      <c r="Z184">
        <v>11906</v>
      </c>
      <c r="AA184">
        <v>26</v>
      </c>
      <c r="AB184">
        <v>210</v>
      </c>
      <c r="AC184" t="s">
        <v>1666</v>
      </c>
      <c r="AD184" t="s">
        <v>1667</v>
      </c>
      <c r="AE184" t="s">
        <v>1668</v>
      </c>
      <c r="AI184" t="s">
        <v>1876</v>
      </c>
      <c r="AJ184" s="2">
        <v>45664.502280092594</v>
      </c>
      <c r="AK184" t="s">
        <v>132</v>
      </c>
      <c r="AL184" t="s">
        <v>65</v>
      </c>
      <c r="AM184" s="4">
        <v>0.5</v>
      </c>
      <c r="AN184" t="s">
        <v>66</v>
      </c>
      <c r="AO184" t="s">
        <v>67</v>
      </c>
    </row>
    <row r="185" spans="1:41" x14ac:dyDescent="0.2">
      <c r="A185">
        <v>366009</v>
      </c>
      <c r="B185" t="s">
        <v>1877</v>
      </c>
      <c r="C185" t="s">
        <v>558</v>
      </c>
      <c r="D185" t="s">
        <v>1268</v>
      </c>
      <c r="E185" t="s">
        <v>1878</v>
      </c>
      <c r="F185">
        <v>260505</v>
      </c>
      <c r="G185" s="1">
        <v>32783</v>
      </c>
      <c r="H185" s="1">
        <v>45595</v>
      </c>
      <c r="I185" s="1">
        <v>45931</v>
      </c>
      <c r="J185" t="s">
        <v>45</v>
      </c>
      <c r="K185" t="s">
        <v>45</v>
      </c>
      <c r="L185" t="s">
        <v>72</v>
      </c>
      <c r="M185" s="1">
        <v>42677</v>
      </c>
      <c r="N185" t="s">
        <v>47</v>
      </c>
      <c r="O185" t="s">
        <v>48</v>
      </c>
      <c r="P185" t="s">
        <v>49</v>
      </c>
      <c r="Q185" t="s">
        <v>1879</v>
      </c>
      <c r="R185" t="s">
        <v>1880</v>
      </c>
      <c r="S185">
        <v>4789</v>
      </c>
      <c r="T185" t="s">
        <v>365</v>
      </c>
      <c r="U185" t="s">
        <v>562</v>
      </c>
      <c r="V185" t="s">
        <v>1881</v>
      </c>
      <c r="W185" t="s">
        <v>367</v>
      </c>
      <c r="X185" t="s">
        <v>76</v>
      </c>
      <c r="Y185" t="s">
        <v>434</v>
      </c>
      <c r="Z185">
        <v>237</v>
      </c>
      <c r="AA185">
        <v>62</v>
      </c>
      <c r="AB185">
        <v>166</v>
      </c>
      <c r="AC185" t="s">
        <v>1882</v>
      </c>
      <c r="AD185" t="s">
        <v>1883</v>
      </c>
      <c r="AE185" t="s">
        <v>1884</v>
      </c>
      <c r="AI185" t="s">
        <v>1885</v>
      </c>
      <c r="AJ185" s="2">
        <v>45600.761805555558</v>
      </c>
      <c r="AK185" t="s">
        <v>180</v>
      </c>
      <c r="AL185" t="s">
        <v>65</v>
      </c>
      <c r="AM185" s="3">
        <v>1.6388888888888888</v>
      </c>
      <c r="AN185" t="s">
        <v>66</v>
      </c>
      <c r="AO185" t="s">
        <v>67</v>
      </c>
    </row>
    <row r="186" spans="1:41" x14ac:dyDescent="0.2">
      <c r="A186">
        <v>372960</v>
      </c>
      <c r="B186" t="s">
        <v>1886</v>
      </c>
      <c r="C186" t="s">
        <v>1887</v>
      </c>
      <c r="D186" t="s">
        <v>1888</v>
      </c>
      <c r="E186" t="s">
        <v>1889</v>
      </c>
      <c r="F186">
        <v>119701</v>
      </c>
      <c r="G186" s="1">
        <v>37393</v>
      </c>
      <c r="H186" s="1">
        <v>45727</v>
      </c>
      <c r="I186" s="1">
        <v>46096</v>
      </c>
      <c r="J186" t="s">
        <v>45</v>
      </c>
      <c r="K186" t="s">
        <v>326</v>
      </c>
      <c r="L186" t="s">
        <v>545</v>
      </c>
      <c r="M186" s="1">
        <v>44706</v>
      </c>
      <c r="N186" t="s">
        <v>47</v>
      </c>
      <c r="O186" t="s">
        <v>48</v>
      </c>
      <c r="P186" t="s">
        <v>49</v>
      </c>
      <c r="Q186" t="s">
        <v>1890</v>
      </c>
      <c r="R186" t="s">
        <v>1891</v>
      </c>
      <c r="S186">
        <v>700</v>
      </c>
      <c r="T186" t="s">
        <v>52</v>
      </c>
      <c r="U186">
        <v>9</v>
      </c>
      <c r="V186" t="s">
        <v>1892</v>
      </c>
      <c r="W186" t="s">
        <v>54</v>
      </c>
      <c r="X186" t="s">
        <v>76</v>
      </c>
      <c r="Y186" t="s">
        <v>56</v>
      </c>
      <c r="Z186">
        <v>1975</v>
      </c>
      <c r="AA186">
        <v>46</v>
      </c>
      <c r="AB186">
        <v>45</v>
      </c>
      <c r="AC186" t="s">
        <v>1893</v>
      </c>
      <c r="AD186" t="s">
        <v>1894</v>
      </c>
      <c r="AE186" t="s">
        <v>1895</v>
      </c>
      <c r="AF186" t="s">
        <v>1896</v>
      </c>
      <c r="AG186" t="s">
        <v>1897</v>
      </c>
      <c r="AH186" t="s">
        <v>1898</v>
      </c>
      <c r="AI186" t="s">
        <v>1899</v>
      </c>
      <c r="AJ186" s="2">
        <v>45855.958449074074</v>
      </c>
      <c r="AK186" t="s">
        <v>556</v>
      </c>
      <c r="AL186" t="s">
        <v>65</v>
      </c>
      <c r="AM186" s="3">
        <v>2.4097222222222223</v>
      </c>
      <c r="AN186" t="s">
        <v>66</v>
      </c>
      <c r="AO186" t="s">
        <v>101</v>
      </c>
    </row>
    <row r="187" spans="1:41" x14ac:dyDescent="0.2">
      <c r="A187">
        <v>364904</v>
      </c>
      <c r="B187" t="s">
        <v>1900</v>
      </c>
      <c r="C187" t="s">
        <v>86</v>
      </c>
      <c r="D187" t="s">
        <v>1901</v>
      </c>
      <c r="E187" t="s">
        <v>1902</v>
      </c>
      <c r="F187">
        <v>202010</v>
      </c>
      <c r="G187" s="1">
        <v>34060</v>
      </c>
      <c r="H187" s="1">
        <v>45562</v>
      </c>
      <c r="I187" s="1">
        <v>45962</v>
      </c>
      <c r="J187" t="s">
        <v>45</v>
      </c>
      <c r="K187" t="s">
        <v>45</v>
      </c>
      <c r="L187" t="s">
        <v>72</v>
      </c>
      <c r="M187" s="1">
        <v>43031</v>
      </c>
      <c r="N187" t="s">
        <v>47</v>
      </c>
      <c r="O187" t="s">
        <v>48</v>
      </c>
      <c r="P187" t="s">
        <v>49</v>
      </c>
      <c r="Q187" t="s">
        <v>1903</v>
      </c>
      <c r="R187" t="s">
        <v>1904</v>
      </c>
      <c r="S187">
        <v>788</v>
      </c>
      <c r="T187" t="s">
        <v>257</v>
      </c>
      <c r="U187" t="s">
        <v>258</v>
      </c>
      <c r="V187" t="s">
        <v>1905</v>
      </c>
      <c r="W187" t="s">
        <v>260</v>
      </c>
      <c r="X187" t="s">
        <v>257</v>
      </c>
      <c r="Y187" t="s">
        <v>110</v>
      </c>
      <c r="Z187">
        <v>1653</v>
      </c>
      <c r="AA187">
        <v>32</v>
      </c>
      <c r="AB187">
        <v>160</v>
      </c>
      <c r="AC187" t="s">
        <v>1906</v>
      </c>
      <c r="AD187" t="s">
        <v>1907</v>
      </c>
      <c r="AE187" t="s">
        <v>1908</v>
      </c>
      <c r="AF187" t="s">
        <v>264</v>
      </c>
      <c r="AG187" t="s">
        <v>265</v>
      </c>
      <c r="AH187" t="s">
        <v>266</v>
      </c>
      <c r="AI187" t="s">
        <v>1909</v>
      </c>
      <c r="AJ187" s="2">
        <v>45563.770671296297</v>
      </c>
      <c r="AK187" t="s">
        <v>1906</v>
      </c>
      <c r="AL187" t="s">
        <v>65</v>
      </c>
      <c r="AM187" s="4">
        <v>0.3611111111111111</v>
      </c>
      <c r="AN187" t="s">
        <v>66</v>
      </c>
      <c r="AO187" t="s">
        <v>67</v>
      </c>
    </row>
    <row r="188" spans="1:41" x14ac:dyDescent="0.2">
      <c r="A188">
        <v>371697</v>
      </c>
      <c r="B188" t="s">
        <v>1910</v>
      </c>
      <c r="C188" t="s">
        <v>1911</v>
      </c>
      <c r="D188" t="s">
        <v>1912</v>
      </c>
      <c r="E188" t="s">
        <v>1913</v>
      </c>
      <c r="F188">
        <v>270131</v>
      </c>
      <c r="G188" s="1">
        <v>39234</v>
      </c>
      <c r="H188" s="1">
        <v>45600</v>
      </c>
      <c r="I188" s="1">
        <v>46235</v>
      </c>
      <c r="J188" t="s">
        <v>45</v>
      </c>
      <c r="K188" t="s">
        <v>45</v>
      </c>
      <c r="L188" t="s">
        <v>72</v>
      </c>
      <c r="M188" s="1">
        <v>42291</v>
      </c>
      <c r="N188" t="s">
        <v>47</v>
      </c>
      <c r="O188" t="s">
        <v>48</v>
      </c>
      <c r="P188" t="s">
        <v>49</v>
      </c>
      <c r="Q188" t="s">
        <v>1914</v>
      </c>
      <c r="R188" t="s">
        <v>1915</v>
      </c>
      <c r="S188">
        <v>365</v>
      </c>
      <c r="T188" t="s">
        <v>92</v>
      </c>
      <c r="U188" t="s">
        <v>1916</v>
      </c>
      <c r="V188" t="s">
        <v>1917</v>
      </c>
      <c r="W188" t="s">
        <v>1918</v>
      </c>
      <c r="X188" t="s">
        <v>92</v>
      </c>
      <c r="Y188" t="s">
        <v>110</v>
      </c>
      <c r="Z188">
        <v>3067</v>
      </c>
      <c r="AA188">
        <v>40</v>
      </c>
      <c r="AB188">
        <v>67</v>
      </c>
      <c r="AC188" t="s">
        <v>1919</v>
      </c>
      <c r="AD188" t="s">
        <v>1920</v>
      </c>
      <c r="AE188" t="s">
        <v>1921</v>
      </c>
      <c r="AF188" t="s">
        <v>1922</v>
      </c>
      <c r="AG188" t="s">
        <v>1923</v>
      </c>
      <c r="AH188" t="s">
        <v>1924</v>
      </c>
      <c r="AI188" t="s">
        <v>1925</v>
      </c>
      <c r="AJ188" s="2">
        <v>45818.561805555553</v>
      </c>
      <c r="AK188" t="s">
        <v>1922</v>
      </c>
      <c r="AL188" t="s">
        <v>65</v>
      </c>
      <c r="AM188" s="3">
        <v>2.4236111111111112</v>
      </c>
      <c r="AN188" t="s">
        <v>66</v>
      </c>
      <c r="AO188" t="s">
        <v>101</v>
      </c>
    </row>
    <row r="189" spans="1:41" x14ac:dyDescent="0.2">
      <c r="A189">
        <v>365036</v>
      </c>
      <c r="B189" t="s">
        <v>1926</v>
      </c>
      <c r="C189" t="s">
        <v>345</v>
      </c>
      <c r="D189" t="s">
        <v>1927</v>
      </c>
      <c r="E189" t="s">
        <v>1928</v>
      </c>
      <c r="F189">
        <v>53905</v>
      </c>
      <c r="G189" s="1">
        <v>40673</v>
      </c>
      <c r="H189" s="1">
        <v>45561</v>
      </c>
      <c r="I189" s="1">
        <v>46218</v>
      </c>
      <c r="J189" t="s">
        <v>45</v>
      </c>
      <c r="K189" t="s">
        <v>45</v>
      </c>
      <c r="L189" t="s">
        <v>46</v>
      </c>
      <c r="M189" s="1">
        <v>43300</v>
      </c>
      <c r="N189" t="s">
        <v>47</v>
      </c>
      <c r="O189" t="s">
        <v>48</v>
      </c>
      <c r="P189" t="s">
        <v>49</v>
      </c>
      <c r="Q189" t="s">
        <v>1929</v>
      </c>
      <c r="R189" t="s">
        <v>1930</v>
      </c>
      <c r="S189">
        <v>9361</v>
      </c>
      <c r="T189" t="s">
        <v>52</v>
      </c>
      <c r="U189">
        <v>2</v>
      </c>
      <c r="V189" t="s">
        <v>1522</v>
      </c>
      <c r="W189" t="s">
        <v>54</v>
      </c>
      <c r="X189" t="s">
        <v>55</v>
      </c>
      <c r="Y189" t="s">
        <v>56</v>
      </c>
      <c r="Z189">
        <v>4287</v>
      </c>
      <c r="AA189">
        <v>37</v>
      </c>
      <c r="AB189">
        <v>158</v>
      </c>
      <c r="AC189" t="s">
        <v>1931</v>
      </c>
      <c r="AD189" t="s">
        <v>1932</v>
      </c>
      <c r="AE189" t="s">
        <v>1933</v>
      </c>
      <c r="AF189" t="s">
        <v>1934</v>
      </c>
      <c r="AG189" t="s">
        <v>1935</v>
      </c>
      <c r="AH189" t="s">
        <v>1936</v>
      </c>
      <c r="AI189" t="s">
        <v>1937</v>
      </c>
      <c r="AJ189" s="2">
        <v>45566.881307870368</v>
      </c>
      <c r="AK189" t="s">
        <v>609</v>
      </c>
      <c r="AL189" t="s">
        <v>65</v>
      </c>
      <c r="AM189" s="3">
        <v>1.4444444444444444</v>
      </c>
      <c r="AN189" t="s">
        <v>66</v>
      </c>
      <c r="AO189" t="s">
        <v>67</v>
      </c>
    </row>
    <row r="190" spans="1:41" x14ac:dyDescent="0.2">
      <c r="A190">
        <v>363801</v>
      </c>
      <c r="B190" t="s">
        <v>1926</v>
      </c>
      <c r="C190" t="s">
        <v>1565</v>
      </c>
      <c r="D190" t="s">
        <v>1938</v>
      </c>
      <c r="E190">
        <v>52109588</v>
      </c>
      <c r="F190">
        <v>391201</v>
      </c>
      <c r="G190" s="1">
        <v>34178</v>
      </c>
      <c r="H190" s="1">
        <v>45519</v>
      </c>
      <c r="I190" s="1">
        <v>46266</v>
      </c>
      <c r="J190" t="s">
        <v>45</v>
      </c>
      <c r="K190" t="s">
        <v>45</v>
      </c>
      <c r="L190" t="s">
        <v>72</v>
      </c>
      <c r="M190" s="1">
        <v>37895</v>
      </c>
      <c r="N190" t="s">
        <v>47</v>
      </c>
      <c r="O190" t="s">
        <v>48</v>
      </c>
      <c r="P190" t="s">
        <v>49</v>
      </c>
      <c r="Q190" t="s">
        <v>1939</v>
      </c>
      <c r="R190" t="s">
        <v>1940</v>
      </c>
      <c r="S190">
        <v>2290</v>
      </c>
      <c r="T190" t="s">
        <v>296</v>
      </c>
      <c r="U190" t="s">
        <v>1941</v>
      </c>
      <c r="V190" t="s">
        <v>1942</v>
      </c>
      <c r="W190" t="s">
        <v>299</v>
      </c>
      <c r="X190" t="s">
        <v>76</v>
      </c>
      <c r="Y190" t="s">
        <v>56</v>
      </c>
      <c r="Z190">
        <v>18</v>
      </c>
      <c r="AA190">
        <v>58</v>
      </c>
      <c r="AB190">
        <v>160</v>
      </c>
      <c r="AC190" t="s">
        <v>1943</v>
      </c>
      <c r="AD190" t="s">
        <v>1944</v>
      </c>
      <c r="AE190" t="s">
        <v>1945</v>
      </c>
      <c r="AI190" t="s">
        <v>1946</v>
      </c>
      <c r="AJ190" s="2">
        <v>45523.877951388888</v>
      </c>
      <c r="AK190" t="s">
        <v>1313</v>
      </c>
      <c r="AL190" t="s">
        <v>65</v>
      </c>
      <c r="AM190" s="3">
        <v>2.1666666666666665</v>
      </c>
      <c r="AN190" t="s">
        <v>66</v>
      </c>
      <c r="AO190" t="s">
        <v>67</v>
      </c>
    </row>
    <row r="191" spans="1:41" x14ac:dyDescent="0.2">
      <c r="A191">
        <v>372149</v>
      </c>
      <c r="B191" t="s">
        <v>1947</v>
      </c>
      <c r="C191" t="s">
        <v>182</v>
      </c>
      <c r="D191" t="s">
        <v>1948</v>
      </c>
      <c r="E191">
        <v>32891788</v>
      </c>
      <c r="F191">
        <v>40313</v>
      </c>
      <c r="G191" s="1">
        <v>38545</v>
      </c>
      <c r="H191" s="1">
        <v>45827</v>
      </c>
      <c r="I191" s="1">
        <v>46204</v>
      </c>
      <c r="J191" t="s">
        <v>45</v>
      </c>
      <c r="K191" t="s">
        <v>45</v>
      </c>
      <c r="L191" t="s">
        <v>72</v>
      </c>
      <c r="M191" s="1">
        <v>45561</v>
      </c>
      <c r="N191" t="s">
        <v>47</v>
      </c>
      <c r="O191" t="s">
        <v>48</v>
      </c>
      <c r="P191" t="s">
        <v>49</v>
      </c>
      <c r="Q191" t="s">
        <v>1949</v>
      </c>
      <c r="R191" t="s">
        <v>1950</v>
      </c>
      <c r="S191">
        <v>5972</v>
      </c>
      <c r="T191" t="s">
        <v>52</v>
      </c>
      <c r="U191">
        <v>5</v>
      </c>
      <c r="V191" t="s">
        <v>1951</v>
      </c>
      <c r="W191" t="s">
        <v>54</v>
      </c>
      <c r="X191" t="s">
        <v>493</v>
      </c>
      <c r="Y191" t="s">
        <v>434</v>
      </c>
      <c r="Z191">
        <v>2605</v>
      </c>
      <c r="AA191">
        <v>47</v>
      </c>
      <c r="AB191">
        <v>176</v>
      </c>
      <c r="AC191" t="s">
        <v>1952</v>
      </c>
      <c r="AD191" t="s">
        <v>1953</v>
      </c>
      <c r="AE191" t="s">
        <v>1954</v>
      </c>
      <c r="AF191" t="s">
        <v>1955</v>
      </c>
      <c r="AG191" t="s">
        <v>1956</v>
      </c>
      <c r="AH191" t="s">
        <v>1957</v>
      </c>
      <c r="AI191" t="s">
        <v>1958</v>
      </c>
      <c r="AJ191" s="2">
        <v>45832.771585648145</v>
      </c>
      <c r="AK191" t="s">
        <v>1740</v>
      </c>
      <c r="AL191" t="s">
        <v>65</v>
      </c>
      <c r="AM191" s="4">
        <v>0.25</v>
      </c>
      <c r="AN191" t="s">
        <v>66</v>
      </c>
      <c r="AO191" t="s">
        <v>67</v>
      </c>
    </row>
    <row r="192" spans="1:41" x14ac:dyDescent="0.2">
      <c r="A192">
        <v>358359</v>
      </c>
      <c r="B192" t="s">
        <v>1959</v>
      </c>
      <c r="C192" t="s">
        <v>542</v>
      </c>
      <c r="D192" t="s">
        <v>1960</v>
      </c>
      <c r="E192" t="s">
        <v>1961</v>
      </c>
      <c r="F192">
        <v>360431</v>
      </c>
      <c r="G192" s="1">
        <v>39282</v>
      </c>
      <c r="H192" s="1">
        <v>45355</v>
      </c>
      <c r="J192" t="s">
        <v>45</v>
      </c>
      <c r="K192" t="s">
        <v>45</v>
      </c>
      <c r="L192" t="s">
        <v>72</v>
      </c>
      <c r="M192" s="1">
        <v>44340</v>
      </c>
      <c r="N192" t="s">
        <v>47</v>
      </c>
      <c r="O192" t="s">
        <v>48</v>
      </c>
      <c r="P192" t="s">
        <v>49</v>
      </c>
      <c r="Q192" t="s">
        <v>1962</v>
      </c>
      <c r="R192" t="s">
        <v>1963</v>
      </c>
      <c r="S192">
        <v>845</v>
      </c>
      <c r="T192" t="s">
        <v>92</v>
      </c>
      <c r="U192" t="s">
        <v>1133</v>
      </c>
      <c r="V192" t="s">
        <v>1134</v>
      </c>
      <c r="W192" t="s">
        <v>1135</v>
      </c>
      <c r="X192" t="s">
        <v>92</v>
      </c>
      <c r="Y192" t="s">
        <v>770</v>
      </c>
      <c r="Z192">
        <v>2929</v>
      </c>
      <c r="AA192">
        <v>34</v>
      </c>
      <c r="AB192">
        <v>141</v>
      </c>
      <c r="AC192" t="s">
        <v>1136</v>
      </c>
      <c r="AD192" t="s">
        <v>1137</v>
      </c>
      <c r="AE192" t="s">
        <v>1964</v>
      </c>
      <c r="AF192" t="s">
        <v>1136</v>
      </c>
      <c r="AG192" t="s">
        <v>1137</v>
      </c>
      <c r="AH192" t="s">
        <v>1965</v>
      </c>
      <c r="AJ192" s="2">
        <v>45355.975659722222</v>
      </c>
      <c r="AK192" t="s">
        <v>1136</v>
      </c>
      <c r="AL192" t="s">
        <v>65</v>
      </c>
      <c r="AM192" s="4">
        <v>0.34513888888888888</v>
      </c>
      <c r="AN192" t="s">
        <v>66</v>
      </c>
      <c r="AO192" t="s">
        <v>101</v>
      </c>
    </row>
    <row r="193" spans="1:41" x14ac:dyDescent="0.2">
      <c r="A193">
        <v>365463</v>
      </c>
      <c r="B193" t="s">
        <v>1966</v>
      </c>
      <c r="C193" t="s">
        <v>542</v>
      </c>
      <c r="D193" t="s">
        <v>1967</v>
      </c>
      <c r="E193" t="s">
        <v>1968</v>
      </c>
      <c r="F193">
        <v>360272</v>
      </c>
      <c r="G193" s="1">
        <v>43728</v>
      </c>
      <c r="H193" s="1">
        <v>45582</v>
      </c>
      <c r="J193" t="s">
        <v>45</v>
      </c>
      <c r="K193" t="s">
        <v>45</v>
      </c>
      <c r="L193" t="s">
        <v>72</v>
      </c>
      <c r="M193" s="1">
        <v>44343</v>
      </c>
      <c r="N193" t="s">
        <v>47</v>
      </c>
      <c r="O193" t="s">
        <v>48</v>
      </c>
      <c r="P193" t="s">
        <v>49</v>
      </c>
      <c r="Q193" t="s">
        <v>1969</v>
      </c>
      <c r="R193" t="s">
        <v>1970</v>
      </c>
      <c r="S193">
        <v>2229</v>
      </c>
      <c r="T193" t="s">
        <v>92</v>
      </c>
      <c r="U193" t="s">
        <v>1133</v>
      </c>
      <c r="V193" t="s">
        <v>1134</v>
      </c>
      <c r="W193" t="s">
        <v>1135</v>
      </c>
      <c r="X193" t="s">
        <v>92</v>
      </c>
      <c r="Y193" t="s">
        <v>770</v>
      </c>
      <c r="Z193">
        <v>10548</v>
      </c>
      <c r="AA193">
        <v>18</v>
      </c>
      <c r="AB193">
        <v>45</v>
      </c>
      <c r="AC193" t="s">
        <v>1136</v>
      </c>
      <c r="AD193" t="s">
        <v>1137</v>
      </c>
      <c r="AE193" t="s">
        <v>1138</v>
      </c>
      <c r="AJ193" s="2">
        <v>45582.859305555554</v>
      </c>
      <c r="AK193" t="s">
        <v>1136</v>
      </c>
      <c r="AL193" t="s">
        <v>65</v>
      </c>
      <c r="AM193" s="3">
        <v>2.0763888888888888</v>
      </c>
      <c r="AN193" t="s">
        <v>66</v>
      </c>
      <c r="AO193" t="s">
        <v>101</v>
      </c>
    </row>
    <row r="194" spans="1:41" x14ac:dyDescent="0.2">
      <c r="A194">
        <v>370790</v>
      </c>
      <c r="B194" t="s">
        <v>1971</v>
      </c>
      <c r="C194" t="s">
        <v>692</v>
      </c>
      <c r="E194">
        <v>32362548</v>
      </c>
      <c r="F194">
        <v>480605</v>
      </c>
      <c r="G194" s="1">
        <v>30826</v>
      </c>
      <c r="H194" s="1">
        <v>45545</v>
      </c>
      <c r="I194" s="1">
        <v>46266</v>
      </c>
      <c r="J194" t="s">
        <v>45</v>
      </c>
      <c r="K194" t="s">
        <v>45</v>
      </c>
      <c r="L194" t="s">
        <v>72</v>
      </c>
      <c r="N194" t="s">
        <v>47</v>
      </c>
      <c r="O194" t="s">
        <v>48</v>
      </c>
      <c r="P194" t="s">
        <v>49</v>
      </c>
      <c r="Q194" t="s">
        <v>1972</v>
      </c>
      <c r="R194" t="s">
        <v>1973</v>
      </c>
      <c r="S194">
        <v>5280</v>
      </c>
      <c r="T194" t="s">
        <v>52</v>
      </c>
      <c r="U194">
        <v>2</v>
      </c>
      <c r="V194" t="s">
        <v>1569</v>
      </c>
      <c r="W194" t="s">
        <v>54</v>
      </c>
      <c r="X194" t="s">
        <v>76</v>
      </c>
      <c r="Y194" t="s">
        <v>56</v>
      </c>
      <c r="Z194">
        <v>572</v>
      </c>
      <c r="AA194">
        <v>57</v>
      </c>
      <c r="AB194">
        <v>158</v>
      </c>
      <c r="AC194" t="s">
        <v>1570</v>
      </c>
      <c r="AD194" t="s">
        <v>1571</v>
      </c>
      <c r="AE194" t="s">
        <v>1572</v>
      </c>
      <c r="AF194" t="s">
        <v>1974</v>
      </c>
      <c r="AG194" t="s">
        <v>1975</v>
      </c>
      <c r="AH194" t="s">
        <v>1976</v>
      </c>
      <c r="AI194" t="s">
        <v>1576</v>
      </c>
      <c r="AJ194" s="2">
        <v>45784.681921296295</v>
      </c>
      <c r="AK194" t="s">
        <v>1577</v>
      </c>
      <c r="AL194" t="s">
        <v>65</v>
      </c>
      <c r="AM194" s="3">
        <v>2.3194444444444446</v>
      </c>
      <c r="AN194" t="s">
        <v>66</v>
      </c>
      <c r="AO194" t="s">
        <v>67</v>
      </c>
    </row>
    <row r="195" spans="1:41" x14ac:dyDescent="0.2">
      <c r="A195">
        <v>368875</v>
      </c>
      <c r="B195" t="s">
        <v>1977</v>
      </c>
      <c r="C195" t="s">
        <v>182</v>
      </c>
      <c r="D195" t="s">
        <v>1086</v>
      </c>
      <c r="E195">
        <v>32554592</v>
      </c>
      <c r="F195">
        <v>44730</v>
      </c>
      <c r="G195" s="1">
        <v>33520</v>
      </c>
      <c r="H195" s="1">
        <v>45645</v>
      </c>
      <c r="I195" s="1">
        <v>45915</v>
      </c>
      <c r="J195" t="s">
        <v>45</v>
      </c>
      <c r="K195" t="s">
        <v>45</v>
      </c>
      <c r="L195" t="s">
        <v>429</v>
      </c>
      <c r="M195" s="1">
        <v>42643</v>
      </c>
      <c r="N195" t="s">
        <v>47</v>
      </c>
      <c r="O195" t="s">
        <v>48</v>
      </c>
      <c r="P195" t="s">
        <v>49</v>
      </c>
      <c r="Q195" t="s">
        <v>1978</v>
      </c>
      <c r="R195" t="s">
        <v>1979</v>
      </c>
      <c r="S195">
        <v>8228</v>
      </c>
      <c r="T195" t="s">
        <v>365</v>
      </c>
      <c r="U195" t="s">
        <v>562</v>
      </c>
      <c r="V195" t="s">
        <v>1980</v>
      </c>
      <c r="W195" t="s">
        <v>367</v>
      </c>
      <c r="X195" t="s">
        <v>493</v>
      </c>
      <c r="Y195" t="s">
        <v>434</v>
      </c>
      <c r="Z195">
        <v>80</v>
      </c>
      <c r="AA195">
        <v>49</v>
      </c>
      <c r="AB195">
        <v>80</v>
      </c>
      <c r="AC195" t="s">
        <v>1981</v>
      </c>
      <c r="AD195" t="s">
        <v>1982</v>
      </c>
      <c r="AE195" t="s">
        <v>1983</v>
      </c>
      <c r="AF195" t="s">
        <v>1984</v>
      </c>
      <c r="AH195" t="s">
        <v>1985</v>
      </c>
      <c r="AI195" t="s">
        <v>500</v>
      </c>
      <c r="AJ195" s="2">
        <v>45722.886759259258</v>
      </c>
      <c r="AK195" t="s">
        <v>501</v>
      </c>
      <c r="AL195" t="s">
        <v>65</v>
      </c>
      <c r="AM195" s="4">
        <v>0.43055555555555558</v>
      </c>
      <c r="AN195" t="s">
        <v>66</v>
      </c>
      <c r="AO195" t="s">
        <v>67</v>
      </c>
    </row>
    <row r="196" spans="1:41" x14ac:dyDescent="0.2">
      <c r="A196">
        <v>372739</v>
      </c>
      <c r="B196" t="s">
        <v>1986</v>
      </c>
      <c r="C196" t="s">
        <v>278</v>
      </c>
      <c r="D196" t="s">
        <v>1987</v>
      </c>
      <c r="E196" t="s">
        <v>1988</v>
      </c>
      <c r="F196">
        <v>420703</v>
      </c>
      <c r="G196" s="1">
        <v>36328</v>
      </c>
      <c r="H196" s="1">
        <v>45848</v>
      </c>
      <c r="I196" s="1">
        <v>46204</v>
      </c>
      <c r="J196" t="s">
        <v>45</v>
      </c>
      <c r="K196" t="s">
        <v>45</v>
      </c>
      <c r="L196" t="s">
        <v>429</v>
      </c>
      <c r="N196" t="s">
        <v>47</v>
      </c>
      <c r="O196" t="s">
        <v>48</v>
      </c>
      <c r="P196" t="s">
        <v>49</v>
      </c>
      <c r="Q196" t="s">
        <v>1989</v>
      </c>
      <c r="R196" t="s">
        <v>1990</v>
      </c>
      <c r="S196">
        <v>8536</v>
      </c>
      <c r="T196" t="s">
        <v>52</v>
      </c>
      <c r="U196">
        <v>4</v>
      </c>
      <c r="V196" t="s">
        <v>1991</v>
      </c>
      <c r="W196" t="s">
        <v>54</v>
      </c>
      <c r="X196" t="s">
        <v>76</v>
      </c>
      <c r="Y196" t="s">
        <v>56</v>
      </c>
      <c r="Z196">
        <v>1481</v>
      </c>
      <c r="AA196">
        <v>49</v>
      </c>
      <c r="AB196">
        <v>152</v>
      </c>
      <c r="AC196" t="s">
        <v>1992</v>
      </c>
      <c r="AD196" t="s">
        <v>1993</v>
      </c>
      <c r="AE196" t="s">
        <v>1994</v>
      </c>
      <c r="AF196" t="s">
        <v>1995</v>
      </c>
      <c r="AG196" t="s">
        <v>1996</v>
      </c>
      <c r="AH196" t="s">
        <v>1997</v>
      </c>
      <c r="AI196" t="s">
        <v>1998</v>
      </c>
      <c r="AJ196" s="2">
        <v>45852.745694444442</v>
      </c>
      <c r="AK196" t="s">
        <v>1999</v>
      </c>
      <c r="AL196" t="s">
        <v>65</v>
      </c>
      <c r="AM196" s="4">
        <v>0.15972222222222221</v>
      </c>
      <c r="AN196" t="s">
        <v>66</v>
      </c>
      <c r="AO196" t="s">
        <v>67</v>
      </c>
    </row>
    <row r="197" spans="1:41" x14ac:dyDescent="0.2">
      <c r="A197">
        <v>358361</v>
      </c>
      <c r="B197" t="s">
        <v>2000</v>
      </c>
      <c r="C197" t="s">
        <v>542</v>
      </c>
      <c r="D197" t="s">
        <v>2001</v>
      </c>
      <c r="E197" t="s">
        <v>2002</v>
      </c>
      <c r="F197">
        <v>361071</v>
      </c>
      <c r="G197" s="1">
        <v>39282</v>
      </c>
      <c r="H197" s="1">
        <v>45355</v>
      </c>
      <c r="J197" t="s">
        <v>45</v>
      </c>
      <c r="K197" t="s">
        <v>45</v>
      </c>
      <c r="L197" t="s">
        <v>72</v>
      </c>
      <c r="M197" s="1">
        <v>44371</v>
      </c>
      <c r="N197" t="s">
        <v>47</v>
      </c>
      <c r="O197" t="s">
        <v>48</v>
      </c>
      <c r="P197" t="s">
        <v>49</v>
      </c>
      <c r="Q197" t="s">
        <v>2003</v>
      </c>
      <c r="R197" t="s">
        <v>2004</v>
      </c>
      <c r="S197">
        <v>1172</v>
      </c>
      <c r="T197" t="s">
        <v>92</v>
      </c>
      <c r="U197" t="s">
        <v>1133</v>
      </c>
      <c r="V197" t="s">
        <v>1134</v>
      </c>
      <c r="W197" t="s">
        <v>1135</v>
      </c>
      <c r="X197" t="s">
        <v>92</v>
      </c>
      <c r="Y197" t="s">
        <v>770</v>
      </c>
      <c r="Z197">
        <v>2930</v>
      </c>
      <c r="AA197">
        <v>33</v>
      </c>
      <c r="AB197">
        <v>141</v>
      </c>
      <c r="AC197" t="s">
        <v>1136</v>
      </c>
      <c r="AD197" t="s">
        <v>1137</v>
      </c>
      <c r="AE197" t="s">
        <v>1964</v>
      </c>
      <c r="AJ197" s="2">
        <v>45355.976481481484</v>
      </c>
      <c r="AK197" t="s">
        <v>1136</v>
      </c>
      <c r="AL197" t="s">
        <v>65</v>
      </c>
      <c r="AM197" s="4">
        <v>0.35208333333333336</v>
      </c>
      <c r="AN197" t="s">
        <v>66</v>
      </c>
      <c r="AO197" t="s">
        <v>101</v>
      </c>
    </row>
    <row r="198" spans="1:41" x14ac:dyDescent="0.2">
      <c r="A198">
        <v>372525</v>
      </c>
      <c r="B198" t="s">
        <v>2005</v>
      </c>
      <c r="C198" t="s">
        <v>69</v>
      </c>
      <c r="D198" t="s">
        <v>2006</v>
      </c>
      <c r="E198" t="s">
        <v>2007</v>
      </c>
      <c r="F198">
        <v>101221</v>
      </c>
      <c r="G198" s="1">
        <v>34935</v>
      </c>
      <c r="H198" s="1">
        <v>45540</v>
      </c>
      <c r="I198" s="1">
        <v>46249</v>
      </c>
      <c r="J198" t="s">
        <v>45</v>
      </c>
      <c r="K198" t="s">
        <v>45</v>
      </c>
      <c r="L198" t="s">
        <v>72</v>
      </c>
      <c r="M198" s="1">
        <v>42915</v>
      </c>
      <c r="N198" t="s">
        <v>47</v>
      </c>
      <c r="O198" t="s">
        <v>48</v>
      </c>
      <c r="P198" t="s">
        <v>49</v>
      </c>
      <c r="Q198" t="s">
        <v>2008</v>
      </c>
      <c r="R198" t="s">
        <v>2009</v>
      </c>
      <c r="S198">
        <v>7137</v>
      </c>
      <c r="T198" t="s">
        <v>52</v>
      </c>
      <c r="U198">
        <v>4</v>
      </c>
      <c r="V198" t="s">
        <v>2010</v>
      </c>
      <c r="W198" t="s">
        <v>54</v>
      </c>
      <c r="X198" t="s">
        <v>76</v>
      </c>
      <c r="Y198" t="s">
        <v>56</v>
      </c>
      <c r="Z198">
        <v>642</v>
      </c>
      <c r="AA198">
        <v>65</v>
      </c>
      <c r="AB198">
        <v>146</v>
      </c>
      <c r="AC198" t="s">
        <v>2011</v>
      </c>
      <c r="AD198" t="s">
        <v>2012</v>
      </c>
      <c r="AE198" t="s">
        <v>2013</v>
      </c>
      <c r="AF198" t="s">
        <v>2014</v>
      </c>
      <c r="AG198" t="s">
        <v>2015</v>
      </c>
      <c r="AH198" t="s">
        <v>2013</v>
      </c>
      <c r="AI198" t="s">
        <v>2016</v>
      </c>
      <c r="AJ198" s="2">
        <v>45841.853136574071</v>
      </c>
      <c r="AK198" t="s">
        <v>660</v>
      </c>
      <c r="AL198" t="s">
        <v>65</v>
      </c>
      <c r="AM198" s="4">
        <v>0.25694444444444442</v>
      </c>
      <c r="AN198" t="s">
        <v>66</v>
      </c>
      <c r="AO198" t="s">
        <v>67</v>
      </c>
    </row>
    <row r="199" spans="1:41" x14ac:dyDescent="0.2">
      <c r="A199">
        <v>371072</v>
      </c>
      <c r="B199" t="s">
        <v>2017</v>
      </c>
      <c r="C199" t="s">
        <v>103</v>
      </c>
      <c r="D199" t="s">
        <v>2018</v>
      </c>
      <c r="E199" s="5" t="s">
        <v>2019</v>
      </c>
      <c r="F199">
        <v>317801</v>
      </c>
      <c r="G199" s="1">
        <v>37705</v>
      </c>
      <c r="H199" s="1">
        <v>45138</v>
      </c>
      <c r="I199" s="1">
        <v>46327</v>
      </c>
      <c r="J199" t="s">
        <v>45</v>
      </c>
      <c r="K199" t="s">
        <v>45</v>
      </c>
      <c r="L199" t="s">
        <v>72</v>
      </c>
      <c r="M199" s="1">
        <v>42667</v>
      </c>
      <c r="N199" t="s">
        <v>47</v>
      </c>
      <c r="O199" t="s">
        <v>48</v>
      </c>
      <c r="P199" t="s">
        <v>49</v>
      </c>
      <c r="Q199" t="s">
        <v>2020</v>
      </c>
      <c r="R199" t="s">
        <v>2021</v>
      </c>
      <c r="S199">
        <v>55</v>
      </c>
      <c r="T199" t="s">
        <v>92</v>
      </c>
      <c r="U199" t="s">
        <v>107</v>
      </c>
      <c r="V199" t="s">
        <v>108</v>
      </c>
      <c r="W199" t="s">
        <v>109</v>
      </c>
      <c r="X199" t="s">
        <v>52</v>
      </c>
      <c r="Y199" t="s">
        <v>110</v>
      </c>
      <c r="Z199">
        <v>2346</v>
      </c>
      <c r="AA199">
        <v>38</v>
      </c>
      <c r="AB199">
        <v>45</v>
      </c>
      <c r="AC199" t="s">
        <v>2022</v>
      </c>
      <c r="AD199" t="s">
        <v>2023</v>
      </c>
      <c r="AE199" t="s">
        <v>2024</v>
      </c>
      <c r="AF199" t="s">
        <v>2025</v>
      </c>
      <c r="AG199" t="s">
        <v>2026</v>
      </c>
      <c r="AH199" t="s">
        <v>2027</v>
      </c>
      <c r="AI199" t="s">
        <v>2028</v>
      </c>
      <c r="AJ199" s="2">
        <v>45818.719525462962</v>
      </c>
      <c r="AK199" t="s">
        <v>100</v>
      </c>
      <c r="AL199" t="s">
        <v>65</v>
      </c>
      <c r="AM199" s="4">
        <v>0.54861111111111116</v>
      </c>
      <c r="AN199" t="s">
        <v>66</v>
      </c>
      <c r="AO199" t="s">
        <v>101</v>
      </c>
    </row>
    <row r="200" spans="1:41" x14ac:dyDescent="0.2">
      <c r="A200">
        <v>366452</v>
      </c>
      <c r="B200" t="s">
        <v>2029</v>
      </c>
      <c r="C200" t="s">
        <v>182</v>
      </c>
      <c r="D200" t="s">
        <v>779</v>
      </c>
      <c r="E200" t="s">
        <v>2030</v>
      </c>
      <c r="F200">
        <v>45617</v>
      </c>
      <c r="G200" s="1">
        <v>37754</v>
      </c>
      <c r="H200" s="1">
        <v>45616</v>
      </c>
      <c r="J200" t="s">
        <v>45</v>
      </c>
      <c r="K200" t="s">
        <v>326</v>
      </c>
      <c r="L200" t="s">
        <v>72</v>
      </c>
      <c r="M200" s="1">
        <v>37832</v>
      </c>
      <c r="N200" t="s">
        <v>47</v>
      </c>
      <c r="O200" t="s">
        <v>48</v>
      </c>
      <c r="P200" t="s">
        <v>49</v>
      </c>
      <c r="Q200" t="s">
        <v>2031</v>
      </c>
      <c r="R200" t="s">
        <v>2032</v>
      </c>
      <c r="S200">
        <v>2588</v>
      </c>
      <c r="T200" t="s">
        <v>92</v>
      </c>
      <c r="U200" t="s">
        <v>187</v>
      </c>
      <c r="V200" t="s">
        <v>447</v>
      </c>
      <c r="W200" t="s">
        <v>448</v>
      </c>
      <c r="X200" t="s">
        <v>92</v>
      </c>
      <c r="Y200" t="s">
        <v>450</v>
      </c>
      <c r="Z200">
        <v>2335</v>
      </c>
      <c r="AA200">
        <v>41</v>
      </c>
      <c r="AB200">
        <v>38</v>
      </c>
      <c r="AC200" t="s">
        <v>451</v>
      </c>
      <c r="AD200" t="s">
        <v>452</v>
      </c>
      <c r="AE200" t="s">
        <v>453</v>
      </c>
      <c r="AF200" t="s">
        <v>783</v>
      </c>
      <c r="AG200" t="s">
        <v>784</v>
      </c>
      <c r="AH200" t="s">
        <v>785</v>
      </c>
      <c r="AI200" t="s">
        <v>452</v>
      </c>
      <c r="AJ200" s="2">
        <v>45622.62054398148</v>
      </c>
      <c r="AK200" t="s">
        <v>456</v>
      </c>
      <c r="AL200" t="s">
        <v>65</v>
      </c>
      <c r="AM200" s="4">
        <v>0.58333333333333337</v>
      </c>
      <c r="AN200" t="s">
        <v>66</v>
      </c>
      <c r="AO200" t="s">
        <v>67</v>
      </c>
    </row>
    <row r="201" spans="1:41" x14ac:dyDescent="0.2">
      <c r="A201">
        <v>370342</v>
      </c>
      <c r="B201" t="s">
        <v>2033</v>
      </c>
      <c r="C201" t="s">
        <v>182</v>
      </c>
      <c r="D201" t="s">
        <v>2034</v>
      </c>
      <c r="E201" t="s">
        <v>2035</v>
      </c>
      <c r="F201">
        <v>42601</v>
      </c>
      <c r="G201" s="1">
        <v>32679</v>
      </c>
      <c r="H201" s="1">
        <v>45540</v>
      </c>
      <c r="I201" s="1">
        <v>46188</v>
      </c>
      <c r="J201" t="s">
        <v>45</v>
      </c>
      <c r="K201" t="s">
        <v>45</v>
      </c>
      <c r="L201" t="s">
        <v>429</v>
      </c>
      <c r="M201" s="1">
        <v>43657</v>
      </c>
      <c r="N201" t="s">
        <v>47</v>
      </c>
      <c r="O201" t="s">
        <v>48</v>
      </c>
      <c r="P201" t="s">
        <v>49</v>
      </c>
      <c r="Q201" t="s">
        <v>2036</v>
      </c>
      <c r="R201" t="s">
        <v>2037</v>
      </c>
      <c r="S201">
        <v>4651</v>
      </c>
      <c r="T201" t="s">
        <v>52</v>
      </c>
      <c r="U201">
        <v>5</v>
      </c>
      <c r="V201" t="s">
        <v>1619</v>
      </c>
      <c r="W201" t="s">
        <v>54</v>
      </c>
      <c r="X201" t="s">
        <v>493</v>
      </c>
      <c r="Y201" t="s">
        <v>434</v>
      </c>
      <c r="Z201">
        <v>682</v>
      </c>
      <c r="AA201">
        <v>67</v>
      </c>
      <c r="AB201">
        <v>28</v>
      </c>
      <c r="AC201" t="s">
        <v>2038</v>
      </c>
      <c r="AD201" t="s">
        <v>2039</v>
      </c>
      <c r="AE201" t="s">
        <v>2040</v>
      </c>
      <c r="AF201" t="s">
        <v>2041</v>
      </c>
      <c r="AG201" t="s">
        <v>2042</v>
      </c>
      <c r="AH201" t="s">
        <v>2043</v>
      </c>
      <c r="AI201" t="s">
        <v>2044</v>
      </c>
      <c r="AJ201" s="2">
        <v>45770.750520833331</v>
      </c>
      <c r="AK201" t="s">
        <v>2038</v>
      </c>
      <c r="AL201" t="s">
        <v>65</v>
      </c>
      <c r="AM201" s="4">
        <v>0.74305555555555558</v>
      </c>
      <c r="AN201" t="s">
        <v>66</v>
      </c>
      <c r="AO201" t="s">
        <v>67</v>
      </c>
    </row>
    <row r="202" spans="1:41" x14ac:dyDescent="0.2">
      <c r="A202">
        <v>371545</v>
      </c>
      <c r="B202" t="s">
        <v>2045</v>
      </c>
      <c r="C202" t="s">
        <v>323</v>
      </c>
      <c r="D202" t="s">
        <v>372</v>
      </c>
      <c r="E202">
        <v>12613192</v>
      </c>
      <c r="F202">
        <v>500418</v>
      </c>
      <c r="G202" s="1">
        <v>37027</v>
      </c>
      <c r="H202" s="1">
        <v>45785</v>
      </c>
      <c r="I202" s="1">
        <v>46037</v>
      </c>
      <c r="J202" t="s">
        <v>45</v>
      </c>
      <c r="K202" t="s">
        <v>45</v>
      </c>
      <c r="L202" t="s">
        <v>72</v>
      </c>
      <c r="M202" s="1">
        <v>45105</v>
      </c>
      <c r="N202" t="s">
        <v>47</v>
      </c>
      <c r="O202" t="s">
        <v>48</v>
      </c>
      <c r="P202" t="s">
        <v>49</v>
      </c>
      <c r="Q202" t="s">
        <v>2046</v>
      </c>
      <c r="R202" t="s">
        <v>2047</v>
      </c>
      <c r="S202">
        <v>483</v>
      </c>
      <c r="T202" t="s">
        <v>156</v>
      </c>
      <c r="U202" t="s">
        <v>460</v>
      </c>
      <c r="V202" t="s">
        <v>330</v>
      </c>
      <c r="W202" t="s">
        <v>159</v>
      </c>
      <c r="X202" t="s">
        <v>76</v>
      </c>
      <c r="Y202" t="s">
        <v>110</v>
      </c>
      <c r="Z202">
        <v>473</v>
      </c>
      <c r="AA202">
        <v>46</v>
      </c>
      <c r="AB202">
        <v>158</v>
      </c>
      <c r="AC202" t="s">
        <v>368</v>
      </c>
      <c r="AD202" t="s">
        <v>369</v>
      </c>
      <c r="AE202" t="s">
        <v>370</v>
      </c>
      <c r="AF202" t="s">
        <v>463</v>
      </c>
      <c r="AG202" t="s">
        <v>464</v>
      </c>
      <c r="AH202" t="s">
        <v>465</v>
      </c>
      <c r="AI202" t="s">
        <v>2048</v>
      </c>
      <c r="AJ202" s="2">
        <v>45814.751319444447</v>
      </c>
      <c r="AK202" t="s">
        <v>727</v>
      </c>
      <c r="AL202" t="s">
        <v>65</v>
      </c>
      <c r="AM202" s="4">
        <v>0.84027777777777779</v>
      </c>
      <c r="AN202" t="s">
        <v>66</v>
      </c>
      <c r="AO202" t="s">
        <v>67</v>
      </c>
    </row>
    <row r="203" spans="1:41" x14ac:dyDescent="0.2">
      <c r="A203">
        <v>370437</v>
      </c>
      <c r="B203" t="s">
        <v>2049</v>
      </c>
      <c r="C203" t="s">
        <v>42</v>
      </c>
      <c r="D203" t="s">
        <v>2050</v>
      </c>
      <c r="E203" t="s">
        <v>2051</v>
      </c>
      <c r="F203">
        <v>292001</v>
      </c>
      <c r="G203" s="1">
        <v>34820</v>
      </c>
      <c r="H203" s="1">
        <v>45771</v>
      </c>
      <c r="I203" s="1">
        <v>46127</v>
      </c>
      <c r="J203" t="s">
        <v>45</v>
      </c>
      <c r="K203" t="s">
        <v>45</v>
      </c>
      <c r="L203" t="s">
        <v>429</v>
      </c>
      <c r="M203" s="1">
        <v>41411</v>
      </c>
      <c r="N203" t="s">
        <v>47</v>
      </c>
      <c r="O203" t="s">
        <v>48</v>
      </c>
      <c r="P203" t="s">
        <v>49</v>
      </c>
      <c r="Q203" t="s">
        <v>2052</v>
      </c>
      <c r="R203" t="s">
        <v>2053</v>
      </c>
      <c r="S203">
        <v>6659</v>
      </c>
      <c r="T203" t="s">
        <v>52</v>
      </c>
      <c r="U203">
        <v>3</v>
      </c>
      <c r="V203" t="s">
        <v>2054</v>
      </c>
      <c r="W203" t="s">
        <v>54</v>
      </c>
      <c r="X203" t="s">
        <v>55</v>
      </c>
      <c r="Y203" t="s">
        <v>56</v>
      </c>
      <c r="Z203">
        <v>1031</v>
      </c>
      <c r="AA203">
        <v>52</v>
      </c>
      <c r="AB203">
        <v>176</v>
      </c>
      <c r="AC203" t="s">
        <v>2055</v>
      </c>
      <c r="AD203" t="s">
        <v>2056</v>
      </c>
      <c r="AE203" t="s">
        <v>2057</v>
      </c>
      <c r="AF203" t="s">
        <v>2058</v>
      </c>
      <c r="AG203" t="s">
        <v>2059</v>
      </c>
      <c r="AH203" t="s">
        <v>2060</v>
      </c>
      <c r="AI203" t="s">
        <v>1809</v>
      </c>
      <c r="AJ203" s="2">
        <v>45775.760717592595</v>
      </c>
      <c r="AK203" t="s">
        <v>64</v>
      </c>
      <c r="AL203" t="s">
        <v>65</v>
      </c>
      <c r="AM203" s="4">
        <v>0.34027777777777779</v>
      </c>
      <c r="AN203" t="s">
        <v>66</v>
      </c>
      <c r="AO203" t="s">
        <v>67</v>
      </c>
    </row>
    <row r="204" spans="1:41" x14ac:dyDescent="0.2">
      <c r="A204">
        <v>371445</v>
      </c>
      <c r="B204" t="s">
        <v>2061</v>
      </c>
      <c r="C204" t="s">
        <v>735</v>
      </c>
      <c r="D204" t="s">
        <v>1050</v>
      </c>
      <c r="E204">
        <v>32707626</v>
      </c>
      <c r="G204" s="1">
        <v>45740</v>
      </c>
      <c r="H204" s="1">
        <v>45694</v>
      </c>
      <c r="I204" s="1">
        <v>46082</v>
      </c>
      <c r="J204" t="s">
        <v>45</v>
      </c>
      <c r="K204" t="s">
        <v>45</v>
      </c>
      <c r="L204" t="s">
        <v>72</v>
      </c>
      <c r="M204" s="1">
        <v>44776</v>
      </c>
      <c r="N204" t="s">
        <v>89</v>
      </c>
      <c r="O204" t="s">
        <v>121</v>
      </c>
      <c r="P204" t="s">
        <v>49</v>
      </c>
      <c r="Q204" t="s">
        <v>2062</v>
      </c>
      <c r="R204" t="s">
        <v>2063</v>
      </c>
      <c r="S204">
        <v>6229</v>
      </c>
      <c r="T204" t="s">
        <v>52</v>
      </c>
      <c r="U204">
        <v>1</v>
      </c>
      <c r="V204" t="s">
        <v>740</v>
      </c>
      <c r="W204" t="s">
        <v>54</v>
      </c>
      <c r="X204" t="s">
        <v>52</v>
      </c>
      <c r="Y204" t="s">
        <v>125</v>
      </c>
      <c r="Z204">
        <v>1664</v>
      </c>
      <c r="AA204">
        <v>100</v>
      </c>
      <c r="AB204">
        <v>144</v>
      </c>
      <c r="AC204" t="s">
        <v>2064</v>
      </c>
      <c r="AD204" t="s">
        <v>2065</v>
      </c>
      <c r="AE204" t="s">
        <v>2066</v>
      </c>
      <c r="AF204" t="s">
        <v>742</v>
      </c>
      <c r="AG204" t="s">
        <v>742</v>
      </c>
      <c r="AH204" t="s">
        <v>743</v>
      </c>
      <c r="AI204" t="s">
        <v>2067</v>
      </c>
      <c r="AJ204" s="2">
        <v>45811.646817129629</v>
      </c>
      <c r="AK204" t="s">
        <v>2068</v>
      </c>
      <c r="AL204" t="s">
        <v>65</v>
      </c>
      <c r="AM204" s="4">
        <v>0.80555555555555558</v>
      </c>
      <c r="AN204" t="s">
        <v>66</v>
      </c>
      <c r="AO204" t="s">
        <v>67</v>
      </c>
    </row>
    <row r="205" spans="1:41" x14ac:dyDescent="0.2">
      <c r="A205">
        <v>370761</v>
      </c>
      <c r="B205" t="s">
        <v>2069</v>
      </c>
      <c r="C205" t="s">
        <v>735</v>
      </c>
      <c r="D205" t="s">
        <v>736</v>
      </c>
      <c r="E205">
        <v>32844492</v>
      </c>
      <c r="G205" s="1">
        <v>45714</v>
      </c>
      <c r="H205" s="1">
        <v>45715</v>
      </c>
      <c r="I205" s="1">
        <v>46082</v>
      </c>
      <c r="J205" t="s">
        <v>45</v>
      </c>
      <c r="K205" t="s">
        <v>45</v>
      </c>
      <c r="L205" t="s">
        <v>72</v>
      </c>
      <c r="M205" s="1">
        <v>40898</v>
      </c>
      <c r="N205" t="s">
        <v>89</v>
      </c>
      <c r="O205" t="s">
        <v>121</v>
      </c>
      <c r="P205" t="s">
        <v>49</v>
      </c>
      <c r="Q205" t="s">
        <v>2070</v>
      </c>
      <c r="R205" t="s">
        <v>2071</v>
      </c>
      <c r="S205">
        <v>6447</v>
      </c>
      <c r="T205" t="s">
        <v>52</v>
      </c>
      <c r="U205">
        <v>1</v>
      </c>
      <c r="V205" t="s">
        <v>740</v>
      </c>
      <c r="W205" t="s">
        <v>54</v>
      </c>
      <c r="X205" t="s">
        <v>52</v>
      </c>
      <c r="Y205" t="s">
        <v>125</v>
      </c>
      <c r="Z205">
        <v>2959</v>
      </c>
      <c r="AA205">
        <v>85</v>
      </c>
      <c r="AB205">
        <v>166</v>
      </c>
      <c r="AC205" t="s">
        <v>2072</v>
      </c>
      <c r="AD205" t="s">
        <v>742</v>
      </c>
      <c r="AE205" t="s">
        <v>2073</v>
      </c>
      <c r="AI205" t="s">
        <v>742</v>
      </c>
      <c r="AJ205" s="2">
        <v>45783.894143518519</v>
      </c>
      <c r="AK205" t="s">
        <v>660</v>
      </c>
      <c r="AL205" t="s">
        <v>65</v>
      </c>
      <c r="AM205" s="4">
        <v>0.8125</v>
      </c>
      <c r="AN205" t="s">
        <v>66</v>
      </c>
      <c r="AO205" t="s">
        <v>67</v>
      </c>
    </row>
    <row r="206" spans="1:41" x14ac:dyDescent="0.2">
      <c r="A206">
        <v>370259</v>
      </c>
      <c r="B206" t="s">
        <v>2074</v>
      </c>
      <c r="C206" t="s">
        <v>735</v>
      </c>
      <c r="D206" t="s">
        <v>2075</v>
      </c>
      <c r="E206" t="s">
        <v>2076</v>
      </c>
      <c r="G206" s="1">
        <v>45768</v>
      </c>
      <c r="H206" s="1">
        <v>45714</v>
      </c>
      <c r="I206" s="1">
        <v>46082</v>
      </c>
      <c r="J206" t="s">
        <v>45</v>
      </c>
      <c r="K206" t="s">
        <v>45</v>
      </c>
      <c r="L206" t="s">
        <v>72</v>
      </c>
      <c r="N206" t="s">
        <v>47</v>
      </c>
      <c r="O206" t="s">
        <v>121</v>
      </c>
      <c r="P206" t="s">
        <v>49</v>
      </c>
      <c r="Q206" t="s">
        <v>2077</v>
      </c>
      <c r="R206" t="s">
        <v>2078</v>
      </c>
      <c r="S206">
        <v>6624</v>
      </c>
      <c r="T206" t="s">
        <v>52</v>
      </c>
      <c r="U206">
        <v>1</v>
      </c>
      <c r="V206" t="s">
        <v>740</v>
      </c>
      <c r="W206" t="s">
        <v>54</v>
      </c>
      <c r="X206" t="s">
        <v>76</v>
      </c>
      <c r="Y206" t="s">
        <v>125</v>
      </c>
      <c r="Z206">
        <v>12255</v>
      </c>
      <c r="AA206">
        <v>9</v>
      </c>
      <c r="AB206">
        <v>44</v>
      </c>
      <c r="AC206" t="s">
        <v>2072</v>
      </c>
      <c r="AD206" t="s">
        <v>742</v>
      </c>
      <c r="AE206" t="s">
        <v>743</v>
      </c>
      <c r="AF206" t="s">
        <v>2079</v>
      </c>
      <c r="AG206" t="s">
        <v>742</v>
      </c>
      <c r="AH206" t="s">
        <v>2073</v>
      </c>
      <c r="AJ206" s="2">
        <v>45768.909074074072</v>
      </c>
      <c r="AK206" t="s">
        <v>375</v>
      </c>
      <c r="AL206" t="s">
        <v>65</v>
      </c>
      <c r="AM206" s="3">
        <v>1.6631944444444444</v>
      </c>
      <c r="AN206" t="s">
        <v>66</v>
      </c>
      <c r="AO206" t="s">
        <v>67</v>
      </c>
    </row>
    <row r="207" spans="1:41" x14ac:dyDescent="0.2">
      <c r="A207">
        <v>372527</v>
      </c>
      <c r="B207" t="s">
        <v>2080</v>
      </c>
      <c r="C207" t="s">
        <v>692</v>
      </c>
      <c r="D207" t="s">
        <v>1419</v>
      </c>
      <c r="E207" t="s">
        <v>2081</v>
      </c>
      <c r="F207">
        <v>480101</v>
      </c>
      <c r="G207" s="1">
        <v>36458</v>
      </c>
      <c r="H207" s="1">
        <v>45825</v>
      </c>
      <c r="I207" s="1">
        <v>46188</v>
      </c>
      <c r="J207" t="s">
        <v>45</v>
      </c>
      <c r="K207" t="s">
        <v>45</v>
      </c>
      <c r="L207" t="s">
        <v>72</v>
      </c>
      <c r="M207" s="1">
        <v>41827</v>
      </c>
      <c r="N207" t="s">
        <v>47</v>
      </c>
      <c r="O207" t="s">
        <v>48</v>
      </c>
      <c r="P207" t="s">
        <v>49</v>
      </c>
      <c r="Q207" t="s">
        <v>2082</v>
      </c>
      <c r="R207" t="s">
        <v>2083</v>
      </c>
      <c r="S207">
        <v>6400</v>
      </c>
      <c r="T207" t="s">
        <v>257</v>
      </c>
      <c r="U207" t="s">
        <v>283</v>
      </c>
      <c r="V207" t="s">
        <v>2084</v>
      </c>
      <c r="W207" t="s">
        <v>260</v>
      </c>
      <c r="X207" t="s">
        <v>257</v>
      </c>
      <c r="Y207" t="s">
        <v>110</v>
      </c>
      <c r="Z207">
        <v>1510</v>
      </c>
      <c r="AA207">
        <v>57</v>
      </c>
      <c r="AB207">
        <v>210</v>
      </c>
      <c r="AC207" t="s">
        <v>2085</v>
      </c>
      <c r="AD207" t="s">
        <v>2086</v>
      </c>
      <c r="AE207" t="s">
        <v>2087</v>
      </c>
      <c r="AF207" t="s">
        <v>2088</v>
      </c>
      <c r="AG207" t="s">
        <v>2089</v>
      </c>
      <c r="AI207" t="s">
        <v>2086</v>
      </c>
      <c r="AJ207" s="2">
        <v>45841.922106481485</v>
      </c>
      <c r="AK207" t="s">
        <v>2085</v>
      </c>
      <c r="AL207" t="s">
        <v>65</v>
      </c>
      <c r="AM207" s="3">
        <v>2.0694444444444446</v>
      </c>
      <c r="AN207" t="s">
        <v>66</v>
      </c>
      <c r="AO207" t="s">
        <v>67</v>
      </c>
    </row>
    <row r="208" spans="1:41" x14ac:dyDescent="0.2">
      <c r="A208">
        <v>366967</v>
      </c>
      <c r="B208" t="s">
        <v>2090</v>
      </c>
      <c r="C208" t="s">
        <v>1244</v>
      </c>
      <c r="D208" t="s">
        <v>2091</v>
      </c>
      <c r="E208">
        <v>90005090</v>
      </c>
      <c r="F208">
        <v>463802</v>
      </c>
      <c r="G208" s="1">
        <v>38539</v>
      </c>
      <c r="H208" s="1">
        <v>45638</v>
      </c>
      <c r="J208" t="s">
        <v>45</v>
      </c>
      <c r="K208" t="s">
        <v>45</v>
      </c>
      <c r="L208" t="s">
        <v>72</v>
      </c>
      <c r="M208" s="1">
        <v>43578</v>
      </c>
      <c r="N208" t="s">
        <v>47</v>
      </c>
      <c r="O208" t="s">
        <v>48</v>
      </c>
      <c r="P208" t="s">
        <v>49</v>
      </c>
      <c r="Q208" t="s">
        <v>2092</v>
      </c>
      <c r="R208" t="s">
        <v>2093</v>
      </c>
      <c r="S208">
        <v>1353</v>
      </c>
      <c r="T208" t="s">
        <v>92</v>
      </c>
      <c r="U208" t="s">
        <v>1249</v>
      </c>
      <c r="V208" t="s">
        <v>1250</v>
      </c>
      <c r="W208" t="s">
        <v>1251</v>
      </c>
      <c r="X208" t="s">
        <v>92</v>
      </c>
      <c r="Y208" t="s">
        <v>770</v>
      </c>
      <c r="Z208">
        <v>2697</v>
      </c>
      <c r="AA208">
        <v>31</v>
      </c>
      <c r="AB208">
        <v>144</v>
      </c>
      <c r="AC208" t="s">
        <v>1252</v>
      </c>
      <c r="AD208" t="s">
        <v>1253</v>
      </c>
      <c r="AE208" t="s">
        <v>1254</v>
      </c>
      <c r="AF208" t="s">
        <v>1255</v>
      </c>
      <c r="AG208" t="s">
        <v>1256</v>
      </c>
      <c r="AH208" t="s">
        <v>1257</v>
      </c>
      <c r="AI208" t="s">
        <v>1256</v>
      </c>
      <c r="AJ208" s="2">
        <v>45649.658564814818</v>
      </c>
      <c r="AK208" t="s">
        <v>1255</v>
      </c>
      <c r="AL208" t="s">
        <v>65</v>
      </c>
      <c r="AM208" s="4">
        <v>0.71527777777777779</v>
      </c>
      <c r="AN208" t="s">
        <v>66</v>
      </c>
      <c r="AO208" t="s">
        <v>67</v>
      </c>
    </row>
    <row r="209" spans="1:41" x14ac:dyDescent="0.2">
      <c r="A209">
        <v>366969</v>
      </c>
      <c r="B209" t="s">
        <v>2094</v>
      </c>
      <c r="C209" t="s">
        <v>1244</v>
      </c>
      <c r="D209" t="s">
        <v>2095</v>
      </c>
      <c r="E209">
        <v>90010216</v>
      </c>
      <c r="F209">
        <v>464302</v>
      </c>
      <c r="G209" s="1">
        <v>39188</v>
      </c>
      <c r="H209" s="1">
        <v>45632</v>
      </c>
      <c r="J209" t="s">
        <v>45</v>
      </c>
      <c r="K209" t="s">
        <v>45</v>
      </c>
      <c r="L209" t="s">
        <v>72</v>
      </c>
      <c r="M209" s="1">
        <v>40835</v>
      </c>
      <c r="N209" t="s">
        <v>47</v>
      </c>
      <c r="O209" t="s">
        <v>48</v>
      </c>
      <c r="P209" t="s">
        <v>49</v>
      </c>
      <c r="Q209" t="s">
        <v>2096</v>
      </c>
      <c r="R209" t="s">
        <v>2097</v>
      </c>
      <c r="S209">
        <v>735</v>
      </c>
      <c r="T209" t="s">
        <v>92</v>
      </c>
      <c r="U209" t="s">
        <v>1249</v>
      </c>
      <c r="V209" t="s">
        <v>1250</v>
      </c>
      <c r="W209" t="s">
        <v>1251</v>
      </c>
      <c r="X209" t="s">
        <v>92</v>
      </c>
      <c r="Y209" t="s">
        <v>450</v>
      </c>
      <c r="Z209">
        <v>2902</v>
      </c>
      <c r="AA209">
        <v>30</v>
      </c>
      <c r="AB209">
        <v>166</v>
      </c>
      <c r="AC209" t="s">
        <v>1252</v>
      </c>
      <c r="AD209" t="s">
        <v>1253</v>
      </c>
      <c r="AE209" t="s">
        <v>1254</v>
      </c>
      <c r="AF209" t="s">
        <v>1255</v>
      </c>
      <c r="AG209" t="s">
        <v>1256</v>
      </c>
      <c r="AH209" t="s">
        <v>1257</v>
      </c>
      <c r="AI209" t="s">
        <v>1256</v>
      </c>
      <c r="AJ209" s="2">
        <v>45649.660624999997</v>
      </c>
      <c r="AK209" t="s">
        <v>1255</v>
      </c>
      <c r="AL209" t="s">
        <v>65</v>
      </c>
      <c r="AM209" s="4">
        <v>0.58333333333333337</v>
      </c>
      <c r="AN209" t="s">
        <v>66</v>
      </c>
      <c r="AO209" t="s">
        <v>67</v>
      </c>
    </row>
    <row r="210" spans="1:41" x14ac:dyDescent="0.2">
      <c r="A210">
        <v>372633</v>
      </c>
      <c r="B210" t="s">
        <v>2098</v>
      </c>
      <c r="C210" t="s">
        <v>278</v>
      </c>
      <c r="D210" t="s">
        <v>278</v>
      </c>
      <c r="E210" t="s">
        <v>2099</v>
      </c>
      <c r="G210" s="1">
        <v>45847</v>
      </c>
      <c r="H210" s="1">
        <v>45847</v>
      </c>
      <c r="I210" s="1">
        <v>46204</v>
      </c>
      <c r="J210" t="s">
        <v>45</v>
      </c>
      <c r="K210" t="s">
        <v>45</v>
      </c>
      <c r="L210" t="s">
        <v>72</v>
      </c>
      <c r="N210" t="s">
        <v>47</v>
      </c>
      <c r="O210" t="s">
        <v>48</v>
      </c>
      <c r="P210" t="s">
        <v>49</v>
      </c>
      <c r="Q210" t="s">
        <v>2100</v>
      </c>
      <c r="R210" t="s">
        <v>2101</v>
      </c>
      <c r="S210">
        <v>8981</v>
      </c>
      <c r="T210" t="s">
        <v>52</v>
      </c>
      <c r="U210">
        <v>4</v>
      </c>
      <c r="V210" t="s">
        <v>2102</v>
      </c>
      <c r="W210" t="s">
        <v>54</v>
      </c>
      <c r="X210" t="s">
        <v>76</v>
      </c>
      <c r="Y210" t="s">
        <v>56</v>
      </c>
      <c r="Z210">
        <v>12285</v>
      </c>
      <c r="AA210">
        <v>7</v>
      </c>
      <c r="AB210">
        <v>44</v>
      </c>
      <c r="AC210" t="s">
        <v>2103</v>
      </c>
      <c r="AD210" t="s">
        <v>2104</v>
      </c>
      <c r="AE210" t="s">
        <v>2105</v>
      </c>
      <c r="AF210" t="s">
        <v>2106</v>
      </c>
      <c r="AG210" t="s">
        <v>2107</v>
      </c>
      <c r="AH210" t="s">
        <v>2108</v>
      </c>
      <c r="AI210" t="s">
        <v>179</v>
      </c>
      <c r="AJ210" s="2">
        <v>45848.072395833333</v>
      </c>
      <c r="AK210" t="s">
        <v>800</v>
      </c>
      <c r="AL210" t="s">
        <v>65</v>
      </c>
      <c r="AM210" s="3">
        <v>1.9618055555555556</v>
      </c>
      <c r="AN210" t="s">
        <v>66</v>
      </c>
      <c r="AO210" t="s">
        <v>67</v>
      </c>
    </row>
    <row r="211" spans="1:41" x14ac:dyDescent="0.2">
      <c r="A211">
        <v>369598</v>
      </c>
      <c r="B211" t="s">
        <v>2109</v>
      </c>
      <c r="C211" t="s">
        <v>182</v>
      </c>
      <c r="D211" t="s">
        <v>516</v>
      </c>
      <c r="E211" t="s">
        <v>2110</v>
      </c>
      <c r="F211">
        <v>45735</v>
      </c>
      <c r="G211" s="1">
        <v>37167</v>
      </c>
      <c r="H211" s="1">
        <v>45741</v>
      </c>
      <c r="I211" s="1">
        <v>46113</v>
      </c>
      <c r="J211" t="s">
        <v>45</v>
      </c>
      <c r="K211" t="s">
        <v>45</v>
      </c>
      <c r="L211" t="s">
        <v>429</v>
      </c>
      <c r="M211" s="1">
        <v>44167</v>
      </c>
      <c r="N211" t="s">
        <v>47</v>
      </c>
      <c r="O211" t="s">
        <v>48</v>
      </c>
      <c r="P211" t="s">
        <v>49</v>
      </c>
      <c r="Q211" t="s">
        <v>2111</v>
      </c>
      <c r="R211" t="s">
        <v>2112</v>
      </c>
      <c r="S211">
        <v>793</v>
      </c>
      <c r="T211" t="s">
        <v>92</v>
      </c>
      <c r="U211" t="s">
        <v>187</v>
      </c>
      <c r="V211" t="s">
        <v>2113</v>
      </c>
      <c r="W211" t="s">
        <v>448</v>
      </c>
      <c r="X211" t="s">
        <v>493</v>
      </c>
      <c r="Y211" t="s">
        <v>434</v>
      </c>
      <c r="Z211">
        <v>1299</v>
      </c>
      <c r="AA211">
        <v>63</v>
      </c>
      <c r="AB211">
        <v>210</v>
      </c>
      <c r="AC211" t="s">
        <v>2114</v>
      </c>
      <c r="AD211" t="s">
        <v>2115</v>
      </c>
      <c r="AE211" t="s">
        <v>2116</v>
      </c>
      <c r="AF211" t="s">
        <v>2117</v>
      </c>
      <c r="AG211" t="s">
        <v>2118</v>
      </c>
      <c r="AH211" t="s">
        <v>2119</v>
      </c>
      <c r="AI211" t="s">
        <v>2120</v>
      </c>
      <c r="AJ211" s="2">
        <v>45747.59746527778</v>
      </c>
      <c r="AK211" t="s">
        <v>540</v>
      </c>
      <c r="AL211" t="s">
        <v>65</v>
      </c>
      <c r="AM211" s="3">
        <v>2.1527777777777777</v>
      </c>
      <c r="AN211" t="s">
        <v>66</v>
      </c>
      <c r="AO211" t="s">
        <v>67</v>
      </c>
    </row>
    <row r="212" spans="1:41" x14ac:dyDescent="0.2">
      <c r="A212">
        <v>367451</v>
      </c>
      <c r="B212" t="s">
        <v>2121</v>
      </c>
      <c r="C212" t="s">
        <v>118</v>
      </c>
      <c r="D212" t="s">
        <v>1363</v>
      </c>
      <c r="E212">
        <v>32552074</v>
      </c>
      <c r="F212">
        <v>21504</v>
      </c>
      <c r="G212" s="1">
        <v>39347</v>
      </c>
      <c r="H212" s="1">
        <v>45674</v>
      </c>
      <c r="I212" s="1">
        <v>46023</v>
      </c>
      <c r="J212" t="s">
        <v>45</v>
      </c>
      <c r="K212" t="s">
        <v>45</v>
      </c>
      <c r="L212" t="s">
        <v>429</v>
      </c>
      <c r="M212" s="1">
        <v>45300</v>
      </c>
      <c r="N212" t="s">
        <v>47</v>
      </c>
      <c r="O212" t="s">
        <v>48</v>
      </c>
      <c r="P212" t="s">
        <v>49</v>
      </c>
      <c r="Q212" t="s">
        <v>2122</v>
      </c>
      <c r="R212" t="s">
        <v>2123</v>
      </c>
      <c r="S212">
        <v>1813</v>
      </c>
      <c r="T212" t="s">
        <v>365</v>
      </c>
      <c r="U212" t="s">
        <v>815</v>
      </c>
      <c r="V212" t="s">
        <v>2124</v>
      </c>
      <c r="W212" t="s">
        <v>367</v>
      </c>
      <c r="X212" t="s">
        <v>55</v>
      </c>
      <c r="Y212" t="s">
        <v>434</v>
      </c>
      <c r="Z212">
        <v>1525</v>
      </c>
      <c r="AA212">
        <v>72</v>
      </c>
      <c r="AB212">
        <v>28</v>
      </c>
      <c r="AC212" t="s">
        <v>2125</v>
      </c>
      <c r="AD212" t="s">
        <v>2126</v>
      </c>
      <c r="AE212" t="s">
        <v>2127</v>
      </c>
      <c r="AF212" t="s">
        <v>2128</v>
      </c>
      <c r="AG212" t="s">
        <v>2129</v>
      </c>
      <c r="AH212" t="s">
        <v>2130</v>
      </c>
      <c r="AI212" t="s">
        <v>2131</v>
      </c>
      <c r="AJ212" s="2">
        <v>45675.130983796298</v>
      </c>
      <c r="AK212" t="s">
        <v>609</v>
      </c>
      <c r="AL212" t="s">
        <v>65</v>
      </c>
      <c r="AM212" s="4">
        <v>6.9444444444444448E-2</v>
      </c>
      <c r="AN212" t="s">
        <v>66</v>
      </c>
      <c r="AO212" t="s">
        <v>67</v>
      </c>
    </row>
    <row r="213" spans="1:41" x14ac:dyDescent="0.2">
      <c r="A213">
        <v>372858</v>
      </c>
      <c r="B213" t="s">
        <v>2132</v>
      </c>
      <c r="C213" t="s">
        <v>236</v>
      </c>
      <c r="D213" t="s">
        <v>2133</v>
      </c>
      <c r="E213" t="s">
        <v>2134</v>
      </c>
      <c r="F213">
        <v>210901</v>
      </c>
      <c r="G213" s="1">
        <v>34455</v>
      </c>
      <c r="H213" s="1">
        <v>45630</v>
      </c>
      <c r="J213" t="s">
        <v>45</v>
      </c>
      <c r="K213" t="s">
        <v>45</v>
      </c>
      <c r="L213" t="s">
        <v>72</v>
      </c>
      <c r="M213" s="1">
        <v>43320</v>
      </c>
      <c r="N213" t="s">
        <v>47</v>
      </c>
      <c r="O213" t="s">
        <v>48</v>
      </c>
      <c r="P213" t="s">
        <v>49</v>
      </c>
      <c r="Q213" t="s">
        <v>2135</v>
      </c>
      <c r="R213" t="s">
        <v>2136</v>
      </c>
      <c r="S213">
        <v>1377</v>
      </c>
      <c r="T213" t="s">
        <v>92</v>
      </c>
      <c r="U213" t="s">
        <v>1509</v>
      </c>
      <c r="V213" t="s">
        <v>506</v>
      </c>
      <c r="W213" t="s">
        <v>1510</v>
      </c>
      <c r="X213" t="s">
        <v>52</v>
      </c>
      <c r="Y213" t="s">
        <v>410</v>
      </c>
      <c r="Z213">
        <v>1389</v>
      </c>
      <c r="AA213">
        <v>49</v>
      </c>
      <c r="AB213">
        <v>174</v>
      </c>
      <c r="AC213" t="s">
        <v>1511</v>
      </c>
      <c r="AD213" t="s">
        <v>1512</v>
      </c>
      <c r="AE213" t="s">
        <v>1513</v>
      </c>
      <c r="AF213" t="s">
        <v>2137</v>
      </c>
      <c r="AG213" t="s">
        <v>2138</v>
      </c>
      <c r="AH213" t="s">
        <v>2139</v>
      </c>
      <c r="AI213" t="s">
        <v>2140</v>
      </c>
      <c r="AJ213" s="2">
        <v>45854.878923611112</v>
      </c>
      <c r="AK213" t="s">
        <v>1511</v>
      </c>
      <c r="AL213" t="s">
        <v>65</v>
      </c>
      <c r="AM213" s="4">
        <v>0.27083333333333331</v>
      </c>
      <c r="AN213" t="s">
        <v>66</v>
      </c>
      <c r="AO213" t="s">
        <v>67</v>
      </c>
    </row>
    <row r="214" spans="1:41" x14ac:dyDescent="0.2">
      <c r="A214">
        <v>372483</v>
      </c>
      <c r="B214" t="s">
        <v>2141</v>
      </c>
      <c r="C214" t="s">
        <v>182</v>
      </c>
      <c r="D214" t="s">
        <v>1616</v>
      </c>
      <c r="E214" t="s">
        <v>2142</v>
      </c>
      <c r="F214">
        <v>42612</v>
      </c>
      <c r="G214" s="1">
        <v>32509</v>
      </c>
      <c r="H214" s="1">
        <v>45734</v>
      </c>
      <c r="J214" t="s">
        <v>45</v>
      </c>
      <c r="K214" t="s">
        <v>45</v>
      </c>
      <c r="L214" t="s">
        <v>72</v>
      </c>
      <c r="N214" t="s">
        <v>47</v>
      </c>
      <c r="O214" t="s">
        <v>48</v>
      </c>
      <c r="P214" t="s">
        <v>49</v>
      </c>
      <c r="Q214" t="s">
        <v>2143</v>
      </c>
      <c r="R214" t="s">
        <v>2144</v>
      </c>
      <c r="S214">
        <v>905</v>
      </c>
      <c r="T214" t="s">
        <v>92</v>
      </c>
      <c r="U214" t="s">
        <v>187</v>
      </c>
      <c r="V214" t="s">
        <v>447</v>
      </c>
      <c r="W214" t="s">
        <v>448</v>
      </c>
      <c r="X214" t="s">
        <v>92</v>
      </c>
      <c r="Y214" t="s">
        <v>450</v>
      </c>
      <c r="Z214">
        <v>1223</v>
      </c>
      <c r="AA214">
        <v>49</v>
      </c>
      <c r="AB214">
        <v>144</v>
      </c>
      <c r="AC214" t="s">
        <v>2145</v>
      </c>
      <c r="AD214" t="s">
        <v>452</v>
      </c>
      <c r="AE214" t="s">
        <v>453</v>
      </c>
      <c r="AF214" t="s">
        <v>454</v>
      </c>
      <c r="AG214" t="s">
        <v>473</v>
      </c>
      <c r="AJ214" s="2">
        <v>45840.819733796299</v>
      </c>
      <c r="AK214" t="s">
        <v>276</v>
      </c>
      <c r="AL214" t="s">
        <v>65</v>
      </c>
      <c r="AM214" s="3">
        <v>2.4583333333333335</v>
      </c>
      <c r="AN214" t="s">
        <v>66</v>
      </c>
      <c r="AO214" t="s">
        <v>67</v>
      </c>
    </row>
    <row r="215" spans="1:41" x14ac:dyDescent="0.2">
      <c r="A215">
        <v>371712</v>
      </c>
      <c r="B215" t="s">
        <v>2146</v>
      </c>
      <c r="C215" t="s">
        <v>323</v>
      </c>
      <c r="D215" t="s">
        <v>372</v>
      </c>
      <c r="E215" t="s">
        <v>2147</v>
      </c>
      <c r="F215">
        <v>500414</v>
      </c>
      <c r="G215" s="1">
        <v>31595</v>
      </c>
      <c r="H215" s="1">
        <v>45763</v>
      </c>
      <c r="I215" s="1">
        <v>46037</v>
      </c>
      <c r="J215" t="s">
        <v>45</v>
      </c>
      <c r="K215" t="s">
        <v>326</v>
      </c>
      <c r="L215" t="s">
        <v>72</v>
      </c>
      <c r="M215" s="1">
        <v>43630</v>
      </c>
      <c r="N215" t="s">
        <v>47</v>
      </c>
      <c r="O215" t="s">
        <v>48</v>
      </c>
      <c r="P215" t="s">
        <v>49</v>
      </c>
      <c r="Q215" t="s">
        <v>2148</v>
      </c>
      <c r="R215" t="s">
        <v>2149</v>
      </c>
      <c r="S215">
        <v>1850</v>
      </c>
      <c r="T215" t="s">
        <v>257</v>
      </c>
      <c r="U215" t="s">
        <v>329</v>
      </c>
      <c r="V215" t="s">
        <v>2150</v>
      </c>
      <c r="W215" t="s">
        <v>260</v>
      </c>
      <c r="X215" t="s">
        <v>76</v>
      </c>
      <c r="Y215" t="s">
        <v>110</v>
      </c>
      <c r="Z215">
        <v>500</v>
      </c>
      <c r="AA215">
        <v>52</v>
      </c>
      <c r="AB215">
        <v>158</v>
      </c>
      <c r="AC215" t="s">
        <v>368</v>
      </c>
      <c r="AD215" t="s">
        <v>369</v>
      </c>
      <c r="AE215" t="s">
        <v>370</v>
      </c>
      <c r="AI215" t="s">
        <v>2151</v>
      </c>
      <c r="AJ215" s="2">
        <v>45818.711087962962</v>
      </c>
      <c r="AK215" t="s">
        <v>727</v>
      </c>
      <c r="AL215" t="s">
        <v>65</v>
      </c>
      <c r="AM215" s="4">
        <v>0.84722222222222221</v>
      </c>
      <c r="AN215" t="s">
        <v>66</v>
      </c>
      <c r="AO215" t="s">
        <v>67</v>
      </c>
    </row>
    <row r="216" spans="1:41" x14ac:dyDescent="0.2">
      <c r="A216">
        <v>368436</v>
      </c>
      <c r="B216" t="s">
        <v>2152</v>
      </c>
      <c r="C216" t="s">
        <v>182</v>
      </c>
      <c r="D216" t="s">
        <v>2153</v>
      </c>
      <c r="E216" t="s">
        <v>2154</v>
      </c>
      <c r="F216">
        <v>43809</v>
      </c>
      <c r="G216" s="1">
        <v>32509</v>
      </c>
      <c r="H216" s="1">
        <v>45706</v>
      </c>
      <c r="J216" t="s">
        <v>45</v>
      </c>
      <c r="K216" t="s">
        <v>45</v>
      </c>
      <c r="L216" t="s">
        <v>72</v>
      </c>
      <c r="M216" s="1">
        <v>39729</v>
      </c>
      <c r="N216" t="s">
        <v>47</v>
      </c>
      <c r="O216" t="s">
        <v>48</v>
      </c>
      <c r="P216" t="s">
        <v>49</v>
      </c>
      <c r="Q216" t="s">
        <v>2155</v>
      </c>
      <c r="R216" t="s">
        <v>2156</v>
      </c>
      <c r="S216">
        <v>2598</v>
      </c>
      <c r="T216" t="s">
        <v>92</v>
      </c>
      <c r="U216" t="s">
        <v>187</v>
      </c>
      <c r="V216" t="s">
        <v>447</v>
      </c>
      <c r="W216" t="s">
        <v>448</v>
      </c>
      <c r="X216" t="s">
        <v>92</v>
      </c>
      <c r="Y216" t="s">
        <v>450</v>
      </c>
      <c r="Z216">
        <v>1227</v>
      </c>
      <c r="AA216">
        <v>54</v>
      </c>
      <c r="AB216">
        <v>144</v>
      </c>
      <c r="AC216" t="s">
        <v>451</v>
      </c>
      <c r="AD216" t="s">
        <v>452</v>
      </c>
      <c r="AE216" t="s">
        <v>453</v>
      </c>
      <c r="AF216" t="s">
        <v>454</v>
      </c>
      <c r="AG216" t="s">
        <v>473</v>
      </c>
      <c r="AI216" t="s">
        <v>452</v>
      </c>
      <c r="AJ216" s="2">
        <v>45712.680254629631</v>
      </c>
      <c r="AK216" t="s">
        <v>526</v>
      </c>
      <c r="AL216" t="s">
        <v>65</v>
      </c>
      <c r="AM216" s="3">
        <v>2.0902777777777777</v>
      </c>
      <c r="AN216" t="s">
        <v>66</v>
      </c>
      <c r="AO216" t="s">
        <v>67</v>
      </c>
    </row>
    <row r="217" spans="1:41" x14ac:dyDescent="0.2">
      <c r="A217">
        <v>373032</v>
      </c>
      <c r="B217" t="s">
        <v>2157</v>
      </c>
      <c r="C217" t="s">
        <v>735</v>
      </c>
      <c r="D217" t="s">
        <v>2158</v>
      </c>
      <c r="E217" t="s">
        <v>2159</v>
      </c>
      <c r="F217">
        <v>241901</v>
      </c>
      <c r="G217" s="1">
        <v>31321</v>
      </c>
      <c r="H217" s="1">
        <v>45526</v>
      </c>
      <c r="I217" s="1">
        <v>46249</v>
      </c>
      <c r="J217" t="s">
        <v>45</v>
      </c>
      <c r="K217" t="s">
        <v>45</v>
      </c>
      <c r="L217" t="s">
        <v>429</v>
      </c>
      <c r="M217" s="1">
        <v>42755</v>
      </c>
      <c r="N217" t="s">
        <v>47</v>
      </c>
      <c r="O217" t="s">
        <v>48</v>
      </c>
      <c r="P217" t="s">
        <v>49</v>
      </c>
      <c r="Q217" t="s">
        <v>2160</v>
      </c>
      <c r="R217" t="s">
        <v>2161</v>
      </c>
      <c r="S217">
        <v>5374</v>
      </c>
      <c r="T217" t="s">
        <v>52</v>
      </c>
      <c r="U217">
        <v>1</v>
      </c>
      <c r="V217" t="s">
        <v>2162</v>
      </c>
      <c r="W217" t="s">
        <v>54</v>
      </c>
      <c r="X217" t="s">
        <v>76</v>
      </c>
      <c r="Y217" t="s">
        <v>56</v>
      </c>
      <c r="Z217">
        <v>556</v>
      </c>
      <c r="AA217">
        <v>51</v>
      </c>
      <c r="AB217">
        <v>80</v>
      </c>
      <c r="AC217" t="s">
        <v>2163</v>
      </c>
      <c r="AD217" t="s">
        <v>2164</v>
      </c>
      <c r="AE217" t="s">
        <v>2165</v>
      </c>
      <c r="AF217" t="s">
        <v>2166</v>
      </c>
      <c r="AG217" t="s">
        <v>2167</v>
      </c>
      <c r="AH217" t="s">
        <v>2168</v>
      </c>
      <c r="AI217" t="s">
        <v>2169</v>
      </c>
      <c r="AJ217" s="2">
        <v>45856.040150462963</v>
      </c>
      <c r="AK217" t="s">
        <v>556</v>
      </c>
      <c r="AL217" t="s">
        <v>65</v>
      </c>
      <c r="AM217" s="4">
        <v>0.36805555555555558</v>
      </c>
      <c r="AN217" t="s">
        <v>66</v>
      </c>
      <c r="AO217" t="s">
        <v>67</v>
      </c>
    </row>
    <row r="218" spans="1:41" x14ac:dyDescent="0.2">
      <c r="A218">
        <v>371927</v>
      </c>
      <c r="B218" t="s">
        <v>2170</v>
      </c>
      <c r="C218" t="s">
        <v>323</v>
      </c>
      <c r="D218" t="s">
        <v>2171</v>
      </c>
      <c r="E218" t="s">
        <v>2172</v>
      </c>
      <c r="F218">
        <v>500966</v>
      </c>
      <c r="G218" s="1">
        <v>36353</v>
      </c>
      <c r="H218" s="1">
        <v>45821</v>
      </c>
      <c r="I218" s="1">
        <v>46037</v>
      </c>
      <c r="J218" t="s">
        <v>45</v>
      </c>
      <c r="K218" t="s">
        <v>45</v>
      </c>
      <c r="L218" t="s">
        <v>72</v>
      </c>
      <c r="M218" s="1">
        <v>43713</v>
      </c>
      <c r="N218" t="s">
        <v>47</v>
      </c>
      <c r="O218" t="s">
        <v>48</v>
      </c>
      <c r="P218" t="s">
        <v>49</v>
      </c>
      <c r="Q218" t="s">
        <v>2173</v>
      </c>
      <c r="R218" t="s">
        <v>2174</v>
      </c>
      <c r="S218">
        <v>150</v>
      </c>
      <c r="T218" t="s">
        <v>92</v>
      </c>
      <c r="U218" t="s">
        <v>329</v>
      </c>
      <c r="V218" t="s">
        <v>722</v>
      </c>
      <c r="W218" t="s">
        <v>723</v>
      </c>
      <c r="X218" t="s">
        <v>92</v>
      </c>
      <c r="Y218" t="s">
        <v>110</v>
      </c>
      <c r="Z218">
        <v>1640</v>
      </c>
      <c r="AA218">
        <v>36</v>
      </c>
      <c r="AB218">
        <v>30</v>
      </c>
      <c r="AC218" t="s">
        <v>2175</v>
      </c>
      <c r="AD218" t="s">
        <v>2176</v>
      </c>
      <c r="AE218" t="s">
        <v>2177</v>
      </c>
      <c r="AF218" t="s">
        <v>368</v>
      </c>
      <c r="AG218" t="s">
        <v>369</v>
      </c>
      <c r="AH218" t="s">
        <v>370</v>
      </c>
      <c r="AI218" t="s">
        <v>332</v>
      </c>
      <c r="AJ218" s="2">
        <v>45824.893055555556</v>
      </c>
      <c r="AK218" t="s">
        <v>331</v>
      </c>
      <c r="AL218" t="s">
        <v>65</v>
      </c>
      <c r="AM218" s="4">
        <v>0.4861111111111111</v>
      </c>
      <c r="AN218" t="s">
        <v>66</v>
      </c>
      <c r="AO218" t="s">
        <v>67</v>
      </c>
    </row>
    <row r="219" spans="1:41" x14ac:dyDescent="0.2">
      <c r="A219">
        <v>368957</v>
      </c>
      <c r="B219" t="s">
        <v>2178</v>
      </c>
      <c r="C219" t="s">
        <v>182</v>
      </c>
      <c r="D219" t="s">
        <v>2179</v>
      </c>
      <c r="E219" t="s">
        <v>2180</v>
      </c>
      <c r="F219">
        <v>43708</v>
      </c>
      <c r="G219" s="1">
        <v>34456</v>
      </c>
      <c r="H219" s="1">
        <v>45531</v>
      </c>
      <c r="I219" s="1">
        <v>45915</v>
      </c>
      <c r="J219" t="s">
        <v>45</v>
      </c>
      <c r="K219" t="s">
        <v>45</v>
      </c>
      <c r="L219" t="s">
        <v>429</v>
      </c>
      <c r="M219" s="1">
        <v>44617</v>
      </c>
      <c r="N219" t="s">
        <v>47</v>
      </c>
      <c r="O219" t="s">
        <v>48</v>
      </c>
      <c r="P219" t="s">
        <v>49</v>
      </c>
      <c r="Q219" t="s">
        <v>2181</v>
      </c>
      <c r="R219" t="s">
        <v>2182</v>
      </c>
      <c r="S219">
        <v>5450</v>
      </c>
      <c r="T219" t="s">
        <v>365</v>
      </c>
      <c r="U219" t="s">
        <v>562</v>
      </c>
      <c r="V219" t="s">
        <v>1980</v>
      </c>
      <c r="W219" t="s">
        <v>367</v>
      </c>
      <c r="X219" t="s">
        <v>493</v>
      </c>
      <c r="Y219" t="s">
        <v>434</v>
      </c>
      <c r="Z219">
        <v>79</v>
      </c>
      <c r="AA219">
        <v>58</v>
      </c>
      <c r="AB219">
        <v>176</v>
      </c>
      <c r="AC219" t="s">
        <v>2183</v>
      </c>
      <c r="AD219" t="s">
        <v>2184</v>
      </c>
      <c r="AE219" t="s">
        <v>2185</v>
      </c>
      <c r="AF219" t="s">
        <v>2186</v>
      </c>
      <c r="AH219" t="s">
        <v>2185</v>
      </c>
      <c r="AI219" t="s">
        <v>500</v>
      </c>
      <c r="AJ219" s="2">
        <v>45722.924305555556</v>
      </c>
      <c r="AK219" t="s">
        <v>1472</v>
      </c>
      <c r="AL219" t="s">
        <v>65</v>
      </c>
      <c r="AM219" s="4">
        <v>6.9444444444444441E-3</v>
      </c>
      <c r="AN219" t="s">
        <v>66</v>
      </c>
      <c r="AO219" t="s">
        <v>67</v>
      </c>
    </row>
    <row r="220" spans="1:41" x14ac:dyDescent="0.2">
      <c r="A220">
        <v>366941</v>
      </c>
      <c r="B220" t="s">
        <v>2187</v>
      </c>
      <c r="C220" t="s">
        <v>323</v>
      </c>
      <c r="D220" t="s">
        <v>2188</v>
      </c>
      <c r="E220" t="s">
        <v>2189</v>
      </c>
      <c r="F220">
        <v>501011</v>
      </c>
      <c r="G220" s="1">
        <v>44393</v>
      </c>
      <c r="H220" s="1">
        <v>45526</v>
      </c>
      <c r="I220" s="1">
        <v>46174</v>
      </c>
      <c r="J220" t="s">
        <v>45</v>
      </c>
      <c r="K220" t="s">
        <v>45</v>
      </c>
      <c r="L220" t="s">
        <v>429</v>
      </c>
      <c r="N220" t="s">
        <v>47</v>
      </c>
      <c r="O220" t="s">
        <v>48</v>
      </c>
      <c r="P220" t="s">
        <v>49</v>
      </c>
      <c r="Q220" t="s">
        <v>2190</v>
      </c>
      <c r="R220" t="s">
        <v>2191</v>
      </c>
      <c r="S220">
        <v>180</v>
      </c>
      <c r="T220" t="s">
        <v>52</v>
      </c>
      <c r="U220">
        <v>10</v>
      </c>
      <c r="V220" t="s">
        <v>2192</v>
      </c>
      <c r="W220" t="s">
        <v>54</v>
      </c>
      <c r="X220" t="s">
        <v>76</v>
      </c>
      <c r="Y220" t="s">
        <v>56</v>
      </c>
      <c r="Z220">
        <v>11446</v>
      </c>
      <c r="AA220">
        <v>18</v>
      </c>
      <c r="AB220">
        <v>210</v>
      </c>
      <c r="AC220" t="s">
        <v>2193</v>
      </c>
      <c r="AD220" t="s">
        <v>2194</v>
      </c>
      <c r="AE220" t="s">
        <v>2195</v>
      </c>
      <c r="AF220" t="s">
        <v>2196</v>
      </c>
      <c r="AG220" t="s">
        <v>2197</v>
      </c>
      <c r="AH220" t="s">
        <v>2198</v>
      </c>
      <c r="AI220" t="s">
        <v>2199</v>
      </c>
      <c r="AJ220" s="2">
        <v>45646.696851851855</v>
      </c>
      <c r="AK220" t="s">
        <v>375</v>
      </c>
      <c r="AL220" t="s">
        <v>65</v>
      </c>
      <c r="AM220" s="4">
        <v>0.34027777777777779</v>
      </c>
      <c r="AN220" t="s">
        <v>66</v>
      </c>
      <c r="AO220" t="s">
        <v>67</v>
      </c>
    </row>
    <row r="221" spans="1:41" x14ac:dyDescent="0.2">
      <c r="A221">
        <v>373024</v>
      </c>
      <c r="B221" t="s">
        <v>2200</v>
      </c>
      <c r="C221" t="s">
        <v>252</v>
      </c>
      <c r="D221" t="s">
        <v>2201</v>
      </c>
      <c r="E221">
        <v>32674616</v>
      </c>
      <c r="F221">
        <v>252402</v>
      </c>
      <c r="G221" s="1">
        <v>32084</v>
      </c>
      <c r="H221" s="1">
        <v>45547</v>
      </c>
      <c r="I221" s="1">
        <v>46266</v>
      </c>
      <c r="J221" t="s">
        <v>45</v>
      </c>
      <c r="K221" t="s">
        <v>45</v>
      </c>
      <c r="L221" t="s">
        <v>429</v>
      </c>
      <c r="M221" s="1">
        <v>45266</v>
      </c>
      <c r="N221" t="s">
        <v>47</v>
      </c>
      <c r="O221" t="s">
        <v>48</v>
      </c>
      <c r="P221" t="s">
        <v>49</v>
      </c>
      <c r="Q221" t="s">
        <v>2202</v>
      </c>
      <c r="R221" t="s">
        <v>2203</v>
      </c>
      <c r="S221">
        <v>2873</v>
      </c>
      <c r="T221" t="s">
        <v>52</v>
      </c>
      <c r="U221">
        <v>2</v>
      </c>
      <c r="V221" t="s">
        <v>2204</v>
      </c>
      <c r="W221" t="s">
        <v>54</v>
      </c>
      <c r="X221" t="s">
        <v>76</v>
      </c>
      <c r="Y221" t="s">
        <v>56</v>
      </c>
      <c r="Z221">
        <v>581</v>
      </c>
      <c r="AA221">
        <v>59</v>
      </c>
      <c r="AB221">
        <v>30</v>
      </c>
      <c r="AC221" t="s">
        <v>2205</v>
      </c>
      <c r="AD221" t="s">
        <v>2206</v>
      </c>
      <c r="AE221" t="s">
        <v>2207</v>
      </c>
      <c r="AF221" t="s">
        <v>1570</v>
      </c>
      <c r="AG221" t="s">
        <v>1571</v>
      </c>
      <c r="AH221" t="s">
        <v>1572</v>
      </c>
      <c r="AI221" t="s">
        <v>2208</v>
      </c>
      <c r="AJ221" s="2">
        <v>45856.030752314815</v>
      </c>
      <c r="AK221" t="s">
        <v>556</v>
      </c>
      <c r="AL221" t="s">
        <v>65</v>
      </c>
      <c r="AM221" s="4">
        <v>0.99305555555555558</v>
      </c>
      <c r="AN221" t="s">
        <v>66</v>
      </c>
      <c r="AO221" t="s">
        <v>67</v>
      </c>
    </row>
    <row r="222" spans="1:41" x14ac:dyDescent="0.2">
      <c r="A222">
        <v>356531</v>
      </c>
      <c r="B222" t="s">
        <v>2209</v>
      </c>
      <c r="C222" t="s">
        <v>278</v>
      </c>
      <c r="D222" t="s">
        <v>2210</v>
      </c>
      <c r="E222" t="s">
        <v>2211</v>
      </c>
      <c r="G222" s="1">
        <v>36483</v>
      </c>
      <c r="H222" s="1">
        <v>43060</v>
      </c>
      <c r="J222" t="s">
        <v>326</v>
      </c>
      <c r="K222" t="s">
        <v>45</v>
      </c>
      <c r="L222" t="s">
        <v>72</v>
      </c>
      <c r="M222" s="1">
        <v>43060</v>
      </c>
      <c r="N222" t="s">
        <v>89</v>
      </c>
      <c r="O222" t="s">
        <v>48</v>
      </c>
      <c r="P222" t="s">
        <v>1752</v>
      </c>
      <c r="Q222" t="s">
        <v>2212</v>
      </c>
      <c r="R222" t="s">
        <v>2213</v>
      </c>
      <c r="S222">
        <v>6110</v>
      </c>
      <c r="T222" t="s">
        <v>365</v>
      </c>
      <c r="U222" t="s">
        <v>432</v>
      </c>
      <c r="V222" t="s">
        <v>2214</v>
      </c>
      <c r="W222" t="s">
        <v>409</v>
      </c>
      <c r="X222" t="s">
        <v>76</v>
      </c>
      <c r="Y222" t="s">
        <v>410</v>
      </c>
      <c r="Z222">
        <v>8889</v>
      </c>
      <c r="AA222">
        <v>22</v>
      </c>
      <c r="AB222">
        <v>78</v>
      </c>
      <c r="AC222" t="s">
        <v>2215</v>
      </c>
      <c r="AD222" t="s">
        <v>2216</v>
      </c>
      <c r="AE222" t="s">
        <v>2217</v>
      </c>
      <c r="AJ222" s="2">
        <v>45313.629513888889</v>
      </c>
      <c r="AK222" t="s">
        <v>149</v>
      </c>
      <c r="AL222" t="s">
        <v>1168</v>
      </c>
      <c r="AM222" s="3">
        <v>1.5208333333333333</v>
      </c>
      <c r="AN222" t="s">
        <v>66</v>
      </c>
      <c r="AO222" t="s">
        <v>67</v>
      </c>
    </row>
    <row r="223" spans="1:41" x14ac:dyDescent="0.2">
      <c r="A223">
        <v>368215</v>
      </c>
      <c r="B223" t="s">
        <v>2218</v>
      </c>
      <c r="C223" t="s">
        <v>345</v>
      </c>
      <c r="D223" t="s">
        <v>2219</v>
      </c>
      <c r="E223" t="s">
        <v>2220</v>
      </c>
      <c r="G223" s="1">
        <v>44440</v>
      </c>
      <c r="H223" s="1">
        <v>45590</v>
      </c>
      <c r="I223" s="1">
        <v>45915</v>
      </c>
      <c r="J223" t="s">
        <v>45</v>
      </c>
      <c r="K223" t="s">
        <v>45</v>
      </c>
      <c r="L223" t="s">
        <v>72</v>
      </c>
      <c r="N223" t="s">
        <v>47</v>
      </c>
      <c r="O223" t="s">
        <v>48</v>
      </c>
      <c r="P223" t="s">
        <v>49</v>
      </c>
      <c r="Q223" t="s">
        <v>2221</v>
      </c>
      <c r="R223" t="s">
        <v>2222</v>
      </c>
      <c r="S223">
        <v>6239</v>
      </c>
      <c r="T223" t="s">
        <v>92</v>
      </c>
      <c r="U223" t="s">
        <v>350</v>
      </c>
      <c r="V223" t="s">
        <v>2223</v>
      </c>
      <c r="W223" t="s">
        <v>2224</v>
      </c>
      <c r="X223" t="s">
        <v>92</v>
      </c>
      <c r="Y223" t="s">
        <v>110</v>
      </c>
      <c r="Z223">
        <v>11786</v>
      </c>
      <c r="AA223">
        <v>10</v>
      </c>
      <c r="AB223">
        <v>210</v>
      </c>
      <c r="AC223" t="s">
        <v>2225</v>
      </c>
      <c r="AD223" t="s">
        <v>2226</v>
      </c>
      <c r="AE223" t="s">
        <v>2227</v>
      </c>
      <c r="AF223" t="s">
        <v>2225</v>
      </c>
      <c r="AG223" t="s">
        <v>2226</v>
      </c>
      <c r="AH223" t="s">
        <v>2228</v>
      </c>
      <c r="AI223" t="s">
        <v>2226</v>
      </c>
      <c r="AJ223" s="2">
        <v>45706.714039351849</v>
      </c>
      <c r="AK223" t="s">
        <v>2229</v>
      </c>
      <c r="AL223" t="s">
        <v>65</v>
      </c>
      <c r="AM223" s="4">
        <v>0.45833333333333331</v>
      </c>
      <c r="AN223" t="s">
        <v>66</v>
      </c>
      <c r="AO223" t="s">
        <v>67</v>
      </c>
    </row>
    <row r="224" spans="1:41" x14ac:dyDescent="0.2">
      <c r="A224">
        <v>372736</v>
      </c>
      <c r="B224" t="s">
        <v>2230</v>
      </c>
      <c r="C224" t="s">
        <v>278</v>
      </c>
      <c r="E224" t="s">
        <v>2231</v>
      </c>
      <c r="F224">
        <v>420403</v>
      </c>
      <c r="G224" s="1">
        <v>35640</v>
      </c>
      <c r="H224" s="1">
        <v>45849</v>
      </c>
      <c r="I224" s="1">
        <v>46204</v>
      </c>
      <c r="J224" t="s">
        <v>45</v>
      </c>
      <c r="K224" t="s">
        <v>45</v>
      </c>
      <c r="L224" t="s">
        <v>429</v>
      </c>
      <c r="N224" t="s">
        <v>47</v>
      </c>
      <c r="O224" t="s">
        <v>48</v>
      </c>
      <c r="P224" t="s">
        <v>49</v>
      </c>
      <c r="Q224" t="s">
        <v>2232</v>
      </c>
      <c r="R224" t="s">
        <v>2233</v>
      </c>
      <c r="S224">
        <v>5067</v>
      </c>
      <c r="T224" t="s">
        <v>52</v>
      </c>
      <c r="U224">
        <v>4</v>
      </c>
      <c r="V224" t="s">
        <v>1991</v>
      </c>
      <c r="W224" t="s">
        <v>54</v>
      </c>
      <c r="X224" t="s">
        <v>76</v>
      </c>
      <c r="Y224" t="s">
        <v>56</v>
      </c>
      <c r="Z224">
        <v>672</v>
      </c>
      <c r="AA224">
        <v>54</v>
      </c>
      <c r="AB224">
        <v>146</v>
      </c>
      <c r="AC224" t="s">
        <v>1992</v>
      </c>
      <c r="AD224" t="s">
        <v>1993</v>
      </c>
      <c r="AE224" t="s">
        <v>1994</v>
      </c>
      <c r="AF224" t="s">
        <v>1995</v>
      </c>
      <c r="AG224" t="s">
        <v>1996</v>
      </c>
      <c r="AH224" t="s">
        <v>1997</v>
      </c>
      <c r="AI224" t="s">
        <v>1998</v>
      </c>
      <c r="AJ224" s="2">
        <v>45852.728750000002</v>
      </c>
      <c r="AK224" t="s">
        <v>1999</v>
      </c>
      <c r="AL224" t="s">
        <v>65</v>
      </c>
      <c r="AM224" s="4">
        <v>4.8611111111111112E-2</v>
      </c>
      <c r="AN224" t="s">
        <v>66</v>
      </c>
      <c r="AO224" t="s">
        <v>67</v>
      </c>
    </row>
    <row r="225" spans="1:41" x14ac:dyDescent="0.2">
      <c r="A225">
        <v>359299</v>
      </c>
      <c r="B225" t="s">
        <v>2234</v>
      </c>
      <c r="C225" t="s">
        <v>182</v>
      </c>
      <c r="D225" t="s">
        <v>183</v>
      </c>
      <c r="E225" t="s">
        <v>2235</v>
      </c>
      <c r="F225">
        <v>45442</v>
      </c>
      <c r="G225" s="1">
        <v>35647</v>
      </c>
      <c r="H225" s="1">
        <v>44187</v>
      </c>
      <c r="I225" s="1">
        <v>45976</v>
      </c>
      <c r="J225" t="s">
        <v>45</v>
      </c>
      <c r="K225" t="s">
        <v>72</v>
      </c>
      <c r="L225" t="s">
        <v>72</v>
      </c>
      <c r="M225" s="1">
        <v>42761</v>
      </c>
      <c r="N225" t="s">
        <v>47</v>
      </c>
      <c r="O225" t="s">
        <v>48</v>
      </c>
      <c r="P225" t="s">
        <v>49</v>
      </c>
      <c r="Q225" t="s">
        <v>2236</v>
      </c>
      <c r="R225" t="s">
        <v>2237</v>
      </c>
      <c r="S225">
        <v>1260</v>
      </c>
      <c r="T225" t="s">
        <v>92</v>
      </c>
      <c r="U225" t="s">
        <v>187</v>
      </c>
      <c r="V225" t="s">
        <v>2234</v>
      </c>
      <c r="W225" t="s">
        <v>189</v>
      </c>
      <c r="X225" t="s">
        <v>92</v>
      </c>
      <c r="Y225" t="s">
        <v>110</v>
      </c>
      <c r="Z225">
        <v>1328</v>
      </c>
      <c r="AA225">
        <v>55</v>
      </c>
      <c r="AB225">
        <v>38</v>
      </c>
      <c r="AC225" t="s">
        <v>2238</v>
      </c>
      <c r="AD225" t="s">
        <v>2239</v>
      </c>
      <c r="AE225" t="s">
        <v>2240</v>
      </c>
      <c r="AF225" t="s">
        <v>2241</v>
      </c>
      <c r="AG225" t="s">
        <v>2242</v>
      </c>
      <c r="AH225" t="s">
        <v>2243</v>
      </c>
      <c r="AJ225" s="2">
        <v>45386.818101851852</v>
      </c>
      <c r="AK225" t="s">
        <v>149</v>
      </c>
      <c r="AL225" t="s">
        <v>65</v>
      </c>
      <c r="AM225" s="3">
        <v>2.2916666666666665</v>
      </c>
      <c r="AN225" t="s">
        <v>66</v>
      </c>
      <c r="AO225" t="s">
        <v>67</v>
      </c>
    </row>
    <row r="226" spans="1:41" x14ac:dyDescent="0.2">
      <c r="A226">
        <v>371143</v>
      </c>
      <c r="B226" t="s">
        <v>2244</v>
      </c>
      <c r="C226" t="s">
        <v>692</v>
      </c>
      <c r="D226" t="s">
        <v>2245</v>
      </c>
      <c r="E226">
        <v>32820756</v>
      </c>
      <c r="G226" s="1">
        <v>45534</v>
      </c>
      <c r="H226" s="1">
        <v>45726</v>
      </c>
      <c r="I226" s="1">
        <v>46096</v>
      </c>
      <c r="J226" t="s">
        <v>45</v>
      </c>
      <c r="K226" t="s">
        <v>45</v>
      </c>
      <c r="L226" t="s">
        <v>72</v>
      </c>
      <c r="M226" s="1">
        <v>42895</v>
      </c>
      <c r="N226" t="s">
        <v>89</v>
      </c>
      <c r="O226" t="s">
        <v>121</v>
      </c>
      <c r="P226" t="s">
        <v>49</v>
      </c>
      <c r="Q226" t="s">
        <v>2246</v>
      </c>
      <c r="R226" t="s">
        <v>2247</v>
      </c>
      <c r="S226">
        <v>9520</v>
      </c>
      <c r="T226" t="s">
        <v>52</v>
      </c>
      <c r="U226">
        <v>2</v>
      </c>
      <c r="V226" t="s">
        <v>2248</v>
      </c>
      <c r="W226" t="s">
        <v>54</v>
      </c>
      <c r="X226" t="s">
        <v>76</v>
      </c>
      <c r="Y226" t="s">
        <v>125</v>
      </c>
      <c r="Z226">
        <v>1948</v>
      </c>
      <c r="AA226">
        <v>79</v>
      </c>
      <c r="AB226">
        <v>160</v>
      </c>
      <c r="AC226" t="s">
        <v>2249</v>
      </c>
      <c r="AD226" t="s">
        <v>2250</v>
      </c>
      <c r="AE226" t="s">
        <v>2251</v>
      </c>
      <c r="AF226" t="s">
        <v>2252</v>
      </c>
      <c r="AG226" t="s">
        <v>2253</v>
      </c>
      <c r="AH226" t="s">
        <v>2254</v>
      </c>
      <c r="AI226" t="s">
        <v>2250</v>
      </c>
      <c r="AJ226" s="2">
        <v>45797.647662037038</v>
      </c>
      <c r="AK226" t="s">
        <v>132</v>
      </c>
      <c r="AL226" t="s">
        <v>65</v>
      </c>
      <c r="AM226" s="3">
        <v>1.5694444444444444</v>
      </c>
      <c r="AN226" t="s">
        <v>66</v>
      </c>
      <c r="AO226" t="s">
        <v>67</v>
      </c>
    </row>
    <row r="227" spans="1:41" x14ac:dyDescent="0.2">
      <c r="A227">
        <v>367522</v>
      </c>
      <c r="B227" t="s">
        <v>2255</v>
      </c>
      <c r="C227" t="s">
        <v>692</v>
      </c>
      <c r="D227" t="s">
        <v>2256</v>
      </c>
      <c r="E227" t="s">
        <v>2257</v>
      </c>
      <c r="G227" s="1">
        <v>45680</v>
      </c>
      <c r="H227" s="1">
        <v>45680</v>
      </c>
      <c r="I227" s="1">
        <v>46068</v>
      </c>
      <c r="J227" t="s">
        <v>45</v>
      </c>
      <c r="K227" t="s">
        <v>45</v>
      </c>
      <c r="L227" t="s">
        <v>72</v>
      </c>
      <c r="N227" t="s">
        <v>89</v>
      </c>
      <c r="O227" t="s">
        <v>121</v>
      </c>
      <c r="P227" t="s">
        <v>49</v>
      </c>
      <c r="Q227" t="s">
        <v>2258</v>
      </c>
      <c r="R227" t="s">
        <v>2259</v>
      </c>
      <c r="S227">
        <v>6975</v>
      </c>
      <c r="T227" t="s">
        <v>52</v>
      </c>
      <c r="U227">
        <v>2</v>
      </c>
      <c r="V227" t="s">
        <v>2248</v>
      </c>
      <c r="W227" t="s">
        <v>54</v>
      </c>
      <c r="X227" t="s">
        <v>52</v>
      </c>
      <c r="Y227" t="s">
        <v>125</v>
      </c>
      <c r="Z227">
        <v>12190</v>
      </c>
      <c r="AA227">
        <v>13</v>
      </c>
      <c r="AB227">
        <v>44</v>
      </c>
      <c r="AC227" t="s">
        <v>2260</v>
      </c>
      <c r="AD227" t="s">
        <v>2261</v>
      </c>
      <c r="AE227" t="s">
        <v>2251</v>
      </c>
      <c r="AF227" t="s">
        <v>2252</v>
      </c>
      <c r="AG227" t="s">
        <v>2262</v>
      </c>
      <c r="AH227" t="s">
        <v>2254</v>
      </c>
      <c r="AJ227" s="2">
        <v>45680.513518518521</v>
      </c>
      <c r="AK227" t="s">
        <v>132</v>
      </c>
      <c r="AL227" t="s">
        <v>65</v>
      </c>
      <c r="AM227" s="3">
        <v>1.3993055555555556</v>
      </c>
      <c r="AN227" t="s">
        <v>66</v>
      </c>
      <c r="AO227" t="s">
        <v>67</v>
      </c>
    </row>
    <row r="228" spans="1:41" x14ac:dyDescent="0.2">
      <c r="A228">
        <v>366370</v>
      </c>
      <c r="B228" t="s">
        <v>2263</v>
      </c>
      <c r="C228" t="s">
        <v>167</v>
      </c>
      <c r="D228" t="s">
        <v>2264</v>
      </c>
      <c r="E228">
        <v>33325740</v>
      </c>
      <c r="G228" s="1">
        <v>45615</v>
      </c>
      <c r="H228" s="1">
        <v>45616</v>
      </c>
      <c r="I228" s="1">
        <v>45945</v>
      </c>
      <c r="J228" t="s">
        <v>45</v>
      </c>
      <c r="K228" t="s">
        <v>45</v>
      </c>
      <c r="L228" t="s">
        <v>72</v>
      </c>
      <c r="N228" t="s">
        <v>89</v>
      </c>
      <c r="O228" t="s">
        <v>121</v>
      </c>
      <c r="P228" t="s">
        <v>49</v>
      </c>
      <c r="Q228" t="s">
        <v>2265</v>
      </c>
      <c r="R228" t="s">
        <v>2266</v>
      </c>
      <c r="S228">
        <v>4144</v>
      </c>
      <c r="T228" t="s">
        <v>296</v>
      </c>
      <c r="U228" t="s">
        <v>2267</v>
      </c>
      <c r="W228" t="s">
        <v>299</v>
      </c>
      <c r="X228" t="s">
        <v>296</v>
      </c>
      <c r="Y228" t="s">
        <v>125</v>
      </c>
      <c r="Z228">
        <v>11486</v>
      </c>
      <c r="AA228">
        <v>32</v>
      </c>
      <c r="AB228">
        <v>174</v>
      </c>
      <c r="AC228" t="s">
        <v>2268</v>
      </c>
      <c r="AD228" t="s">
        <v>2269</v>
      </c>
      <c r="AE228" t="s">
        <v>2270</v>
      </c>
      <c r="AF228" t="s">
        <v>2271</v>
      </c>
      <c r="AG228" t="s">
        <v>2272</v>
      </c>
      <c r="AH228" t="s">
        <v>2273</v>
      </c>
      <c r="AI228" t="s">
        <v>2274</v>
      </c>
      <c r="AJ228" s="2">
        <v>45616.494525462964</v>
      </c>
      <c r="AK228" t="s">
        <v>132</v>
      </c>
      <c r="AL228" t="s">
        <v>65</v>
      </c>
      <c r="AM228" s="4">
        <v>0.64583333333333337</v>
      </c>
      <c r="AN228" t="s">
        <v>66</v>
      </c>
      <c r="AO228" t="s">
        <v>67</v>
      </c>
    </row>
    <row r="229" spans="1:41" x14ac:dyDescent="0.2">
      <c r="A229">
        <v>369484</v>
      </c>
      <c r="B229" t="s">
        <v>2275</v>
      </c>
      <c r="C229" t="s">
        <v>662</v>
      </c>
      <c r="E229" t="s">
        <v>2276</v>
      </c>
      <c r="G229" s="1">
        <v>42479</v>
      </c>
      <c r="H229" s="1">
        <v>45730</v>
      </c>
      <c r="I229" s="1">
        <v>46127</v>
      </c>
      <c r="J229" t="s">
        <v>45</v>
      </c>
      <c r="K229" t="s">
        <v>45</v>
      </c>
      <c r="L229" t="s">
        <v>72</v>
      </c>
      <c r="M229" s="1">
        <v>45062</v>
      </c>
      <c r="N229" t="s">
        <v>47</v>
      </c>
      <c r="O229" t="s">
        <v>48</v>
      </c>
      <c r="P229" t="s">
        <v>49</v>
      </c>
      <c r="Q229" t="s">
        <v>2277</v>
      </c>
      <c r="R229" t="s">
        <v>2278</v>
      </c>
      <c r="S229">
        <v>1860</v>
      </c>
      <c r="T229" t="s">
        <v>257</v>
      </c>
      <c r="U229" t="s">
        <v>283</v>
      </c>
      <c r="V229" t="s">
        <v>2279</v>
      </c>
      <c r="W229" t="s">
        <v>260</v>
      </c>
      <c r="X229" t="s">
        <v>257</v>
      </c>
      <c r="Y229" t="s">
        <v>110</v>
      </c>
      <c r="Z229">
        <v>3033</v>
      </c>
      <c r="AA229">
        <v>35</v>
      </c>
      <c r="AB229">
        <v>166</v>
      </c>
      <c r="AC229" t="s">
        <v>1805</v>
      </c>
      <c r="AD229" t="s">
        <v>1806</v>
      </c>
      <c r="AE229" t="s">
        <v>1807</v>
      </c>
      <c r="AI229" t="s">
        <v>2280</v>
      </c>
      <c r="AJ229" s="2">
        <v>45742.604108796295</v>
      </c>
      <c r="AK229" t="s">
        <v>1811</v>
      </c>
      <c r="AL229" t="s">
        <v>65</v>
      </c>
      <c r="AM229" s="4">
        <v>0.2013888888888889</v>
      </c>
      <c r="AN229" t="s">
        <v>66</v>
      </c>
      <c r="AO229" t="s">
        <v>67</v>
      </c>
    </row>
    <row r="230" spans="1:41" x14ac:dyDescent="0.2">
      <c r="A230">
        <v>372770</v>
      </c>
      <c r="B230" t="s">
        <v>2281</v>
      </c>
      <c r="C230" t="s">
        <v>788</v>
      </c>
      <c r="D230" t="s">
        <v>2282</v>
      </c>
      <c r="E230" t="s">
        <v>2283</v>
      </c>
      <c r="F230">
        <v>86390</v>
      </c>
      <c r="G230" s="1">
        <v>45616</v>
      </c>
      <c r="H230" s="1">
        <v>45797</v>
      </c>
      <c r="I230" s="1">
        <v>46174</v>
      </c>
      <c r="J230" t="s">
        <v>72</v>
      </c>
      <c r="K230" t="s">
        <v>45</v>
      </c>
      <c r="L230" t="s">
        <v>72</v>
      </c>
      <c r="M230" s="1">
        <v>42278</v>
      </c>
      <c r="N230" t="s">
        <v>89</v>
      </c>
      <c r="O230" t="s">
        <v>121</v>
      </c>
      <c r="P230" t="s">
        <v>49</v>
      </c>
      <c r="Q230" t="s">
        <v>2284</v>
      </c>
      <c r="R230" t="s">
        <v>2285</v>
      </c>
      <c r="S230">
        <v>25</v>
      </c>
      <c r="T230" t="s">
        <v>257</v>
      </c>
      <c r="U230" t="s">
        <v>1691</v>
      </c>
      <c r="V230" t="s">
        <v>2286</v>
      </c>
      <c r="W230" t="s">
        <v>260</v>
      </c>
      <c r="X230" t="s">
        <v>257</v>
      </c>
      <c r="Y230" t="s">
        <v>110</v>
      </c>
      <c r="Z230">
        <v>2886</v>
      </c>
      <c r="AA230">
        <v>53</v>
      </c>
      <c r="AB230">
        <v>79</v>
      </c>
      <c r="AC230" t="s">
        <v>2287</v>
      </c>
      <c r="AD230" t="s">
        <v>2288</v>
      </c>
      <c r="AE230" t="s">
        <v>2289</v>
      </c>
      <c r="AF230" t="s">
        <v>2290</v>
      </c>
      <c r="AG230" t="s">
        <v>2291</v>
      </c>
      <c r="AH230" t="s">
        <v>2292</v>
      </c>
      <c r="AI230" t="s">
        <v>2293</v>
      </c>
      <c r="AJ230" s="2">
        <v>45853.652314814812</v>
      </c>
      <c r="AK230" t="s">
        <v>2068</v>
      </c>
      <c r="AL230" t="s">
        <v>65</v>
      </c>
      <c r="AM230" s="3">
        <v>1.5625</v>
      </c>
      <c r="AN230" t="s">
        <v>66</v>
      </c>
      <c r="AO230" t="s">
        <v>101</v>
      </c>
    </row>
    <row r="231" spans="1:41" x14ac:dyDescent="0.2">
      <c r="A231">
        <v>363554</v>
      </c>
      <c r="B231" t="s">
        <v>2294</v>
      </c>
      <c r="C231" t="s">
        <v>182</v>
      </c>
      <c r="D231" t="s">
        <v>2295</v>
      </c>
      <c r="E231" t="s">
        <v>2296</v>
      </c>
      <c r="J231" t="s">
        <v>45</v>
      </c>
      <c r="K231" t="s">
        <v>45</v>
      </c>
      <c r="L231" t="s">
        <v>46</v>
      </c>
      <c r="N231" t="s">
        <v>89</v>
      </c>
      <c r="O231" t="s">
        <v>48</v>
      </c>
      <c r="P231" t="s">
        <v>49</v>
      </c>
      <c r="T231" t="s">
        <v>92</v>
      </c>
      <c r="U231" t="s">
        <v>187</v>
      </c>
      <c r="V231" t="s">
        <v>447</v>
      </c>
      <c r="W231" t="s">
        <v>448</v>
      </c>
      <c r="X231" t="s">
        <v>92</v>
      </c>
      <c r="Y231" t="s">
        <v>450</v>
      </c>
      <c r="Z231">
        <v>12278</v>
      </c>
      <c r="AA231">
        <v>2</v>
      </c>
      <c r="AB231">
        <v>44</v>
      </c>
      <c r="AC231" t="s">
        <v>451</v>
      </c>
      <c r="AD231" t="s">
        <v>452</v>
      </c>
      <c r="AE231" t="s">
        <v>453</v>
      </c>
      <c r="AJ231" s="2">
        <v>45516.71292824074</v>
      </c>
      <c r="AK231" t="s">
        <v>100</v>
      </c>
      <c r="AL231" t="s">
        <v>65</v>
      </c>
      <c r="AM231" s="3">
        <v>1.9270833333333333</v>
      </c>
      <c r="AN231" t="s">
        <v>66</v>
      </c>
      <c r="AO231" t="s">
        <v>67</v>
      </c>
    </row>
    <row r="232" spans="1:41" x14ac:dyDescent="0.2">
      <c r="A232">
        <v>372988</v>
      </c>
      <c r="B232" t="s">
        <v>2297</v>
      </c>
      <c r="C232" t="s">
        <v>2298</v>
      </c>
      <c r="D232" t="s">
        <v>2299</v>
      </c>
      <c r="E232">
        <v>32762694</v>
      </c>
      <c r="F232">
        <v>225101</v>
      </c>
      <c r="G232" s="1">
        <v>31229</v>
      </c>
      <c r="H232" s="1">
        <v>45673</v>
      </c>
      <c r="I232" s="1">
        <v>46037</v>
      </c>
      <c r="J232" t="s">
        <v>45</v>
      </c>
      <c r="K232" t="s">
        <v>45</v>
      </c>
      <c r="L232" t="s">
        <v>46</v>
      </c>
      <c r="N232" t="s">
        <v>47</v>
      </c>
      <c r="O232" t="s">
        <v>48</v>
      </c>
      <c r="P232" t="s">
        <v>49</v>
      </c>
      <c r="Q232" t="s">
        <v>2300</v>
      </c>
      <c r="R232" t="s">
        <v>2301</v>
      </c>
      <c r="S232">
        <v>515</v>
      </c>
      <c r="T232" t="s">
        <v>52</v>
      </c>
      <c r="U232">
        <v>8</v>
      </c>
      <c r="V232" t="s">
        <v>2302</v>
      </c>
      <c r="W232" t="s">
        <v>54</v>
      </c>
      <c r="X232" t="s">
        <v>76</v>
      </c>
      <c r="Y232" t="s">
        <v>56</v>
      </c>
      <c r="Z232">
        <v>1049</v>
      </c>
      <c r="AA232">
        <v>50</v>
      </c>
      <c r="AB232">
        <v>37</v>
      </c>
      <c r="AC232" t="s">
        <v>2303</v>
      </c>
      <c r="AD232" t="s">
        <v>2304</v>
      </c>
      <c r="AE232" t="s">
        <v>2305</v>
      </c>
      <c r="AI232" t="s">
        <v>2304</v>
      </c>
      <c r="AJ232" s="2">
        <v>45855.98232638889</v>
      </c>
      <c r="AK232" t="s">
        <v>556</v>
      </c>
      <c r="AL232" t="s">
        <v>65</v>
      </c>
      <c r="AM232" s="3">
        <v>1.3229166666666667</v>
      </c>
      <c r="AN232" t="s">
        <v>66</v>
      </c>
      <c r="AO232" t="s">
        <v>101</v>
      </c>
    </row>
    <row r="233" spans="1:41" x14ac:dyDescent="0.2">
      <c r="A233">
        <v>369094</v>
      </c>
      <c r="B233" t="s">
        <v>2306</v>
      </c>
      <c r="C233" t="s">
        <v>2298</v>
      </c>
      <c r="D233" t="s">
        <v>2299</v>
      </c>
      <c r="E233" t="s">
        <v>2307</v>
      </c>
      <c r="G233" s="1">
        <v>45690</v>
      </c>
      <c r="H233" s="1">
        <v>45691</v>
      </c>
      <c r="I233" s="1">
        <v>46068</v>
      </c>
      <c r="J233" t="s">
        <v>45</v>
      </c>
      <c r="K233" t="s">
        <v>45</v>
      </c>
      <c r="L233" t="s">
        <v>72</v>
      </c>
      <c r="N233" t="s">
        <v>47</v>
      </c>
      <c r="O233" t="s">
        <v>121</v>
      </c>
      <c r="P233" t="s">
        <v>49</v>
      </c>
      <c r="Q233" t="s">
        <v>2308</v>
      </c>
      <c r="R233" t="s">
        <v>2309</v>
      </c>
      <c r="S233">
        <v>470</v>
      </c>
      <c r="T233" t="s">
        <v>52</v>
      </c>
      <c r="U233">
        <v>8</v>
      </c>
      <c r="V233" t="s">
        <v>2302</v>
      </c>
      <c r="W233" t="s">
        <v>54</v>
      </c>
      <c r="X233" t="s">
        <v>52</v>
      </c>
      <c r="Y233" t="s">
        <v>125</v>
      </c>
      <c r="Z233">
        <v>6412</v>
      </c>
      <c r="AA233">
        <v>28</v>
      </c>
      <c r="AB233">
        <v>78</v>
      </c>
      <c r="AC233" t="s">
        <v>2303</v>
      </c>
      <c r="AD233" t="s">
        <v>2304</v>
      </c>
      <c r="AE233" t="s">
        <v>2305</v>
      </c>
      <c r="AF233" t="s">
        <v>2310</v>
      </c>
      <c r="AG233" t="s">
        <v>2311</v>
      </c>
      <c r="AH233" t="s">
        <v>2305</v>
      </c>
      <c r="AJ233" s="2">
        <v>45726.87027777778</v>
      </c>
      <c r="AK233" t="s">
        <v>1167</v>
      </c>
      <c r="AL233" t="s">
        <v>65</v>
      </c>
      <c r="AM233" s="3">
        <v>1.4305555555555556</v>
      </c>
      <c r="AN233" t="s">
        <v>66</v>
      </c>
      <c r="AO233" t="s">
        <v>67</v>
      </c>
    </row>
    <row r="234" spans="1:41" x14ac:dyDescent="0.2">
      <c r="A234">
        <v>368857</v>
      </c>
      <c r="B234" t="s">
        <v>2312</v>
      </c>
      <c r="C234" t="s">
        <v>182</v>
      </c>
      <c r="D234" t="s">
        <v>1467</v>
      </c>
      <c r="E234" t="s">
        <v>2313</v>
      </c>
      <c r="F234">
        <v>40501</v>
      </c>
      <c r="G234" s="1">
        <v>32653</v>
      </c>
      <c r="H234" s="1">
        <v>45699</v>
      </c>
      <c r="I234" s="1">
        <v>46113</v>
      </c>
      <c r="J234" t="s">
        <v>45</v>
      </c>
      <c r="K234" t="s">
        <v>45</v>
      </c>
      <c r="L234" t="s">
        <v>429</v>
      </c>
      <c r="M234" s="1">
        <v>44573</v>
      </c>
      <c r="N234" t="s">
        <v>47</v>
      </c>
      <c r="O234" t="s">
        <v>48</v>
      </c>
      <c r="P234" t="s">
        <v>49</v>
      </c>
      <c r="Q234" t="s">
        <v>2314</v>
      </c>
      <c r="R234" t="s">
        <v>2315</v>
      </c>
      <c r="S234">
        <v>1722</v>
      </c>
      <c r="T234" t="s">
        <v>52</v>
      </c>
      <c r="U234">
        <v>5</v>
      </c>
      <c r="V234" t="s">
        <v>1068</v>
      </c>
      <c r="W234" t="s">
        <v>54</v>
      </c>
      <c r="X234" t="s">
        <v>493</v>
      </c>
      <c r="Y234" t="s">
        <v>434</v>
      </c>
      <c r="Z234">
        <v>731</v>
      </c>
      <c r="AA234">
        <v>63</v>
      </c>
      <c r="AB234">
        <v>34</v>
      </c>
      <c r="AC234" t="s">
        <v>1069</v>
      </c>
      <c r="AD234" t="s">
        <v>1070</v>
      </c>
      <c r="AE234" t="s">
        <v>1071</v>
      </c>
      <c r="AF234" t="s">
        <v>1072</v>
      </c>
      <c r="AG234" t="s">
        <v>1073</v>
      </c>
      <c r="AH234" t="s">
        <v>1071</v>
      </c>
      <c r="AI234" t="s">
        <v>1471</v>
      </c>
      <c r="AJ234" s="2">
        <v>45722.877905092595</v>
      </c>
      <c r="AK234" t="s">
        <v>501</v>
      </c>
      <c r="AL234" t="s">
        <v>65</v>
      </c>
      <c r="AM234" s="4">
        <v>0.86111111111111116</v>
      </c>
      <c r="AN234" t="s">
        <v>66</v>
      </c>
      <c r="AO234" t="s">
        <v>67</v>
      </c>
    </row>
    <row r="235" spans="1:41" x14ac:dyDescent="0.2">
      <c r="A235">
        <v>307977</v>
      </c>
      <c r="B235" t="s">
        <v>2316</v>
      </c>
      <c r="C235" t="s">
        <v>182</v>
      </c>
      <c r="D235" t="s">
        <v>443</v>
      </c>
      <c r="E235" t="s">
        <v>2317</v>
      </c>
      <c r="J235" t="s">
        <v>45</v>
      </c>
      <c r="K235" t="s">
        <v>45</v>
      </c>
      <c r="L235" t="s">
        <v>72</v>
      </c>
      <c r="N235" t="s">
        <v>89</v>
      </c>
      <c r="O235" t="s">
        <v>48</v>
      </c>
      <c r="P235" t="s">
        <v>49</v>
      </c>
      <c r="Q235" t="s">
        <v>2318</v>
      </c>
      <c r="R235" t="s">
        <v>2319</v>
      </c>
      <c r="S235">
        <v>6979</v>
      </c>
      <c r="T235" t="s">
        <v>92</v>
      </c>
      <c r="U235" t="s">
        <v>187</v>
      </c>
      <c r="V235" t="s">
        <v>447</v>
      </c>
      <c r="W235" t="s">
        <v>448</v>
      </c>
      <c r="X235" t="s">
        <v>449</v>
      </c>
      <c r="Y235" t="s">
        <v>450</v>
      </c>
      <c r="Z235">
        <v>9148</v>
      </c>
      <c r="AA235">
        <v>4</v>
      </c>
      <c r="AB235">
        <v>28</v>
      </c>
      <c r="AC235" t="s">
        <v>454</v>
      </c>
      <c r="AD235" t="s">
        <v>473</v>
      </c>
      <c r="AE235" t="s">
        <v>474</v>
      </c>
      <c r="AJ235" s="2">
        <v>44154.950648148151</v>
      </c>
      <c r="AK235" t="s">
        <v>660</v>
      </c>
      <c r="AL235" t="s">
        <v>65</v>
      </c>
      <c r="AM235" s="4">
        <v>0.84027777777777779</v>
      </c>
      <c r="AN235" t="s">
        <v>66</v>
      </c>
      <c r="AO235" t="s">
        <v>67</v>
      </c>
    </row>
    <row r="236" spans="1:41" x14ac:dyDescent="0.2">
      <c r="A236">
        <v>366291</v>
      </c>
      <c r="B236" t="s">
        <v>2320</v>
      </c>
      <c r="C236" t="s">
        <v>345</v>
      </c>
      <c r="D236" t="s">
        <v>2321</v>
      </c>
      <c r="E236" t="s">
        <v>2322</v>
      </c>
      <c r="F236">
        <v>55807</v>
      </c>
      <c r="G236" s="1">
        <v>38590</v>
      </c>
      <c r="H236" s="1">
        <v>45485</v>
      </c>
      <c r="I236" s="1">
        <v>46218</v>
      </c>
      <c r="J236" t="s">
        <v>45</v>
      </c>
      <c r="K236" t="s">
        <v>45</v>
      </c>
      <c r="L236" t="s">
        <v>72</v>
      </c>
      <c r="N236" t="s">
        <v>47</v>
      </c>
      <c r="O236" t="s">
        <v>48</v>
      </c>
      <c r="P236" t="s">
        <v>49</v>
      </c>
      <c r="Q236" t="s">
        <v>2323</v>
      </c>
      <c r="R236" t="s">
        <v>2324</v>
      </c>
      <c r="S236">
        <v>10341</v>
      </c>
      <c r="T236" t="s">
        <v>52</v>
      </c>
      <c r="U236">
        <v>2</v>
      </c>
      <c r="V236" t="s">
        <v>2325</v>
      </c>
      <c r="W236" t="s">
        <v>54</v>
      </c>
      <c r="X236" t="s">
        <v>55</v>
      </c>
      <c r="Y236" t="s">
        <v>56</v>
      </c>
      <c r="Z236">
        <v>2244</v>
      </c>
      <c r="AA236">
        <v>43</v>
      </c>
      <c r="AB236">
        <v>158</v>
      </c>
      <c r="AC236" t="s">
        <v>2326</v>
      </c>
      <c r="AD236" t="s">
        <v>2327</v>
      </c>
      <c r="AE236" t="s">
        <v>2328</v>
      </c>
      <c r="AF236" t="s">
        <v>2329</v>
      </c>
      <c r="AG236" t="s">
        <v>2330</v>
      </c>
      <c r="AH236" t="s">
        <v>2331</v>
      </c>
      <c r="AI236" t="s">
        <v>2332</v>
      </c>
      <c r="AJ236" s="2">
        <v>45611.729120370372</v>
      </c>
      <c r="AK236" t="s">
        <v>2326</v>
      </c>
      <c r="AL236" t="s">
        <v>65</v>
      </c>
      <c r="AM236" s="3">
        <v>2.3055555555555554</v>
      </c>
      <c r="AN236" t="s">
        <v>66</v>
      </c>
      <c r="AO236" t="s">
        <v>67</v>
      </c>
    </row>
    <row r="237" spans="1:41" x14ac:dyDescent="0.2">
      <c r="A237">
        <v>362393</v>
      </c>
      <c r="B237" t="s">
        <v>2333</v>
      </c>
      <c r="C237" t="s">
        <v>662</v>
      </c>
      <c r="E237" t="s">
        <v>2334</v>
      </c>
      <c r="G237" s="1">
        <v>39334</v>
      </c>
      <c r="H237" s="1">
        <v>45483</v>
      </c>
      <c r="I237" s="1">
        <v>46127</v>
      </c>
      <c r="J237" t="s">
        <v>72</v>
      </c>
      <c r="K237" t="s">
        <v>72</v>
      </c>
      <c r="L237" t="s">
        <v>72</v>
      </c>
      <c r="M237" s="1">
        <v>45483</v>
      </c>
      <c r="N237" t="s">
        <v>47</v>
      </c>
      <c r="O237" t="s">
        <v>121</v>
      </c>
      <c r="P237" t="s">
        <v>49</v>
      </c>
      <c r="Q237" t="s">
        <v>2335</v>
      </c>
      <c r="R237" t="s">
        <v>2336</v>
      </c>
      <c r="S237">
        <v>2839</v>
      </c>
      <c r="T237" t="s">
        <v>257</v>
      </c>
      <c r="U237" t="s">
        <v>283</v>
      </c>
      <c r="V237" t="s">
        <v>2279</v>
      </c>
      <c r="W237" t="s">
        <v>260</v>
      </c>
      <c r="X237" t="s">
        <v>257</v>
      </c>
      <c r="Y237" t="s">
        <v>110</v>
      </c>
      <c r="Z237">
        <v>2889</v>
      </c>
      <c r="AA237">
        <v>39</v>
      </c>
      <c r="AB237">
        <v>166</v>
      </c>
      <c r="AC237" t="s">
        <v>2337</v>
      </c>
      <c r="AD237" t="s">
        <v>2338</v>
      </c>
      <c r="AE237" t="s">
        <v>2339</v>
      </c>
      <c r="AI237" t="s">
        <v>2280</v>
      </c>
      <c r="AJ237" s="2">
        <v>45484.94326388889</v>
      </c>
      <c r="AK237" t="s">
        <v>2337</v>
      </c>
      <c r="AL237" t="s">
        <v>475</v>
      </c>
      <c r="AM237" s="3">
        <v>2.1041666666666665</v>
      </c>
      <c r="AN237" t="s">
        <v>66</v>
      </c>
      <c r="AO237" t="s">
        <v>67</v>
      </c>
    </row>
    <row r="238" spans="1:41" x14ac:dyDescent="0.2">
      <c r="A238">
        <v>372473</v>
      </c>
      <c r="B238" t="s">
        <v>2340</v>
      </c>
      <c r="C238" t="s">
        <v>134</v>
      </c>
      <c r="D238" t="s">
        <v>2341</v>
      </c>
      <c r="E238" t="s">
        <v>2342</v>
      </c>
      <c r="F238">
        <v>452919</v>
      </c>
      <c r="G238" s="1">
        <v>43399</v>
      </c>
      <c r="H238" s="1">
        <v>45833</v>
      </c>
      <c r="I238" s="1">
        <v>46174</v>
      </c>
      <c r="J238" t="s">
        <v>45</v>
      </c>
      <c r="K238" t="s">
        <v>45</v>
      </c>
      <c r="L238" t="s">
        <v>72</v>
      </c>
      <c r="M238" s="1">
        <v>45503</v>
      </c>
      <c r="N238" t="s">
        <v>47</v>
      </c>
      <c r="O238" t="s">
        <v>48</v>
      </c>
      <c r="P238" t="s">
        <v>49</v>
      </c>
      <c r="Q238" t="s">
        <v>2343</v>
      </c>
      <c r="R238" t="s">
        <v>2344</v>
      </c>
      <c r="S238">
        <v>3400</v>
      </c>
      <c r="T238" t="s">
        <v>92</v>
      </c>
      <c r="U238" t="s">
        <v>139</v>
      </c>
      <c r="V238" t="s">
        <v>140</v>
      </c>
      <c r="W238" t="s">
        <v>141</v>
      </c>
      <c r="X238" t="s">
        <v>92</v>
      </c>
      <c r="Y238" t="s">
        <v>110</v>
      </c>
      <c r="Z238">
        <v>9946</v>
      </c>
      <c r="AA238">
        <v>18</v>
      </c>
      <c r="AB238">
        <v>78</v>
      </c>
      <c r="AC238" t="s">
        <v>217</v>
      </c>
      <c r="AD238" t="s">
        <v>218</v>
      </c>
      <c r="AE238" t="s">
        <v>219</v>
      </c>
      <c r="AF238" t="s">
        <v>145</v>
      </c>
      <c r="AG238" t="s">
        <v>146</v>
      </c>
      <c r="AH238" t="s">
        <v>147</v>
      </c>
      <c r="AI238" t="s">
        <v>148</v>
      </c>
      <c r="AJ238" s="2">
        <v>45840.727789351855</v>
      </c>
      <c r="AK238" t="s">
        <v>217</v>
      </c>
      <c r="AL238" t="s">
        <v>65</v>
      </c>
      <c r="AM238" s="3">
        <v>1.7291666666666667</v>
      </c>
      <c r="AN238" t="s">
        <v>66</v>
      </c>
      <c r="AO238" t="s">
        <v>67</v>
      </c>
    </row>
    <row r="239" spans="1:41" x14ac:dyDescent="0.2">
      <c r="A239">
        <v>368466</v>
      </c>
      <c r="B239" t="s">
        <v>2345</v>
      </c>
      <c r="C239" t="s">
        <v>1687</v>
      </c>
      <c r="D239" t="s">
        <v>2346</v>
      </c>
      <c r="E239">
        <v>83771160</v>
      </c>
      <c r="F239">
        <v>168541</v>
      </c>
      <c r="G239" s="1">
        <v>37594</v>
      </c>
      <c r="H239" s="1">
        <v>45708</v>
      </c>
      <c r="I239" s="1">
        <v>46082</v>
      </c>
      <c r="J239" t="s">
        <v>45</v>
      </c>
      <c r="K239" t="s">
        <v>72</v>
      </c>
      <c r="L239" t="s">
        <v>72</v>
      </c>
      <c r="M239" s="1">
        <v>42782</v>
      </c>
      <c r="N239" t="s">
        <v>47</v>
      </c>
      <c r="O239" t="s">
        <v>48</v>
      </c>
      <c r="P239" t="s">
        <v>49</v>
      </c>
      <c r="Q239" t="s">
        <v>2347</v>
      </c>
      <c r="R239" t="s">
        <v>2348</v>
      </c>
      <c r="S239">
        <v>11</v>
      </c>
      <c r="T239" t="s">
        <v>156</v>
      </c>
      <c r="U239" t="s">
        <v>157</v>
      </c>
      <c r="V239" t="s">
        <v>2345</v>
      </c>
      <c r="W239" t="s">
        <v>159</v>
      </c>
      <c r="X239" t="s">
        <v>156</v>
      </c>
      <c r="Y239" t="s">
        <v>110</v>
      </c>
      <c r="Z239">
        <v>2274</v>
      </c>
      <c r="AA239">
        <v>52</v>
      </c>
      <c r="AB239">
        <v>158</v>
      </c>
      <c r="AC239" t="s">
        <v>2349</v>
      </c>
      <c r="AD239" t="s">
        <v>2350</v>
      </c>
      <c r="AE239" t="s">
        <v>2351</v>
      </c>
      <c r="AF239" t="s">
        <v>2352</v>
      </c>
      <c r="AG239" t="s">
        <v>2353</v>
      </c>
      <c r="AH239" t="s">
        <v>2354</v>
      </c>
      <c r="AI239" t="s">
        <v>2355</v>
      </c>
      <c r="AJ239" s="2">
        <v>45712.859178240738</v>
      </c>
      <c r="AK239" t="s">
        <v>2349</v>
      </c>
      <c r="AL239" t="s">
        <v>65</v>
      </c>
      <c r="AM239" s="3">
        <v>1.9791666666666667</v>
      </c>
      <c r="AN239" t="s">
        <v>66</v>
      </c>
      <c r="AO239" t="s">
        <v>67</v>
      </c>
    </row>
    <row r="240" spans="1:41" x14ac:dyDescent="0.2">
      <c r="A240">
        <v>370653</v>
      </c>
      <c r="B240" t="s">
        <v>2356</v>
      </c>
      <c r="C240" t="s">
        <v>86</v>
      </c>
      <c r="D240" t="s">
        <v>2357</v>
      </c>
      <c r="E240" t="s">
        <v>2358</v>
      </c>
      <c r="G240" s="1">
        <v>45330</v>
      </c>
      <c r="H240" s="1">
        <v>45781</v>
      </c>
      <c r="I240" s="1">
        <v>46143</v>
      </c>
      <c r="J240" t="s">
        <v>45</v>
      </c>
      <c r="K240" t="s">
        <v>45</v>
      </c>
      <c r="L240" t="s">
        <v>72</v>
      </c>
      <c r="M240" s="1">
        <v>45355</v>
      </c>
      <c r="N240" t="s">
        <v>47</v>
      </c>
      <c r="O240" t="s">
        <v>48</v>
      </c>
      <c r="P240" t="s">
        <v>49</v>
      </c>
      <c r="Q240" t="s">
        <v>2359</v>
      </c>
      <c r="R240" t="s">
        <v>2360</v>
      </c>
      <c r="S240">
        <v>892</v>
      </c>
      <c r="T240" t="s">
        <v>92</v>
      </c>
      <c r="U240" t="s">
        <v>93</v>
      </c>
      <c r="V240" t="s">
        <v>506</v>
      </c>
      <c r="W240" t="s">
        <v>507</v>
      </c>
      <c r="X240" t="s">
        <v>92</v>
      </c>
      <c r="Y240" t="s">
        <v>110</v>
      </c>
      <c r="Z240">
        <v>12194</v>
      </c>
      <c r="AA240">
        <v>9</v>
      </c>
      <c r="AB240">
        <v>48</v>
      </c>
      <c r="AC240" t="s">
        <v>508</v>
      </c>
      <c r="AD240" t="s">
        <v>509</v>
      </c>
      <c r="AE240" t="s">
        <v>2361</v>
      </c>
      <c r="AF240" t="s">
        <v>1211</v>
      </c>
      <c r="AG240" t="s">
        <v>1212</v>
      </c>
      <c r="AH240" t="s">
        <v>1213</v>
      </c>
      <c r="AJ240" s="2">
        <v>45782.79010416667</v>
      </c>
      <c r="AK240" t="s">
        <v>508</v>
      </c>
      <c r="AL240" t="s">
        <v>65</v>
      </c>
      <c r="AM240" s="4">
        <v>0.54513888888888884</v>
      </c>
      <c r="AN240" t="s">
        <v>66</v>
      </c>
      <c r="AO240" t="s">
        <v>67</v>
      </c>
    </row>
    <row r="241" spans="1:41" x14ac:dyDescent="0.2">
      <c r="A241">
        <v>368942</v>
      </c>
      <c r="B241" t="s">
        <v>2362</v>
      </c>
      <c r="C241" t="s">
        <v>182</v>
      </c>
      <c r="D241" t="s">
        <v>468</v>
      </c>
      <c r="E241" t="s">
        <v>2363</v>
      </c>
      <c r="F241">
        <v>40402</v>
      </c>
      <c r="G241" s="1">
        <v>35516</v>
      </c>
      <c r="H241" s="1">
        <v>45511</v>
      </c>
      <c r="I241" s="1">
        <v>46174</v>
      </c>
      <c r="J241" t="s">
        <v>45</v>
      </c>
      <c r="K241" t="s">
        <v>45</v>
      </c>
      <c r="L241" t="s">
        <v>429</v>
      </c>
      <c r="M241" s="1">
        <v>38898</v>
      </c>
      <c r="N241" t="s">
        <v>47</v>
      </c>
      <c r="O241" t="s">
        <v>48</v>
      </c>
      <c r="P241" t="s">
        <v>49</v>
      </c>
      <c r="Q241" t="s">
        <v>2364</v>
      </c>
      <c r="R241" t="s">
        <v>2365</v>
      </c>
      <c r="S241">
        <v>3570</v>
      </c>
      <c r="T241" t="s">
        <v>296</v>
      </c>
      <c r="U241" t="s">
        <v>2366</v>
      </c>
      <c r="V241" t="s">
        <v>2367</v>
      </c>
      <c r="W241" t="s">
        <v>299</v>
      </c>
      <c r="X241" t="s">
        <v>493</v>
      </c>
      <c r="Y241" t="s">
        <v>56</v>
      </c>
      <c r="Z241">
        <v>245</v>
      </c>
      <c r="AA241">
        <v>88</v>
      </c>
      <c r="AB241">
        <v>38</v>
      </c>
      <c r="AC241" t="s">
        <v>2368</v>
      </c>
      <c r="AD241" t="s">
        <v>2369</v>
      </c>
      <c r="AE241" t="s">
        <v>2370</v>
      </c>
      <c r="AF241" t="s">
        <v>2371</v>
      </c>
      <c r="AG241" t="s">
        <v>2372</v>
      </c>
      <c r="AH241" t="s">
        <v>2373</v>
      </c>
      <c r="AI241" t="s">
        <v>2374</v>
      </c>
      <c r="AJ241" s="2">
        <v>45722.91920138889</v>
      </c>
      <c r="AK241" t="s">
        <v>1472</v>
      </c>
      <c r="AL241" t="s">
        <v>65</v>
      </c>
      <c r="AM241" s="3">
        <v>1.7013888888888888</v>
      </c>
      <c r="AN241" t="s">
        <v>66</v>
      </c>
      <c r="AO241" t="s">
        <v>67</v>
      </c>
    </row>
    <row r="242" spans="1:41" x14ac:dyDescent="0.2">
      <c r="A242">
        <v>371329</v>
      </c>
      <c r="B242" t="s">
        <v>2375</v>
      </c>
      <c r="C242" t="s">
        <v>345</v>
      </c>
      <c r="D242" t="s">
        <v>2376</v>
      </c>
      <c r="E242">
        <v>32302586</v>
      </c>
      <c r="F242">
        <v>56005</v>
      </c>
      <c r="G242" s="1">
        <v>34102</v>
      </c>
      <c r="H242" s="1">
        <v>45484</v>
      </c>
      <c r="I242" s="1">
        <v>46218</v>
      </c>
      <c r="J242" t="s">
        <v>45</v>
      </c>
      <c r="K242" t="s">
        <v>45</v>
      </c>
      <c r="L242" t="s">
        <v>72</v>
      </c>
      <c r="N242" t="s">
        <v>47</v>
      </c>
      <c r="O242" t="s">
        <v>48</v>
      </c>
      <c r="P242" t="s">
        <v>49</v>
      </c>
      <c r="Q242" t="s">
        <v>2377</v>
      </c>
      <c r="R242" t="s">
        <v>2378</v>
      </c>
      <c r="S242">
        <v>8651</v>
      </c>
      <c r="T242" t="s">
        <v>52</v>
      </c>
      <c r="U242">
        <v>2</v>
      </c>
      <c r="V242" t="s">
        <v>2379</v>
      </c>
      <c r="W242" t="s">
        <v>54</v>
      </c>
      <c r="X242" t="s">
        <v>55</v>
      </c>
      <c r="Y242" t="s">
        <v>56</v>
      </c>
      <c r="Z242">
        <v>584</v>
      </c>
      <c r="AA242">
        <v>54</v>
      </c>
      <c r="AB242">
        <v>146</v>
      </c>
      <c r="AC242" t="s">
        <v>2380</v>
      </c>
      <c r="AD242" t="s">
        <v>2381</v>
      </c>
      <c r="AE242" t="s">
        <v>2382</v>
      </c>
      <c r="AF242" t="s">
        <v>2383</v>
      </c>
      <c r="AG242" t="s">
        <v>2384</v>
      </c>
      <c r="AH242" t="s">
        <v>2385</v>
      </c>
      <c r="AI242" t="s">
        <v>2386</v>
      </c>
      <c r="AJ242" s="2">
        <v>45805.564733796295</v>
      </c>
      <c r="AK242" t="s">
        <v>2380</v>
      </c>
      <c r="AL242" t="s">
        <v>65</v>
      </c>
      <c r="AM242" s="3">
        <v>2.4402777777777778</v>
      </c>
      <c r="AN242" t="s">
        <v>66</v>
      </c>
      <c r="AO242" t="s">
        <v>67</v>
      </c>
    </row>
    <row r="243" spans="1:41" x14ac:dyDescent="0.2">
      <c r="A243">
        <v>363723</v>
      </c>
      <c r="B243" t="s">
        <v>2387</v>
      </c>
      <c r="C243" t="s">
        <v>278</v>
      </c>
      <c r="D243" t="s">
        <v>427</v>
      </c>
      <c r="E243" s="5" t="s">
        <v>2388</v>
      </c>
      <c r="F243">
        <v>422711</v>
      </c>
      <c r="G243" s="1">
        <v>32022</v>
      </c>
      <c r="H243" s="1">
        <v>45447</v>
      </c>
      <c r="I243" s="1">
        <v>46096</v>
      </c>
      <c r="J243" t="s">
        <v>45</v>
      </c>
      <c r="K243" t="s">
        <v>45</v>
      </c>
      <c r="L243" t="s">
        <v>429</v>
      </c>
      <c r="M243" s="1">
        <v>45520</v>
      </c>
      <c r="N243" t="s">
        <v>47</v>
      </c>
      <c r="O243" t="s">
        <v>48</v>
      </c>
      <c r="P243" t="s">
        <v>49</v>
      </c>
      <c r="Q243" t="s">
        <v>2389</v>
      </c>
      <c r="R243" t="s">
        <v>2390</v>
      </c>
      <c r="S243">
        <v>6957</v>
      </c>
      <c r="T243" t="s">
        <v>365</v>
      </c>
      <c r="U243" t="s">
        <v>432</v>
      </c>
      <c r="V243" t="s">
        <v>2391</v>
      </c>
      <c r="W243" t="s">
        <v>367</v>
      </c>
      <c r="X243" t="s">
        <v>55</v>
      </c>
      <c r="Y243" t="s">
        <v>434</v>
      </c>
      <c r="Z243">
        <v>346</v>
      </c>
      <c r="AA243">
        <v>54</v>
      </c>
      <c r="AB243">
        <v>158</v>
      </c>
      <c r="AC243" t="s">
        <v>2392</v>
      </c>
      <c r="AD243" t="s">
        <v>2393</v>
      </c>
      <c r="AE243" t="s">
        <v>2394</v>
      </c>
      <c r="AF243" t="s">
        <v>2392</v>
      </c>
      <c r="AG243" t="s">
        <v>2393</v>
      </c>
      <c r="AH243" t="s">
        <v>2395</v>
      </c>
      <c r="AI243" t="s">
        <v>2396</v>
      </c>
      <c r="AJ243" s="2">
        <v>45521.018958333334</v>
      </c>
      <c r="AK243" t="s">
        <v>660</v>
      </c>
      <c r="AL243" t="s">
        <v>65</v>
      </c>
      <c r="AM243" s="4">
        <v>0.83333333333333337</v>
      </c>
      <c r="AN243" t="s">
        <v>66</v>
      </c>
      <c r="AO243" t="s">
        <v>67</v>
      </c>
    </row>
    <row r="244" spans="1:41" x14ac:dyDescent="0.2">
      <c r="A244">
        <v>358259</v>
      </c>
      <c r="B244" t="s">
        <v>2397</v>
      </c>
      <c r="C244" t="s">
        <v>542</v>
      </c>
      <c r="D244" t="s">
        <v>2398</v>
      </c>
      <c r="E244" t="s">
        <v>2399</v>
      </c>
      <c r="F244">
        <v>360991</v>
      </c>
      <c r="G244" s="1">
        <v>39282</v>
      </c>
      <c r="H244" s="1">
        <v>45351</v>
      </c>
      <c r="J244" t="s">
        <v>45</v>
      </c>
      <c r="K244" t="s">
        <v>45</v>
      </c>
      <c r="L244" t="s">
        <v>72</v>
      </c>
      <c r="M244" s="1">
        <v>44488</v>
      </c>
      <c r="N244" t="s">
        <v>47</v>
      </c>
      <c r="O244" t="s">
        <v>48</v>
      </c>
      <c r="P244" t="s">
        <v>49</v>
      </c>
      <c r="Q244" t="s">
        <v>2400</v>
      </c>
      <c r="R244" t="s">
        <v>2401</v>
      </c>
      <c r="S244">
        <v>812</v>
      </c>
      <c r="T244" t="s">
        <v>92</v>
      </c>
      <c r="U244" t="s">
        <v>1133</v>
      </c>
      <c r="V244" t="s">
        <v>1134</v>
      </c>
      <c r="W244" t="s">
        <v>1135</v>
      </c>
      <c r="X244" t="s">
        <v>92</v>
      </c>
      <c r="Y244" t="s">
        <v>770</v>
      </c>
      <c r="Z244">
        <v>2928</v>
      </c>
      <c r="AA244">
        <v>36</v>
      </c>
      <c r="AB244">
        <v>141</v>
      </c>
      <c r="AC244" t="s">
        <v>1136</v>
      </c>
      <c r="AD244" t="s">
        <v>1137</v>
      </c>
      <c r="AE244" t="s">
        <v>1964</v>
      </c>
      <c r="AJ244" s="2">
        <v>45352.029224537036</v>
      </c>
      <c r="AK244" t="s">
        <v>1136</v>
      </c>
      <c r="AL244" t="s">
        <v>65</v>
      </c>
      <c r="AM244" s="4">
        <v>0.33819444444444446</v>
      </c>
      <c r="AN244" t="s">
        <v>66</v>
      </c>
      <c r="AO244" t="s">
        <v>101</v>
      </c>
    </row>
    <row r="245" spans="1:41" x14ac:dyDescent="0.2">
      <c r="A245">
        <v>370633</v>
      </c>
      <c r="B245" t="s">
        <v>2402</v>
      </c>
      <c r="C245" t="s">
        <v>323</v>
      </c>
      <c r="D245" t="s">
        <v>2171</v>
      </c>
      <c r="E245" t="s">
        <v>2403</v>
      </c>
      <c r="F245">
        <v>500939</v>
      </c>
      <c r="G245" s="1">
        <v>36643</v>
      </c>
      <c r="H245" s="1">
        <v>45779</v>
      </c>
      <c r="I245" s="1">
        <v>46037</v>
      </c>
      <c r="J245" t="s">
        <v>45</v>
      </c>
      <c r="K245" t="s">
        <v>45</v>
      </c>
      <c r="L245" t="s">
        <v>72</v>
      </c>
      <c r="M245" s="1">
        <v>44684</v>
      </c>
      <c r="N245" t="s">
        <v>47</v>
      </c>
      <c r="O245" t="s">
        <v>48</v>
      </c>
      <c r="P245" t="s">
        <v>49</v>
      </c>
      <c r="Q245" t="s">
        <v>2404</v>
      </c>
      <c r="R245" t="s">
        <v>2405</v>
      </c>
      <c r="S245">
        <v>175</v>
      </c>
      <c r="T245" t="s">
        <v>92</v>
      </c>
      <c r="U245" t="s">
        <v>329</v>
      </c>
      <c r="V245" t="s">
        <v>722</v>
      </c>
      <c r="W245" t="s">
        <v>723</v>
      </c>
      <c r="Y245" t="s">
        <v>110</v>
      </c>
      <c r="Z245">
        <v>1761</v>
      </c>
      <c r="AA245">
        <v>37</v>
      </c>
      <c r="AB245">
        <v>152</v>
      </c>
      <c r="AC245" t="s">
        <v>2406</v>
      </c>
      <c r="AD245" t="s">
        <v>332</v>
      </c>
      <c r="AE245" t="s">
        <v>333</v>
      </c>
      <c r="AF245" t="s">
        <v>2407</v>
      </c>
      <c r="AG245" t="s">
        <v>2408</v>
      </c>
      <c r="AH245" t="s">
        <v>2177</v>
      </c>
      <c r="AI245" t="s">
        <v>2409</v>
      </c>
      <c r="AJ245" s="2">
        <v>45782.694768518515</v>
      </c>
      <c r="AK245" t="s">
        <v>331</v>
      </c>
      <c r="AL245" t="s">
        <v>65</v>
      </c>
      <c r="AM245" s="3">
        <v>2.1388888888888888</v>
      </c>
      <c r="AN245" t="s">
        <v>66</v>
      </c>
      <c r="AO245" t="s">
        <v>67</v>
      </c>
    </row>
    <row r="246" spans="1:41" x14ac:dyDescent="0.2">
      <c r="A246">
        <v>370408</v>
      </c>
      <c r="B246" t="s">
        <v>2410</v>
      </c>
      <c r="C246" t="s">
        <v>1531</v>
      </c>
      <c r="D246" t="s">
        <v>2411</v>
      </c>
      <c r="E246" s="5" t="s">
        <v>2412</v>
      </c>
      <c r="F246">
        <v>127301</v>
      </c>
      <c r="G246" s="1">
        <v>37638</v>
      </c>
      <c r="H246" s="1">
        <v>45775</v>
      </c>
      <c r="I246" s="1">
        <v>45976</v>
      </c>
      <c r="J246" t="s">
        <v>45</v>
      </c>
      <c r="K246" t="s">
        <v>45</v>
      </c>
      <c r="L246" t="s">
        <v>72</v>
      </c>
      <c r="M246" s="1">
        <v>43719</v>
      </c>
      <c r="N246" t="s">
        <v>47</v>
      </c>
      <c r="O246" t="s">
        <v>48</v>
      </c>
      <c r="P246" t="s">
        <v>49</v>
      </c>
      <c r="Q246" t="s">
        <v>2413</v>
      </c>
      <c r="R246" t="s">
        <v>2414</v>
      </c>
      <c r="S246">
        <v>900</v>
      </c>
      <c r="T246" t="s">
        <v>156</v>
      </c>
      <c r="U246" t="s">
        <v>241</v>
      </c>
      <c r="V246" t="s">
        <v>2415</v>
      </c>
      <c r="W246" t="s">
        <v>159</v>
      </c>
      <c r="X246" t="s">
        <v>156</v>
      </c>
      <c r="Y246" t="s">
        <v>110</v>
      </c>
      <c r="Z246">
        <v>2284</v>
      </c>
      <c r="AA246">
        <v>34</v>
      </c>
      <c r="AB246">
        <v>158</v>
      </c>
      <c r="AC246" t="s">
        <v>2416</v>
      </c>
      <c r="AD246" t="s">
        <v>2417</v>
      </c>
      <c r="AE246" t="s">
        <v>2418</v>
      </c>
      <c r="AI246" t="s">
        <v>2419</v>
      </c>
      <c r="AJ246" s="2">
        <v>45775.589328703703</v>
      </c>
      <c r="AK246" t="s">
        <v>2416</v>
      </c>
      <c r="AL246" t="s">
        <v>65</v>
      </c>
      <c r="AM246" s="3">
        <v>1.9930555555555556</v>
      </c>
      <c r="AN246" t="s">
        <v>66</v>
      </c>
      <c r="AO246" t="s">
        <v>67</v>
      </c>
    </row>
    <row r="247" spans="1:41" x14ac:dyDescent="0.2">
      <c r="A247">
        <v>370222</v>
      </c>
      <c r="B247" t="s">
        <v>2420</v>
      </c>
      <c r="C247" t="s">
        <v>182</v>
      </c>
      <c r="D247" t="s">
        <v>811</v>
      </c>
      <c r="E247" t="s">
        <v>2421</v>
      </c>
      <c r="F247">
        <v>45102</v>
      </c>
      <c r="G247" s="1">
        <v>37237</v>
      </c>
      <c r="H247" s="1">
        <v>45763</v>
      </c>
      <c r="I247" s="1">
        <v>46082</v>
      </c>
      <c r="J247" t="s">
        <v>45</v>
      </c>
      <c r="K247" t="s">
        <v>45</v>
      </c>
      <c r="L247" t="s">
        <v>429</v>
      </c>
      <c r="M247" s="1">
        <v>43616</v>
      </c>
      <c r="N247" t="s">
        <v>47</v>
      </c>
      <c r="O247" t="s">
        <v>48</v>
      </c>
      <c r="P247" t="s">
        <v>49</v>
      </c>
      <c r="Q247" t="s">
        <v>2422</v>
      </c>
      <c r="R247" t="s">
        <v>2423</v>
      </c>
      <c r="S247">
        <v>6851</v>
      </c>
      <c r="T247" t="s">
        <v>52</v>
      </c>
      <c r="U247">
        <v>5</v>
      </c>
      <c r="V247" t="s">
        <v>1665</v>
      </c>
      <c r="W247" t="s">
        <v>54</v>
      </c>
      <c r="X247" t="s">
        <v>493</v>
      </c>
      <c r="Y247" t="s">
        <v>434</v>
      </c>
      <c r="Z247">
        <v>1890</v>
      </c>
      <c r="AA247">
        <v>47</v>
      </c>
      <c r="AB247">
        <v>34</v>
      </c>
      <c r="AC247" t="s">
        <v>1666</v>
      </c>
      <c r="AD247" t="s">
        <v>1667</v>
      </c>
      <c r="AE247" t="s">
        <v>1668</v>
      </c>
      <c r="AF247" t="s">
        <v>2424</v>
      </c>
      <c r="AG247" t="s">
        <v>2425</v>
      </c>
      <c r="AH247" t="s">
        <v>2426</v>
      </c>
      <c r="AI247" t="s">
        <v>2427</v>
      </c>
      <c r="AJ247" s="2">
        <v>45765.755949074075</v>
      </c>
      <c r="AK247" t="s">
        <v>307</v>
      </c>
      <c r="AL247" t="s">
        <v>65</v>
      </c>
      <c r="AM247" s="3">
        <v>1.4930555555555556</v>
      </c>
      <c r="AN247" t="s">
        <v>66</v>
      </c>
      <c r="AO247" t="s">
        <v>67</v>
      </c>
    </row>
    <row r="248" spans="1:41" x14ac:dyDescent="0.2">
      <c r="A248">
        <v>366731</v>
      </c>
      <c r="B248" t="s">
        <v>2428</v>
      </c>
      <c r="C248" t="s">
        <v>182</v>
      </c>
      <c r="D248" t="s">
        <v>183</v>
      </c>
      <c r="E248" t="s">
        <v>2429</v>
      </c>
      <c r="F248">
        <v>45401</v>
      </c>
      <c r="G248" s="1">
        <v>37581</v>
      </c>
      <c r="H248" s="1">
        <v>45629</v>
      </c>
      <c r="I248" s="1">
        <v>46127</v>
      </c>
      <c r="J248" t="s">
        <v>45</v>
      </c>
      <c r="K248" t="s">
        <v>45</v>
      </c>
      <c r="L248" t="s">
        <v>429</v>
      </c>
      <c r="M248" s="1">
        <v>41193</v>
      </c>
      <c r="N248" t="s">
        <v>47</v>
      </c>
      <c r="O248" t="s">
        <v>48</v>
      </c>
      <c r="P248" t="s">
        <v>49</v>
      </c>
      <c r="Q248" t="s">
        <v>2430</v>
      </c>
      <c r="R248" t="s">
        <v>2431</v>
      </c>
      <c r="S248">
        <v>6964</v>
      </c>
      <c r="T248" t="s">
        <v>52</v>
      </c>
      <c r="U248">
        <v>5</v>
      </c>
      <c r="V248" t="s">
        <v>2432</v>
      </c>
      <c r="W248" t="s">
        <v>54</v>
      </c>
      <c r="X248" t="s">
        <v>493</v>
      </c>
      <c r="Y248" t="s">
        <v>434</v>
      </c>
      <c r="Z248">
        <v>2184</v>
      </c>
      <c r="AA248">
        <v>46</v>
      </c>
      <c r="AB248">
        <v>160</v>
      </c>
      <c r="AC248" t="s">
        <v>2433</v>
      </c>
      <c r="AD248" t="s">
        <v>2434</v>
      </c>
      <c r="AE248" t="s">
        <v>2435</v>
      </c>
      <c r="AF248" t="s">
        <v>2436</v>
      </c>
      <c r="AG248" t="s">
        <v>2437</v>
      </c>
      <c r="AH248" t="s">
        <v>2438</v>
      </c>
      <c r="AI248" t="s">
        <v>500</v>
      </c>
      <c r="AJ248" s="2">
        <v>45635.797673611109</v>
      </c>
      <c r="AK248" t="s">
        <v>717</v>
      </c>
      <c r="AL248" t="s">
        <v>65</v>
      </c>
      <c r="AM248" s="3">
        <v>2.2569444444444446</v>
      </c>
      <c r="AN248" t="s">
        <v>66</v>
      </c>
      <c r="AO248" t="s">
        <v>67</v>
      </c>
    </row>
    <row r="249" spans="1:41" x14ac:dyDescent="0.2">
      <c r="A249">
        <v>372533</v>
      </c>
      <c r="B249" t="s">
        <v>2439</v>
      </c>
      <c r="C249" t="s">
        <v>735</v>
      </c>
      <c r="D249" t="s">
        <v>2075</v>
      </c>
      <c r="E249" t="s">
        <v>2440</v>
      </c>
      <c r="F249">
        <v>241596</v>
      </c>
      <c r="G249" s="1">
        <v>45796</v>
      </c>
      <c r="H249" s="1">
        <v>45636</v>
      </c>
      <c r="I249" s="1">
        <v>45962</v>
      </c>
      <c r="J249" t="s">
        <v>45</v>
      </c>
      <c r="K249" t="s">
        <v>45</v>
      </c>
      <c r="L249" t="s">
        <v>72</v>
      </c>
      <c r="M249" s="1">
        <v>44384</v>
      </c>
      <c r="N249" t="s">
        <v>47</v>
      </c>
      <c r="O249" t="s">
        <v>121</v>
      </c>
      <c r="P249" t="s">
        <v>49</v>
      </c>
      <c r="Q249" t="s">
        <v>2441</v>
      </c>
      <c r="R249" t="s">
        <v>2442</v>
      </c>
      <c r="S249">
        <v>4595</v>
      </c>
      <c r="T249" t="s">
        <v>52</v>
      </c>
      <c r="U249">
        <v>1</v>
      </c>
      <c r="V249" t="s">
        <v>2443</v>
      </c>
      <c r="W249" t="s">
        <v>54</v>
      </c>
      <c r="X249" t="s">
        <v>76</v>
      </c>
      <c r="Y249" t="s">
        <v>125</v>
      </c>
      <c r="Z249">
        <v>1497</v>
      </c>
      <c r="AA249">
        <v>105</v>
      </c>
      <c r="AB249">
        <v>34</v>
      </c>
      <c r="AC249" t="s">
        <v>2444</v>
      </c>
      <c r="AD249" t="s">
        <v>2445</v>
      </c>
      <c r="AE249" t="s">
        <v>2446</v>
      </c>
      <c r="AF249" t="s">
        <v>2447</v>
      </c>
      <c r="AG249" t="s">
        <v>2448</v>
      </c>
      <c r="AH249" t="s">
        <v>2449</v>
      </c>
      <c r="AJ249" s="2">
        <v>45842.921168981484</v>
      </c>
      <c r="AK249" t="s">
        <v>2444</v>
      </c>
      <c r="AL249" t="s">
        <v>65</v>
      </c>
      <c r="AM249" s="3">
        <v>1.4583333333333333</v>
      </c>
      <c r="AN249" t="s">
        <v>66</v>
      </c>
      <c r="AO249" t="s">
        <v>67</v>
      </c>
    </row>
    <row r="250" spans="1:41" x14ac:dyDescent="0.2">
      <c r="A250">
        <v>372552</v>
      </c>
      <c r="B250" t="s">
        <v>2450</v>
      </c>
      <c r="C250" t="s">
        <v>182</v>
      </c>
      <c r="D250" t="s">
        <v>1702</v>
      </c>
      <c r="E250" t="s">
        <v>2451</v>
      </c>
      <c r="F250">
        <v>42310</v>
      </c>
      <c r="G250" s="1">
        <v>37885</v>
      </c>
      <c r="H250" s="1">
        <v>45841</v>
      </c>
      <c r="J250" t="s">
        <v>45</v>
      </c>
      <c r="K250" t="s">
        <v>72</v>
      </c>
      <c r="L250" t="s">
        <v>72</v>
      </c>
      <c r="M250" s="1">
        <v>44709</v>
      </c>
      <c r="N250" t="s">
        <v>47</v>
      </c>
      <c r="O250" t="s">
        <v>48</v>
      </c>
      <c r="P250" t="s">
        <v>49</v>
      </c>
      <c r="Q250" t="s">
        <v>2452</v>
      </c>
      <c r="R250" t="s">
        <v>2453</v>
      </c>
      <c r="S250">
        <v>1500</v>
      </c>
      <c r="T250" t="s">
        <v>92</v>
      </c>
      <c r="U250" t="s">
        <v>187</v>
      </c>
      <c r="V250" t="s">
        <v>2454</v>
      </c>
      <c r="W250" t="s">
        <v>2455</v>
      </c>
      <c r="X250" t="s">
        <v>92</v>
      </c>
      <c r="Y250" t="s">
        <v>770</v>
      </c>
      <c r="Z250">
        <v>2489</v>
      </c>
      <c r="AA250">
        <v>23</v>
      </c>
      <c r="AB250">
        <v>74</v>
      </c>
      <c r="AC250" t="s">
        <v>2456</v>
      </c>
      <c r="AD250" t="s">
        <v>2457</v>
      </c>
      <c r="AE250" t="s">
        <v>2458</v>
      </c>
      <c r="AF250" t="s">
        <v>2459</v>
      </c>
      <c r="AG250" t="s">
        <v>2460</v>
      </c>
      <c r="AH250" t="s">
        <v>2461</v>
      </c>
      <c r="AI250" t="s">
        <v>2457</v>
      </c>
      <c r="AJ250" s="2">
        <v>45845.583819444444</v>
      </c>
      <c r="AK250" t="s">
        <v>456</v>
      </c>
      <c r="AL250" t="s">
        <v>65</v>
      </c>
      <c r="AM250" s="3">
        <v>1.4097222222222223</v>
      </c>
      <c r="AN250" t="s">
        <v>66</v>
      </c>
      <c r="AO250" t="s">
        <v>67</v>
      </c>
    </row>
    <row r="251" spans="1:41" x14ac:dyDescent="0.2">
      <c r="A251">
        <v>372461</v>
      </c>
      <c r="B251" t="s">
        <v>2462</v>
      </c>
      <c r="C251" t="s">
        <v>583</v>
      </c>
      <c r="E251">
        <v>40302328</v>
      </c>
      <c r="F251">
        <v>154801</v>
      </c>
      <c r="G251" s="1">
        <v>37726</v>
      </c>
      <c r="H251" s="1">
        <v>45832</v>
      </c>
      <c r="I251" s="1">
        <v>46188</v>
      </c>
      <c r="J251" t="s">
        <v>45</v>
      </c>
      <c r="K251" t="s">
        <v>45</v>
      </c>
      <c r="L251" t="s">
        <v>72</v>
      </c>
      <c r="M251" s="1">
        <v>45548</v>
      </c>
      <c r="N251" t="s">
        <v>47</v>
      </c>
      <c r="O251" t="s">
        <v>48</v>
      </c>
      <c r="P251" t="s">
        <v>49</v>
      </c>
      <c r="Q251" t="s">
        <v>2463</v>
      </c>
      <c r="R251" t="s">
        <v>2464</v>
      </c>
      <c r="S251">
        <v>1180</v>
      </c>
      <c r="T251" t="s">
        <v>92</v>
      </c>
      <c r="U251" t="s">
        <v>589</v>
      </c>
      <c r="V251" t="s">
        <v>590</v>
      </c>
      <c r="W251" t="s">
        <v>591</v>
      </c>
      <c r="X251" t="s">
        <v>52</v>
      </c>
      <c r="Y251" t="s">
        <v>110</v>
      </c>
      <c r="Z251">
        <v>1365</v>
      </c>
      <c r="AA251">
        <v>39</v>
      </c>
      <c r="AB251">
        <v>45</v>
      </c>
      <c r="AC251" t="s">
        <v>592</v>
      </c>
      <c r="AD251" t="s">
        <v>593</v>
      </c>
      <c r="AE251" t="s">
        <v>594</v>
      </c>
      <c r="AF251" t="s">
        <v>2465</v>
      </c>
      <c r="AG251" t="s">
        <v>2466</v>
      </c>
      <c r="AH251" t="s">
        <v>2467</v>
      </c>
      <c r="AJ251" s="2">
        <v>45840.493344907409</v>
      </c>
      <c r="AK251" t="s">
        <v>592</v>
      </c>
      <c r="AL251" t="s">
        <v>65</v>
      </c>
      <c r="AM251" s="3">
        <v>2.3402777777777777</v>
      </c>
      <c r="AN251" t="s">
        <v>66</v>
      </c>
      <c r="AO251" t="s">
        <v>101</v>
      </c>
    </row>
    <row r="252" spans="1:41" x14ac:dyDescent="0.2">
      <c r="A252">
        <v>371874</v>
      </c>
      <c r="B252" t="s">
        <v>2468</v>
      </c>
      <c r="C252" t="s">
        <v>735</v>
      </c>
      <c r="D252" t="s">
        <v>2469</v>
      </c>
      <c r="E252" t="s">
        <v>2470</v>
      </c>
      <c r="F252">
        <v>244002</v>
      </c>
      <c r="G252" s="1">
        <v>30539</v>
      </c>
      <c r="H252" s="1">
        <v>45811</v>
      </c>
      <c r="I252" s="1">
        <v>46174</v>
      </c>
      <c r="J252" t="s">
        <v>45</v>
      </c>
      <c r="K252" t="s">
        <v>45</v>
      </c>
      <c r="L252" t="s">
        <v>429</v>
      </c>
      <c r="M252" s="1">
        <v>44441</v>
      </c>
      <c r="N252" t="s">
        <v>47</v>
      </c>
      <c r="O252" t="s">
        <v>48</v>
      </c>
      <c r="P252" t="s">
        <v>49</v>
      </c>
      <c r="Q252" t="s">
        <v>2471</v>
      </c>
      <c r="R252" t="s">
        <v>2472</v>
      </c>
      <c r="S252">
        <v>3172</v>
      </c>
      <c r="T252" t="s">
        <v>365</v>
      </c>
      <c r="U252" t="s">
        <v>969</v>
      </c>
      <c r="V252" t="s">
        <v>2473</v>
      </c>
      <c r="W252" t="s">
        <v>367</v>
      </c>
      <c r="X252" t="s">
        <v>76</v>
      </c>
      <c r="Y252" t="s">
        <v>434</v>
      </c>
      <c r="Z252">
        <v>215</v>
      </c>
      <c r="AA252">
        <v>59</v>
      </c>
      <c r="AB252">
        <v>28</v>
      </c>
      <c r="AC252" t="s">
        <v>2474</v>
      </c>
      <c r="AD252" t="s">
        <v>2475</v>
      </c>
      <c r="AE252" t="s">
        <v>2476</v>
      </c>
      <c r="AF252" t="s">
        <v>2474</v>
      </c>
      <c r="AH252" t="s">
        <v>2477</v>
      </c>
      <c r="AI252" t="s">
        <v>179</v>
      </c>
      <c r="AJ252" s="2">
        <v>45821.622650462959</v>
      </c>
      <c r="AK252" t="s">
        <v>568</v>
      </c>
      <c r="AL252" t="s">
        <v>65</v>
      </c>
      <c r="AM252" s="4">
        <v>0.34722222222222221</v>
      </c>
      <c r="AN252" t="s">
        <v>66</v>
      </c>
      <c r="AO252" t="s">
        <v>67</v>
      </c>
    </row>
    <row r="253" spans="1:41" x14ac:dyDescent="0.2">
      <c r="A253">
        <v>369063</v>
      </c>
      <c r="B253" t="s">
        <v>2478</v>
      </c>
      <c r="C253" t="s">
        <v>1107</v>
      </c>
      <c r="D253" t="s">
        <v>2479</v>
      </c>
      <c r="E253" t="s">
        <v>2480</v>
      </c>
      <c r="F253">
        <v>239004</v>
      </c>
      <c r="G253" s="1">
        <v>34665</v>
      </c>
      <c r="H253" s="1">
        <v>45488</v>
      </c>
      <c r="I253" s="1">
        <v>46218</v>
      </c>
      <c r="J253" t="s">
        <v>45</v>
      </c>
      <c r="K253" t="s">
        <v>45</v>
      </c>
      <c r="L253" t="s">
        <v>72</v>
      </c>
      <c r="M253" s="1">
        <v>43721</v>
      </c>
      <c r="N253" t="s">
        <v>47</v>
      </c>
      <c r="O253" t="s">
        <v>48</v>
      </c>
      <c r="P253" t="s">
        <v>49</v>
      </c>
      <c r="Q253" t="s">
        <v>2481</v>
      </c>
      <c r="R253" t="s">
        <v>2482</v>
      </c>
      <c r="S253">
        <v>721</v>
      </c>
      <c r="T253" t="s">
        <v>257</v>
      </c>
      <c r="U253" t="s">
        <v>258</v>
      </c>
      <c r="V253" t="s">
        <v>2483</v>
      </c>
      <c r="W253" t="s">
        <v>260</v>
      </c>
      <c r="X253" t="s">
        <v>257</v>
      </c>
      <c r="Y253" t="s">
        <v>110</v>
      </c>
      <c r="Z253">
        <v>1541</v>
      </c>
      <c r="AA253">
        <v>33</v>
      </c>
      <c r="AB253">
        <v>160</v>
      </c>
      <c r="AC253" t="s">
        <v>2484</v>
      </c>
      <c r="AD253" t="s">
        <v>2485</v>
      </c>
      <c r="AE253" t="s">
        <v>2486</v>
      </c>
      <c r="AF253" t="s">
        <v>264</v>
      </c>
      <c r="AG253" t="s">
        <v>265</v>
      </c>
      <c r="AH253" t="s">
        <v>266</v>
      </c>
      <c r="AI253" t="s">
        <v>2487</v>
      </c>
      <c r="AJ253" s="2">
        <v>45726.767326388886</v>
      </c>
      <c r="AK253" t="s">
        <v>1167</v>
      </c>
      <c r="AL253" t="s">
        <v>65</v>
      </c>
      <c r="AM253" s="4">
        <v>0.9375</v>
      </c>
      <c r="AN253" t="s">
        <v>66</v>
      </c>
      <c r="AO253" t="s">
        <v>67</v>
      </c>
    </row>
    <row r="254" spans="1:41" x14ac:dyDescent="0.2">
      <c r="A254">
        <v>372211</v>
      </c>
      <c r="B254" t="s">
        <v>2488</v>
      </c>
      <c r="C254" t="s">
        <v>236</v>
      </c>
      <c r="D254" t="s">
        <v>2489</v>
      </c>
      <c r="E254" t="s">
        <v>2490</v>
      </c>
      <c r="F254">
        <v>213501</v>
      </c>
      <c r="G254" s="1">
        <v>38414</v>
      </c>
      <c r="H254" s="1">
        <v>45832</v>
      </c>
      <c r="I254" s="1">
        <v>46204</v>
      </c>
      <c r="J254" t="s">
        <v>45</v>
      </c>
      <c r="K254" t="s">
        <v>45</v>
      </c>
      <c r="L254" t="s">
        <v>72</v>
      </c>
      <c r="M254" s="1">
        <v>41920</v>
      </c>
      <c r="N254" t="s">
        <v>47</v>
      </c>
      <c r="O254" t="s">
        <v>48</v>
      </c>
      <c r="P254" t="s">
        <v>49</v>
      </c>
      <c r="Q254" t="s">
        <v>2491</v>
      </c>
      <c r="R254" t="s">
        <v>2492</v>
      </c>
      <c r="S254">
        <v>878</v>
      </c>
      <c r="T254" t="s">
        <v>156</v>
      </c>
      <c r="U254" t="s">
        <v>241</v>
      </c>
      <c r="V254" t="s">
        <v>2488</v>
      </c>
      <c r="W254" t="s">
        <v>159</v>
      </c>
      <c r="X254" t="s">
        <v>156</v>
      </c>
      <c r="Y254" t="s">
        <v>110</v>
      </c>
      <c r="Z254">
        <v>2624</v>
      </c>
      <c r="AA254">
        <v>42</v>
      </c>
      <c r="AB254">
        <v>160</v>
      </c>
      <c r="AC254" t="s">
        <v>2493</v>
      </c>
      <c r="AD254" t="s">
        <v>2494</v>
      </c>
      <c r="AE254" t="s">
        <v>2495</v>
      </c>
      <c r="AF254" t="s">
        <v>2496</v>
      </c>
      <c r="AG254" t="s">
        <v>2497</v>
      </c>
      <c r="AH254" t="s">
        <v>2498</v>
      </c>
      <c r="AI254" t="s">
        <v>249</v>
      </c>
      <c r="AJ254" s="2">
        <v>45833.856087962966</v>
      </c>
      <c r="AK254" t="s">
        <v>2499</v>
      </c>
      <c r="AL254" t="s">
        <v>65</v>
      </c>
      <c r="AM254" s="3">
        <v>2.1527777777777777</v>
      </c>
      <c r="AN254" t="s">
        <v>66</v>
      </c>
      <c r="AO254" t="s">
        <v>67</v>
      </c>
    </row>
    <row r="255" spans="1:41" x14ac:dyDescent="0.2">
      <c r="A255">
        <v>369741</v>
      </c>
      <c r="B255" t="s">
        <v>2500</v>
      </c>
      <c r="C255" t="s">
        <v>182</v>
      </c>
      <c r="D255" t="s">
        <v>1026</v>
      </c>
      <c r="E255" t="s">
        <v>2501</v>
      </c>
      <c r="F255">
        <v>44302</v>
      </c>
      <c r="G255" s="1">
        <v>37074</v>
      </c>
      <c r="H255" s="1">
        <v>45742</v>
      </c>
      <c r="I255" s="1">
        <v>46113</v>
      </c>
      <c r="J255" t="s">
        <v>45</v>
      </c>
      <c r="K255" t="s">
        <v>45</v>
      </c>
      <c r="L255" t="s">
        <v>429</v>
      </c>
      <c r="M255" s="1">
        <v>42749</v>
      </c>
      <c r="N255" t="s">
        <v>47</v>
      </c>
      <c r="O255" t="s">
        <v>48</v>
      </c>
      <c r="P255" t="s">
        <v>49</v>
      </c>
      <c r="Q255" t="s">
        <v>2502</v>
      </c>
      <c r="R255" t="s">
        <v>2503</v>
      </c>
      <c r="S255">
        <v>354</v>
      </c>
      <c r="T255" t="s">
        <v>52</v>
      </c>
      <c r="U255">
        <v>5</v>
      </c>
      <c r="V255" t="s">
        <v>1030</v>
      </c>
      <c r="W255" t="s">
        <v>54</v>
      </c>
      <c r="X255" t="s">
        <v>493</v>
      </c>
      <c r="Y255" t="s">
        <v>434</v>
      </c>
      <c r="Z255">
        <v>1686</v>
      </c>
      <c r="AA255">
        <v>56</v>
      </c>
      <c r="AB255">
        <v>34</v>
      </c>
      <c r="AC255" t="s">
        <v>2504</v>
      </c>
      <c r="AD255" t="s">
        <v>2505</v>
      </c>
      <c r="AE255" t="s">
        <v>2506</v>
      </c>
      <c r="AF255" t="s">
        <v>1034</v>
      </c>
      <c r="AG255" t="s">
        <v>1035</v>
      </c>
      <c r="AH255" t="s">
        <v>1036</v>
      </c>
      <c r="AI255" t="s">
        <v>500</v>
      </c>
      <c r="AJ255" s="2">
        <v>45750.880914351852</v>
      </c>
      <c r="AK255" t="s">
        <v>1037</v>
      </c>
      <c r="AL255" t="s">
        <v>65</v>
      </c>
      <c r="AM255" s="4">
        <v>0.2013888888888889</v>
      </c>
      <c r="AN255" t="s">
        <v>66</v>
      </c>
      <c r="AO255" t="s">
        <v>67</v>
      </c>
    </row>
    <row r="256" spans="1:41" x14ac:dyDescent="0.2">
      <c r="A256">
        <v>365291</v>
      </c>
      <c r="B256" t="s">
        <v>2507</v>
      </c>
      <c r="C256" t="s">
        <v>735</v>
      </c>
      <c r="D256" t="s">
        <v>2245</v>
      </c>
      <c r="E256">
        <v>52110210</v>
      </c>
      <c r="F256">
        <v>245107</v>
      </c>
      <c r="G256" s="1">
        <v>38651</v>
      </c>
      <c r="H256" s="1">
        <v>45575</v>
      </c>
      <c r="I256" s="1">
        <v>45931</v>
      </c>
      <c r="J256" t="s">
        <v>45</v>
      </c>
      <c r="K256" t="s">
        <v>45</v>
      </c>
      <c r="L256" t="s">
        <v>72</v>
      </c>
      <c r="M256" s="1">
        <v>38651</v>
      </c>
      <c r="N256" t="s">
        <v>47</v>
      </c>
      <c r="O256" t="s">
        <v>48</v>
      </c>
      <c r="P256" t="s">
        <v>49</v>
      </c>
      <c r="Q256" t="s">
        <v>2508</v>
      </c>
      <c r="R256" t="s">
        <v>2509</v>
      </c>
      <c r="S256">
        <v>8180</v>
      </c>
      <c r="T256" t="s">
        <v>296</v>
      </c>
      <c r="U256" t="s">
        <v>1487</v>
      </c>
      <c r="V256" t="s">
        <v>2510</v>
      </c>
      <c r="W256" t="s">
        <v>299</v>
      </c>
      <c r="X256" t="s">
        <v>76</v>
      </c>
      <c r="Y256" t="s">
        <v>56</v>
      </c>
      <c r="Z256">
        <v>5</v>
      </c>
      <c r="AA256">
        <v>52</v>
      </c>
      <c r="AB256">
        <v>144</v>
      </c>
      <c r="AC256" t="s">
        <v>2511</v>
      </c>
      <c r="AD256" t="s">
        <v>2512</v>
      </c>
      <c r="AE256" t="s">
        <v>2513</v>
      </c>
      <c r="AF256" t="s">
        <v>2514</v>
      </c>
      <c r="AG256" t="s">
        <v>2515</v>
      </c>
      <c r="AH256" t="s">
        <v>2516</v>
      </c>
      <c r="AI256" t="s">
        <v>1494</v>
      </c>
      <c r="AJ256" s="2">
        <v>45575.764675925922</v>
      </c>
      <c r="AK256" t="s">
        <v>2517</v>
      </c>
      <c r="AL256" t="s">
        <v>65</v>
      </c>
      <c r="AM256" s="4">
        <v>0.75694444444444442</v>
      </c>
      <c r="AN256" t="s">
        <v>66</v>
      </c>
      <c r="AO256" t="s">
        <v>67</v>
      </c>
    </row>
    <row r="257" spans="1:41" x14ac:dyDescent="0.2">
      <c r="A257">
        <v>369580</v>
      </c>
      <c r="B257" t="s">
        <v>2518</v>
      </c>
      <c r="C257" t="s">
        <v>735</v>
      </c>
      <c r="D257" t="s">
        <v>2519</v>
      </c>
      <c r="E257" t="s">
        <v>2520</v>
      </c>
      <c r="F257">
        <v>243703</v>
      </c>
      <c r="G257" s="1">
        <v>45728</v>
      </c>
      <c r="H257" s="1">
        <v>45728</v>
      </c>
      <c r="I257" s="1">
        <v>46037</v>
      </c>
      <c r="J257" t="s">
        <v>45</v>
      </c>
      <c r="K257" t="s">
        <v>45</v>
      </c>
      <c r="L257" t="s">
        <v>72</v>
      </c>
      <c r="N257" t="s">
        <v>89</v>
      </c>
      <c r="O257" t="s">
        <v>121</v>
      </c>
      <c r="P257" t="s">
        <v>49</v>
      </c>
      <c r="Q257" t="s">
        <v>2521</v>
      </c>
      <c r="R257" t="s">
        <v>2522</v>
      </c>
      <c r="S257">
        <v>2874</v>
      </c>
      <c r="T257" t="s">
        <v>365</v>
      </c>
      <c r="U257" t="s">
        <v>969</v>
      </c>
      <c r="V257" t="s">
        <v>2523</v>
      </c>
      <c r="W257" t="s">
        <v>367</v>
      </c>
      <c r="X257" t="s">
        <v>76</v>
      </c>
      <c r="Y257" t="s">
        <v>125</v>
      </c>
      <c r="Z257">
        <v>2752</v>
      </c>
      <c r="AA257">
        <v>94</v>
      </c>
      <c r="AB257">
        <v>160</v>
      </c>
      <c r="AC257" t="s">
        <v>2524</v>
      </c>
      <c r="AD257" t="s">
        <v>2525</v>
      </c>
      <c r="AE257" t="s">
        <v>2526</v>
      </c>
      <c r="AJ257" s="2">
        <v>45744.640613425923</v>
      </c>
      <c r="AK257" t="s">
        <v>375</v>
      </c>
      <c r="AL257" t="s">
        <v>65</v>
      </c>
      <c r="AM257" s="3">
        <v>2.1388888888888888</v>
      </c>
      <c r="AN257" t="s">
        <v>66</v>
      </c>
      <c r="AO257" t="s">
        <v>67</v>
      </c>
    </row>
    <row r="258" spans="1:41" x14ac:dyDescent="0.2">
      <c r="A258">
        <v>369251</v>
      </c>
      <c r="B258" t="s">
        <v>2527</v>
      </c>
      <c r="C258" t="s">
        <v>735</v>
      </c>
      <c r="D258" t="s">
        <v>2528</v>
      </c>
      <c r="E258" s="5" t="s">
        <v>2529</v>
      </c>
      <c r="G258" s="1">
        <v>45729</v>
      </c>
      <c r="H258" s="1">
        <v>45728</v>
      </c>
      <c r="I258" s="1">
        <v>46037</v>
      </c>
      <c r="J258" t="s">
        <v>45</v>
      </c>
      <c r="K258" t="s">
        <v>45</v>
      </c>
      <c r="L258" t="s">
        <v>72</v>
      </c>
      <c r="N258" t="s">
        <v>47</v>
      </c>
      <c r="O258" t="s">
        <v>121</v>
      </c>
      <c r="P258" t="s">
        <v>49</v>
      </c>
      <c r="Q258" t="s">
        <v>2530</v>
      </c>
      <c r="R258" t="s">
        <v>2531</v>
      </c>
      <c r="S258">
        <v>4365</v>
      </c>
      <c r="T258" t="s">
        <v>365</v>
      </c>
      <c r="U258" t="s">
        <v>969</v>
      </c>
      <c r="V258" t="s">
        <v>2523</v>
      </c>
      <c r="W258" t="s">
        <v>367</v>
      </c>
      <c r="X258" t="s">
        <v>76</v>
      </c>
      <c r="Y258" t="s">
        <v>125</v>
      </c>
      <c r="Z258">
        <v>2855</v>
      </c>
      <c r="AA258">
        <v>79</v>
      </c>
      <c r="AB258">
        <v>158</v>
      </c>
      <c r="AC258" t="s">
        <v>2532</v>
      </c>
      <c r="AD258" t="s">
        <v>2525</v>
      </c>
      <c r="AE258" t="s">
        <v>2526</v>
      </c>
      <c r="AJ258" s="2">
        <v>45729.884710648148</v>
      </c>
      <c r="AK258" t="s">
        <v>132</v>
      </c>
      <c r="AL258" t="s">
        <v>65</v>
      </c>
      <c r="AM258" s="3">
        <v>1.4305555555555556</v>
      </c>
      <c r="AN258" t="s">
        <v>66</v>
      </c>
      <c r="AO258" t="s">
        <v>67</v>
      </c>
    </row>
    <row r="259" spans="1:41" x14ac:dyDescent="0.2">
      <c r="A259">
        <v>372315</v>
      </c>
      <c r="B259" t="s">
        <v>2533</v>
      </c>
      <c r="C259" t="s">
        <v>323</v>
      </c>
      <c r="D259" t="s">
        <v>372</v>
      </c>
      <c r="E259" t="s">
        <v>2534</v>
      </c>
      <c r="F259">
        <v>500423</v>
      </c>
      <c r="G259" s="1">
        <v>35992</v>
      </c>
      <c r="H259" s="1">
        <v>45778</v>
      </c>
      <c r="I259" s="1">
        <v>46037</v>
      </c>
      <c r="J259" t="s">
        <v>45</v>
      </c>
      <c r="K259" t="s">
        <v>45</v>
      </c>
      <c r="L259" t="s">
        <v>72</v>
      </c>
      <c r="M259" s="1">
        <v>45105</v>
      </c>
      <c r="N259" t="s">
        <v>47</v>
      </c>
      <c r="O259" t="s">
        <v>48</v>
      </c>
      <c r="P259" t="s">
        <v>49</v>
      </c>
      <c r="Q259" t="s">
        <v>2535</v>
      </c>
      <c r="R259" t="s">
        <v>2536</v>
      </c>
      <c r="S259">
        <v>850</v>
      </c>
      <c r="T259" t="s">
        <v>365</v>
      </c>
      <c r="U259" t="s">
        <v>366</v>
      </c>
      <c r="V259" t="s">
        <v>330</v>
      </c>
      <c r="W259" t="s">
        <v>367</v>
      </c>
      <c r="X259" t="s">
        <v>76</v>
      </c>
      <c r="Y259" t="s">
        <v>110</v>
      </c>
      <c r="Z259">
        <v>1455</v>
      </c>
      <c r="AA259">
        <v>35</v>
      </c>
      <c r="AB259">
        <v>160</v>
      </c>
      <c r="AC259" t="s">
        <v>368</v>
      </c>
      <c r="AD259" t="s">
        <v>369</v>
      </c>
      <c r="AE259" t="s">
        <v>370</v>
      </c>
      <c r="AF259" t="s">
        <v>384</v>
      </c>
      <c r="AG259" t="s">
        <v>385</v>
      </c>
      <c r="AH259" t="s">
        <v>386</v>
      </c>
      <c r="AI259" t="s">
        <v>369</v>
      </c>
      <c r="AJ259" s="2">
        <v>45838.498124999998</v>
      </c>
      <c r="AK259" t="s">
        <v>132</v>
      </c>
      <c r="AL259" t="s">
        <v>65</v>
      </c>
      <c r="AM259" s="4">
        <v>0.41666666666666669</v>
      </c>
      <c r="AN259" t="s">
        <v>66</v>
      </c>
      <c r="AO259" t="s">
        <v>67</v>
      </c>
    </row>
    <row r="260" spans="1:41" x14ac:dyDescent="0.2">
      <c r="A260">
        <v>371914</v>
      </c>
      <c r="B260" t="s">
        <v>2537</v>
      </c>
      <c r="C260" t="s">
        <v>662</v>
      </c>
      <c r="D260" t="s">
        <v>2538</v>
      </c>
      <c r="E260" t="s">
        <v>2539</v>
      </c>
      <c r="F260">
        <v>417901</v>
      </c>
      <c r="G260" s="1">
        <v>37531</v>
      </c>
      <c r="H260" s="1">
        <v>45742</v>
      </c>
      <c r="I260" s="1">
        <v>46127</v>
      </c>
      <c r="J260" t="s">
        <v>45</v>
      </c>
      <c r="K260" t="s">
        <v>45</v>
      </c>
      <c r="L260" t="s">
        <v>72</v>
      </c>
      <c r="M260" s="1">
        <v>45721</v>
      </c>
      <c r="N260" t="s">
        <v>47</v>
      </c>
      <c r="O260" t="s">
        <v>48</v>
      </c>
      <c r="P260" t="s">
        <v>49</v>
      </c>
      <c r="Q260" t="s">
        <v>2540</v>
      </c>
      <c r="R260" t="s">
        <v>2541</v>
      </c>
      <c r="S260">
        <v>1489</v>
      </c>
      <c r="T260" t="s">
        <v>92</v>
      </c>
      <c r="U260" t="s">
        <v>1197</v>
      </c>
      <c r="V260" t="s">
        <v>1198</v>
      </c>
      <c r="W260" t="s">
        <v>1199</v>
      </c>
      <c r="X260" t="s">
        <v>52</v>
      </c>
      <c r="Y260" t="s">
        <v>110</v>
      </c>
      <c r="Z260">
        <v>2094</v>
      </c>
      <c r="AA260">
        <v>43</v>
      </c>
      <c r="AB260">
        <v>158</v>
      </c>
      <c r="AC260" t="s">
        <v>1200</v>
      </c>
      <c r="AD260" t="s">
        <v>1201</v>
      </c>
      <c r="AE260" t="s">
        <v>1202</v>
      </c>
      <c r="AF260" t="s">
        <v>1786</v>
      </c>
      <c r="AG260" t="s">
        <v>1787</v>
      </c>
      <c r="AH260" t="s">
        <v>1788</v>
      </c>
      <c r="AJ260" s="2">
        <v>45824.820104166669</v>
      </c>
      <c r="AK260" t="s">
        <v>1200</v>
      </c>
      <c r="AL260" t="s">
        <v>65</v>
      </c>
      <c r="AM260" s="4">
        <v>0.33333333333333331</v>
      </c>
      <c r="AN260" t="s">
        <v>66</v>
      </c>
      <c r="AO260" t="s">
        <v>67</v>
      </c>
    </row>
    <row r="261" spans="1:41" x14ac:dyDescent="0.2">
      <c r="A261">
        <v>368879</v>
      </c>
      <c r="B261" t="s">
        <v>2542</v>
      </c>
      <c r="C261" t="s">
        <v>182</v>
      </c>
      <c r="D261" t="s">
        <v>811</v>
      </c>
      <c r="E261" t="s">
        <v>2543</v>
      </c>
      <c r="F261">
        <v>45023</v>
      </c>
      <c r="G261" s="1">
        <v>40886</v>
      </c>
      <c r="H261" s="1">
        <v>45645</v>
      </c>
      <c r="I261" s="1">
        <v>45945</v>
      </c>
      <c r="J261" t="s">
        <v>45</v>
      </c>
      <c r="K261" t="s">
        <v>45</v>
      </c>
      <c r="L261" t="s">
        <v>429</v>
      </c>
      <c r="M261" s="1">
        <v>43228</v>
      </c>
      <c r="N261" t="s">
        <v>47</v>
      </c>
      <c r="O261" t="s">
        <v>48</v>
      </c>
      <c r="P261" t="s">
        <v>49</v>
      </c>
      <c r="Q261" t="s">
        <v>2544</v>
      </c>
      <c r="R261" t="s">
        <v>2545</v>
      </c>
      <c r="S261">
        <v>6360</v>
      </c>
      <c r="T261" t="s">
        <v>365</v>
      </c>
      <c r="U261" t="s">
        <v>815</v>
      </c>
      <c r="V261" t="s">
        <v>816</v>
      </c>
      <c r="W261" t="s">
        <v>367</v>
      </c>
      <c r="X261" t="s">
        <v>493</v>
      </c>
      <c r="Y261" t="s">
        <v>434</v>
      </c>
      <c r="Z261">
        <v>93</v>
      </c>
      <c r="AA261">
        <v>85</v>
      </c>
      <c r="AB261">
        <v>210</v>
      </c>
      <c r="AC261" t="s">
        <v>817</v>
      </c>
      <c r="AD261" t="s">
        <v>818</v>
      </c>
      <c r="AE261" t="s">
        <v>819</v>
      </c>
      <c r="AI261" t="s">
        <v>2546</v>
      </c>
      <c r="AJ261" s="2">
        <v>45722.887835648151</v>
      </c>
      <c r="AK261" t="s">
        <v>501</v>
      </c>
      <c r="AL261" t="s">
        <v>65</v>
      </c>
      <c r="AM261" s="3">
        <v>1.125</v>
      </c>
      <c r="AN261" t="s">
        <v>66</v>
      </c>
      <c r="AO261" t="s">
        <v>67</v>
      </c>
    </row>
    <row r="262" spans="1:41" x14ac:dyDescent="0.2">
      <c r="A262">
        <v>367098</v>
      </c>
      <c r="B262" t="s">
        <v>2547</v>
      </c>
      <c r="C262" t="s">
        <v>1000</v>
      </c>
      <c r="D262" t="s">
        <v>2299</v>
      </c>
      <c r="E262" t="s">
        <v>2548</v>
      </c>
      <c r="F262">
        <v>400902</v>
      </c>
      <c r="G262" s="1">
        <v>36812</v>
      </c>
      <c r="H262" s="1">
        <v>45660</v>
      </c>
      <c r="I262" s="1">
        <v>46023</v>
      </c>
      <c r="J262" t="s">
        <v>45</v>
      </c>
      <c r="K262" t="s">
        <v>45</v>
      </c>
      <c r="L262" t="s">
        <v>72</v>
      </c>
      <c r="N262" t="s">
        <v>47</v>
      </c>
      <c r="O262" t="s">
        <v>48</v>
      </c>
      <c r="P262" t="s">
        <v>49</v>
      </c>
      <c r="Q262" t="s">
        <v>2549</v>
      </c>
      <c r="R262" t="s">
        <v>2550</v>
      </c>
      <c r="S262">
        <v>1445</v>
      </c>
      <c r="T262" t="s">
        <v>257</v>
      </c>
      <c r="U262" t="s">
        <v>1691</v>
      </c>
      <c r="V262" t="s">
        <v>2551</v>
      </c>
      <c r="W262" t="s">
        <v>260</v>
      </c>
      <c r="X262" t="s">
        <v>257</v>
      </c>
      <c r="Y262" t="s">
        <v>110</v>
      </c>
      <c r="Z262">
        <v>1832</v>
      </c>
      <c r="AA262">
        <v>39</v>
      </c>
      <c r="AB262">
        <v>45</v>
      </c>
      <c r="AC262" t="s">
        <v>2552</v>
      </c>
      <c r="AD262" t="s">
        <v>2553</v>
      </c>
      <c r="AE262" t="s">
        <v>2554</v>
      </c>
      <c r="AF262" t="s">
        <v>2555</v>
      </c>
      <c r="AG262" t="s">
        <v>2556</v>
      </c>
      <c r="AH262" t="s">
        <v>2557</v>
      </c>
      <c r="AJ262" s="2">
        <v>45660.674710648149</v>
      </c>
      <c r="AK262" t="s">
        <v>2555</v>
      </c>
      <c r="AL262" t="s">
        <v>65</v>
      </c>
      <c r="AM262" s="3">
        <v>2.2430555555555554</v>
      </c>
      <c r="AN262" t="s">
        <v>66</v>
      </c>
      <c r="AO262" t="s">
        <v>101</v>
      </c>
    </row>
    <row r="263" spans="1:41" x14ac:dyDescent="0.2">
      <c r="A263">
        <v>366372</v>
      </c>
      <c r="B263" t="s">
        <v>2558</v>
      </c>
      <c r="C263" t="s">
        <v>735</v>
      </c>
      <c r="D263" t="s">
        <v>2559</v>
      </c>
      <c r="E263" t="s">
        <v>2560</v>
      </c>
      <c r="F263">
        <v>241598</v>
      </c>
      <c r="G263" s="1">
        <v>45615</v>
      </c>
      <c r="H263" s="1">
        <v>45616</v>
      </c>
      <c r="I263" s="1">
        <v>45992</v>
      </c>
      <c r="J263" t="s">
        <v>45</v>
      </c>
      <c r="K263" t="s">
        <v>45</v>
      </c>
      <c r="L263" t="s">
        <v>72</v>
      </c>
      <c r="N263" t="s">
        <v>89</v>
      </c>
      <c r="O263" t="s">
        <v>121</v>
      </c>
      <c r="P263" t="s">
        <v>49</v>
      </c>
      <c r="Q263" t="s">
        <v>2561</v>
      </c>
      <c r="R263" t="s">
        <v>2562</v>
      </c>
      <c r="S263">
        <v>6057</v>
      </c>
      <c r="T263" t="s">
        <v>52</v>
      </c>
      <c r="U263">
        <v>1</v>
      </c>
      <c r="V263" t="s">
        <v>2563</v>
      </c>
      <c r="W263" t="s">
        <v>54</v>
      </c>
      <c r="X263" t="s">
        <v>76</v>
      </c>
      <c r="Y263" t="s">
        <v>125</v>
      </c>
      <c r="Z263">
        <v>1375</v>
      </c>
      <c r="AA263">
        <v>107</v>
      </c>
      <c r="AB263">
        <v>166</v>
      </c>
      <c r="AC263" t="s">
        <v>2564</v>
      </c>
      <c r="AD263" t="s">
        <v>2565</v>
      </c>
      <c r="AE263" t="s">
        <v>2566</v>
      </c>
      <c r="AF263" t="s">
        <v>2567</v>
      </c>
      <c r="AG263" t="s">
        <v>2568</v>
      </c>
      <c r="AH263" t="s">
        <v>2569</v>
      </c>
      <c r="AI263" t="s">
        <v>2570</v>
      </c>
      <c r="AJ263" s="2">
        <v>45616.496655092589</v>
      </c>
      <c r="AK263" t="s">
        <v>132</v>
      </c>
      <c r="AL263" t="s">
        <v>65</v>
      </c>
      <c r="AM263" s="4">
        <v>0.75694444444444442</v>
      </c>
      <c r="AN263" t="s">
        <v>66</v>
      </c>
      <c r="AO263" t="s">
        <v>67</v>
      </c>
    </row>
    <row r="264" spans="1:41" x14ac:dyDescent="0.2">
      <c r="A264">
        <v>369721</v>
      </c>
      <c r="B264" t="s">
        <v>2571</v>
      </c>
      <c r="C264" t="s">
        <v>735</v>
      </c>
      <c r="D264" t="s">
        <v>2559</v>
      </c>
      <c r="E264">
        <v>32896118</v>
      </c>
      <c r="F264">
        <v>242913</v>
      </c>
      <c r="G264" s="1">
        <v>45527</v>
      </c>
      <c r="H264" s="1">
        <v>45728</v>
      </c>
      <c r="I264" s="1">
        <v>45915</v>
      </c>
      <c r="J264" t="s">
        <v>45</v>
      </c>
      <c r="K264" t="s">
        <v>45</v>
      </c>
      <c r="L264" t="s">
        <v>72</v>
      </c>
      <c r="N264" t="s">
        <v>47</v>
      </c>
      <c r="O264" t="s">
        <v>121</v>
      </c>
      <c r="P264" t="s">
        <v>49</v>
      </c>
      <c r="Q264" t="s">
        <v>2572</v>
      </c>
      <c r="R264" t="s">
        <v>2573</v>
      </c>
      <c r="S264">
        <v>5500</v>
      </c>
      <c r="T264" t="s">
        <v>52</v>
      </c>
      <c r="U264">
        <v>1</v>
      </c>
      <c r="V264" t="s">
        <v>2563</v>
      </c>
      <c r="W264" t="s">
        <v>54</v>
      </c>
      <c r="X264" t="s">
        <v>76</v>
      </c>
      <c r="Y264" t="s">
        <v>125</v>
      </c>
      <c r="Z264">
        <v>2618</v>
      </c>
      <c r="AA264">
        <v>79</v>
      </c>
      <c r="AB264">
        <v>160</v>
      </c>
      <c r="AC264" t="s">
        <v>2564</v>
      </c>
      <c r="AD264" t="s">
        <v>2565</v>
      </c>
      <c r="AE264" t="s">
        <v>2566</v>
      </c>
      <c r="AF264" t="s">
        <v>2574</v>
      </c>
      <c r="AG264" t="s">
        <v>2575</v>
      </c>
      <c r="AH264" t="s">
        <v>2576</v>
      </c>
      <c r="AI264" t="s">
        <v>2570</v>
      </c>
      <c r="AJ264" s="2">
        <v>45749.859131944446</v>
      </c>
      <c r="AK264" t="s">
        <v>1167</v>
      </c>
      <c r="AL264" t="s">
        <v>65</v>
      </c>
      <c r="AM264" s="3">
        <v>1.2291666666666667</v>
      </c>
      <c r="AN264" t="s">
        <v>66</v>
      </c>
      <c r="AO264" t="s">
        <v>67</v>
      </c>
    </row>
    <row r="265" spans="1:41" x14ac:dyDescent="0.2">
      <c r="A265">
        <v>369472</v>
      </c>
      <c r="B265" t="s">
        <v>2577</v>
      </c>
      <c r="C265" t="s">
        <v>735</v>
      </c>
      <c r="D265" t="s">
        <v>2559</v>
      </c>
      <c r="E265" t="s">
        <v>2578</v>
      </c>
      <c r="F265">
        <v>242991</v>
      </c>
      <c r="G265" s="1">
        <v>45741</v>
      </c>
      <c r="H265" s="1">
        <v>45699</v>
      </c>
      <c r="I265" s="1">
        <v>45962</v>
      </c>
      <c r="J265" t="s">
        <v>45</v>
      </c>
      <c r="K265" t="s">
        <v>45</v>
      </c>
      <c r="L265" t="s">
        <v>72</v>
      </c>
      <c r="N265" t="s">
        <v>47</v>
      </c>
      <c r="O265" t="s">
        <v>121</v>
      </c>
      <c r="P265" t="s">
        <v>49</v>
      </c>
      <c r="Q265" t="s">
        <v>2579</v>
      </c>
      <c r="R265" t="s">
        <v>2580</v>
      </c>
      <c r="S265">
        <v>5019</v>
      </c>
      <c r="T265" t="s">
        <v>52</v>
      </c>
      <c r="U265">
        <v>1</v>
      </c>
      <c r="V265" t="s">
        <v>2563</v>
      </c>
      <c r="W265" t="s">
        <v>54</v>
      </c>
      <c r="X265" t="s">
        <v>76</v>
      </c>
      <c r="Y265" t="s">
        <v>125</v>
      </c>
      <c r="Z265">
        <v>12157</v>
      </c>
      <c r="AA265">
        <v>21</v>
      </c>
      <c r="AB265">
        <v>44</v>
      </c>
      <c r="AC265" t="s">
        <v>2581</v>
      </c>
      <c r="AD265" t="s">
        <v>2565</v>
      </c>
      <c r="AE265" t="s">
        <v>2566</v>
      </c>
      <c r="AF265" t="s">
        <v>2582</v>
      </c>
      <c r="AG265" t="s">
        <v>2583</v>
      </c>
      <c r="AH265" t="s">
        <v>2584</v>
      </c>
      <c r="AI265" t="s">
        <v>2570</v>
      </c>
      <c r="AJ265" s="2">
        <v>45741.919398148151</v>
      </c>
      <c r="AK265" t="s">
        <v>132</v>
      </c>
      <c r="AL265" t="s">
        <v>65</v>
      </c>
      <c r="AM265" s="4">
        <v>0.94791666666666663</v>
      </c>
      <c r="AN265" t="s">
        <v>66</v>
      </c>
      <c r="AO265" t="s">
        <v>67</v>
      </c>
    </row>
    <row r="266" spans="1:41" x14ac:dyDescent="0.2">
      <c r="A266">
        <v>370661</v>
      </c>
      <c r="B266" t="s">
        <v>2585</v>
      </c>
      <c r="C266" t="s">
        <v>1565</v>
      </c>
      <c r="D266" t="s">
        <v>1644</v>
      </c>
      <c r="E266" t="s">
        <v>2586</v>
      </c>
      <c r="G266" s="1">
        <v>45533</v>
      </c>
      <c r="H266" s="1">
        <v>45505</v>
      </c>
      <c r="I266" s="1">
        <v>46188</v>
      </c>
      <c r="J266" t="s">
        <v>45</v>
      </c>
      <c r="K266" t="s">
        <v>45</v>
      </c>
      <c r="L266" t="s">
        <v>72</v>
      </c>
      <c r="M266" s="1">
        <v>44733</v>
      </c>
      <c r="N266" t="s">
        <v>47</v>
      </c>
      <c r="O266" t="s">
        <v>121</v>
      </c>
      <c r="P266" t="s">
        <v>49</v>
      </c>
      <c r="Q266" t="s">
        <v>2587</v>
      </c>
      <c r="R266" t="s">
        <v>2588</v>
      </c>
      <c r="S266">
        <v>5644</v>
      </c>
      <c r="T266" t="s">
        <v>52</v>
      </c>
      <c r="U266">
        <v>2</v>
      </c>
      <c r="V266" t="s">
        <v>1569</v>
      </c>
      <c r="W266" t="s">
        <v>54</v>
      </c>
      <c r="X266" t="s">
        <v>76</v>
      </c>
      <c r="Y266" t="s">
        <v>125</v>
      </c>
      <c r="Z266">
        <v>1933</v>
      </c>
      <c r="AA266">
        <v>61</v>
      </c>
      <c r="AB266">
        <v>52</v>
      </c>
      <c r="AC266" t="s">
        <v>1570</v>
      </c>
      <c r="AD266" t="s">
        <v>1571</v>
      </c>
      <c r="AE266" t="s">
        <v>1572</v>
      </c>
      <c r="AF266" t="s">
        <v>2589</v>
      </c>
      <c r="AG266" t="s">
        <v>2590</v>
      </c>
      <c r="AH266" t="s">
        <v>2591</v>
      </c>
      <c r="AJ266" s="2">
        <v>45782.840949074074</v>
      </c>
      <c r="AK266" t="s">
        <v>1577</v>
      </c>
      <c r="AL266" t="s">
        <v>65</v>
      </c>
      <c r="AM266" s="3">
        <v>2.2986111111111112</v>
      </c>
      <c r="AN266" t="s">
        <v>66</v>
      </c>
      <c r="AO266" t="s">
        <v>67</v>
      </c>
    </row>
    <row r="267" spans="1:41" x14ac:dyDescent="0.2">
      <c r="A267">
        <v>370662</v>
      </c>
      <c r="B267" t="s">
        <v>2592</v>
      </c>
      <c r="C267" t="s">
        <v>1565</v>
      </c>
      <c r="D267" t="s">
        <v>1566</v>
      </c>
      <c r="E267" t="s">
        <v>2593</v>
      </c>
      <c r="G267" s="1">
        <v>45495</v>
      </c>
      <c r="H267" s="1">
        <v>45483</v>
      </c>
      <c r="I267" s="1">
        <v>46188</v>
      </c>
      <c r="J267" t="s">
        <v>45</v>
      </c>
      <c r="K267" t="s">
        <v>45</v>
      </c>
      <c r="L267" t="s">
        <v>72</v>
      </c>
      <c r="M267" s="1">
        <v>39706</v>
      </c>
      <c r="N267" t="s">
        <v>47</v>
      </c>
      <c r="O267" t="s">
        <v>121</v>
      </c>
      <c r="P267" t="s">
        <v>49</v>
      </c>
      <c r="Q267" t="s">
        <v>2594</v>
      </c>
      <c r="R267" t="s">
        <v>2595</v>
      </c>
      <c r="S267">
        <v>5582</v>
      </c>
      <c r="T267" t="s">
        <v>52</v>
      </c>
      <c r="U267">
        <v>2</v>
      </c>
      <c r="V267" t="s">
        <v>1569</v>
      </c>
      <c r="W267" t="s">
        <v>54</v>
      </c>
      <c r="X267" t="s">
        <v>76</v>
      </c>
      <c r="Y267" t="s">
        <v>125</v>
      </c>
      <c r="Z267">
        <v>2708</v>
      </c>
      <c r="AA267">
        <v>54</v>
      </c>
      <c r="AB267">
        <v>160</v>
      </c>
      <c r="AC267" t="s">
        <v>1570</v>
      </c>
      <c r="AD267" t="s">
        <v>1571</v>
      </c>
      <c r="AE267" t="s">
        <v>1572</v>
      </c>
      <c r="AF267" t="s">
        <v>2589</v>
      </c>
      <c r="AG267" t="s">
        <v>2590</v>
      </c>
      <c r="AH267" t="s">
        <v>2591</v>
      </c>
      <c r="AJ267" s="2">
        <v>45782.84233796296</v>
      </c>
      <c r="AK267" t="s">
        <v>1577</v>
      </c>
      <c r="AL267" t="s">
        <v>65</v>
      </c>
      <c r="AM267" s="3">
        <v>1.5208333333333333</v>
      </c>
      <c r="AN267" t="s">
        <v>66</v>
      </c>
      <c r="AO267" t="s">
        <v>67</v>
      </c>
    </row>
    <row r="268" spans="1:41" x14ac:dyDescent="0.2">
      <c r="A268">
        <v>371253</v>
      </c>
      <c r="B268" t="s">
        <v>2596</v>
      </c>
      <c r="C268" t="s">
        <v>1565</v>
      </c>
      <c r="E268" t="s">
        <v>2597</v>
      </c>
      <c r="G268" s="1">
        <v>45741</v>
      </c>
      <c r="H268" s="1">
        <v>45483</v>
      </c>
      <c r="I268" s="1">
        <v>46188</v>
      </c>
      <c r="J268" t="s">
        <v>45</v>
      </c>
      <c r="K268" t="s">
        <v>45</v>
      </c>
      <c r="L268" t="s">
        <v>72</v>
      </c>
      <c r="N268" t="s">
        <v>47</v>
      </c>
      <c r="O268" t="s">
        <v>121</v>
      </c>
      <c r="P268" t="s">
        <v>49</v>
      </c>
      <c r="Q268" t="s">
        <v>2598</v>
      </c>
      <c r="R268" t="s">
        <v>2599</v>
      </c>
      <c r="S268">
        <v>5816</v>
      </c>
      <c r="T268" t="s">
        <v>52</v>
      </c>
      <c r="U268">
        <v>2</v>
      </c>
      <c r="V268" t="s">
        <v>1569</v>
      </c>
      <c r="W268" t="s">
        <v>54</v>
      </c>
      <c r="X268" t="s">
        <v>76</v>
      </c>
      <c r="Y268" t="s">
        <v>125</v>
      </c>
      <c r="Z268">
        <v>2709</v>
      </c>
      <c r="AA268">
        <v>52</v>
      </c>
      <c r="AB268">
        <v>160</v>
      </c>
      <c r="AC268" t="s">
        <v>1570</v>
      </c>
      <c r="AD268" t="s">
        <v>1571</v>
      </c>
      <c r="AE268" t="s">
        <v>1572</v>
      </c>
      <c r="AF268" t="s">
        <v>2589</v>
      </c>
      <c r="AG268" t="s">
        <v>2590</v>
      </c>
      <c r="AH268" t="s">
        <v>2591</v>
      </c>
      <c r="AJ268" s="2">
        <v>45800.824016203704</v>
      </c>
      <c r="AK268" t="s">
        <v>1167</v>
      </c>
      <c r="AL268" t="s">
        <v>65</v>
      </c>
      <c r="AM268" s="3">
        <v>1.5277777777777777</v>
      </c>
      <c r="AN268" t="s">
        <v>66</v>
      </c>
      <c r="AO268" t="s">
        <v>67</v>
      </c>
    </row>
    <row r="269" spans="1:41" x14ac:dyDescent="0.2">
      <c r="A269">
        <v>372610</v>
      </c>
      <c r="B269" t="s">
        <v>2600</v>
      </c>
      <c r="C269" t="s">
        <v>1565</v>
      </c>
      <c r="D269" t="s">
        <v>1644</v>
      </c>
      <c r="E269" t="s">
        <v>2601</v>
      </c>
      <c r="G269" s="1">
        <v>45551</v>
      </c>
      <c r="H269" s="1">
        <v>45847</v>
      </c>
      <c r="I269" s="1">
        <v>46188</v>
      </c>
      <c r="J269" t="s">
        <v>45</v>
      </c>
      <c r="K269" t="s">
        <v>45</v>
      </c>
      <c r="L269" t="s">
        <v>72</v>
      </c>
      <c r="N269" t="s">
        <v>89</v>
      </c>
      <c r="O269" t="s">
        <v>121</v>
      </c>
      <c r="P269" t="s">
        <v>49</v>
      </c>
      <c r="Q269" t="s">
        <v>2587</v>
      </c>
      <c r="R269" t="s">
        <v>2602</v>
      </c>
      <c r="S269">
        <v>5658</v>
      </c>
      <c r="T269" t="s">
        <v>52</v>
      </c>
      <c r="U269">
        <v>1</v>
      </c>
      <c r="V269" t="s">
        <v>2603</v>
      </c>
      <c r="W269" t="s">
        <v>54</v>
      </c>
      <c r="X269" t="s">
        <v>76</v>
      </c>
      <c r="Y269" t="s">
        <v>125</v>
      </c>
      <c r="Z269">
        <v>10469</v>
      </c>
      <c r="AA269">
        <v>19</v>
      </c>
      <c r="AB269">
        <v>78</v>
      </c>
      <c r="AC269" t="s">
        <v>2589</v>
      </c>
      <c r="AD269" t="s">
        <v>2590</v>
      </c>
      <c r="AE269" t="s">
        <v>2604</v>
      </c>
      <c r="AF269" t="s">
        <v>1570</v>
      </c>
      <c r="AG269" t="s">
        <v>2605</v>
      </c>
      <c r="AH269" t="s">
        <v>1572</v>
      </c>
      <c r="AJ269" s="2">
        <v>45847.473333333335</v>
      </c>
      <c r="AK269" t="s">
        <v>800</v>
      </c>
      <c r="AL269" t="s">
        <v>65</v>
      </c>
      <c r="AM269" s="3">
        <v>1.9097222222222223</v>
      </c>
      <c r="AN269" t="s">
        <v>66</v>
      </c>
      <c r="AO269" t="s">
        <v>67</v>
      </c>
    </row>
    <row r="270" spans="1:41" x14ac:dyDescent="0.2">
      <c r="A270">
        <v>372871</v>
      </c>
      <c r="B270" t="s">
        <v>2606</v>
      </c>
      <c r="C270" t="s">
        <v>345</v>
      </c>
      <c r="D270" t="s">
        <v>2607</v>
      </c>
      <c r="E270" t="s">
        <v>2608</v>
      </c>
      <c r="F270">
        <v>53806</v>
      </c>
      <c r="G270" s="1">
        <v>35585</v>
      </c>
      <c r="H270" s="1">
        <v>45855</v>
      </c>
      <c r="I270" s="1">
        <v>46113</v>
      </c>
      <c r="J270" t="s">
        <v>45</v>
      </c>
      <c r="K270" t="s">
        <v>45</v>
      </c>
      <c r="L270" t="s">
        <v>429</v>
      </c>
      <c r="M270" s="1">
        <v>45855</v>
      </c>
      <c r="N270" t="s">
        <v>47</v>
      </c>
      <c r="O270" t="s">
        <v>48</v>
      </c>
      <c r="P270" t="s">
        <v>49</v>
      </c>
      <c r="Q270" t="s">
        <v>2609</v>
      </c>
      <c r="R270" t="s">
        <v>2610</v>
      </c>
      <c r="S270">
        <v>8446</v>
      </c>
      <c r="T270" t="s">
        <v>365</v>
      </c>
      <c r="U270" t="s">
        <v>432</v>
      </c>
      <c r="V270" t="s">
        <v>2611</v>
      </c>
      <c r="W270" t="s">
        <v>367</v>
      </c>
      <c r="X270" t="s">
        <v>55</v>
      </c>
      <c r="Y270" t="s">
        <v>434</v>
      </c>
      <c r="Z270">
        <v>128</v>
      </c>
      <c r="AA270">
        <v>56</v>
      </c>
      <c r="AB270">
        <v>66</v>
      </c>
      <c r="AC270" t="s">
        <v>2612</v>
      </c>
      <c r="AD270" t="s">
        <v>2613</v>
      </c>
      <c r="AE270" t="s">
        <v>2614</v>
      </c>
      <c r="AF270" t="s">
        <v>2615</v>
      </c>
      <c r="AH270" t="s">
        <v>2616</v>
      </c>
      <c r="AI270" t="s">
        <v>179</v>
      </c>
      <c r="AJ270" s="2">
        <v>45855.669930555552</v>
      </c>
      <c r="AK270" t="s">
        <v>84</v>
      </c>
      <c r="AL270" t="s">
        <v>65</v>
      </c>
      <c r="AM270" s="3">
        <v>2.4097222222222223</v>
      </c>
      <c r="AN270" t="s">
        <v>66</v>
      </c>
      <c r="AO270" t="s">
        <v>67</v>
      </c>
    </row>
    <row r="271" spans="1:41" x14ac:dyDescent="0.2">
      <c r="A271">
        <v>372387</v>
      </c>
      <c r="B271" t="s">
        <v>2617</v>
      </c>
      <c r="C271" t="s">
        <v>278</v>
      </c>
      <c r="D271" t="s">
        <v>2618</v>
      </c>
      <c r="E271" t="s">
        <v>2619</v>
      </c>
      <c r="F271">
        <v>421805</v>
      </c>
      <c r="G271" s="1">
        <v>31895</v>
      </c>
      <c r="H271" s="1">
        <v>45833</v>
      </c>
      <c r="I271" s="1">
        <v>46143</v>
      </c>
      <c r="J271" t="s">
        <v>45</v>
      </c>
      <c r="K271" t="s">
        <v>45</v>
      </c>
      <c r="L271" t="s">
        <v>429</v>
      </c>
      <c r="M271" s="1">
        <v>41819</v>
      </c>
      <c r="N271" t="s">
        <v>47</v>
      </c>
      <c r="O271" t="s">
        <v>48</v>
      </c>
      <c r="P271" t="s">
        <v>49</v>
      </c>
      <c r="Q271" t="s">
        <v>2620</v>
      </c>
      <c r="R271" t="s">
        <v>2621</v>
      </c>
      <c r="S271">
        <v>6493</v>
      </c>
      <c r="T271" t="s">
        <v>52</v>
      </c>
      <c r="U271">
        <v>4</v>
      </c>
      <c r="V271" t="s">
        <v>2622</v>
      </c>
      <c r="W271" t="s">
        <v>54</v>
      </c>
      <c r="X271" t="s">
        <v>55</v>
      </c>
      <c r="Y271" t="s">
        <v>56</v>
      </c>
      <c r="Z271">
        <v>656</v>
      </c>
      <c r="AA271">
        <v>53</v>
      </c>
      <c r="AB271">
        <v>30</v>
      </c>
      <c r="AC271" t="s">
        <v>1186</v>
      </c>
      <c r="AD271" t="s">
        <v>1187</v>
      </c>
      <c r="AE271" t="s">
        <v>1188</v>
      </c>
      <c r="AF271" t="s">
        <v>2623</v>
      </c>
      <c r="AG271" t="s">
        <v>2624</v>
      </c>
      <c r="AH271" t="s">
        <v>2625</v>
      </c>
      <c r="AI271" t="s">
        <v>2626</v>
      </c>
      <c r="AJ271" s="2">
        <v>45838.839861111112</v>
      </c>
      <c r="AK271" t="s">
        <v>307</v>
      </c>
      <c r="AL271" t="s">
        <v>65</v>
      </c>
      <c r="AM271" s="3">
        <v>1.125</v>
      </c>
      <c r="AN271" t="s">
        <v>66</v>
      </c>
      <c r="AO271" t="s">
        <v>67</v>
      </c>
    </row>
    <row r="272" spans="1:41" x14ac:dyDescent="0.2">
      <c r="A272">
        <v>372981</v>
      </c>
      <c r="B272" t="s">
        <v>2627</v>
      </c>
      <c r="C272" t="s">
        <v>2298</v>
      </c>
      <c r="D272" t="s">
        <v>2628</v>
      </c>
      <c r="E272" t="s">
        <v>2629</v>
      </c>
      <c r="F272">
        <v>227802</v>
      </c>
      <c r="G272" s="1">
        <v>33162</v>
      </c>
      <c r="H272" s="1">
        <v>45674</v>
      </c>
      <c r="I272" s="1">
        <v>46037</v>
      </c>
      <c r="J272" t="s">
        <v>45</v>
      </c>
      <c r="K272" t="s">
        <v>45</v>
      </c>
      <c r="L272" t="s">
        <v>46</v>
      </c>
      <c r="M272" s="1">
        <v>43931</v>
      </c>
      <c r="N272" t="s">
        <v>47</v>
      </c>
      <c r="O272" t="s">
        <v>48</v>
      </c>
      <c r="P272" t="s">
        <v>49</v>
      </c>
      <c r="Q272" t="s">
        <v>2630</v>
      </c>
      <c r="R272" t="s">
        <v>2631</v>
      </c>
      <c r="S272">
        <v>277</v>
      </c>
      <c r="T272" t="s">
        <v>52</v>
      </c>
      <c r="U272">
        <v>8</v>
      </c>
      <c r="V272" t="s">
        <v>2302</v>
      </c>
      <c r="W272" t="s">
        <v>54</v>
      </c>
      <c r="X272" t="s">
        <v>76</v>
      </c>
      <c r="Y272" t="s">
        <v>56</v>
      </c>
      <c r="Z272">
        <v>1048</v>
      </c>
      <c r="AA272">
        <v>67</v>
      </c>
      <c r="AB272">
        <v>45</v>
      </c>
      <c r="AC272" t="s">
        <v>2303</v>
      </c>
      <c r="AD272" t="s">
        <v>2304</v>
      </c>
      <c r="AE272" t="s">
        <v>2305</v>
      </c>
      <c r="AF272" t="s">
        <v>2632</v>
      </c>
      <c r="AG272" t="s">
        <v>2633</v>
      </c>
      <c r="AH272" t="s">
        <v>2634</v>
      </c>
      <c r="AI272" t="s">
        <v>2304</v>
      </c>
      <c r="AJ272" s="2">
        <v>45855.976886574077</v>
      </c>
      <c r="AK272" t="s">
        <v>556</v>
      </c>
      <c r="AL272" t="s">
        <v>65</v>
      </c>
      <c r="AM272" s="4">
        <v>2.7777777777777776E-2</v>
      </c>
      <c r="AN272" t="s">
        <v>66</v>
      </c>
      <c r="AO272" t="s">
        <v>101</v>
      </c>
    </row>
    <row r="273" spans="1:41" x14ac:dyDescent="0.2">
      <c r="A273">
        <v>372105</v>
      </c>
      <c r="B273" t="s">
        <v>2635</v>
      </c>
      <c r="C273" t="s">
        <v>182</v>
      </c>
      <c r="D273" t="s">
        <v>2636</v>
      </c>
      <c r="E273" t="s">
        <v>2637</v>
      </c>
      <c r="F273">
        <v>43008</v>
      </c>
      <c r="G273" s="1">
        <v>34366</v>
      </c>
      <c r="H273" s="1">
        <v>45827</v>
      </c>
      <c r="J273" t="s">
        <v>45</v>
      </c>
      <c r="K273" t="s">
        <v>72</v>
      </c>
      <c r="L273" t="s">
        <v>72</v>
      </c>
      <c r="N273" t="s">
        <v>47</v>
      </c>
      <c r="O273" t="s">
        <v>48</v>
      </c>
      <c r="P273" t="s">
        <v>49</v>
      </c>
      <c r="Q273" t="s">
        <v>2638</v>
      </c>
      <c r="R273" t="s">
        <v>2639</v>
      </c>
      <c r="S273">
        <v>1600</v>
      </c>
      <c r="T273" t="s">
        <v>92</v>
      </c>
      <c r="U273" t="s">
        <v>187</v>
      </c>
      <c r="V273" t="s">
        <v>2640</v>
      </c>
      <c r="W273" t="s">
        <v>448</v>
      </c>
      <c r="X273" t="s">
        <v>449</v>
      </c>
      <c r="Y273" t="s">
        <v>770</v>
      </c>
      <c r="Z273">
        <v>1111</v>
      </c>
      <c r="AA273">
        <v>38</v>
      </c>
      <c r="AB273">
        <v>138</v>
      </c>
      <c r="AC273" t="s">
        <v>2641</v>
      </c>
      <c r="AD273" t="s">
        <v>2642</v>
      </c>
      <c r="AE273" t="s">
        <v>2643</v>
      </c>
      <c r="AJ273" s="2">
        <v>45831.551377314812</v>
      </c>
      <c r="AK273" t="s">
        <v>456</v>
      </c>
      <c r="AL273" t="s">
        <v>475</v>
      </c>
      <c r="AM273" s="3">
        <v>1.1736111111111112</v>
      </c>
      <c r="AN273" t="s">
        <v>809</v>
      </c>
      <c r="AO273" t="s">
        <v>67</v>
      </c>
    </row>
    <row r="274" spans="1:41" x14ac:dyDescent="0.2">
      <c r="A274">
        <v>368464</v>
      </c>
      <c r="B274" t="s">
        <v>2644</v>
      </c>
      <c r="C274" t="s">
        <v>118</v>
      </c>
      <c r="D274" t="s">
        <v>2645</v>
      </c>
      <c r="E274" t="s">
        <v>2646</v>
      </c>
      <c r="F274">
        <v>21008</v>
      </c>
      <c r="G274" s="1">
        <v>32479</v>
      </c>
      <c r="H274" s="1">
        <v>45672</v>
      </c>
      <c r="I274" s="1">
        <v>46054</v>
      </c>
      <c r="J274" t="s">
        <v>45</v>
      </c>
      <c r="K274" t="s">
        <v>45</v>
      </c>
      <c r="L274" t="s">
        <v>72</v>
      </c>
      <c r="M274" s="1">
        <v>44600</v>
      </c>
      <c r="N274" t="s">
        <v>47</v>
      </c>
      <c r="O274" t="s">
        <v>48</v>
      </c>
      <c r="P274" t="s">
        <v>49</v>
      </c>
      <c r="Q274" t="s">
        <v>2647</v>
      </c>
      <c r="R274" t="s">
        <v>2648</v>
      </c>
      <c r="S274">
        <v>3352</v>
      </c>
      <c r="T274" t="s">
        <v>365</v>
      </c>
      <c r="U274" t="s">
        <v>815</v>
      </c>
      <c r="V274" t="s">
        <v>2649</v>
      </c>
      <c r="W274" t="s">
        <v>367</v>
      </c>
      <c r="X274" t="s">
        <v>55</v>
      </c>
      <c r="Y274" t="s">
        <v>434</v>
      </c>
      <c r="Z274">
        <v>72</v>
      </c>
      <c r="AA274">
        <v>57</v>
      </c>
      <c r="AB274">
        <v>166</v>
      </c>
      <c r="AC274" t="s">
        <v>2650</v>
      </c>
      <c r="AD274" t="s">
        <v>2651</v>
      </c>
      <c r="AE274" t="s">
        <v>2652</v>
      </c>
      <c r="AF274" t="s">
        <v>2653</v>
      </c>
      <c r="AG274" t="s">
        <v>2654</v>
      </c>
      <c r="AH274" t="s">
        <v>2655</v>
      </c>
      <c r="AI274" t="s">
        <v>179</v>
      </c>
      <c r="AJ274" s="2">
        <v>45712.847696759258</v>
      </c>
      <c r="AK274" t="s">
        <v>568</v>
      </c>
      <c r="AL274" t="s">
        <v>65</v>
      </c>
      <c r="AM274" s="3">
        <v>2.2291666666666665</v>
      </c>
      <c r="AN274" t="s">
        <v>66</v>
      </c>
      <c r="AO274" t="s">
        <v>67</v>
      </c>
    </row>
    <row r="275" spans="1:41" x14ac:dyDescent="0.2">
      <c r="A275">
        <v>363750</v>
      </c>
      <c r="B275" t="s">
        <v>2656</v>
      </c>
      <c r="C275" t="s">
        <v>134</v>
      </c>
      <c r="D275" t="s">
        <v>2657</v>
      </c>
      <c r="E275" t="s">
        <v>2658</v>
      </c>
      <c r="F275">
        <v>450321</v>
      </c>
      <c r="G275" s="1">
        <v>37707</v>
      </c>
      <c r="H275" s="1">
        <v>45506</v>
      </c>
      <c r="I275" s="1">
        <v>46218</v>
      </c>
      <c r="J275" t="s">
        <v>45</v>
      </c>
      <c r="K275" t="s">
        <v>45</v>
      </c>
      <c r="L275" t="s">
        <v>72</v>
      </c>
      <c r="N275" t="s">
        <v>47</v>
      </c>
      <c r="O275" t="s">
        <v>48</v>
      </c>
      <c r="P275" t="s">
        <v>49</v>
      </c>
      <c r="Q275" t="s">
        <v>2659</v>
      </c>
      <c r="R275" t="s">
        <v>2660</v>
      </c>
      <c r="S275">
        <v>618</v>
      </c>
      <c r="T275" t="s">
        <v>296</v>
      </c>
      <c r="U275" t="s">
        <v>2267</v>
      </c>
      <c r="V275" t="s">
        <v>2661</v>
      </c>
      <c r="W275" t="s">
        <v>299</v>
      </c>
      <c r="X275" t="s">
        <v>76</v>
      </c>
      <c r="Y275" t="s">
        <v>56</v>
      </c>
      <c r="Z275">
        <v>1332</v>
      </c>
      <c r="AA275">
        <v>44</v>
      </c>
      <c r="AB275">
        <v>158</v>
      </c>
      <c r="AC275" t="s">
        <v>2662</v>
      </c>
      <c r="AD275" t="s">
        <v>2663</v>
      </c>
      <c r="AE275" t="s">
        <v>2664</v>
      </c>
      <c r="AF275" t="s">
        <v>2665</v>
      </c>
      <c r="AG275" t="s">
        <v>2666</v>
      </c>
      <c r="AH275" t="s">
        <v>2667</v>
      </c>
      <c r="AI275" t="s">
        <v>2274</v>
      </c>
      <c r="AJ275" s="2">
        <v>45523.163356481484</v>
      </c>
      <c r="AK275" t="s">
        <v>2668</v>
      </c>
      <c r="AL275" t="s">
        <v>65</v>
      </c>
      <c r="AM275" s="3">
        <v>1.2986111111111112</v>
      </c>
      <c r="AN275" t="s">
        <v>66</v>
      </c>
      <c r="AO275" t="s">
        <v>67</v>
      </c>
    </row>
    <row r="276" spans="1:41" x14ac:dyDescent="0.2">
      <c r="A276">
        <v>371659</v>
      </c>
      <c r="B276" t="s">
        <v>2669</v>
      </c>
      <c r="C276" t="s">
        <v>42</v>
      </c>
      <c r="D276" t="s">
        <v>2670</v>
      </c>
      <c r="E276" t="s">
        <v>2671</v>
      </c>
      <c r="F276">
        <v>290305</v>
      </c>
      <c r="G276" s="1">
        <v>38687</v>
      </c>
      <c r="H276" s="1">
        <v>45812</v>
      </c>
      <c r="I276" s="1">
        <v>46218</v>
      </c>
      <c r="J276" t="s">
        <v>45</v>
      </c>
      <c r="K276" t="s">
        <v>45</v>
      </c>
      <c r="L276" t="s">
        <v>46</v>
      </c>
      <c r="N276" t="s">
        <v>47</v>
      </c>
      <c r="O276" t="s">
        <v>48</v>
      </c>
      <c r="P276" t="s">
        <v>49</v>
      </c>
      <c r="Q276" t="s">
        <v>2672</v>
      </c>
      <c r="R276" t="s">
        <v>2673</v>
      </c>
      <c r="S276">
        <v>5762</v>
      </c>
      <c r="T276" t="s">
        <v>296</v>
      </c>
      <c r="U276" t="s">
        <v>2674</v>
      </c>
      <c r="V276" t="s">
        <v>2675</v>
      </c>
      <c r="W276" t="s">
        <v>299</v>
      </c>
      <c r="X276" t="s">
        <v>55</v>
      </c>
      <c r="Y276" t="s">
        <v>56</v>
      </c>
      <c r="Z276">
        <v>1335</v>
      </c>
      <c r="AA276">
        <v>42</v>
      </c>
      <c r="AB276">
        <v>160</v>
      </c>
      <c r="AC276" t="s">
        <v>2676</v>
      </c>
      <c r="AD276" t="s">
        <v>2677</v>
      </c>
      <c r="AE276" t="s">
        <v>2678</v>
      </c>
      <c r="AF276" t="s">
        <v>2679</v>
      </c>
      <c r="AG276" t="s">
        <v>2680</v>
      </c>
      <c r="AH276" t="s">
        <v>2681</v>
      </c>
      <c r="AI276" t="s">
        <v>2682</v>
      </c>
      <c r="AJ276" s="2">
        <v>45817.850057870368</v>
      </c>
      <c r="AK276" t="s">
        <v>609</v>
      </c>
      <c r="AL276" t="s">
        <v>65</v>
      </c>
      <c r="AM276" s="3">
        <v>1.4305555555555556</v>
      </c>
      <c r="AN276" t="s">
        <v>66</v>
      </c>
      <c r="AO276" t="s">
        <v>67</v>
      </c>
    </row>
    <row r="277" spans="1:41" x14ac:dyDescent="0.2">
      <c r="A277">
        <v>372362</v>
      </c>
      <c r="B277" t="s">
        <v>2683</v>
      </c>
      <c r="C277" t="s">
        <v>345</v>
      </c>
      <c r="D277" t="s">
        <v>2684</v>
      </c>
      <c r="E277" t="s">
        <v>2685</v>
      </c>
      <c r="F277">
        <v>55601</v>
      </c>
      <c r="G277" s="1">
        <v>37817</v>
      </c>
      <c r="H277" s="1">
        <v>45832</v>
      </c>
      <c r="I277" s="1">
        <v>46235</v>
      </c>
      <c r="J277" t="s">
        <v>45</v>
      </c>
      <c r="K277" t="s">
        <v>45</v>
      </c>
      <c r="L277" t="s">
        <v>429</v>
      </c>
      <c r="M277" s="1">
        <v>42635</v>
      </c>
      <c r="N277" t="s">
        <v>47</v>
      </c>
      <c r="O277" t="s">
        <v>48</v>
      </c>
      <c r="P277" t="s">
        <v>49</v>
      </c>
      <c r="Q277" t="s">
        <v>2686</v>
      </c>
      <c r="R277" t="s">
        <v>2687</v>
      </c>
      <c r="S277">
        <v>8972</v>
      </c>
      <c r="T277" t="s">
        <v>52</v>
      </c>
      <c r="U277">
        <v>2</v>
      </c>
      <c r="V277" t="s">
        <v>1522</v>
      </c>
      <c r="W277" t="s">
        <v>54</v>
      </c>
      <c r="X277" t="s">
        <v>55</v>
      </c>
      <c r="Y277" t="s">
        <v>56</v>
      </c>
      <c r="Z277">
        <v>895</v>
      </c>
      <c r="AA277">
        <v>65</v>
      </c>
      <c r="AB277">
        <v>160</v>
      </c>
      <c r="AC277" t="s">
        <v>2688</v>
      </c>
      <c r="AD277" t="s">
        <v>2689</v>
      </c>
      <c r="AE277" t="s">
        <v>2690</v>
      </c>
      <c r="AF277" t="s">
        <v>1526</v>
      </c>
      <c r="AG277" t="s">
        <v>1527</v>
      </c>
      <c r="AH277" t="s">
        <v>1528</v>
      </c>
      <c r="AI277" t="s">
        <v>2691</v>
      </c>
      <c r="AJ277" s="2">
        <v>45838.771643518521</v>
      </c>
      <c r="AK277" t="s">
        <v>609</v>
      </c>
      <c r="AL277" t="s">
        <v>65</v>
      </c>
      <c r="AM277" s="3">
        <v>2.3333333333333335</v>
      </c>
      <c r="AN277" t="s">
        <v>66</v>
      </c>
      <c r="AO277" t="s">
        <v>67</v>
      </c>
    </row>
    <row r="278" spans="1:41" x14ac:dyDescent="0.2">
      <c r="A278">
        <v>367543</v>
      </c>
      <c r="B278" t="s">
        <v>2692</v>
      </c>
      <c r="C278" t="s">
        <v>167</v>
      </c>
      <c r="D278" t="s">
        <v>2264</v>
      </c>
      <c r="E278" t="s">
        <v>2693</v>
      </c>
      <c r="F278">
        <v>351319</v>
      </c>
      <c r="G278" s="1">
        <v>39312</v>
      </c>
      <c r="H278" s="1">
        <v>45555</v>
      </c>
      <c r="I278" s="1">
        <v>46266</v>
      </c>
      <c r="J278" t="s">
        <v>45</v>
      </c>
      <c r="K278" t="s">
        <v>45</v>
      </c>
      <c r="L278" t="s">
        <v>429</v>
      </c>
      <c r="M278" s="1">
        <v>44119</v>
      </c>
      <c r="N278" t="s">
        <v>47</v>
      </c>
      <c r="O278" t="s">
        <v>48</v>
      </c>
      <c r="P278" t="s">
        <v>49</v>
      </c>
      <c r="Q278" t="s">
        <v>2694</v>
      </c>
      <c r="R278" t="s">
        <v>2695</v>
      </c>
      <c r="S278">
        <v>4965</v>
      </c>
      <c r="T278" t="s">
        <v>52</v>
      </c>
      <c r="U278">
        <v>6</v>
      </c>
      <c r="V278" t="s">
        <v>480</v>
      </c>
      <c r="W278" t="s">
        <v>54</v>
      </c>
      <c r="X278" t="s">
        <v>76</v>
      </c>
      <c r="Y278" t="s">
        <v>56</v>
      </c>
      <c r="Z278">
        <v>1456</v>
      </c>
      <c r="AA278">
        <v>52</v>
      </c>
      <c r="AB278">
        <v>166</v>
      </c>
      <c r="AC278" t="s">
        <v>481</v>
      </c>
      <c r="AD278" t="s">
        <v>482</v>
      </c>
      <c r="AE278" t="s">
        <v>483</v>
      </c>
      <c r="AF278" t="s">
        <v>481</v>
      </c>
      <c r="AG278" t="s">
        <v>482</v>
      </c>
      <c r="AH278" t="s">
        <v>2696</v>
      </c>
      <c r="AI278" t="s">
        <v>2697</v>
      </c>
      <c r="AJ278" s="2">
        <v>45680.934386574074</v>
      </c>
      <c r="AK278" t="s">
        <v>481</v>
      </c>
      <c r="AL278" t="s">
        <v>65</v>
      </c>
      <c r="AM278" s="4">
        <v>0.70833333333333337</v>
      </c>
      <c r="AN278" t="s">
        <v>66</v>
      </c>
      <c r="AO278" t="s">
        <v>67</v>
      </c>
    </row>
    <row r="279" spans="1:41" x14ac:dyDescent="0.2">
      <c r="A279">
        <v>367785</v>
      </c>
      <c r="B279" t="s">
        <v>2698</v>
      </c>
      <c r="C279" t="s">
        <v>763</v>
      </c>
      <c r="D279" t="s">
        <v>168</v>
      </c>
      <c r="E279" s="5">
        <v>537036</v>
      </c>
      <c r="F279">
        <v>473901</v>
      </c>
      <c r="G279" s="1">
        <v>38594</v>
      </c>
      <c r="H279" s="1">
        <v>45400</v>
      </c>
      <c r="J279" t="s">
        <v>45</v>
      </c>
      <c r="K279" t="s">
        <v>45</v>
      </c>
      <c r="L279" t="s">
        <v>72</v>
      </c>
      <c r="M279" s="1">
        <v>42041</v>
      </c>
      <c r="N279" t="s">
        <v>47</v>
      </c>
      <c r="O279" t="s">
        <v>48</v>
      </c>
      <c r="P279" t="s">
        <v>49</v>
      </c>
      <c r="Q279" t="s">
        <v>2699</v>
      </c>
      <c r="R279" t="s">
        <v>2700</v>
      </c>
      <c r="S279">
        <v>898</v>
      </c>
      <c r="T279" t="s">
        <v>92</v>
      </c>
      <c r="U279" t="s">
        <v>767</v>
      </c>
      <c r="V279" t="s">
        <v>768</v>
      </c>
      <c r="W279" t="s">
        <v>769</v>
      </c>
      <c r="X279" t="s">
        <v>92</v>
      </c>
      <c r="Y279" t="s">
        <v>770</v>
      </c>
      <c r="Z279">
        <v>2631</v>
      </c>
      <c r="AA279">
        <v>46</v>
      </c>
      <c r="AB279">
        <v>144</v>
      </c>
      <c r="AC279" t="s">
        <v>1263</v>
      </c>
      <c r="AD279" t="s">
        <v>1264</v>
      </c>
      <c r="AE279" t="s">
        <v>1265</v>
      </c>
      <c r="AF279" t="s">
        <v>774</v>
      </c>
      <c r="AG279" t="s">
        <v>775</v>
      </c>
      <c r="AH279" t="s">
        <v>776</v>
      </c>
      <c r="AI279" t="s">
        <v>1266</v>
      </c>
      <c r="AJ279" s="2">
        <v>45691.637604166666</v>
      </c>
      <c r="AK279" t="s">
        <v>1263</v>
      </c>
      <c r="AL279" t="s">
        <v>65</v>
      </c>
      <c r="AM279" s="4">
        <v>0.65972222222222221</v>
      </c>
      <c r="AN279" t="s">
        <v>66</v>
      </c>
      <c r="AO279" t="s">
        <v>67</v>
      </c>
    </row>
    <row r="280" spans="1:41" x14ac:dyDescent="0.2">
      <c r="A280">
        <v>369030</v>
      </c>
      <c r="B280" t="s">
        <v>2701</v>
      </c>
      <c r="C280" t="s">
        <v>167</v>
      </c>
      <c r="D280" t="s">
        <v>2702</v>
      </c>
      <c r="E280" t="s">
        <v>2703</v>
      </c>
      <c r="F280">
        <v>353342</v>
      </c>
      <c r="G280" s="1">
        <v>40716</v>
      </c>
      <c r="H280" s="1">
        <v>45567</v>
      </c>
      <c r="I280" s="1">
        <v>46296</v>
      </c>
      <c r="J280" t="s">
        <v>45</v>
      </c>
      <c r="K280" t="s">
        <v>45</v>
      </c>
      <c r="L280" t="s">
        <v>429</v>
      </c>
      <c r="M280" s="1">
        <v>37775</v>
      </c>
      <c r="N280" t="s">
        <v>47</v>
      </c>
      <c r="O280" t="s">
        <v>48</v>
      </c>
      <c r="P280" t="s">
        <v>49</v>
      </c>
      <c r="Q280" t="s">
        <v>2704</v>
      </c>
      <c r="R280" t="s">
        <v>2705</v>
      </c>
      <c r="S280">
        <v>4891</v>
      </c>
      <c r="T280" t="s">
        <v>52</v>
      </c>
      <c r="U280">
        <v>6</v>
      </c>
      <c r="V280" t="s">
        <v>1477</v>
      </c>
      <c r="W280" t="s">
        <v>54</v>
      </c>
      <c r="X280" t="s">
        <v>76</v>
      </c>
      <c r="Y280" t="s">
        <v>56</v>
      </c>
      <c r="Z280">
        <v>761</v>
      </c>
      <c r="AA280">
        <v>57</v>
      </c>
      <c r="AB280">
        <v>28</v>
      </c>
      <c r="AC280" t="s">
        <v>2706</v>
      </c>
      <c r="AD280" t="s">
        <v>2707</v>
      </c>
      <c r="AE280" t="s">
        <v>2708</v>
      </c>
      <c r="AF280" t="s">
        <v>2709</v>
      </c>
      <c r="AG280" t="s">
        <v>2710</v>
      </c>
      <c r="AH280" t="s">
        <v>2711</v>
      </c>
      <c r="AI280" t="s">
        <v>2712</v>
      </c>
      <c r="AJ280" s="2">
        <v>45722.9684375</v>
      </c>
      <c r="AK280" t="s">
        <v>501</v>
      </c>
      <c r="AL280" t="s">
        <v>65</v>
      </c>
      <c r="AM280" s="4">
        <v>0.625</v>
      </c>
      <c r="AN280" t="s">
        <v>66</v>
      </c>
      <c r="AO280" t="s">
        <v>67</v>
      </c>
    </row>
    <row r="281" spans="1:41" x14ac:dyDescent="0.2">
      <c r="A281">
        <v>369299</v>
      </c>
      <c r="B281" t="s">
        <v>2701</v>
      </c>
      <c r="C281" t="s">
        <v>118</v>
      </c>
      <c r="D281" t="s">
        <v>2713</v>
      </c>
      <c r="E281" t="s">
        <v>2714</v>
      </c>
      <c r="F281">
        <v>20114</v>
      </c>
      <c r="G281" s="1">
        <v>34597</v>
      </c>
      <c r="H281" s="1">
        <v>45566</v>
      </c>
      <c r="I281" s="1">
        <v>46249</v>
      </c>
      <c r="J281" t="s">
        <v>45</v>
      </c>
      <c r="K281" t="s">
        <v>45</v>
      </c>
      <c r="L281" t="s">
        <v>429</v>
      </c>
      <c r="M281" s="1">
        <v>44446</v>
      </c>
      <c r="N281" t="s">
        <v>47</v>
      </c>
      <c r="O281" t="s">
        <v>48</v>
      </c>
      <c r="P281" t="s">
        <v>49</v>
      </c>
      <c r="Q281" t="s">
        <v>2715</v>
      </c>
      <c r="R281" t="s">
        <v>2716</v>
      </c>
      <c r="S281">
        <v>7224</v>
      </c>
      <c r="T281" t="s">
        <v>365</v>
      </c>
      <c r="U281" t="s">
        <v>815</v>
      </c>
      <c r="V281" t="s">
        <v>958</v>
      </c>
      <c r="W281" t="s">
        <v>367</v>
      </c>
      <c r="X281" t="s">
        <v>55</v>
      </c>
      <c r="Y281" t="s">
        <v>434</v>
      </c>
      <c r="Z281">
        <v>50</v>
      </c>
      <c r="AA281">
        <v>56</v>
      </c>
      <c r="AB281">
        <v>166</v>
      </c>
      <c r="AC281" t="s">
        <v>2717</v>
      </c>
      <c r="AD281" t="s">
        <v>2718</v>
      </c>
      <c r="AE281" t="s">
        <v>2719</v>
      </c>
      <c r="AF281" t="s">
        <v>2720</v>
      </c>
      <c r="AG281" t="s">
        <v>963</v>
      </c>
      <c r="AH281" t="s">
        <v>2721</v>
      </c>
      <c r="AI281" t="s">
        <v>179</v>
      </c>
      <c r="AJ281" s="2">
        <v>45734.536944444444</v>
      </c>
      <c r="AK281" t="s">
        <v>2717</v>
      </c>
      <c r="AL281" t="s">
        <v>65</v>
      </c>
      <c r="AM281" s="3">
        <v>2.0833333333333335</v>
      </c>
      <c r="AN281" t="s">
        <v>66</v>
      </c>
      <c r="AO281" t="s">
        <v>67</v>
      </c>
    </row>
    <row r="282" spans="1:41" x14ac:dyDescent="0.2">
      <c r="A282">
        <v>370872</v>
      </c>
      <c r="B282" t="s">
        <v>2722</v>
      </c>
      <c r="C282" t="s">
        <v>182</v>
      </c>
      <c r="D282" t="s">
        <v>2179</v>
      </c>
      <c r="E282" t="s">
        <v>2723</v>
      </c>
      <c r="F282">
        <v>40399</v>
      </c>
      <c r="G282" s="1">
        <v>44832</v>
      </c>
      <c r="H282" s="1">
        <v>44832</v>
      </c>
      <c r="I282" s="1">
        <v>46266</v>
      </c>
      <c r="J282" t="s">
        <v>45</v>
      </c>
      <c r="K282" t="s">
        <v>45</v>
      </c>
      <c r="L282" t="s">
        <v>72</v>
      </c>
      <c r="N282" t="s">
        <v>89</v>
      </c>
      <c r="O282" t="s">
        <v>48</v>
      </c>
      <c r="P282" t="s">
        <v>49</v>
      </c>
      <c r="Q282" t="s">
        <v>2724</v>
      </c>
      <c r="R282" t="s">
        <v>2725</v>
      </c>
      <c r="S282">
        <v>9923</v>
      </c>
      <c r="T282" t="s">
        <v>1328</v>
      </c>
      <c r="U282" t="s">
        <v>1583</v>
      </c>
      <c r="V282" t="s">
        <v>2726</v>
      </c>
      <c r="W282" t="s">
        <v>2727</v>
      </c>
      <c r="X282" t="s">
        <v>493</v>
      </c>
      <c r="Y282" t="s">
        <v>434</v>
      </c>
      <c r="Z282">
        <v>12128</v>
      </c>
      <c r="AA282">
        <v>19</v>
      </c>
      <c r="AB282">
        <v>160</v>
      </c>
      <c r="AC282" t="s">
        <v>2728</v>
      </c>
      <c r="AD282" t="s">
        <v>2729</v>
      </c>
      <c r="AE282" t="s">
        <v>2730</v>
      </c>
      <c r="AF282" t="s">
        <v>2731</v>
      </c>
      <c r="AG282" t="s">
        <v>2732</v>
      </c>
      <c r="AH282" t="s">
        <v>2733</v>
      </c>
      <c r="AI282" t="s">
        <v>179</v>
      </c>
      <c r="AJ282" s="2">
        <v>45786.865324074075</v>
      </c>
      <c r="AK282" t="s">
        <v>660</v>
      </c>
      <c r="AL282" t="s">
        <v>65</v>
      </c>
      <c r="AM282" s="3">
        <v>1.0486111111111112</v>
      </c>
      <c r="AN282" t="s">
        <v>66</v>
      </c>
      <c r="AO282" t="s">
        <v>67</v>
      </c>
    </row>
    <row r="283" spans="1:41" x14ac:dyDescent="0.2">
      <c r="A283">
        <v>369509</v>
      </c>
      <c r="B283" t="s">
        <v>2722</v>
      </c>
      <c r="C283" t="s">
        <v>2734</v>
      </c>
      <c r="D283" t="s">
        <v>2735</v>
      </c>
      <c r="E283" t="s">
        <v>2736</v>
      </c>
      <c r="F283">
        <v>70031</v>
      </c>
      <c r="G283" s="1">
        <v>38054</v>
      </c>
      <c r="H283" s="1">
        <v>45734</v>
      </c>
      <c r="I283" s="1">
        <v>46054</v>
      </c>
      <c r="J283" t="s">
        <v>72</v>
      </c>
      <c r="K283" t="s">
        <v>45</v>
      </c>
      <c r="L283" t="s">
        <v>72</v>
      </c>
      <c r="M283" s="1">
        <v>45742</v>
      </c>
      <c r="N283" t="s">
        <v>47</v>
      </c>
      <c r="O283" t="s">
        <v>48</v>
      </c>
      <c r="P283" t="s">
        <v>2737</v>
      </c>
      <c r="Q283" t="s">
        <v>2738</v>
      </c>
      <c r="R283" t="s">
        <v>2739</v>
      </c>
      <c r="S283">
        <v>70</v>
      </c>
      <c r="T283" t="s">
        <v>92</v>
      </c>
      <c r="U283" t="s">
        <v>2740</v>
      </c>
      <c r="V283" t="s">
        <v>2741</v>
      </c>
      <c r="W283" t="s">
        <v>2742</v>
      </c>
      <c r="X283" t="s">
        <v>52</v>
      </c>
      <c r="Y283" t="s">
        <v>110</v>
      </c>
      <c r="Z283">
        <v>2505</v>
      </c>
      <c r="AA283">
        <v>35</v>
      </c>
      <c r="AB283">
        <v>144</v>
      </c>
      <c r="AC283" t="s">
        <v>2743</v>
      </c>
      <c r="AD283" t="s">
        <v>2744</v>
      </c>
      <c r="AE283" t="s">
        <v>2745</v>
      </c>
      <c r="AI283" t="s">
        <v>2744</v>
      </c>
      <c r="AJ283" s="2">
        <v>45742.775694444441</v>
      </c>
      <c r="AK283" t="s">
        <v>2743</v>
      </c>
      <c r="AL283" t="s">
        <v>65</v>
      </c>
      <c r="AM283" s="4">
        <v>0.375</v>
      </c>
      <c r="AN283" t="s">
        <v>66</v>
      </c>
      <c r="AO283" t="s">
        <v>67</v>
      </c>
    </row>
    <row r="284" spans="1:41" x14ac:dyDescent="0.2">
      <c r="A284">
        <v>372891</v>
      </c>
      <c r="B284" t="s">
        <v>2746</v>
      </c>
      <c r="C284" t="s">
        <v>182</v>
      </c>
      <c r="D284" t="s">
        <v>2636</v>
      </c>
      <c r="E284" t="s">
        <v>2747</v>
      </c>
      <c r="G284" s="1">
        <v>45839</v>
      </c>
      <c r="J284" t="s">
        <v>45</v>
      </c>
      <c r="K284" t="s">
        <v>45</v>
      </c>
      <c r="L284" t="s">
        <v>545</v>
      </c>
      <c r="N284" t="s">
        <v>89</v>
      </c>
      <c r="O284" t="s">
        <v>48</v>
      </c>
      <c r="P284" t="s">
        <v>49</v>
      </c>
      <c r="Q284" t="s">
        <v>2748</v>
      </c>
      <c r="R284" t="s">
        <v>2749</v>
      </c>
      <c r="S284">
        <v>549</v>
      </c>
      <c r="T284" t="s">
        <v>92</v>
      </c>
      <c r="U284" t="s">
        <v>187</v>
      </c>
      <c r="V284" t="s">
        <v>2750</v>
      </c>
      <c r="W284" t="s">
        <v>2751</v>
      </c>
      <c r="X284" t="s">
        <v>92</v>
      </c>
      <c r="Y284" t="s">
        <v>96</v>
      </c>
      <c r="Z284">
        <v>12316</v>
      </c>
      <c r="AA284">
        <v>3</v>
      </c>
      <c r="AB284">
        <v>44</v>
      </c>
      <c r="AC284" t="s">
        <v>2752</v>
      </c>
      <c r="AD284" t="s">
        <v>2753</v>
      </c>
      <c r="AE284" t="s">
        <v>2754</v>
      </c>
      <c r="AF284" t="s">
        <v>2755</v>
      </c>
      <c r="AG284" t="s">
        <v>2756</v>
      </c>
      <c r="AH284" t="s">
        <v>2757</v>
      </c>
      <c r="AJ284" s="2">
        <v>45855.782650462963</v>
      </c>
      <c r="AK284" t="s">
        <v>2758</v>
      </c>
      <c r="AL284" t="s">
        <v>651</v>
      </c>
      <c r="AM284" s="3">
        <v>1.2465277777777777</v>
      </c>
      <c r="AN284" t="s">
        <v>66</v>
      </c>
      <c r="AO284" t="s">
        <v>67</v>
      </c>
    </row>
    <row r="285" spans="1:41" x14ac:dyDescent="0.2">
      <c r="A285">
        <v>372879</v>
      </c>
      <c r="B285" t="s">
        <v>2759</v>
      </c>
      <c r="C285" t="s">
        <v>182</v>
      </c>
      <c r="D285" t="s">
        <v>1086</v>
      </c>
      <c r="E285" t="s">
        <v>2760</v>
      </c>
      <c r="F285">
        <v>44722</v>
      </c>
      <c r="G285" s="1">
        <v>36361</v>
      </c>
      <c r="H285" s="1">
        <v>45488</v>
      </c>
      <c r="I285" s="1">
        <v>46096</v>
      </c>
      <c r="J285" t="s">
        <v>45</v>
      </c>
      <c r="K285" t="s">
        <v>45</v>
      </c>
      <c r="L285" t="s">
        <v>429</v>
      </c>
      <c r="M285" s="1">
        <v>42192</v>
      </c>
      <c r="N285" t="s">
        <v>47</v>
      </c>
      <c r="O285" t="s">
        <v>48</v>
      </c>
      <c r="P285" t="s">
        <v>49</v>
      </c>
      <c r="Q285" t="s">
        <v>2761</v>
      </c>
      <c r="R285" t="s">
        <v>2762</v>
      </c>
      <c r="S285">
        <v>8114</v>
      </c>
      <c r="T285" t="s">
        <v>52</v>
      </c>
      <c r="U285">
        <v>5</v>
      </c>
      <c r="V285" t="s">
        <v>2763</v>
      </c>
      <c r="W285" t="s">
        <v>54</v>
      </c>
      <c r="X285" t="s">
        <v>493</v>
      </c>
      <c r="Y285" t="s">
        <v>434</v>
      </c>
      <c r="Z285">
        <v>949</v>
      </c>
      <c r="AA285">
        <v>52</v>
      </c>
      <c r="AB285">
        <v>144</v>
      </c>
      <c r="AC285" t="s">
        <v>2764</v>
      </c>
      <c r="AD285" t="s">
        <v>2765</v>
      </c>
      <c r="AE285" t="s">
        <v>2766</v>
      </c>
      <c r="AI285" t="s">
        <v>500</v>
      </c>
      <c r="AJ285" s="2">
        <v>45855.727303240739</v>
      </c>
      <c r="AK285" t="s">
        <v>132</v>
      </c>
      <c r="AL285" t="s">
        <v>65</v>
      </c>
      <c r="AM285" s="3">
        <v>2.2013888888888888</v>
      </c>
      <c r="AN285" t="s">
        <v>66</v>
      </c>
      <c r="AO285" t="s">
        <v>67</v>
      </c>
    </row>
    <row r="286" spans="1:41" x14ac:dyDescent="0.2">
      <c r="A286">
        <v>372271</v>
      </c>
      <c r="B286" t="s">
        <v>2767</v>
      </c>
      <c r="C286" t="s">
        <v>182</v>
      </c>
      <c r="D286" t="s">
        <v>2295</v>
      </c>
      <c r="E286" t="s">
        <v>2768</v>
      </c>
      <c r="F286">
        <v>40731</v>
      </c>
      <c r="G286" s="1">
        <v>40875</v>
      </c>
      <c r="H286" s="1">
        <v>45832</v>
      </c>
      <c r="I286" s="1">
        <v>46174</v>
      </c>
      <c r="J286" t="s">
        <v>45</v>
      </c>
      <c r="K286" t="s">
        <v>45</v>
      </c>
      <c r="L286" t="s">
        <v>46</v>
      </c>
      <c r="M286" s="1">
        <v>44362</v>
      </c>
      <c r="N286" t="s">
        <v>47</v>
      </c>
      <c r="O286" t="s">
        <v>48</v>
      </c>
      <c r="P286" t="s">
        <v>49</v>
      </c>
      <c r="Q286" t="s">
        <v>2769</v>
      </c>
      <c r="R286" t="s">
        <v>2770</v>
      </c>
      <c r="S286">
        <v>5725</v>
      </c>
      <c r="T286" t="s">
        <v>52</v>
      </c>
      <c r="U286">
        <v>5</v>
      </c>
      <c r="V286" t="s">
        <v>2771</v>
      </c>
      <c r="W286" t="s">
        <v>54</v>
      </c>
      <c r="X286" t="s">
        <v>493</v>
      </c>
      <c r="Y286" t="s">
        <v>434</v>
      </c>
      <c r="Z286">
        <v>5206</v>
      </c>
      <c r="AA286">
        <v>32</v>
      </c>
      <c r="AB286">
        <v>34</v>
      </c>
      <c r="AC286" t="s">
        <v>2772</v>
      </c>
      <c r="AD286" t="s">
        <v>2773</v>
      </c>
      <c r="AE286" t="s">
        <v>2774</v>
      </c>
      <c r="AF286" t="s">
        <v>2775</v>
      </c>
      <c r="AG286" t="s">
        <v>2776</v>
      </c>
      <c r="AH286" t="s">
        <v>2777</v>
      </c>
      <c r="AI286" t="s">
        <v>2778</v>
      </c>
      <c r="AJ286" s="2">
        <v>45835.77270833333</v>
      </c>
      <c r="AK286" t="s">
        <v>501</v>
      </c>
      <c r="AL286" t="s">
        <v>65</v>
      </c>
      <c r="AM286" s="4">
        <v>0.24305555555555555</v>
      </c>
      <c r="AN286" t="s">
        <v>66</v>
      </c>
      <c r="AO286" t="s">
        <v>67</v>
      </c>
    </row>
    <row r="287" spans="1:41" x14ac:dyDescent="0.2">
      <c r="A287">
        <v>363291</v>
      </c>
      <c r="B287" t="s">
        <v>2779</v>
      </c>
      <c r="C287" t="s">
        <v>278</v>
      </c>
      <c r="D287" t="s">
        <v>1140</v>
      </c>
      <c r="E287" t="s">
        <v>2780</v>
      </c>
      <c r="F287">
        <v>421307</v>
      </c>
      <c r="G287" s="1">
        <v>37390</v>
      </c>
      <c r="H287" s="1">
        <v>45483</v>
      </c>
      <c r="I287" s="1">
        <v>46235</v>
      </c>
      <c r="J287" t="s">
        <v>45</v>
      </c>
      <c r="K287" t="s">
        <v>45</v>
      </c>
      <c r="L287" t="s">
        <v>545</v>
      </c>
      <c r="N287" t="s">
        <v>47</v>
      </c>
      <c r="O287" t="s">
        <v>48</v>
      </c>
      <c r="P287" t="s">
        <v>49</v>
      </c>
      <c r="Q287" t="s">
        <v>2781</v>
      </c>
      <c r="R287" t="s">
        <v>2782</v>
      </c>
      <c r="S287">
        <v>7402</v>
      </c>
      <c r="T287" t="s">
        <v>296</v>
      </c>
      <c r="U287" t="s">
        <v>297</v>
      </c>
      <c r="V287" t="s">
        <v>2783</v>
      </c>
      <c r="W287" t="s">
        <v>299</v>
      </c>
      <c r="X287" t="s">
        <v>55</v>
      </c>
      <c r="Y287" t="s">
        <v>56</v>
      </c>
      <c r="Z287">
        <v>2205</v>
      </c>
      <c r="AA287">
        <v>41</v>
      </c>
      <c r="AB287">
        <v>158</v>
      </c>
      <c r="AC287" t="s">
        <v>2784</v>
      </c>
      <c r="AD287" t="s">
        <v>2785</v>
      </c>
      <c r="AE287" t="s">
        <v>2786</v>
      </c>
      <c r="AF287" t="s">
        <v>2787</v>
      </c>
      <c r="AG287" t="s">
        <v>2788</v>
      </c>
      <c r="AH287" t="s">
        <v>2789</v>
      </c>
      <c r="AI287" t="s">
        <v>306</v>
      </c>
      <c r="AJ287" s="2">
        <v>45509.772465277776</v>
      </c>
      <c r="AK287" t="s">
        <v>609</v>
      </c>
      <c r="AL287" t="s">
        <v>65</v>
      </c>
      <c r="AM287" s="3">
        <v>1.3055555555555556</v>
      </c>
      <c r="AN287" t="s">
        <v>66</v>
      </c>
      <c r="AO287" t="s">
        <v>67</v>
      </c>
    </row>
    <row r="288" spans="1:41" x14ac:dyDescent="0.2">
      <c r="A288">
        <v>364140</v>
      </c>
      <c r="B288" t="s">
        <v>2779</v>
      </c>
      <c r="C288" t="s">
        <v>735</v>
      </c>
      <c r="D288" t="s">
        <v>2790</v>
      </c>
      <c r="E288" t="s">
        <v>2791</v>
      </c>
      <c r="F288">
        <v>240228</v>
      </c>
      <c r="G288" s="1">
        <v>45120</v>
      </c>
      <c r="H288" s="1">
        <v>45522</v>
      </c>
      <c r="I288" s="1">
        <v>46235</v>
      </c>
      <c r="J288" t="s">
        <v>45</v>
      </c>
      <c r="K288" t="s">
        <v>45</v>
      </c>
      <c r="L288" t="s">
        <v>46</v>
      </c>
      <c r="N288" t="s">
        <v>47</v>
      </c>
      <c r="O288" t="s">
        <v>48</v>
      </c>
      <c r="P288" t="s">
        <v>49</v>
      </c>
      <c r="Q288" t="s">
        <v>2792</v>
      </c>
      <c r="R288" t="s">
        <v>2793</v>
      </c>
      <c r="S288">
        <v>5675</v>
      </c>
      <c r="T288" t="s">
        <v>52</v>
      </c>
      <c r="U288">
        <v>1</v>
      </c>
      <c r="V288" t="s">
        <v>2443</v>
      </c>
      <c r="W288" t="s">
        <v>54</v>
      </c>
      <c r="X288" t="s">
        <v>76</v>
      </c>
      <c r="Y288" t="s">
        <v>56</v>
      </c>
      <c r="Z288">
        <v>12114</v>
      </c>
      <c r="AA288">
        <v>11</v>
      </c>
      <c r="AB288">
        <v>210</v>
      </c>
      <c r="AC288" t="s">
        <v>2794</v>
      </c>
      <c r="AD288" t="s">
        <v>2795</v>
      </c>
      <c r="AE288" t="s">
        <v>2796</v>
      </c>
      <c r="AF288" t="s">
        <v>2797</v>
      </c>
      <c r="AG288" t="s">
        <v>2798</v>
      </c>
      <c r="AH288" t="s">
        <v>2799</v>
      </c>
      <c r="AI288" t="s">
        <v>2800</v>
      </c>
      <c r="AJ288" s="2">
        <v>45533.795289351852</v>
      </c>
      <c r="AK288" t="s">
        <v>568</v>
      </c>
      <c r="AL288" t="s">
        <v>65</v>
      </c>
      <c r="AM288" s="4">
        <v>0.44791666666666669</v>
      </c>
      <c r="AN288" t="s">
        <v>66</v>
      </c>
      <c r="AO288" t="s">
        <v>67</v>
      </c>
    </row>
    <row r="289" spans="1:41" x14ac:dyDescent="0.2">
      <c r="A289">
        <v>367900</v>
      </c>
      <c r="B289" t="s">
        <v>2801</v>
      </c>
      <c r="C289" t="s">
        <v>754</v>
      </c>
      <c r="D289" t="s">
        <v>2802</v>
      </c>
      <c r="E289" t="s">
        <v>2803</v>
      </c>
      <c r="F289">
        <v>182002</v>
      </c>
      <c r="G289" s="1">
        <v>37554</v>
      </c>
      <c r="H289" s="1">
        <v>45636</v>
      </c>
      <c r="I289" s="1">
        <v>45992</v>
      </c>
      <c r="J289" t="s">
        <v>45</v>
      </c>
      <c r="K289" t="s">
        <v>45</v>
      </c>
      <c r="L289" t="s">
        <v>72</v>
      </c>
      <c r="M289" s="1">
        <v>44568</v>
      </c>
      <c r="N289" t="s">
        <v>47</v>
      </c>
      <c r="O289" t="s">
        <v>48</v>
      </c>
      <c r="P289" t="s">
        <v>49</v>
      </c>
      <c r="Q289" t="s">
        <v>2804</v>
      </c>
      <c r="R289" t="s">
        <v>2805</v>
      </c>
      <c r="S289">
        <v>15</v>
      </c>
      <c r="T289" t="s">
        <v>156</v>
      </c>
      <c r="U289" t="s">
        <v>1446</v>
      </c>
      <c r="V289" t="s">
        <v>2806</v>
      </c>
      <c r="W289" t="s">
        <v>159</v>
      </c>
      <c r="X289" t="s">
        <v>156</v>
      </c>
      <c r="Y289" t="s">
        <v>110</v>
      </c>
      <c r="Z289">
        <v>1538</v>
      </c>
      <c r="AA289">
        <v>47</v>
      </c>
      <c r="AB289">
        <v>45</v>
      </c>
      <c r="AC289" t="s">
        <v>2807</v>
      </c>
      <c r="AD289" t="s">
        <v>2808</v>
      </c>
      <c r="AE289" t="s">
        <v>2809</v>
      </c>
      <c r="AI289" t="s">
        <v>1454</v>
      </c>
      <c r="AJ289" s="2">
        <v>45693.751018518517</v>
      </c>
      <c r="AK289" t="s">
        <v>132</v>
      </c>
      <c r="AL289" t="s">
        <v>65</v>
      </c>
      <c r="AM289" s="3">
        <v>2.3125</v>
      </c>
      <c r="AN289" t="s">
        <v>66</v>
      </c>
      <c r="AO289" t="s">
        <v>101</v>
      </c>
    </row>
    <row r="290" spans="1:41" x14ac:dyDescent="0.2">
      <c r="A290">
        <v>367876</v>
      </c>
      <c r="B290" t="s">
        <v>2810</v>
      </c>
      <c r="C290" t="s">
        <v>788</v>
      </c>
      <c r="D290" t="s">
        <v>2811</v>
      </c>
      <c r="E290" t="s">
        <v>2812</v>
      </c>
      <c r="F290">
        <v>80203</v>
      </c>
      <c r="G290" s="1">
        <v>44336</v>
      </c>
      <c r="H290" s="1">
        <v>45616</v>
      </c>
      <c r="J290" t="s">
        <v>45</v>
      </c>
      <c r="K290" t="s">
        <v>45</v>
      </c>
      <c r="L290" t="s">
        <v>72</v>
      </c>
      <c r="N290" t="s">
        <v>47</v>
      </c>
      <c r="O290" t="s">
        <v>48</v>
      </c>
      <c r="P290" t="s">
        <v>49</v>
      </c>
      <c r="Q290" t="s">
        <v>2813</v>
      </c>
      <c r="R290" t="s">
        <v>2814</v>
      </c>
      <c r="S290">
        <v>206</v>
      </c>
      <c r="T290" t="s">
        <v>92</v>
      </c>
      <c r="U290" t="s">
        <v>2815</v>
      </c>
      <c r="V290" t="s">
        <v>2816</v>
      </c>
      <c r="W290" t="s">
        <v>2817</v>
      </c>
      <c r="X290" t="s">
        <v>92</v>
      </c>
      <c r="Y290" t="s">
        <v>410</v>
      </c>
      <c r="Z290">
        <v>11587</v>
      </c>
      <c r="AA290">
        <v>15</v>
      </c>
      <c r="AB290">
        <v>45</v>
      </c>
      <c r="AC290" t="s">
        <v>2818</v>
      </c>
      <c r="AD290" t="s">
        <v>2819</v>
      </c>
      <c r="AE290" t="s">
        <v>2820</v>
      </c>
      <c r="AF290" t="s">
        <v>2821</v>
      </c>
      <c r="AG290" t="s">
        <v>2822</v>
      </c>
      <c r="AH290" t="s">
        <v>2823</v>
      </c>
      <c r="AJ290" s="2">
        <v>45693.647129629629</v>
      </c>
      <c r="AK290" t="s">
        <v>149</v>
      </c>
      <c r="AL290" t="s">
        <v>65</v>
      </c>
      <c r="AM290" s="3">
        <v>2.4791666666666665</v>
      </c>
      <c r="AN290" t="s">
        <v>66</v>
      </c>
      <c r="AO290" t="s">
        <v>101</v>
      </c>
    </row>
    <row r="291" spans="1:41" x14ac:dyDescent="0.2">
      <c r="A291">
        <v>365462</v>
      </c>
      <c r="B291" t="s">
        <v>2824</v>
      </c>
      <c r="C291" t="s">
        <v>542</v>
      </c>
      <c r="D291" t="s">
        <v>2825</v>
      </c>
      <c r="E291" t="s">
        <v>2826</v>
      </c>
      <c r="F291">
        <v>360131</v>
      </c>
      <c r="G291" s="1">
        <v>39716</v>
      </c>
      <c r="H291" s="1">
        <v>45582</v>
      </c>
      <c r="J291" t="s">
        <v>45</v>
      </c>
      <c r="K291" t="s">
        <v>45</v>
      </c>
      <c r="L291" t="s">
        <v>72</v>
      </c>
      <c r="M291" s="1">
        <v>44229</v>
      </c>
      <c r="N291" t="s">
        <v>47</v>
      </c>
      <c r="O291" t="s">
        <v>48</v>
      </c>
      <c r="P291" t="s">
        <v>49</v>
      </c>
      <c r="Q291" t="s">
        <v>2827</v>
      </c>
      <c r="R291" t="s">
        <v>2828</v>
      </c>
      <c r="S291">
        <v>1040</v>
      </c>
      <c r="T291" t="s">
        <v>92</v>
      </c>
      <c r="U291" t="s">
        <v>1133</v>
      </c>
      <c r="V291" t="s">
        <v>1134</v>
      </c>
      <c r="W291" t="s">
        <v>1135</v>
      </c>
      <c r="X291" t="s">
        <v>92</v>
      </c>
      <c r="Y291" t="s">
        <v>770</v>
      </c>
      <c r="Z291">
        <v>3017</v>
      </c>
      <c r="AA291">
        <v>37</v>
      </c>
      <c r="AB291">
        <v>79</v>
      </c>
      <c r="AC291" t="s">
        <v>1136</v>
      </c>
      <c r="AD291" t="s">
        <v>1137</v>
      </c>
      <c r="AE291" t="s">
        <v>1964</v>
      </c>
      <c r="AI291" t="s">
        <v>1137</v>
      </c>
      <c r="AJ291" s="2">
        <v>45582.858483796299</v>
      </c>
      <c r="AK291" t="s">
        <v>1136</v>
      </c>
      <c r="AL291" t="s">
        <v>65</v>
      </c>
      <c r="AM291" s="4">
        <v>0.68055555555555558</v>
      </c>
      <c r="AN291" t="s">
        <v>809</v>
      </c>
      <c r="AO291" t="s">
        <v>101</v>
      </c>
    </row>
    <row r="292" spans="1:41" x14ac:dyDescent="0.2">
      <c r="A292">
        <v>371558</v>
      </c>
      <c r="B292" t="s">
        <v>2829</v>
      </c>
      <c r="C292" t="s">
        <v>323</v>
      </c>
      <c r="D292" t="s">
        <v>324</v>
      </c>
      <c r="E292">
        <v>32488474</v>
      </c>
      <c r="F292">
        <v>500758</v>
      </c>
      <c r="G292" s="1">
        <v>39990</v>
      </c>
      <c r="H292" s="1">
        <v>45774</v>
      </c>
      <c r="I292" s="1">
        <v>46037</v>
      </c>
      <c r="J292" t="s">
        <v>45</v>
      </c>
      <c r="K292" t="s">
        <v>45</v>
      </c>
      <c r="L292" t="s">
        <v>72</v>
      </c>
      <c r="M292" s="1">
        <v>45067</v>
      </c>
      <c r="N292" t="s">
        <v>47</v>
      </c>
      <c r="O292" t="s">
        <v>48</v>
      </c>
      <c r="P292" t="s">
        <v>49</v>
      </c>
      <c r="Q292" t="s">
        <v>2830</v>
      </c>
      <c r="R292" t="s">
        <v>2831</v>
      </c>
      <c r="S292">
        <v>790</v>
      </c>
      <c r="T292" t="s">
        <v>1328</v>
      </c>
      <c r="U292" t="s">
        <v>1329</v>
      </c>
      <c r="V292" t="s">
        <v>2832</v>
      </c>
      <c r="W292" t="s">
        <v>1331</v>
      </c>
      <c r="X292" t="s">
        <v>1328</v>
      </c>
      <c r="Y292" t="s">
        <v>110</v>
      </c>
      <c r="Z292">
        <v>3068</v>
      </c>
      <c r="AA292">
        <v>23</v>
      </c>
      <c r="AB292">
        <v>38</v>
      </c>
      <c r="AC292" t="s">
        <v>2833</v>
      </c>
      <c r="AD292" t="s">
        <v>2834</v>
      </c>
      <c r="AE292" t="s">
        <v>2835</v>
      </c>
      <c r="AF292" t="s">
        <v>368</v>
      </c>
      <c r="AG292" t="s">
        <v>369</v>
      </c>
      <c r="AH292" t="s">
        <v>370</v>
      </c>
      <c r="AI292" t="s">
        <v>385</v>
      </c>
      <c r="AJ292" s="2">
        <v>45814.920844907407</v>
      </c>
      <c r="AK292" t="s">
        <v>727</v>
      </c>
      <c r="AL292" t="s">
        <v>65</v>
      </c>
      <c r="AM292" s="3">
        <v>1.2291666666666667</v>
      </c>
      <c r="AN292" t="s">
        <v>66</v>
      </c>
      <c r="AO292" t="s">
        <v>67</v>
      </c>
    </row>
    <row r="293" spans="1:41" x14ac:dyDescent="0.2">
      <c r="A293">
        <v>372982</v>
      </c>
      <c r="B293" t="s">
        <v>2836</v>
      </c>
      <c r="C293" t="s">
        <v>979</v>
      </c>
      <c r="D293" t="s">
        <v>2628</v>
      </c>
      <c r="E293" t="s">
        <v>2837</v>
      </c>
      <c r="F293">
        <v>31404</v>
      </c>
      <c r="G293" s="1">
        <v>39352</v>
      </c>
      <c r="H293" s="1">
        <v>45674</v>
      </c>
      <c r="I293" s="1">
        <v>46037</v>
      </c>
      <c r="J293" t="s">
        <v>45</v>
      </c>
      <c r="K293" t="s">
        <v>45</v>
      </c>
      <c r="L293" t="s">
        <v>46</v>
      </c>
      <c r="M293" s="1">
        <v>45378</v>
      </c>
      <c r="N293" t="s">
        <v>47</v>
      </c>
      <c r="O293" t="s">
        <v>48</v>
      </c>
      <c r="P293" t="s">
        <v>49</v>
      </c>
      <c r="Q293" t="s">
        <v>2838</v>
      </c>
      <c r="R293" t="s">
        <v>2839</v>
      </c>
      <c r="S293">
        <v>1200</v>
      </c>
      <c r="T293" t="s">
        <v>52</v>
      </c>
      <c r="U293">
        <v>8</v>
      </c>
      <c r="V293" t="s">
        <v>984</v>
      </c>
      <c r="W293" t="s">
        <v>54</v>
      </c>
      <c r="X293" t="s">
        <v>76</v>
      </c>
      <c r="Y293" t="s">
        <v>56</v>
      </c>
      <c r="Z293">
        <v>2947</v>
      </c>
      <c r="AA293">
        <v>35</v>
      </c>
      <c r="AB293">
        <v>166</v>
      </c>
      <c r="AC293" t="s">
        <v>985</v>
      </c>
      <c r="AD293" t="s">
        <v>986</v>
      </c>
      <c r="AE293" t="s">
        <v>987</v>
      </c>
      <c r="AI293" t="s">
        <v>988</v>
      </c>
      <c r="AJ293" s="2">
        <v>45855.97760416667</v>
      </c>
      <c r="AK293" t="s">
        <v>556</v>
      </c>
      <c r="AL293" t="s">
        <v>65</v>
      </c>
      <c r="AM293" s="4">
        <v>0.71527777777777779</v>
      </c>
      <c r="AN293" t="s">
        <v>66</v>
      </c>
      <c r="AO293" t="s">
        <v>67</v>
      </c>
    </row>
    <row r="294" spans="1:41" x14ac:dyDescent="0.2">
      <c r="A294">
        <v>367680</v>
      </c>
      <c r="B294" t="s">
        <v>2840</v>
      </c>
      <c r="C294" t="s">
        <v>1000</v>
      </c>
      <c r="D294" t="s">
        <v>2841</v>
      </c>
      <c r="E294" t="s">
        <v>2842</v>
      </c>
      <c r="F294">
        <v>407102</v>
      </c>
      <c r="G294" s="1">
        <v>37917</v>
      </c>
      <c r="H294" s="1">
        <v>45649</v>
      </c>
      <c r="J294" t="s">
        <v>45</v>
      </c>
      <c r="K294" t="s">
        <v>45</v>
      </c>
      <c r="L294" t="s">
        <v>72</v>
      </c>
      <c r="M294" s="1">
        <v>45649</v>
      </c>
      <c r="N294" t="s">
        <v>47</v>
      </c>
      <c r="O294" t="s">
        <v>48</v>
      </c>
      <c r="P294" t="s">
        <v>49</v>
      </c>
      <c r="Q294" t="s">
        <v>2843</v>
      </c>
      <c r="R294" t="s">
        <v>2844</v>
      </c>
      <c r="S294">
        <v>1780</v>
      </c>
      <c r="T294" t="s">
        <v>92</v>
      </c>
      <c r="U294" t="s">
        <v>1005</v>
      </c>
      <c r="V294" t="s">
        <v>590</v>
      </c>
      <c r="W294" t="s">
        <v>1006</v>
      </c>
      <c r="X294" t="s">
        <v>92</v>
      </c>
      <c r="Y294" t="s">
        <v>770</v>
      </c>
      <c r="Z294">
        <v>2412</v>
      </c>
      <c r="AA294">
        <v>33</v>
      </c>
      <c r="AB294">
        <v>144</v>
      </c>
      <c r="AC294" t="s">
        <v>2845</v>
      </c>
      <c r="AD294" t="s">
        <v>1008</v>
      </c>
      <c r="AE294" t="s">
        <v>1009</v>
      </c>
      <c r="AF294" t="s">
        <v>2846</v>
      </c>
      <c r="AG294" t="s">
        <v>2847</v>
      </c>
      <c r="AH294" t="s">
        <v>2848</v>
      </c>
      <c r="AI294" t="s">
        <v>1010</v>
      </c>
      <c r="AJ294" s="2">
        <v>45686.265798611108</v>
      </c>
      <c r="AK294" t="s">
        <v>1011</v>
      </c>
      <c r="AL294" t="s">
        <v>65</v>
      </c>
      <c r="AM294" s="4">
        <v>0.24305555555555555</v>
      </c>
      <c r="AN294" t="s">
        <v>66</v>
      </c>
      <c r="AO294" t="s">
        <v>67</v>
      </c>
    </row>
    <row r="295" spans="1:41" x14ac:dyDescent="0.2">
      <c r="A295">
        <v>370376</v>
      </c>
      <c r="B295" t="s">
        <v>2849</v>
      </c>
      <c r="C295" t="s">
        <v>69</v>
      </c>
      <c r="E295" t="s">
        <v>2850</v>
      </c>
      <c r="G295" s="1">
        <v>38812</v>
      </c>
      <c r="H295" s="1">
        <v>45325</v>
      </c>
      <c r="J295" t="s">
        <v>326</v>
      </c>
      <c r="K295" t="s">
        <v>45</v>
      </c>
      <c r="L295" t="s">
        <v>72</v>
      </c>
      <c r="N295" t="s">
        <v>89</v>
      </c>
      <c r="O295" t="s">
        <v>48</v>
      </c>
      <c r="P295" t="s">
        <v>406</v>
      </c>
      <c r="Q295" t="s">
        <v>2851</v>
      </c>
      <c r="R295" t="s">
        <v>2852</v>
      </c>
      <c r="S295">
        <v>2860</v>
      </c>
      <c r="T295" t="s">
        <v>365</v>
      </c>
      <c r="U295" t="s">
        <v>532</v>
      </c>
      <c r="V295" t="s">
        <v>2853</v>
      </c>
      <c r="W295" t="s">
        <v>409</v>
      </c>
      <c r="X295" t="s">
        <v>76</v>
      </c>
      <c r="Y295" t="s">
        <v>410</v>
      </c>
      <c r="Z295">
        <v>2847</v>
      </c>
      <c r="AA295">
        <v>57</v>
      </c>
      <c r="AB295">
        <v>158</v>
      </c>
      <c r="AC295" t="s">
        <v>2854</v>
      </c>
      <c r="AD295" t="s">
        <v>2855</v>
      </c>
      <c r="AE295" t="s">
        <v>2856</v>
      </c>
      <c r="AJ295" s="2">
        <v>45772.749062499999</v>
      </c>
      <c r="AK295" t="s">
        <v>100</v>
      </c>
      <c r="AL295" t="s">
        <v>65</v>
      </c>
      <c r="AM295" s="3">
        <v>1.6111111111111112</v>
      </c>
      <c r="AN295" t="s">
        <v>2857</v>
      </c>
      <c r="AO295" t="s">
        <v>67</v>
      </c>
    </row>
    <row r="296" spans="1:41" x14ac:dyDescent="0.2">
      <c r="A296">
        <v>366542</v>
      </c>
      <c r="B296" t="s">
        <v>2858</v>
      </c>
      <c r="C296" t="s">
        <v>788</v>
      </c>
      <c r="D296" t="s">
        <v>2859</v>
      </c>
      <c r="E296" t="s">
        <v>2860</v>
      </c>
      <c r="F296">
        <v>80802</v>
      </c>
      <c r="G296" s="1">
        <v>36487</v>
      </c>
      <c r="H296" s="1">
        <v>45614</v>
      </c>
      <c r="I296" s="1">
        <v>45992</v>
      </c>
      <c r="J296" t="s">
        <v>45</v>
      </c>
      <c r="K296" t="s">
        <v>45</v>
      </c>
      <c r="L296" t="s">
        <v>46</v>
      </c>
      <c r="M296" s="1">
        <v>43391</v>
      </c>
      <c r="N296" t="s">
        <v>47</v>
      </c>
      <c r="O296" t="s">
        <v>48</v>
      </c>
      <c r="P296" t="s">
        <v>49</v>
      </c>
      <c r="Q296" t="s">
        <v>2861</v>
      </c>
      <c r="R296" t="s">
        <v>2862</v>
      </c>
      <c r="S296">
        <v>125</v>
      </c>
      <c r="T296" t="s">
        <v>52</v>
      </c>
      <c r="U296">
        <v>8</v>
      </c>
      <c r="V296" t="s">
        <v>793</v>
      </c>
      <c r="W296" t="s">
        <v>54</v>
      </c>
      <c r="X296" t="s">
        <v>76</v>
      </c>
      <c r="Y296" t="s">
        <v>56</v>
      </c>
      <c r="Z296">
        <v>2020</v>
      </c>
      <c r="AA296">
        <v>55</v>
      </c>
      <c r="AB296">
        <v>37</v>
      </c>
      <c r="AC296" t="s">
        <v>2863</v>
      </c>
      <c r="AD296" t="s">
        <v>2864</v>
      </c>
      <c r="AE296" t="s">
        <v>2865</v>
      </c>
      <c r="AF296" t="s">
        <v>2866</v>
      </c>
      <c r="AG296" t="s">
        <v>2867</v>
      </c>
      <c r="AH296" t="s">
        <v>2868</v>
      </c>
      <c r="AI296" t="s">
        <v>2869</v>
      </c>
      <c r="AJ296" s="2">
        <v>45623.86755787037</v>
      </c>
      <c r="AK296" t="s">
        <v>1999</v>
      </c>
      <c r="AL296" t="s">
        <v>65</v>
      </c>
      <c r="AM296" s="3">
        <v>1.2256944444444444</v>
      </c>
      <c r="AN296" t="s">
        <v>66</v>
      </c>
      <c r="AO296" t="s">
        <v>101</v>
      </c>
    </row>
    <row r="297" spans="1:41" x14ac:dyDescent="0.2">
      <c r="A297">
        <v>371308</v>
      </c>
      <c r="B297" t="s">
        <v>2870</v>
      </c>
      <c r="C297" t="s">
        <v>167</v>
      </c>
      <c r="D297" t="s">
        <v>2871</v>
      </c>
      <c r="E297" t="s">
        <v>2872</v>
      </c>
      <c r="F297">
        <v>352416</v>
      </c>
      <c r="G297" s="1">
        <v>31680</v>
      </c>
      <c r="H297" s="1">
        <v>45799</v>
      </c>
      <c r="I297" s="1">
        <v>46143</v>
      </c>
      <c r="J297" t="s">
        <v>45</v>
      </c>
      <c r="K297" t="s">
        <v>45</v>
      </c>
      <c r="L297" t="s">
        <v>429</v>
      </c>
      <c r="M297" s="1">
        <v>43978</v>
      </c>
      <c r="N297" t="s">
        <v>47</v>
      </c>
      <c r="O297" t="s">
        <v>48</v>
      </c>
      <c r="P297" t="s">
        <v>49</v>
      </c>
      <c r="Q297" t="s">
        <v>2873</v>
      </c>
      <c r="R297" t="s">
        <v>2874</v>
      </c>
      <c r="S297">
        <v>4200</v>
      </c>
      <c r="T297" t="s">
        <v>52</v>
      </c>
      <c r="U297">
        <v>6</v>
      </c>
      <c r="V297" t="s">
        <v>2875</v>
      </c>
      <c r="W297" t="s">
        <v>54</v>
      </c>
      <c r="X297" t="s">
        <v>76</v>
      </c>
      <c r="Y297" t="s">
        <v>56</v>
      </c>
      <c r="Z297">
        <v>332</v>
      </c>
      <c r="AA297">
        <v>53</v>
      </c>
      <c r="AB297">
        <v>160</v>
      </c>
      <c r="AC297" t="s">
        <v>2876</v>
      </c>
      <c r="AD297" t="s">
        <v>2877</v>
      </c>
      <c r="AE297" t="s">
        <v>2878</v>
      </c>
      <c r="AF297" t="s">
        <v>2879</v>
      </c>
      <c r="AG297" t="s">
        <v>2880</v>
      </c>
      <c r="AH297" t="s">
        <v>2881</v>
      </c>
      <c r="AI297" t="s">
        <v>2882</v>
      </c>
      <c r="AJ297" s="2">
        <v>45804.714814814812</v>
      </c>
      <c r="AK297" t="s">
        <v>568</v>
      </c>
      <c r="AL297" t="s">
        <v>65</v>
      </c>
      <c r="AM297" s="3">
        <v>2.3125</v>
      </c>
      <c r="AN297" t="s">
        <v>66</v>
      </c>
      <c r="AO297" t="s">
        <v>67</v>
      </c>
    </row>
    <row r="298" spans="1:41" x14ac:dyDescent="0.2">
      <c r="A298">
        <v>372039</v>
      </c>
      <c r="B298" t="s">
        <v>2883</v>
      </c>
      <c r="C298" t="s">
        <v>182</v>
      </c>
      <c r="D298" t="s">
        <v>2295</v>
      </c>
      <c r="E298" t="s">
        <v>2884</v>
      </c>
      <c r="F298">
        <v>40725</v>
      </c>
      <c r="G298" s="1">
        <v>33519</v>
      </c>
      <c r="H298" s="1">
        <v>45827</v>
      </c>
      <c r="I298" s="1">
        <v>45931</v>
      </c>
      <c r="J298" t="s">
        <v>45</v>
      </c>
      <c r="K298" t="s">
        <v>45</v>
      </c>
      <c r="L298" t="s">
        <v>429</v>
      </c>
      <c r="M298" s="1">
        <v>42109</v>
      </c>
      <c r="N298" t="s">
        <v>47</v>
      </c>
      <c r="O298" t="s">
        <v>48</v>
      </c>
      <c r="P298" t="s">
        <v>49</v>
      </c>
      <c r="Q298" t="s">
        <v>2885</v>
      </c>
      <c r="R298" t="s">
        <v>2886</v>
      </c>
      <c r="S298">
        <v>5927</v>
      </c>
      <c r="T298" t="s">
        <v>365</v>
      </c>
      <c r="U298" t="s">
        <v>562</v>
      </c>
      <c r="V298" t="s">
        <v>1746</v>
      </c>
      <c r="W298" t="s">
        <v>367</v>
      </c>
      <c r="X298" t="s">
        <v>493</v>
      </c>
      <c r="Y298" t="s">
        <v>434</v>
      </c>
      <c r="Z298">
        <v>101</v>
      </c>
      <c r="AA298">
        <v>61</v>
      </c>
      <c r="AB298">
        <v>66</v>
      </c>
      <c r="AC298" t="s">
        <v>1747</v>
      </c>
      <c r="AD298" t="s">
        <v>2887</v>
      </c>
      <c r="AE298" t="s">
        <v>1749</v>
      </c>
      <c r="AI298" t="s">
        <v>500</v>
      </c>
      <c r="AJ298" s="2">
        <v>45827.978472222225</v>
      </c>
      <c r="AK298" t="s">
        <v>276</v>
      </c>
      <c r="AL298" t="s">
        <v>65</v>
      </c>
      <c r="AM298" s="3">
        <v>2.4861111111111112</v>
      </c>
      <c r="AN298" t="s">
        <v>66</v>
      </c>
      <c r="AO298" t="s">
        <v>67</v>
      </c>
    </row>
    <row r="299" spans="1:41" x14ac:dyDescent="0.2">
      <c r="A299">
        <v>366017</v>
      </c>
      <c r="B299" t="s">
        <v>2888</v>
      </c>
      <c r="C299" t="s">
        <v>2889</v>
      </c>
      <c r="D299" t="s">
        <v>2890</v>
      </c>
      <c r="E299" t="s">
        <v>2891</v>
      </c>
      <c r="F299">
        <v>192101</v>
      </c>
      <c r="G299" s="1">
        <v>42342</v>
      </c>
      <c r="H299" s="1">
        <v>45583</v>
      </c>
      <c r="I299" s="1">
        <v>45962</v>
      </c>
      <c r="J299" t="s">
        <v>45</v>
      </c>
      <c r="K299" t="s">
        <v>45</v>
      </c>
      <c r="L299" t="s">
        <v>72</v>
      </c>
      <c r="M299" s="1">
        <v>45212</v>
      </c>
      <c r="N299" t="s">
        <v>47</v>
      </c>
      <c r="O299" t="s">
        <v>48</v>
      </c>
      <c r="P299" t="s">
        <v>49</v>
      </c>
      <c r="Q299" t="s">
        <v>2892</v>
      </c>
      <c r="R299" t="s">
        <v>2893</v>
      </c>
      <c r="S299">
        <v>110</v>
      </c>
      <c r="T299" t="s">
        <v>92</v>
      </c>
      <c r="U299" t="s">
        <v>2894</v>
      </c>
      <c r="V299" t="s">
        <v>2895</v>
      </c>
      <c r="W299" t="s">
        <v>2896</v>
      </c>
      <c r="X299" t="s">
        <v>92</v>
      </c>
      <c r="Y299" t="s">
        <v>110</v>
      </c>
      <c r="Z299">
        <v>8206</v>
      </c>
      <c r="AA299">
        <v>20</v>
      </c>
      <c r="AB299">
        <v>39</v>
      </c>
      <c r="AC299" t="s">
        <v>2897</v>
      </c>
      <c r="AD299" t="s">
        <v>2898</v>
      </c>
      <c r="AE299" t="s">
        <v>2899</v>
      </c>
      <c r="AI299" t="s">
        <v>2898</v>
      </c>
      <c r="AJ299" s="2">
        <v>45600.805925925924</v>
      </c>
      <c r="AK299" t="s">
        <v>2897</v>
      </c>
      <c r="AL299" t="s">
        <v>65</v>
      </c>
      <c r="AM299" s="3">
        <v>2.1145833333333335</v>
      </c>
      <c r="AN299" t="s">
        <v>66</v>
      </c>
      <c r="AO299" t="s">
        <v>101</v>
      </c>
    </row>
    <row r="300" spans="1:41" x14ac:dyDescent="0.2">
      <c r="A300">
        <v>368884</v>
      </c>
      <c r="B300" t="s">
        <v>2900</v>
      </c>
      <c r="C300" t="s">
        <v>182</v>
      </c>
      <c r="D300" t="s">
        <v>2901</v>
      </c>
      <c r="E300" t="s">
        <v>2902</v>
      </c>
      <c r="F300">
        <v>109893</v>
      </c>
      <c r="G300" s="1">
        <v>39148</v>
      </c>
      <c r="H300" s="1">
        <v>45644</v>
      </c>
      <c r="I300" s="1">
        <v>45962</v>
      </c>
      <c r="J300" t="s">
        <v>45</v>
      </c>
      <c r="K300" t="s">
        <v>45</v>
      </c>
      <c r="L300" t="s">
        <v>429</v>
      </c>
      <c r="M300" s="1">
        <v>42430</v>
      </c>
      <c r="N300" t="s">
        <v>47</v>
      </c>
      <c r="O300" t="s">
        <v>48</v>
      </c>
      <c r="P300" t="s">
        <v>49</v>
      </c>
      <c r="Q300" t="s">
        <v>2903</v>
      </c>
      <c r="R300" t="s">
        <v>2904</v>
      </c>
      <c r="S300">
        <v>5350</v>
      </c>
      <c r="T300" t="s">
        <v>365</v>
      </c>
      <c r="U300" t="s">
        <v>815</v>
      </c>
      <c r="V300" t="s">
        <v>816</v>
      </c>
      <c r="W300" t="s">
        <v>367</v>
      </c>
      <c r="X300" t="s">
        <v>493</v>
      </c>
      <c r="Y300" t="s">
        <v>434</v>
      </c>
      <c r="Z300">
        <v>1524</v>
      </c>
      <c r="AA300">
        <v>64</v>
      </c>
      <c r="AB300">
        <v>158</v>
      </c>
      <c r="AC300" t="s">
        <v>817</v>
      </c>
      <c r="AD300" t="s">
        <v>818</v>
      </c>
      <c r="AE300" t="s">
        <v>819</v>
      </c>
      <c r="AI300" t="s">
        <v>2546</v>
      </c>
      <c r="AJ300" s="2">
        <v>45722.890706018516</v>
      </c>
      <c r="AK300" t="s">
        <v>501</v>
      </c>
      <c r="AL300" t="s">
        <v>65</v>
      </c>
      <c r="AM300" s="3">
        <v>1.3402777777777777</v>
      </c>
      <c r="AN300" t="s">
        <v>66</v>
      </c>
      <c r="AO300" t="s">
        <v>67</v>
      </c>
    </row>
    <row r="301" spans="1:41" x14ac:dyDescent="0.2">
      <c r="A301">
        <v>372202</v>
      </c>
      <c r="B301" t="s">
        <v>2905</v>
      </c>
      <c r="C301" t="s">
        <v>182</v>
      </c>
      <c r="D301" t="s">
        <v>1948</v>
      </c>
      <c r="E301" t="s">
        <v>2906</v>
      </c>
      <c r="F301">
        <v>40302</v>
      </c>
      <c r="G301" s="1">
        <v>40072</v>
      </c>
      <c r="H301" s="1">
        <v>45826</v>
      </c>
      <c r="I301" s="1">
        <v>46204</v>
      </c>
      <c r="J301" t="s">
        <v>45</v>
      </c>
      <c r="K301" t="s">
        <v>45</v>
      </c>
      <c r="L301" t="s">
        <v>72</v>
      </c>
      <c r="M301" s="1">
        <v>43739</v>
      </c>
      <c r="N301" t="s">
        <v>47</v>
      </c>
      <c r="O301" t="s">
        <v>48</v>
      </c>
      <c r="P301" t="s">
        <v>49</v>
      </c>
      <c r="Q301" t="s">
        <v>2907</v>
      </c>
      <c r="R301" t="s">
        <v>2908</v>
      </c>
      <c r="S301">
        <v>5746</v>
      </c>
      <c r="T301" t="s">
        <v>52</v>
      </c>
      <c r="U301">
        <v>5</v>
      </c>
      <c r="V301" t="s">
        <v>1951</v>
      </c>
      <c r="W301" t="s">
        <v>54</v>
      </c>
      <c r="X301" t="s">
        <v>493</v>
      </c>
      <c r="Y301" t="s">
        <v>434</v>
      </c>
      <c r="Z301">
        <v>547</v>
      </c>
      <c r="AA301">
        <v>89</v>
      </c>
      <c r="AB301">
        <v>210</v>
      </c>
      <c r="AC301" t="s">
        <v>1952</v>
      </c>
      <c r="AD301" t="s">
        <v>1953</v>
      </c>
      <c r="AE301" t="s">
        <v>1954</v>
      </c>
      <c r="AF301" t="s">
        <v>1955</v>
      </c>
      <c r="AG301" t="s">
        <v>1956</v>
      </c>
      <c r="AH301" t="s">
        <v>1957</v>
      </c>
      <c r="AI301" t="s">
        <v>1958</v>
      </c>
      <c r="AJ301" s="2">
        <v>45833.769097222219</v>
      </c>
      <c r="AK301" t="s">
        <v>1740</v>
      </c>
      <c r="AL301" t="s">
        <v>65</v>
      </c>
      <c r="AM301" s="3">
        <v>1.1527777777777777</v>
      </c>
      <c r="AN301" t="s">
        <v>66</v>
      </c>
      <c r="AO301" t="s">
        <v>67</v>
      </c>
    </row>
    <row r="302" spans="1:41" x14ac:dyDescent="0.2">
      <c r="A302">
        <v>372734</v>
      </c>
      <c r="B302" t="s">
        <v>2909</v>
      </c>
      <c r="C302" t="s">
        <v>676</v>
      </c>
      <c r="D302" t="s">
        <v>2910</v>
      </c>
      <c r="E302" t="s">
        <v>2911</v>
      </c>
      <c r="F302">
        <v>280101</v>
      </c>
      <c r="G302" s="1">
        <v>39426</v>
      </c>
      <c r="H302" s="1">
        <v>45849</v>
      </c>
      <c r="I302" s="1">
        <v>46204</v>
      </c>
      <c r="J302" t="s">
        <v>45</v>
      </c>
      <c r="K302" t="s">
        <v>45</v>
      </c>
      <c r="L302" t="s">
        <v>72</v>
      </c>
      <c r="M302" s="1">
        <v>45372</v>
      </c>
      <c r="N302" t="s">
        <v>47</v>
      </c>
      <c r="O302" t="s">
        <v>48</v>
      </c>
      <c r="P302" t="s">
        <v>49</v>
      </c>
      <c r="Q302" t="s">
        <v>2912</v>
      </c>
      <c r="R302" t="s">
        <v>2913</v>
      </c>
      <c r="S302">
        <v>1375</v>
      </c>
      <c r="T302" t="s">
        <v>257</v>
      </c>
      <c r="U302" t="s">
        <v>836</v>
      </c>
      <c r="V302" t="s">
        <v>2914</v>
      </c>
      <c r="W302" t="s">
        <v>260</v>
      </c>
      <c r="X302" t="s">
        <v>257</v>
      </c>
      <c r="Y302" t="s">
        <v>110</v>
      </c>
      <c r="Z302">
        <v>2674</v>
      </c>
      <c r="AA302">
        <v>40</v>
      </c>
      <c r="AB302">
        <v>145</v>
      </c>
      <c r="AC302" t="s">
        <v>2915</v>
      </c>
      <c r="AD302" t="s">
        <v>2916</v>
      </c>
      <c r="AE302" t="s">
        <v>2917</v>
      </c>
      <c r="AF302" t="s">
        <v>2918</v>
      </c>
      <c r="AG302" t="s">
        <v>2919</v>
      </c>
      <c r="AH302" t="s">
        <v>2917</v>
      </c>
      <c r="AI302" t="s">
        <v>2920</v>
      </c>
      <c r="AJ302" s="2">
        <v>45852.712638888886</v>
      </c>
      <c r="AK302" t="s">
        <v>2915</v>
      </c>
      <c r="AL302" t="s">
        <v>65</v>
      </c>
      <c r="AM302" s="4">
        <v>0.61805555555555558</v>
      </c>
      <c r="AN302" t="s">
        <v>66</v>
      </c>
      <c r="AO302" t="s">
        <v>101</v>
      </c>
    </row>
    <row r="303" spans="1:41" x14ac:dyDescent="0.2">
      <c r="A303">
        <v>364116</v>
      </c>
      <c r="B303" t="s">
        <v>2921</v>
      </c>
      <c r="C303" t="s">
        <v>735</v>
      </c>
      <c r="D303" t="s">
        <v>2922</v>
      </c>
      <c r="E303" t="s">
        <v>2923</v>
      </c>
      <c r="F303">
        <v>241513</v>
      </c>
      <c r="G303" s="1">
        <v>37781</v>
      </c>
      <c r="H303" s="1">
        <v>45529</v>
      </c>
      <c r="I303" s="1">
        <v>46235</v>
      </c>
      <c r="J303" t="s">
        <v>45</v>
      </c>
      <c r="K303" t="s">
        <v>45</v>
      </c>
      <c r="L303" t="s">
        <v>46</v>
      </c>
      <c r="N303" t="s">
        <v>47</v>
      </c>
      <c r="O303" t="s">
        <v>48</v>
      </c>
      <c r="P303" t="s">
        <v>49</v>
      </c>
      <c r="Q303" t="s">
        <v>2924</v>
      </c>
      <c r="R303" t="s">
        <v>2925</v>
      </c>
      <c r="S303">
        <v>3412</v>
      </c>
      <c r="T303" t="s">
        <v>52</v>
      </c>
      <c r="U303">
        <v>1</v>
      </c>
      <c r="V303" t="s">
        <v>2926</v>
      </c>
      <c r="W303" t="s">
        <v>54</v>
      </c>
      <c r="X303" t="s">
        <v>76</v>
      </c>
      <c r="Y303" t="s">
        <v>56</v>
      </c>
      <c r="Z303">
        <v>957</v>
      </c>
      <c r="AA303">
        <v>65</v>
      </c>
      <c r="AB303">
        <v>176</v>
      </c>
      <c r="AC303" t="s">
        <v>2927</v>
      </c>
      <c r="AD303" t="s">
        <v>2928</v>
      </c>
      <c r="AE303" t="s">
        <v>2929</v>
      </c>
      <c r="AF303" t="s">
        <v>2930</v>
      </c>
      <c r="AG303" t="s">
        <v>2931</v>
      </c>
      <c r="AH303" t="s">
        <v>2932</v>
      </c>
      <c r="AI303" t="s">
        <v>2933</v>
      </c>
      <c r="AJ303" s="2">
        <v>45533.582743055558</v>
      </c>
      <c r="AK303" t="s">
        <v>568</v>
      </c>
      <c r="AL303" t="s">
        <v>65</v>
      </c>
      <c r="AM303" s="4">
        <v>6.9444444444444448E-2</v>
      </c>
      <c r="AN303" t="s">
        <v>66</v>
      </c>
      <c r="AO303" t="s">
        <v>67</v>
      </c>
    </row>
    <row r="304" spans="1:41" x14ac:dyDescent="0.2">
      <c r="A304">
        <v>363186</v>
      </c>
      <c r="B304" t="s">
        <v>2934</v>
      </c>
      <c r="C304" t="s">
        <v>182</v>
      </c>
      <c r="D304" t="s">
        <v>1656</v>
      </c>
      <c r="E304" t="s">
        <v>2935</v>
      </c>
      <c r="F304">
        <v>43212</v>
      </c>
      <c r="G304" s="1">
        <v>42606</v>
      </c>
      <c r="H304" s="1">
        <v>45504</v>
      </c>
      <c r="J304" t="s">
        <v>45</v>
      </c>
      <c r="K304" t="s">
        <v>45</v>
      </c>
      <c r="L304" t="s">
        <v>72</v>
      </c>
      <c r="N304" t="s">
        <v>47</v>
      </c>
      <c r="O304" t="s">
        <v>48</v>
      </c>
      <c r="P304" t="s">
        <v>49</v>
      </c>
      <c r="Q304" t="s">
        <v>2936</v>
      </c>
      <c r="R304" t="s">
        <v>2937</v>
      </c>
      <c r="S304">
        <v>6043</v>
      </c>
      <c r="T304" t="s">
        <v>92</v>
      </c>
      <c r="U304" t="s">
        <v>187</v>
      </c>
      <c r="V304" t="s">
        <v>447</v>
      </c>
      <c r="W304" t="s">
        <v>448</v>
      </c>
      <c r="X304" t="s">
        <v>92</v>
      </c>
      <c r="Y304" t="s">
        <v>450</v>
      </c>
      <c r="Z304">
        <v>8586</v>
      </c>
      <c r="AA304">
        <v>17</v>
      </c>
      <c r="AB304">
        <v>78</v>
      </c>
      <c r="AC304" t="s">
        <v>451</v>
      </c>
      <c r="AD304" t="s">
        <v>452</v>
      </c>
      <c r="AE304" t="s">
        <v>453</v>
      </c>
      <c r="AF304" t="s">
        <v>454</v>
      </c>
      <c r="AG304" t="s">
        <v>473</v>
      </c>
      <c r="AI304" t="s">
        <v>452</v>
      </c>
      <c r="AJ304" s="2">
        <v>45506.682210648149</v>
      </c>
      <c r="AK304" t="s">
        <v>526</v>
      </c>
      <c r="AL304" t="s">
        <v>65</v>
      </c>
      <c r="AM304" s="3">
        <v>1.4027777777777777</v>
      </c>
      <c r="AN304" t="s">
        <v>66</v>
      </c>
      <c r="AO304" t="s">
        <v>67</v>
      </c>
    </row>
    <row r="305" spans="1:41" x14ac:dyDescent="0.2">
      <c r="A305">
        <v>371330</v>
      </c>
      <c r="B305" t="s">
        <v>2938</v>
      </c>
      <c r="C305" t="s">
        <v>345</v>
      </c>
      <c r="D305" t="s">
        <v>2939</v>
      </c>
      <c r="E305" t="s">
        <v>2940</v>
      </c>
      <c r="F305">
        <v>55305</v>
      </c>
      <c r="G305" s="1">
        <v>32987</v>
      </c>
      <c r="H305" s="1">
        <v>45482</v>
      </c>
      <c r="I305" s="1">
        <v>46218</v>
      </c>
      <c r="J305" t="s">
        <v>45</v>
      </c>
      <c r="K305" t="s">
        <v>45</v>
      </c>
      <c r="L305" t="s">
        <v>72</v>
      </c>
      <c r="N305" t="s">
        <v>47</v>
      </c>
      <c r="O305" t="s">
        <v>48</v>
      </c>
      <c r="P305" t="s">
        <v>49</v>
      </c>
      <c r="Q305" t="s">
        <v>2941</v>
      </c>
      <c r="R305" t="s">
        <v>2942</v>
      </c>
      <c r="S305">
        <v>10430</v>
      </c>
      <c r="T305" t="s">
        <v>52</v>
      </c>
      <c r="U305">
        <v>2</v>
      </c>
      <c r="V305" t="s">
        <v>2379</v>
      </c>
      <c r="W305" t="s">
        <v>54</v>
      </c>
      <c r="X305" t="s">
        <v>55</v>
      </c>
      <c r="Y305" t="s">
        <v>56</v>
      </c>
      <c r="Z305">
        <v>585</v>
      </c>
      <c r="AA305">
        <v>47</v>
      </c>
      <c r="AB305">
        <v>144</v>
      </c>
      <c r="AC305" t="s">
        <v>2380</v>
      </c>
      <c r="AD305" t="s">
        <v>2381</v>
      </c>
      <c r="AE305" t="s">
        <v>2382</v>
      </c>
      <c r="AF305" t="s">
        <v>2383</v>
      </c>
      <c r="AG305" t="s">
        <v>2384</v>
      </c>
      <c r="AH305" t="s">
        <v>2385</v>
      </c>
      <c r="AI305" t="s">
        <v>2386</v>
      </c>
      <c r="AJ305" s="2">
        <v>45805.565810185188</v>
      </c>
      <c r="AK305" t="s">
        <v>2380</v>
      </c>
      <c r="AL305" t="s">
        <v>65</v>
      </c>
      <c r="AM305" s="3">
        <v>2.4097222222222223</v>
      </c>
      <c r="AN305" t="s">
        <v>66</v>
      </c>
      <c r="AO305" t="s">
        <v>67</v>
      </c>
    </row>
    <row r="306" spans="1:41" x14ac:dyDescent="0.2">
      <c r="A306">
        <v>370998</v>
      </c>
      <c r="B306" t="s">
        <v>2943</v>
      </c>
      <c r="C306" t="s">
        <v>182</v>
      </c>
      <c r="D306" t="s">
        <v>1064</v>
      </c>
      <c r="E306" t="s">
        <v>2944</v>
      </c>
      <c r="F306">
        <v>40203</v>
      </c>
      <c r="G306" s="1">
        <v>37029</v>
      </c>
      <c r="H306" s="1">
        <v>45790</v>
      </c>
      <c r="I306" s="1">
        <v>46204</v>
      </c>
      <c r="J306" t="s">
        <v>45</v>
      </c>
      <c r="K306" t="s">
        <v>45</v>
      </c>
      <c r="L306" t="s">
        <v>429</v>
      </c>
      <c r="M306" s="1">
        <v>43644</v>
      </c>
      <c r="N306" t="s">
        <v>47</v>
      </c>
      <c r="O306" t="s">
        <v>48</v>
      </c>
      <c r="P306" t="s">
        <v>49</v>
      </c>
      <c r="Q306" t="s">
        <v>2945</v>
      </c>
      <c r="R306" t="s">
        <v>2946</v>
      </c>
      <c r="S306">
        <v>5859</v>
      </c>
      <c r="T306" t="s">
        <v>52</v>
      </c>
      <c r="U306">
        <v>5</v>
      </c>
      <c r="V306" t="s">
        <v>2947</v>
      </c>
      <c r="W306" t="s">
        <v>54</v>
      </c>
      <c r="X306" t="s">
        <v>493</v>
      </c>
      <c r="Y306" t="s">
        <v>434</v>
      </c>
      <c r="Z306">
        <v>1682</v>
      </c>
      <c r="AA306">
        <v>42</v>
      </c>
      <c r="AB306">
        <v>138</v>
      </c>
      <c r="AC306" t="s">
        <v>2948</v>
      </c>
      <c r="AD306" t="s">
        <v>2949</v>
      </c>
      <c r="AE306" t="s">
        <v>2950</v>
      </c>
      <c r="AF306" t="s">
        <v>2951</v>
      </c>
      <c r="AG306" t="s">
        <v>2951</v>
      </c>
      <c r="AI306" t="s">
        <v>500</v>
      </c>
      <c r="AJ306" s="2">
        <v>45792.714143518519</v>
      </c>
      <c r="AK306" t="s">
        <v>1472</v>
      </c>
      <c r="AL306" t="s">
        <v>65</v>
      </c>
      <c r="AM306" s="3">
        <v>2.1597222222222223</v>
      </c>
      <c r="AN306" t="s">
        <v>66</v>
      </c>
      <c r="AO306" t="s">
        <v>67</v>
      </c>
    </row>
    <row r="307" spans="1:41" x14ac:dyDescent="0.2">
      <c r="A307">
        <v>366628</v>
      </c>
      <c r="B307" t="s">
        <v>2952</v>
      </c>
      <c r="C307" t="s">
        <v>197</v>
      </c>
      <c r="D307" t="s">
        <v>2953</v>
      </c>
      <c r="E307" t="s">
        <v>2954</v>
      </c>
      <c r="J307" t="s">
        <v>45</v>
      </c>
      <c r="K307" t="s">
        <v>45</v>
      </c>
      <c r="L307" t="s">
        <v>72</v>
      </c>
      <c r="N307" t="s">
        <v>89</v>
      </c>
      <c r="O307" t="s">
        <v>121</v>
      </c>
      <c r="P307" t="s">
        <v>49</v>
      </c>
      <c r="T307" t="s">
        <v>52</v>
      </c>
      <c r="U307">
        <v>8</v>
      </c>
      <c r="V307" t="s">
        <v>993</v>
      </c>
      <c r="W307" t="s">
        <v>54</v>
      </c>
      <c r="X307" t="s">
        <v>52</v>
      </c>
      <c r="Y307" t="s">
        <v>125</v>
      </c>
      <c r="Z307">
        <v>12182</v>
      </c>
      <c r="AA307">
        <v>6</v>
      </c>
      <c r="AB307">
        <v>37</v>
      </c>
      <c r="AC307" t="s">
        <v>2955</v>
      </c>
      <c r="AD307" t="s">
        <v>2956</v>
      </c>
      <c r="AE307" t="s">
        <v>2957</v>
      </c>
      <c r="AF307" t="s">
        <v>2958</v>
      </c>
      <c r="AG307" t="s">
        <v>2959</v>
      </c>
      <c r="AH307" t="s">
        <v>2960</v>
      </c>
      <c r="AJ307" s="2">
        <v>45630.866793981484</v>
      </c>
      <c r="AK307" t="s">
        <v>132</v>
      </c>
      <c r="AL307" t="s">
        <v>65</v>
      </c>
      <c r="AM307" s="3">
        <v>1.2326388888888888</v>
      </c>
      <c r="AN307" t="s">
        <v>66</v>
      </c>
      <c r="AO307" t="s">
        <v>101</v>
      </c>
    </row>
    <row r="308" spans="1:41" x14ac:dyDescent="0.2">
      <c r="A308">
        <v>373009</v>
      </c>
      <c r="B308" t="s">
        <v>2961</v>
      </c>
      <c r="C308" t="s">
        <v>2962</v>
      </c>
      <c r="D308" t="s">
        <v>2963</v>
      </c>
      <c r="E308" t="s">
        <v>2964</v>
      </c>
      <c r="F308">
        <v>336001</v>
      </c>
      <c r="G308" s="1">
        <v>39360</v>
      </c>
      <c r="H308" s="1">
        <v>45594</v>
      </c>
      <c r="I308" s="1">
        <v>45945</v>
      </c>
      <c r="J308" t="s">
        <v>45</v>
      </c>
      <c r="K308" t="s">
        <v>45</v>
      </c>
      <c r="L308" t="s">
        <v>46</v>
      </c>
      <c r="N308" t="s">
        <v>47</v>
      </c>
      <c r="O308" t="s">
        <v>48</v>
      </c>
      <c r="P308" t="s">
        <v>49</v>
      </c>
      <c r="Q308" t="s">
        <v>2965</v>
      </c>
      <c r="R308" t="s">
        <v>2966</v>
      </c>
      <c r="S308">
        <v>932</v>
      </c>
      <c r="T308" t="s">
        <v>92</v>
      </c>
      <c r="U308" t="s">
        <v>2967</v>
      </c>
      <c r="V308" t="s">
        <v>2968</v>
      </c>
      <c r="W308" t="s">
        <v>2969</v>
      </c>
      <c r="X308" t="s">
        <v>76</v>
      </c>
      <c r="Y308" t="s">
        <v>56</v>
      </c>
      <c r="Z308">
        <v>2303</v>
      </c>
      <c r="AA308">
        <v>38</v>
      </c>
      <c r="AB308">
        <v>45</v>
      </c>
      <c r="AC308" t="s">
        <v>2970</v>
      </c>
      <c r="AD308" t="s">
        <v>2971</v>
      </c>
      <c r="AE308" t="s">
        <v>2972</v>
      </c>
      <c r="AF308" t="s">
        <v>2973</v>
      </c>
      <c r="AG308" t="s">
        <v>2974</v>
      </c>
      <c r="AH308" t="s">
        <v>2975</v>
      </c>
      <c r="AI308" t="s">
        <v>2976</v>
      </c>
      <c r="AJ308" s="2">
        <v>45856.001076388886</v>
      </c>
      <c r="AK308" t="s">
        <v>556</v>
      </c>
      <c r="AL308" t="s">
        <v>65</v>
      </c>
      <c r="AM308" s="3">
        <v>2.0972222222222223</v>
      </c>
      <c r="AN308" t="s">
        <v>66</v>
      </c>
      <c r="AO308" t="s">
        <v>101</v>
      </c>
    </row>
    <row r="309" spans="1:41" x14ac:dyDescent="0.2">
      <c r="A309">
        <v>371617</v>
      </c>
      <c r="B309" t="s">
        <v>2977</v>
      </c>
      <c r="C309" t="s">
        <v>42</v>
      </c>
      <c r="D309" t="s">
        <v>2978</v>
      </c>
      <c r="E309" t="s">
        <v>2979</v>
      </c>
      <c r="F309">
        <v>293303</v>
      </c>
      <c r="G309" s="1">
        <v>37789</v>
      </c>
      <c r="H309" s="1">
        <v>45813</v>
      </c>
      <c r="I309" s="1">
        <v>46143</v>
      </c>
      <c r="J309" t="s">
        <v>45</v>
      </c>
      <c r="K309" t="s">
        <v>45</v>
      </c>
      <c r="L309" t="s">
        <v>46</v>
      </c>
      <c r="N309" t="s">
        <v>47</v>
      </c>
      <c r="O309" t="s">
        <v>48</v>
      </c>
      <c r="P309" t="s">
        <v>49</v>
      </c>
      <c r="Q309" t="s">
        <v>2980</v>
      </c>
      <c r="R309" t="s">
        <v>2981</v>
      </c>
      <c r="S309">
        <v>8289</v>
      </c>
      <c r="T309" t="s">
        <v>52</v>
      </c>
      <c r="U309">
        <v>3</v>
      </c>
      <c r="V309" t="s">
        <v>53</v>
      </c>
      <c r="W309" t="s">
        <v>54</v>
      </c>
      <c r="X309" t="s">
        <v>55</v>
      </c>
      <c r="Y309" t="s">
        <v>56</v>
      </c>
      <c r="Z309">
        <v>2355</v>
      </c>
      <c r="AA309">
        <v>45</v>
      </c>
      <c r="AB309">
        <v>160</v>
      </c>
      <c r="AC309" t="s">
        <v>2982</v>
      </c>
      <c r="AD309" t="s">
        <v>58</v>
      </c>
      <c r="AE309" t="s">
        <v>59</v>
      </c>
      <c r="AF309" t="s">
        <v>60</v>
      </c>
      <c r="AG309" t="s">
        <v>61</v>
      </c>
      <c r="AH309" t="s">
        <v>62</v>
      </c>
      <c r="AI309" t="s">
        <v>1809</v>
      </c>
      <c r="AJ309" s="2">
        <v>45817.713541666664</v>
      </c>
      <c r="AK309" t="s">
        <v>64</v>
      </c>
      <c r="AL309" t="s">
        <v>65</v>
      </c>
      <c r="AM309" s="4">
        <v>0.2361111111111111</v>
      </c>
      <c r="AN309" t="s">
        <v>66</v>
      </c>
      <c r="AO309" t="s">
        <v>67</v>
      </c>
    </row>
    <row r="310" spans="1:41" x14ac:dyDescent="0.2">
      <c r="A310">
        <v>366135</v>
      </c>
      <c r="B310" t="s">
        <v>2983</v>
      </c>
      <c r="C310" t="s">
        <v>558</v>
      </c>
      <c r="D310" t="s">
        <v>468</v>
      </c>
      <c r="E310" t="s">
        <v>2984</v>
      </c>
      <c r="F310">
        <v>260202</v>
      </c>
      <c r="G310" s="1">
        <v>31623</v>
      </c>
      <c r="H310" s="1">
        <v>45600</v>
      </c>
      <c r="I310" s="1">
        <v>45931</v>
      </c>
      <c r="J310" t="s">
        <v>45</v>
      </c>
      <c r="K310" t="s">
        <v>45</v>
      </c>
      <c r="L310" t="s">
        <v>429</v>
      </c>
      <c r="M310" s="1">
        <v>43288</v>
      </c>
      <c r="N310" t="s">
        <v>47</v>
      </c>
      <c r="O310" t="s">
        <v>48</v>
      </c>
      <c r="P310" t="s">
        <v>49</v>
      </c>
      <c r="Q310" t="s">
        <v>2985</v>
      </c>
      <c r="R310" t="s">
        <v>2986</v>
      </c>
      <c r="S310">
        <v>4570</v>
      </c>
      <c r="T310" t="s">
        <v>365</v>
      </c>
      <c r="U310" t="s">
        <v>562</v>
      </c>
      <c r="V310" t="s">
        <v>2987</v>
      </c>
      <c r="W310" t="s">
        <v>367</v>
      </c>
      <c r="X310" t="s">
        <v>493</v>
      </c>
      <c r="Y310" t="s">
        <v>434</v>
      </c>
      <c r="Z310">
        <v>283</v>
      </c>
      <c r="AA310">
        <v>64</v>
      </c>
      <c r="AB310">
        <v>166</v>
      </c>
      <c r="AC310" t="s">
        <v>1882</v>
      </c>
      <c r="AD310" t="s">
        <v>1883</v>
      </c>
      <c r="AE310" t="s">
        <v>2988</v>
      </c>
      <c r="AF310" t="s">
        <v>2989</v>
      </c>
      <c r="AG310" t="s">
        <v>2990</v>
      </c>
      <c r="AH310" t="s">
        <v>2991</v>
      </c>
      <c r="AI310" t="s">
        <v>2992</v>
      </c>
      <c r="AJ310" s="2">
        <v>45603.936111111114</v>
      </c>
      <c r="AK310" t="s">
        <v>501</v>
      </c>
      <c r="AL310" t="s">
        <v>65</v>
      </c>
      <c r="AM310" s="3">
        <v>1.5625</v>
      </c>
      <c r="AN310" t="s">
        <v>66</v>
      </c>
      <c r="AO310" t="s">
        <v>67</v>
      </c>
    </row>
    <row r="311" spans="1:41" x14ac:dyDescent="0.2">
      <c r="A311">
        <v>369433</v>
      </c>
      <c r="B311" t="s">
        <v>2993</v>
      </c>
      <c r="C311" t="s">
        <v>979</v>
      </c>
      <c r="D311" t="s">
        <v>558</v>
      </c>
      <c r="E311">
        <v>7200580</v>
      </c>
      <c r="F311">
        <v>36502</v>
      </c>
      <c r="G311" s="1">
        <v>38099</v>
      </c>
      <c r="H311" s="1">
        <v>45723</v>
      </c>
      <c r="I311" s="1">
        <v>46082</v>
      </c>
      <c r="J311" t="s">
        <v>45</v>
      </c>
      <c r="K311" t="s">
        <v>45</v>
      </c>
      <c r="L311" t="s">
        <v>72</v>
      </c>
      <c r="M311" s="1">
        <v>45299</v>
      </c>
      <c r="N311" t="s">
        <v>47</v>
      </c>
      <c r="O311" t="s">
        <v>48</v>
      </c>
      <c r="P311" t="s">
        <v>49</v>
      </c>
      <c r="Q311" t="s">
        <v>2994</v>
      </c>
      <c r="R311" t="s">
        <v>2995</v>
      </c>
      <c r="S311">
        <v>360</v>
      </c>
      <c r="T311" t="s">
        <v>92</v>
      </c>
      <c r="U311" t="s">
        <v>2996</v>
      </c>
      <c r="V311" t="s">
        <v>2997</v>
      </c>
      <c r="W311" t="s">
        <v>2998</v>
      </c>
      <c r="X311" t="s">
        <v>92</v>
      </c>
      <c r="Y311" t="s">
        <v>110</v>
      </c>
      <c r="Z311">
        <v>2307</v>
      </c>
      <c r="AA311">
        <v>33</v>
      </c>
      <c r="AB311">
        <v>158</v>
      </c>
      <c r="AC311" t="s">
        <v>2999</v>
      </c>
      <c r="AD311" t="s">
        <v>3000</v>
      </c>
      <c r="AE311" t="s">
        <v>3001</v>
      </c>
      <c r="AF311" t="s">
        <v>3002</v>
      </c>
      <c r="AG311" t="s">
        <v>3003</v>
      </c>
      <c r="AH311" t="s">
        <v>3004</v>
      </c>
      <c r="AJ311" s="2">
        <v>45740.797511574077</v>
      </c>
      <c r="AK311" t="s">
        <v>2999</v>
      </c>
      <c r="AL311" t="s">
        <v>65</v>
      </c>
      <c r="AM311" s="4">
        <v>0.41666666666666669</v>
      </c>
      <c r="AN311" t="s">
        <v>66</v>
      </c>
      <c r="AO311" t="s">
        <v>67</v>
      </c>
    </row>
    <row r="312" spans="1:41" x14ac:dyDescent="0.2">
      <c r="A312">
        <v>371850</v>
      </c>
      <c r="B312" t="s">
        <v>3005</v>
      </c>
      <c r="C312" t="s">
        <v>735</v>
      </c>
      <c r="D312" t="s">
        <v>2006</v>
      </c>
      <c r="E312" s="5">
        <v>32767600000000</v>
      </c>
      <c r="F312">
        <v>240902</v>
      </c>
      <c r="G312" s="1">
        <v>32072</v>
      </c>
      <c r="H312" s="1">
        <v>45816</v>
      </c>
      <c r="I312" s="1">
        <v>46174</v>
      </c>
      <c r="J312" t="s">
        <v>45</v>
      </c>
      <c r="K312" t="s">
        <v>45</v>
      </c>
      <c r="L312" t="s">
        <v>429</v>
      </c>
      <c r="M312" s="1">
        <v>44031</v>
      </c>
      <c r="N312" t="s">
        <v>47</v>
      </c>
      <c r="O312" t="s">
        <v>48</v>
      </c>
      <c r="P312" t="s">
        <v>49</v>
      </c>
      <c r="Q312" t="s">
        <v>3006</v>
      </c>
      <c r="R312" t="s">
        <v>3007</v>
      </c>
      <c r="S312">
        <v>2550</v>
      </c>
      <c r="T312" t="s">
        <v>365</v>
      </c>
      <c r="U312" t="s">
        <v>969</v>
      </c>
      <c r="V312" t="s">
        <v>970</v>
      </c>
      <c r="W312" t="s">
        <v>367</v>
      </c>
      <c r="X312" t="s">
        <v>76</v>
      </c>
      <c r="Y312" t="s">
        <v>434</v>
      </c>
      <c r="Z312">
        <v>207</v>
      </c>
      <c r="AA312">
        <v>61</v>
      </c>
      <c r="AB312">
        <v>166</v>
      </c>
      <c r="AC312" t="s">
        <v>971</v>
      </c>
      <c r="AD312" t="s">
        <v>972</v>
      </c>
      <c r="AE312" t="s">
        <v>973</v>
      </c>
      <c r="AF312" t="s">
        <v>974</v>
      </c>
      <c r="AG312" t="s">
        <v>975</v>
      </c>
      <c r="AH312" t="s">
        <v>976</v>
      </c>
      <c r="AI312" t="s">
        <v>3008</v>
      </c>
      <c r="AJ312" s="2">
        <v>45821.561226851853</v>
      </c>
      <c r="AK312" t="s">
        <v>568</v>
      </c>
      <c r="AL312" t="s">
        <v>65</v>
      </c>
      <c r="AM312" s="3">
        <v>1.8402777777777777</v>
      </c>
      <c r="AN312" t="s">
        <v>66</v>
      </c>
      <c r="AO312" t="s">
        <v>67</v>
      </c>
    </row>
    <row r="313" spans="1:41" x14ac:dyDescent="0.2">
      <c r="A313">
        <v>372000</v>
      </c>
      <c r="B313" t="s">
        <v>3009</v>
      </c>
      <c r="C313" t="s">
        <v>167</v>
      </c>
      <c r="D313" t="s">
        <v>2702</v>
      </c>
      <c r="E313" t="s">
        <v>3010</v>
      </c>
      <c r="G313" s="1">
        <v>45826</v>
      </c>
      <c r="H313" s="1">
        <v>45735</v>
      </c>
      <c r="I313" s="1">
        <v>46096</v>
      </c>
      <c r="J313" t="s">
        <v>45</v>
      </c>
      <c r="K313" t="s">
        <v>45</v>
      </c>
      <c r="L313" t="s">
        <v>72</v>
      </c>
      <c r="N313" t="s">
        <v>47</v>
      </c>
      <c r="O313" t="s">
        <v>121</v>
      </c>
      <c r="P313" t="s">
        <v>49</v>
      </c>
      <c r="Q313" t="s">
        <v>3011</v>
      </c>
      <c r="R313" t="s">
        <v>3012</v>
      </c>
      <c r="S313">
        <v>5428</v>
      </c>
      <c r="T313" t="s">
        <v>52</v>
      </c>
      <c r="U313">
        <v>6</v>
      </c>
      <c r="V313" t="s">
        <v>3013</v>
      </c>
      <c r="W313" t="s">
        <v>54</v>
      </c>
      <c r="X313" t="s">
        <v>52</v>
      </c>
      <c r="Y313" t="s">
        <v>125</v>
      </c>
      <c r="Z313">
        <v>11027</v>
      </c>
      <c r="AA313">
        <v>47</v>
      </c>
      <c r="AB313">
        <v>78</v>
      </c>
      <c r="AC313" t="s">
        <v>3014</v>
      </c>
      <c r="AD313" t="s">
        <v>3015</v>
      </c>
      <c r="AE313" t="s">
        <v>3016</v>
      </c>
      <c r="AJ313" s="2">
        <v>45826.698101851849</v>
      </c>
      <c r="AK313" t="s">
        <v>276</v>
      </c>
      <c r="AL313" t="s">
        <v>65</v>
      </c>
      <c r="AM313" s="3">
        <v>2.0555555555555554</v>
      </c>
      <c r="AN313" t="s">
        <v>66</v>
      </c>
      <c r="AO313" t="s">
        <v>67</v>
      </c>
    </row>
    <row r="314" spans="1:41" x14ac:dyDescent="0.2">
      <c r="A314">
        <v>371055</v>
      </c>
      <c r="B314" t="s">
        <v>3017</v>
      </c>
      <c r="C314" t="s">
        <v>167</v>
      </c>
      <c r="D314" t="s">
        <v>3018</v>
      </c>
      <c r="E314" t="s">
        <v>3019</v>
      </c>
      <c r="F314">
        <v>352330</v>
      </c>
      <c r="G314" s="1">
        <v>31687</v>
      </c>
      <c r="H314" s="1">
        <v>45790</v>
      </c>
      <c r="I314" s="1">
        <v>46157</v>
      </c>
      <c r="J314" t="s">
        <v>45</v>
      </c>
      <c r="K314" t="s">
        <v>45</v>
      </c>
      <c r="L314" t="s">
        <v>72</v>
      </c>
      <c r="M314" s="1">
        <v>39260</v>
      </c>
      <c r="N314" t="s">
        <v>47</v>
      </c>
      <c r="O314" t="s">
        <v>48</v>
      </c>
      <c r="P314" t="s">
        <v>49</v>
      </c>
      <c r="Q314" t="s">
        <v>3020</v>
      </c>
      <c r="R314" t="s">
        <v>3021</v>
      </c>
      <c r="S314">
        <v>4770</v>
      </c>
      <c r="T314" t="s">
        <v>52</v>
      </c>
      <c r="U314">
        <v>6</v>
      </c>
      <c r="V314" t="s">
        <v>574</v>
      </c>
      <c r="W314" t="s">
        <v>54</v>
      </c>
      <c r="X314" t="s">
        <v>76</v>
      </c>
      <c r="Y314" t="s">
        <v>56</v>
      </c>
      <c r="Z314">
        <v>314</v>
      </c>
      <c r="AA314">
        <v>55</v>
      </c>
      <c r="AB314">
        <v>38</v>
      </c>
      <c r="AC314" t="s">
        <v>578</v>
      </c>
      <c r="AD314" t="s">
        <v>579</v>
      </c>
      <c r="AE314" t="s">
        <v>580</v>
      </c>
      <c r="AF314" t="s">
        <v>3022</v>
      </c>
      <c r="AG314" t="s">
        <v>3023</v>
      </c>
      <c r="AH314" t="s">
        <v>3024</v>
      </c>
      <c r="AI314" t="s">
        <v>3025</v>
      </c>
      <c r="AJ314" s="2">
        <v>45793.708067129628</v>
      </c>
      <c r="AK314" t="s">
        <v>540</v>
      </c>
      <c r="AL314" t="s">
        <v>65</v>
      </c>
      <c r="AM314" s="3">
        <v>1.2152777777777777</v>
      </c>
      <c r="AN314" t="s">
        <v>66</v>
      </c>
      <c r="AO314" t="s">
        <v>67</v>
      </c>
    </row>
    <row r="315" spans="1:41" x14ac:dyDescent="0.2">
      <c r="A315">
        <v>370393</v>
      </c>
      <c r="B315" t="s">
        <v>3026</v>
      </c>
      <c r="C315" t="s">
        <v>167</v>
      </c>
      <c r="D315" t="s">
        <v>1050</v>
      </c>
      <c r="E315" t="s">
        <v>3027</v>
      </c>
      <c r="F315">
        <v>352109</v>
      </c>
      <c r="G315" s="1">
        <v>38198</v>
      </c>
      <c r="H315" s="1">
        <v>45771</v>
      </c>
      <c r="I315" s="1">
        <v>46143</v>
      </c>
      <c r="J315" t="s">
        <v>45</v>
      </c>
      <c r="K315" t="s">
        <v>45</v>
      </c>
      <c r="L315" t="s">
        <v>72</v>
      </c>
      <c r="M315" s="1">
        <v>43588</v>
      </c>
      <c r="N315" t="s">
        <v>47</v>
      </c>
      <c r="O315" t="s">
        <v>48</v>
      </c>
      <c r="P315" t="s">
        <v>49</v>
      </c>
      <c r="Q315" t="s">
        <v>3028</v>
      </c>
      <c r="R315" t="s">
        <v>3029</v>
      </c>
      <c r="S315">
        <v>4188</v>
      </c>
      <c r="T315" t="s">
        <v>92</v>
      </c>
      <c r="U315" t="s">
        <v>3030</v>
      </c>
      <c r="V315" t="s">
        <v>3031</v>
      </c>
      <c r="W315" t="s">
        <v>3032</v>
      </c>
      <c r="X315" t="s">
        <v>52</v>
      </c>
      <c r="Y315" t="s">
        <v>110</v>
      </c>
      <c r="Z315">
        <v>1563</v>
      </c>
      <c r="AA315">
        <v>36</v>
      </c>
      <c r="AB315">
        <v>176</v>
      </c>
      <c r="AC315" t="s">
        <v>3033</v>
      </c>
      <c r="AD315" t="s">
        <v>3034</v>
      </c>
      <c r="AE315" t="s">
        <v>3035</v>
      </c>
      <c r="AF315" t="s">
        <v>3036</v>
      </c>
      <c r="AG315" t="s">
        <v>3037</v>
      </c>
      <c r="AH315" t="s">
        <v>3038</v>
      </c>
      <c r="AJ315" s="2">
        <v>45773.026631944442</v>
      </c>
      <c r="AK315" t="s">
        <v>3039</v>
      </c>
      <c r="AL315" t="s">
        <v>65</v>
      </c>
      <c r="AM315" s="4">
        <v>0.60416666666666663</v>
      </c>
      <c r="AN315" t="s">
        <v>66</v>
      </c>
      <c r="AO315" t="s">
        <v>67</v>
      </c>
    </row>
    <row r="316" spans="1:41" x14ac:dyDescent="0.2">
      <c r="A316">
        <v>372245</v>
      </c>
      <c r="B316" t="s">
        <v>3040</v>
      </c>
      <c r="C316" t="s">
        <v>182</v>
      </c>
      <c r="D316" t="s">
        <v>2295</v>
      </c>
      <c r="E316" t="s">
        <v>3041</v>
      </c>
      <c r="F316">
        <v>40703</v>
      </c>
      <c r="G316" s="1">
        <v>31847</v>
      </c>
      <c r="H316" s="1">
        <v>45832</v>
      </c>
      <c r="I316" s="1">
        <v>46174</v>
      </c>
      <c r="J316" t="s">
        <v>45</v>
      </c>
      <c r="K316" t="s">
        <v>45</v>
      </c>
      <c r="L316" t="s">
        <v>429</v>
      </c>
      <c r="M316" s="1">
        <v>45628</v>
      </c>
      <c r="N316" t="s">
        <v>47</v>
      </c>
      <c r="O316" t="s">
        <v>48</v>
      </c>
      <c r="P316" t="s">
        <v>49</v>
      </c>
      <c r="Q316" t="s">
        <v>3042</v>
      </c>
      <c r="R316" t="s">
        <v>3043</v>
      </c>
      <c r="S316">
        <v>5673</v>
      </c>
      <c r="T316" t="s">
        <v>52</v>
      </c>
      <c r="U316">
        <v>5</v>
      </c>
      <c r="V316" t="s">
        <v>2771</v>
      </c>
      <c r="W316" t="s">
        <v>54</v>
      </c>
      <c r="X316" t="s">
        <v>493</v>
      </c>
      <c r="Y316" t="s">
        <v>434</v>
      </c>
      <c r="Z316">
        <v>704</v>
      </c>
      <c r="AA316">
        <v>81</v>
      </c>
      <c r="AB316">
        <v>152</v>
      </c>
      <c r="AC316" t="s">
        <v>2775</v>
      </c>
      <c r="AD316" t="s">
        <v>2776</v>
      </c>
      <c r="AE316" t="s">
        <v>2777</v>
      </c>
      <c r="AF316" t="s">
        <v>3044</v>
      </c>
      <c r="AG316" t="s">
        <v>3045</v>
      </c>
      <c r="AH316" t="s">
        <v>3046</v>
      </c>
      <c r="AI316" t="s">
        <v>3047</v>
      </c>
      <c r="AJ316" s="2">
        <v>45834.927847222221</v>
      </c>
      <c r="AK316" t="s">
        <v>501</v>
      </c>
      <c r="AL316" t="s">
        <v>65</v>
      </c>
      <c r="AM316" s="4">
        <v>1.3888888888888888E-2</v>
      </c>
      <c r="AN316" t="s">
        <v>66</v>
      </c>
      <c r="AO316" t="s">
        <v>67</v>
      </c>
    </row>
    <row r="317" spans="1:41" x14ac:dyDescent="0.2">
      <c r="A317">
        <v>368381</v>
      </c>
      <c r="B317" t="s">
        <v>3048</v>
      </c>
      <c r="C317" t="s">
        <v>2298</v>
      </c>
      <c r="D317" t="s">
        <v>3049</v>
      </c>
      <c r="E317" t="s">
        <v>3050</v>
      </c>
      <c r="F317">
        <v>227701</v>
      </c>
      <c r="G317" s="1">
        <v>42242</v>
      </c>
      <c r="H317" s="1">
        <v>45614</v>
      </c>
      <c r="I317" s="1">
        <v>45945</v>
      </c>
      <c r="J317" t="s">
        <v>45</v>
      </c>
      <c r="K317" t="s">
        <v>45</v>
      </c>
      <c r="L317" t="s">
        <v>72</v>
      </c>
      <c r="M317" s="1">
        <v>44168</v>
      </c>
      <c r="N317" t="s">
        <v>47</v>
      </c>
      <c r="O317" t="s">
        <v>48</v>
      </c>
      <c r="P317" t="s">
        <v>49</v>
      </c>
      <c r="Q317" t="s">
        <v>3051</v>
      </c>
      <c r="R317" t="s">
        <v>3052</v>
      </c>
      <c r="S317">
        <v>126</v>
      </c>
      <c r="T317" t="s">
        <v>156</v>
      </c>
      <c r="U317" t="s">
        <v>157</v>
      </c>
      <c r="V317" t="s">
        <v>2345</v>
      </c>
      <c r="W317" t="s">
        <v>159</v>
      </c>
      <c r="X317" t="s">
        <v>449</v>
      </c>
      <c r="Y317" t="s">
        <v>110</v>
      </c>
      <c r="Z317">
        <v>7786</v>
      </c>
      <c r="AA317">
        <v>26</v>
      </c>
      <c r="AB317">
        <v>78</v>
      </c>
      <c r="AC317" t="s">
        <v>2349</v>
      </c>
      <c r="AD317" t="s">
        <v>2350</v>
      </c>
      <c r="AE317" t="s">
        <v>2351</v>
      </c>
      <c r="AF317" t="s">
        <v>2352</v>
      </c>
      <c r="AG317" t="s">
        <v>2353</v>
      </c>
      <c r="AH317" t="s">
        <v>2354</v>
      </c>
      <c r="AI317" t="s">
        <v>2355</v>
      </c>
      <c r="AJ317" s="2">
        <v>45708.85119212963</v>
      </c>
      <c r="AK317" t="s">
        <v>2349</v>
      </c>
      <c r="AL317" t="s">
        <v>65</v>
      </c>
      <c r="AM317" s="4">
        <v>0.52777777777777779</v>
      </c>
      <c r="AN317" t="s">
        <v>66</v>
      </c>
      <c r="AO317" t="s">
        <v>67</v>
      </c>
    </row>
    <row r="318" spans="1:41" x14ac:dyDescent="0.2">
      <c r="A318">
        <v>367277</v>
      </c>
      <c r="B318" t="s">
        <v>3053</v>
      </c>
      <c r="C318" t="s">
        <v>69</v>
      </c>
      <c r="D318" t="s">
        <v>3054</v>
      </c>
      <c r="E318" t="s">
        <v>3055</v>
      </c>
      <c r="G318" s="1">
        <v>45670</v>
      </c>
      <c r="H318" s="1">
        <v>45667</v>
      </c>
      <c r="I318" s="1">
        <v>46235</v>
      </c>
      <c r="J318" t="s">
        <v>45</v>
      </c>
      <c r="K318" t="s">
        <v>45</v>
      </c>
      <c r="L318" t="s">
        <v>72</v>
      </c>
      <c r="M318" s="1">
        <v>44053</v>
      </c>
      <c r="N318" t="s">
        <v>47</v>
      </c>
      <c r="O318" t="s">
        <v>121</v>
      </c>
      <c r="P318" t="s">
        <v>586</v>
      </c>
      <c r="Q318" t="s">
        <v>3056</v>
      </c>
      <c r="R318" t="s">
        <v>3057</v>
      </c>
      <c r="S318">
        <v>2591</v>
      </c>
      <c r="T318" t="s">
        <v>92</v>
      </c>
      <c r="U318" t="s">
        <v>3058</v>
      </c>
      <c r="V318" t="s">
        <v>3059</v>
      </c>
      <c r="W318" t="s">
        <v>3060</v>
      </c>
      <c r="X318" t="s">
        <v>92</v>
      </c>
      <c r="Y318" t="s">
        <v>110</v>
      </c>
      <c r="Z318">
        <v>7306</v>
      </c>
      <c r="AA318">
        <v>39</v>
      </c>
      <c r="AB318">
        <v>78</v>
      </c>
      <c r="AC318" t="s">
        <v>3061</v>
      </c>
      <c r="AD318" t="s">
        <v>3062</v>
      </c>
      <c r="AE318" t="s">
        <v>3063</v>
      </c>
      <c r="AF318" t="s">
        <v>3064</v>
      </c>
      <c r="AG318" t="s">
        <v>3065</v>
      </c>
      <c r="AH318" t="s">
        <v>3066</v>
      </c>
      <c r="AI318" t="s">
        <v>3067</v>
      </c>
      <c r="AJ318" s="2">
        <v>45670.671400462961</v>
      </c>
      <c r="AK318" t="s">
        <v>650</v>
      </c>
      <c r="AL318" t="s">
        <v>65</v>
      </c>
      <c r="AM318" s="3">
        <v>1.1111111111111112</v>
      </c>
      <c r="AN318" t="s">
        <v>66</v>
      </c>
      <c r="AO318" t="s">
        <v>67</v>
      </c>
    </row>
    <row r="319" spans="1:41" x14ac:dyDescent="0.2">
      <c r="A319">
        <v>370199</v>
      </c>
      <c r="B319" t="s">
        <v>3068</v>
      </c>
      <c r="C319" t="s">
        <v>69</v>
      </c>
      <c r="D319" t="s">
        <v>3054</v>
      </c>
      <c r="E319" t="s">
        <v>3069</v>
      </c>
      <c r="G319" s="1">
        <v>45764</v>
      </c>
      <c r="H319" s="1">
        <v>45610</v>
      </c>
      <c r="I319" s="1">
        <v>46006</v>
      </c>
      <c r="J319" t="s">
        <v>45</v>
      </c>
      <c r="K319" t="s">
        <v>45</v>
      </c>
      <c r="L319" t="s">
        <v>72</v>
      </c>
      <c r="M319" s="1">
        <v>41731</v>
      </c>
      <c r="N319" t="s">
        <v>47</v>
      </c>
      <c r="O319" t="s">
        <v>121</v>
      </c>
      <c r="P319" t="s">
        <v>49</v>
      </c>
      <c r="Q319" t="s">
        <v>3070</v>
      </c>
      <c r="R319" t="s">
        <v>3071</v>
      </c>
      <c r="S319">
        <v>4497</v>
      </c>
      <c r="T319" t="s">
        <v>52</v>
      </c>
      <c r="U319">
        <v>4</v>
      </c>
      <c r="V319" t="s">
        <v>2010</v>
      </c>
      <c r="W319" t="s">
        <v>54</v>
      </c>
      <c r="X319" t="s">
        <v>52</v>
      </c>
      <c r="Y319" t="s">
        <v>125</v>
      </c>
      <c r="Z319">
        <v>1695</v>
      </c>
      <c r="AA319">
        <v>126</v>
      </c>
      <c r="AB319">
        <v>48</v>
      </c>
      <c r="AC319" t="s">
        <v>2011</v>
      </c>
      <c r="AD319" t="s">
        <v>2012</v>
      </c>
      <c r="AE319" t="s">
        <v>3072</v>
      </c>
      <c r="AF319" t="s">
        <v>3073</v>
      </c>
      <c r="AG319" t="s">
        <v>3074</v>
      </c>
      <c r="AH319" t="s">
        <v>3075</v>
      </c>
      <c r="AJ319" s="2">
        <v>45764.874340277776</v>
      </c>
      <c r="AK319" t="s">
        <v>800</v>
      </c>
      <c r="AL319" t="s">
        <v>65</v>
      </c>
      <c r="AM319" s="3">
        <v>1.7916666666666667</v>
      </c>
      <c r="AN319" t="s">
        <v>66</v>
      </c>
      <c r="AO319" t="s">
        <v>67</v>
      </c>
    </row>
    <row r="320" spans="1:41" x14ac:dyDescent="0.2">
      <c r="A320">
        <v>370368</v>
      </c>
      <c r="B320" t="s">
        <v>3076</v>
      </c>
      <c r="C320" t="s">
        <v>69</v>
      </c>
      <c r="D320" t="s">
        <v>3054</v>
      </c>
      <c r="E320" t="s">
        <v>3077</v>
      </c>
      <c r="G320" s="1">
        <v>45771</v>
      </c>
      <c r="H320" s="1">
        <v>45610</v>
      </c>
      <c r="I320" s="1">
        <v>46006</v>
      </c>
      <c r="J320" t="s">
        <v>45</v>
      </c>
      <c r="K320" t="s">
        <v>45</v>
      </c>
      <c r="L320" t="s">
        <v>46</v>
      </c>
      <c r="M320" s="1">
        <v>41495</v>
      </c>
      <c r="N320" t="s">
        <v>47</v>
      </c>
      <c r="O320" t="s">
        <v>121</v>
      </c>
      <c r="P320" t="s">
        <v>49</v>
      </c>
      <c r="Q320" t="s">
        <v>3078</v>
      </c>
      <c r="R320" t="s">
        <v>3079</v>
      </c>
      <c r="S320">
        <v>5259</v>
      </c>
      <c r="T320" t="s">
        <v>52</v>
      </c>
      <c r="U320">
        <v>4</v>
      </c>
      <c r="V320" t="s">
        <v>2010</v>
      </c>
      <c r="W320" t="s">
        <v>54</v>
      </c>
      <c r="X320" t="s">
        <v>52</v>
      </c>
      <c r="Y320" t="s">
        <v>125</v>
      </c>
      <c r="Z320">
        <v>6347</v>
      </c>
      <c r="AA320">
        <v>73</v>
      </c>
      <c r="AB320">
        <v>80</v>
      </c>
      <c r="AC320" t="s">
        <v>2011</v>
      </c>
      <c r="AD320" t="s">
        <v>2012</v>
      </c>
      <c r="AE320" t="s">
        <v>3072</v>
      </c>
      <c r="AF320" t="s">
        <v>3073</v>
      </c>
      <c r="AG320" t="s">
        <v>3074</v>
      </c>
      <c r="AH320" t="s">
        <v>3075</v>
      </c>
      <c r="AJ320" s="2">
        <v>45771.88821759259</v>
      </c>
      <c r="AK320" t="s">
        <v>2068</v>
      </c>
      <c r="AL320" t="s">
        <v>65</v>
      </c>
      <c r="AM320" s="4">
        <v>0.4236111111111111</v>
      </c>
      <c r="AN320" t="s">
        <v>66</v>
      </c>
      <c r="AO320" t="s">
        <v>67</v>
      </c>
    </row>
    <row r="321" spans="1:41" x14ac:dyDescent="0.2">
      <c r="A321">
        <v>364224</v>
      </c>
      <c r="B321" t="s">
        <v>3080</v>
      </c>
      <c r="C321" t="s">
        <v>69</v>
      </c>
      <c r="D321" t="s">
        <v>3081</v>
      </c>
      <c r="E321" t="s">
        <v>3082</v>
      </c>
      <c r="G321" s="1">
        <v>36901</v>
      </c>
      <c r="H321" s="1">
        <v>45177</v>
      </c>
      <c r="I321" s="1">
        <v>45809</v>
      </c>
      <c r="J321" t="s">
        <v>326</v>
      </c>
      <c r="K321" t="s">
        <v>326</v>
      </c>
      <c r="L321" t="s">
        <v>72</v>
      </c>
      <c r="N321" t="s">
        <v>89</v>
      </c>
      <c r="O321" t="s">
        <v>48</v>
      </c>
      <c r="P321" t="s">
        <v>406</v>
      </c>
      <c r="Q321" t="s">
        <v>2851</v>
      </c>
      <c r="R321" t="s">
        <v>3083</v>
      </c>
      <c r="S321">
        <v>2865</v>
      </c>
      <c r="T321" t="s">
        <v>365</v>
      </c>
      <c r="U321" t="s">
        <v>532</v>
      </c>
      <c r="V321" t="s">
        <v>2853</v>
      </c>
      <c r="W321" t="s">
        <v>409</v>
      </c>
      <c r="X321" t="s">
        <v>76</v>
      </c>
      <c r="Y321" t="s">
        <v>110</v>
      </c>
      <c r="Z321">
        <v>1459</v>
      </c>
      <c r="AA321">
        <v>85</v>
      </c>
      <c r="AB321">
        <v>146</v>
      </c>
      <c r="AC321" t="s">
        <v>2854</v>
      </c>
      <c r="AD321" t="s">
        <v>2855</v>
      </c>
      <c r="AE321" t="s">
        <v>2856</v>
      </c>
      <c r="AH321" t="s">
        <v>2856</v>
      </c>
      <c r="AJ321" s="2">
        <v>45538.602812500001</v>
      </c>
      <c r="AK321" t="s">
        <v>100</v>
      </c>
      <c r="AL321" t="s">
        <v>65</v>
      </c>
      <c r="AM321" s="3">
        <v>2.4541666666666666</v>
      </c>
      <c r="AN321" t="s">
        <v>2857</v>
      </c>
      <c r="AO321" t="s">
        <v>67</v>
      </c>
    </row>
    <row r="322" spans="1:41" x14ac:dyDescent="0.2">
      <c r="A322">
        <v>370507</v>
      </c>
      <c r="B322" t="s">
        <v>3084</v>
      </c>
      <c r="C322" t="s">
        <v>69</v>
      </c>
      <c r="E322" t="s">
        <v>3085</v>
      </c>
      <c r="G322" s="1">
        <v>45744</v>
      </c>
      <c r="H322" s="1">
        <v>45776</v>
      </c>
      <c r="I322" s="1">
        <v>46082</v>
      </c>
      <c r="J322" t="s">
        <v>326</v>
      </c>
      <c r="K322" t="s">
        <v>45</v>
      </c>
      <c r="L322" t="s">
        <v>72</v>
      </c>
      <c r="N322" t="s">
        <v>89</v>
      </c>
      <c r="O322" t="s">
        <v>48</v>
      </c>
      <c r="P322" t="s">
        <v>406</v>
      </c>
      <c r="Q322" t="s">
        <v>2851</v>
      </c>
      <c r="R322" t="s">
        <v>3083</v>
      </c>
      <c r="S322">
        <v>2860</v>
      </c>
      <c r="T322" t="s">
        <v>365</v>
      </c>
      <c r="U322" t="s">
        <v>532</v>
      </c>
      <c r="V322" t="s">
        <v>2853</v>
      </c>
      <c r="W322" t="s">
        <v>409</v>
      </c>
      <c r="X322" t="s">
        <v>76</v>
      </c>
      <c r="Y322" t="s">
        <v>110</v>
      </c>
      <c r="Z322">
        <v>136</v>
      </c>
      <c r="AA322">
        <v>170</v>
      </c>
      <c r="AB322">
        <v>160</v>
      </c>
      <c r="AC322" t="s">
        <v>2854</v>
      </c>
      <c r="AD322" t="s">
        <v>2855</v>
      </c>
      <c r="AE322" t="s">
        <v>2856</v>
      </c>
      <c r="AJ322" s="2">
        <v>45776.896493055552</v>
      </c>
      <c r="AK322" t="s">
        <v>660</v>
      </c>
      <c r="AL322" t="s">
        <v>65</v>
      </c>
      <c r="AM322" s="3">
        <v>1.3819444444444444</v>
      </c>
      <c r="AN322" t="s">
        <v>2857</v>
      </c>
      <c r="AO322" t="s">
        <v>67</v>
      </c>
    </row>
    <row r="323" spans="1:41" x14ac:dyDescent="0.2">
      <c r="A323">
        <v>371235</v>
      </c>
      <c r="B323" t="s">
        <v>3086</v>
      </c>
      <c r="C323" t="s">
        <v>69</v>
      </c>
      <c r="D323" t="s">
        <v>3081</v>
      </c>
      <c r="E323">
        <v>32504252</v>
      </c>
      <c r="G323" s="1">
        <v>45782</v>
      </c>
      <c r="H323" s="1">
        <v>45740</v>
      </c>
      <c r="I323" s="1">
        <v>46082</v>
      </c>
      <c r="J323" t="s">
        <v>326</v>
      </c>
      <c r="K323" t="s">
        <v>45</v>
      </c>
      <c r="L323" t="s">
        <v>72</v>
      </c>
      <c r="N323" t="s">
        <v>89</v>
      </c>
      <c r="O323" t="s">
        <v>48</v>
      </c>
      <c r="P323" t="s">
        <v>406</v>
      </c>
      <c r="Q323" t="s">
        <v>2851</v>
      </c>
      <c r="R323" t="s">
        <v>3083</v>
      </c>
      <c r="S323">
        <v>2865</v>
      </c>
      <c r="T323" t="s">
        <v>365</v>
      </c>
      <c r="U323" t="s">
        <v>532</v>
      </c>
      <c r="V323" t="s">
        <v>2853</v>
      </c>
      <c r="W323" t="s">
        <v>409</v>
      </c>
      <c r="X323" t="s">
        <v>76</v>
      </c>
      <c r="Y323" t="s">
        <v>110</v>
      </c>
      <c r="Z323">
        <v>2350</v>
      </c>
      <c r="AA323">
        <v>161</v>
      </c>
      <c r="AB323">
        <v>160</v>
      </c>
      <c r="AC323" t="s">
        <v>3087</v>
      </c>
      <c r="AD323" t="s">
        <v>3088</v>
      </c>
      <c r="AE323" t="s">
        <v>2856</v>
      </c>
      <c r="AF323" t="s">
        <v>100</v>
      </c>
      <c r="AG323" t="s">
        <v>3089</v>
      </c>
      <c r="AH323" t="s">
        <v>3090</v>
      </c>
      <c r="AJ323" s="2">
        <v>45799.702430555553</v>
      </c>
      <c r="AK323" t="s">
        <v>132</v>
      </c>
      <c r="AL323" t="s">
        <v>65</v>
      </c>
      <c r="AM323" s="3">
        <v>1.3055555555555556</v>
      </c>
      <c r="AN323" t="s">
        <v>2857</v>
      </c>
      <c r="AO323" t="s">
        <v>67</v>
      </c>
    </row>
    <row r="324" spans="1:41" x14ac:dyDescent="0.2">
      <c r="A324">
        <v>369589</v>
      </c>
      <c r="B324" t="s">
        <v>3091</v>
      </c>
      <c r="C324" t="s">
        <v>69</v>
      </c>
      <c r="E324" t="s">
        <v>3092</v>
      </c>
      <c r="G324" s="1">
        <v>44407</v>
      </c>
      <c r="H324" s="1">
        <v>45745</v>
      </c>
      <c r="I324" s="1">
        <v>46082</v>
      </c>
      <c r="J324" t="s">
        <v>326</v>
      </c>
      <c r="K324" t="s">
        <v>45</v>
      </c>
      <c r="L324" t="s">
        <v>72</v>
      </c>
      <c r="N324" t="s">
        <v>89</v>
      </c>
      <c r="O324" t="s">
        <v>48</v>
      </c>
      <c r="P324" t="s">
        <v>406</v>
      </c>
      <c r="Q324" t="s">
        <v>2851</v>
      </c>
      <c r="R324" t="s">
        <v>3083</v>
      </c>
      <c r="S324">
        <v>2855</v>
      </c>
      <c r="T324" t="s">
        <v>365</v>
      </c>
      <c r="U324" t="s">
        <v>532</v>
      </c>
      <c r="V324" t="s">
        <v>2853</v>
      </c>
      <c r="W324" t="s">
        <v>409</v>
      </c>
      <c r="X324" t="s">
        <v>76</v>
      </c>
      <c r="Y324" t="s">
        <v>110</v>
      </c>
      <c r="Z324">
        <v>2864</v>
      </c>
      <c r="AA324">
        <v>79</v>
      </c>
      <c r="AB324">
        <v>166</v>
      </c>
      <c r="AC324" t="s">
        <v>2854</v>
      </c>
      <c r="AD324" t="s">
        <v>2855</v>
      </c>
      <c r="AE324" t="s">
        <v>2856</v>
      </c>
      <c r="AF324" t="s">
        <v>100</v>
      </c>
      <c r="AG324" t="s">
        <v>3089</v>
      </c>
      <c r="AH324" t="s">
        <v>3093</v>
      </c>
      <c r="AJ324" s="2">
        <v>45745.702199074076</v>
      </c>
      <c r="AK324" t="s">
        <v>132</v>
      </c>
      <c r="AL324" t="s">
        <v>65</v>
      </c>
      <c r="AM324" s="3">
        <v>1.9027777777777777</v>
      </c>
      <c r="AN324" t="s">
        <v>2857</v>
      </c>
      <c r="AO324" t="s">
        <v>67</v>
      </c>
    </row>
    <row r="325" spans="1:41" x14ac:dyDescent="0.2">
      <c r="A325">
        <v>362953</v>
      </c>
      <c r="B325" t="s">
        <v>3094</v>
      </c>
      <c r="C325" t="s">
        <v>69</v>
      </c>
      <c r="D325" t="s">
        <v>3081</v>
      </c>
      <c r="E325" t="s">
        <v>3095</v>
      </c>
      <c r="G325" s="1">
        <v>41808</v>
      </c>
      <c r="H325" s="1">
        <v>45499</v>
      </c>
      <c r="J325" t="s">
        <v>326</v>
      </c>
      <c r="K325" t="s">
        <v>326</v>
      </c>
      <c r="L325" t="s">
        <v>72</v>
      </c>
      <c r="M325" s="1">
        <v>45499</v>
      </c>
      <c r="N325" t="s">
        <v>47</v>
      </c>
      <c r="O325" t="s">
        <v>48</v>
      </c>
      <c r="P325" t="s">
        <v>1752</v>
      </c>
      <c r="Q325" t="s">
        <v>3096</v>
      </c>
      <c r="R325" t="s">
        <v>3097</v>
      </c>
      <c r="S325">
        <v>2992</v>
      </c>
      <c r="T325" t="s">
        <v>3098</v>
      </c>
      <c r="W325" t="s">
        <v>3099</v>
      </c>
      <c r="X325" t="s">
        <v>3098</v>
      </c>
      <c r="Y325" t="s">
        <v>642</v>
      </c>
      <c r="Z325">
        <v>7046</v>
      </c>
      <c r="AA325">
        <v>13</v>
      </c>
      <c r="AB325">
        <v>172</v>
      </c>
      <c r="AC325" t="s">
        <v>646</v>
      </c>
      <c r="AD325" t="s">
        <v>3100</v>
      </c>
      <c r="AE325" t="s">
        <v>3101</v>
      </c>
      <c r="AF325" t="s">
        <v>3102</v>
      </c>
      <c r="AG325" t="s">
        <v>3103</v>
      </c>
      <c r="AH325" t="s">
        <v>3101</v>
      </c>
      <c r="AI325" t="s">
        <v>3104</v>
      </c>
      <c r="AJ325" s="2">
        <v>45499.771909722222</v>
      </c>
      <c r="AK325" t="s">
        <v>646</v>
      </c>
      <c r="AL325" t="s">
        <v>3105</v>
      </c>
      <c r="AM325" s="4">
        <v>0.4513888888888889</v>
      </c>
      <c r="AN325" t="s">
        <v>66</v>
      </c>
      <c r="AO325" t="s">
        <v>67</v>
      </c>
    </row>
    <row r="326" spans="1:41" x14ac:dyDescent="0.2">
      <c r="A326">
        <v>368873</v>
      </c>
      <c r="B326" t="s">
        <v>3106</v>
      </c>
      <c r="C326" t="s">
        <v>182</v>
      </c>
      <c r="D326" t="s">
        <v>1064</v>
      </c>
      <c r="E326" t="s">
        <v>3107</v>
      </c>
      <c r="F326">
        <v>40247</v>
      </c>
      <c r="G326" s="1">
        <v>40756</v>
      </c>
      <c r="H326" s="1">
        <v>45672</v>
      </c>
      <c r="I326" s="1">
        <v>46113</v>
      </c>
      <c r="J326" t="s">
        <v>45</v>
      </c>
      <c r="K326" t="s">
        <v>45</v>
      </c>
      <c r="L326" t="s">
        <v>46</v>
      </c>
      <c r="M326" s="1">
        <v>42062</v>
      </c>
      <c r="N326" t="s">
        <v>47</v>
      </c>
      <c r="O326" t="s">
        <v>48</v>
      </c>
      <c r="P326" t="s">
        <v>49</v>
      </c>
      <c r="Q326" t="s">
        <v>3108</v>
      </c>
      <c r="R326" t="s">
        <v>3109</v>
      </c>
      <c r="S326">
        <v>4489</v>
      </c>
      <c r="T326" t="s">
        <v>52</v>
      </c>
      <c r="U326">
        <v>5</v>
      </c>
      <c r="V326" t="s">
        <v>1068</v>
      </c>
      <c r="W326" t="s">
        <v>54</v>
      </c>
      <c r="X326" t="s">
        <v>493</v>
      </c>
      <c r="Y326" t="s">
        <v>434</v>
      </c>
      <c r="Z326">
        <v>4166</v>
      </c>
      <c r="AA326">
        <v>31</v>
      </c>
      <c r="AB326">
        <v>28</v>
      </c>
      <c r="AC326" t="s">
        <v>1069</v>
      </c>
      <c r="AD326" t="s">
        <v>1070</v>
      </c>
      <c r="AE326" t="s">
        <v>1071</v>
      </c>
      <c r="AF326" t="s">
        <v>1072</v>
      </c>
      <c r="AG326" t="s">
        <v>1073</v>
      </c>
      <c r="AH326" t="s">
        <v>1071</v>
      </c>
      <c r="AI326" t="s">
        <v>1074</v>
      </c>
      <c r="AJ326" s="2">
        <v>45722.885428240741</v>
      </c>
      <c r="AK326" t="s">
        <v>501</v>
      </c>
      <c r="AL326" t="s">
        <v>65</v>
      </c>
      <c r="AM326" s="4">
        <v>0.14583333333333334</v>
      </c>
      <c r="AN326" t="s">
        <v>66</v>
      </c>
      <c r="AO326" t="s">
        <v>67</v>
      </c>
    </row>
    <row r="327" spans="1:41" x14ac:dyDescent="0.2">
      <c r="A327">
        <v>371772</v>
      </c>
      <c r="B327" t="s">
        <v>3110</v>
      </c>
      <c r="C327" t="s">
        <v>323</v>
      </c>
      <c r="D327" t="s">
        <v>339</v>
      </c>
      <c r="E327" t="s">
        <v>3111</v>
      </c>
      <c r="F327">
        <v>500751</v>
      </c>
      <c r="G327" s="1">
        <v>38576</v>
      </c>
      <c r="H327" s="1">
        <v>45766</v>
      </c>
      <c r="I327" s="1">
        <v>46037</v>
      </c>
      <c r="J327" t="s">
        <v>45</v>
      </c>
      <c r="K327" t="s">
        <v>45</v>
      </c>
      <c r="L327" t="s">
        <v>72</v>
      </c>
      <c r="M327" s="1">
        <v>45374</v>
      </c>
      <c r="N327" t="s">
        <v>47</v>
      </c>
      <c r="O327" t="s">
        <v>48</v>
      </c>
      <c r="P327" t="s">
        <v>406</v>
      </c>
      <c r="Q327" t="s">
        <v>3112</v>
      </c>
      <c r="R327" t="s">
        <v>3113</v>
      </c>
      <c r="S327">
        <v>1647</v>
      </c>
      <c r="T327" t="s">
        <v>1328</v>
      </c>
      <c r="U327" t="s">
        <v>3114</v>
      </c>
      <c r="V327" t="s">
        <v>3115</v>
      </c>
      <c r="W327" t="s">
        <v>3116</v>
      </c>
      <c r="X327" t="s">
        <v>1328</v>
      </c>
      <c r="Y327" t="s">
        <v>110</v>
      </c>
      <c r="Z327">
        <v>2753</v>
      </c>
      <c r="AA327">
        <v>29</v>
      </c>
      <c r="AB327">
        <v>152</v>
      </c>
      <c r="AC327" t="s">
        <v>2833</v>
      </c>
      <c r="AD327" t="s">
        <v>2834</v>
      </c>
      <c r="AE327" t="s">
        <v>2835</v>
      </c>
      <c r="AF327" t="s">
        <v>368</v>
      </c>
      <c r="AG327" t="s">
        <v>369</v>
      </c>
      <c r="AH327" t="s">
        <v>370</v>
      </c>
      <c r="AI327" t="s">
        <v>385</v>
      </c>
      <c r="AJ327" s="2">
        <v>45818.936527777776</v>
      </c>
      <c r="AK327" t="s">
        <v>727</v>
      </c>
      <c r="AL327" t="s">
        <v>65</v>
      </c>
      <c r="AM327" s="3">
        <v>1.0208333333333333</v>
      </c>
      <c r="AN327" t="s">
        <v>66</v>
      </c>
      <c r="AO327" t="s">
        <v>67</v>
      </c>
    </row>
    <row r="328" spans="1:41" x14ac:dyDescent="0.2">
      <c r="A328">
        <v>370725</v>
      </c>
      <c r="B328" t="s">
        <v>3117</v>
      </c>
      <c r="C328" t="s">
        <v>412</v>
      </c>
      <c r="D328" t="s">
        <v>3118</v>
      </c>
      <c r="E328" t="s">
        <v>3119</v>
      </c>
      <c r="F328">
        <v>300971</v>
      </c>
      <c r="G328" s="1">
        <v>41955</v>
      </c>
      <c r="H328" s="1">
        <v>45778</v>
      </c>
      <c r="I328" s="1">
        <v>46143</v>
      </c>
      <c r="J328" t="s">
        <v>45</v>
      </c>
      <c r="K328" t="s">
        <v>45</v>
      </c>
      <c r="L328" t="s">
        <v>72</v>
      </c>
      <c r="N328" t="s">
        <v>47</v>
      </c>
      <c r="O328" t="s">
        <v>48</v>
      </c>
      <c r="P328" t="s">
        <v>49</v>
      </c>
      <c r="Q328" t="s">
        <v>3120</v>
      </c>
      <c r="R328" t="s">
        <v>3121</v>
      </c>
      <c r="S328">
        <v>1608</v>
      </c>
      <c r="T328" t="s">
        <v>52</v>
      </c>
      <c r="U328">
        <v>9</v>
      </c>
      <c r="V328" t="s">
        <v>3122</v>
      </c>
      <c r="W328" t="s">
        <v>54</v>
      </c>
      <c r="X328" t="s">
        <v>52</v>
      </c>
      <c r="Y328" t="s">
        <v>56</v>
      </c>
      <c r="Z328">
        <v>7266</v>
      </c>
      <c r="AA328">
        <v>29</v>
      </c>
      <c r="AB328">
        <v>37</v>
      </c>
      <c r="AC328" t="s">
        <v>3123</v>
      </c>
      <c r="AD328" t="s">
        <v>3124</v>
      </c>
      <c r="AE328" t="s">
        <v>3125</v>
      </c>
      <c r="AF328" t="s">
        <v>3126</v>
      </c>
      <c r="AG328" t="s">
        <v>3127</v>
      </c>
      <c r="AH328" t="s">
        <v>3128</v>
      </c>
      <c r="AI328" t="s">
        <v>3129</v>
      </c>
      <c r="AJ328" s="2">
        <v>45783.652546296296</v>
      </c>
      <c r="AK328" t="s">
        <v>717</v>
      </c>
      <c r="AL328" t="s">
        <v>65</v>
      </c>
      <c r="AM328" s="4">
        <v>0.94444444444444442</v>
      </c>
      <c r="AN328" t="s">
        <v>66</v>
      </c>
      <c r="AO328" t="s">
        <v>67</v>
      </c>
    </row>
    <row r="329" spans="1:41" x14ac:dyDescent="0.2">
      <c r="A329">
        <v>364175</v>
      </c>
      <c r="B329" t="s">
        <v>3130</v>
      </c>
      <c r="C329" t="s">
        <v>69</v>
      </c>
      <c r="D329" t="s">
        <v>3131</v>
      </c>
      <c r="E329" t="s">
        <v>3132</v>
      </c>
      <c r="F329">
        <v>101801</v>
      </c>
      <c r="G329" s="1">
        <v>31938</v>
      </c>
      <c r="H329" s="1">
        <v>45533</v>
      </c>
      <c r="I329" s="1">
        <v>46249</v>
      </c>
      <c r="J329" t="s">
        <v>45</v>
      </c>
      <c r="K329" t="s">
        <v>45</v>
      </c>
      <c r="L329" t="s">
        <v>72</v>
      </c>
      <c r="M329" s="1">
        <v>40424</v>
      </c>
      <c r="N329" t="s">
        <v>47</v>
      </c>
      <c r="O329" t="s">
        <v>48</v>
      </c>
      <c r="P329" t="s">
        <v>49</v>
      </c>
      <c r="Q329" t="s">
        <v>3133</v>
      </c>
      <c r="R329" t="s">
        <v>3134</v>
      </c>
      <c r="S329">
        <v>6426</v>
      </c>
      <c r="T329" t="s">
        <v>52</v>
      </c>
      <c r="U329">
        <v>4</v>
      </c>
      <c r="V329" t="s">
        <v>3135</v>
      </c>
      <c r="W329" t="s">
        <v>54</v>
      </c>
      <c r="X329" t="s">
        <v>76</v>
      </c>
      <c r="Y329" t="s">
        <v>56</v>
      </c>
      <c r="Z329">
        <v>652</v>
      </c>
      <c r="AA329">
        <v>62</v>
      </c>
      <c r="AB329">
        <v>138</v>
      </c>
      <c r="AC329" t="s">
        <v>3136</v>
      </c>
      <c r="AD329" t="s">
        <v>3137</v>
      </c>
      <c r="AE329" t="s">
        <v>3138</v>
      </c>
      <c r="AF329" t="s">
        <v>3139</v>
      </c>
      <c r="AG329" t="s">
        <v>3140</v>
      </c>
      <c r="AH329" t="s">
        <v>3141</v>
      </c>
      <c r="AI329" t="s">
        <v>3142</v>
      </c>
      <c r="AJ329" s="2">
        <v>45534.708518518521</v>
      </c>
      <c r="AK329" t="s">
        <v>2517</v>
      </c>
      <c r="AL329" t="s">
        <v>65</v>
      </c>
      <c r="AM329" s="3">
        <v>2.0833333333333335</v>
      </c>
      <c r="AN329" t="s">
        <v>66</v>
      </c>
      <c r="AO329" t="s">
        <v>67</v>
      </c>
    </row>
    <row r="330" spans="1:41" x14ac:dyDescent="0.2">
      <c r="A330">
        <v>373055</v>
      </c>
      <c r="B330" t="s">
        <v>3143</v>
      </c>
      <c r="C330" t="s">
        <v>69</v>
      </c>
      <c r="D330" t="s">
        <v>3144</v>
      </c>
      <c r="E330" t="s">
        <v>3145</v>
      </c>
      <c r="F330">
        <v>100101</v>
      </c>
      <c r="G330" s="1">
        <v>35582</v>
      </c>
      <c r="H330" s="1">
        <v>45854</v>
      </c>
      <c r="I330" s="1">
        <v>46204</v>
      </c>
      <c r="J330" t="s">
        <v>45</v>
      </c>
      <c r="K330" t="s">
        <v>45</v>
      </c>
      <c r="L330" t="s">
        <v>72</v>
      </c>
      <c r="M330" s="1">
        <v>41710</v>
      </c>
      <c r="N330" t="s">
        <v>47</v>
      </c>
      <c r="O330" t="s">
        <v>48</v>
      </c>
      <c r="P330" t="s">
        <v>49</v>
      </c>
      <c r="Q330" t="s">
        <v>3146</v>
      </c>
      <c r="R330" t="s">
        <v>3147</v>
      </c>
      <c r="S330">
        <v>2320</v>
      </c>
      <c r="T330" t="s">
        <v>52</v>
      </c>
      <c r="U330">
        <v>1</v>
      </c>
      <c r="V330" t="s">
        <v>3148</v>
      </c>
      <c r="W330" t="s">
        <v>54</v>
      </c>
      <c r="X330" t="s">
        <v>76</v>
      </c>
      <c r="Y330" t="s">
        <v>56</v>
      </c>
      <c r="Z330">
        <v>1025</v>
      </c>
      <c r="AA330">
        <v>62</v>
      </c>
      <c r="AB330">
        <v>146</v>
      </c>
      <c r="AC330" t="s">
        <v>3149</v>
      </c>
      <c r="AD330" t="s">
        <v>3150</v>
      </c>
      <c r="AE330" t="s">
        <v>3151</v>
      </c>
      <c r="AI330" t="s">
        <v>179</v>
      </c>
      <c r="AJ330" s="2">
        <v>45856.164166666669</v>
      </c>
      <c r="AK330" t="s">
        <v>568</v>
      </c>
      <c r="AL330" t="s">
        <v>65</v>
      </c>
      <c r="AM330" s="4">
        <v>0.33333333333333331</v>
      </c>
      <c r="AN330" t="s">
        <v>66</v>
      </c>
      <c r="AO330" t="s">
        <v>67</v>
      </c>
    </row>
    <row r="331" spans="1:41" x14ac:dyDescent="0.2">
      <c r="A331">
        <v>366030</v>
      </c>
      <c r="B331" t="s">
        <v>3152</v>
      </c>
      <c r="C331" t="s">
        <v>221</v>
      </c>
      <c r="D331" t="s">
        <v>3153</v>
      </c>
      <c r="E331" t="s">
        <v>3154</v>
      </c>
      <c r="F331">
        <v>16703</v>
      </c>
      <c r="G331" s="1">
        <v>38453</v>
      </c>
      <c r="H331" s="1">
        <v>45597</v>
      </c>
      <c r="I331" s="1">
        <v>46235</v>
      </c>
      <c r="J331" t="s">
        <v>45</v>
      </c>
      <c r="K331" t="s">
        <v>45</v>
      </c>
      <c r="L331" t="s">
        <v>72</v>
      </c>
      <c r="M331" s="1">
        <v>44603</v>
      </c>
      <c r="N331" t="s">
        <v>47</v>
      </c>
      <c r="O331" t="s">
        <v>48</v>
      </c>
      <c r="P331" t="s">
        <v>49</v>
      </c>
      <c r="Q331" t="s">
        <v>3155</v>
      </c>
      <c r="R331" t="s">
        <v>3156</v>
      </c>
      <c r="S331">
        <v>20</v>
      </c>
      <c r="T331" t="s">
        <v>156</v>
      </c>
      <c r="U331" t="s">
        <v>157</v>
      </c>
      <c r="V331" t="s">
        <v>3157</v>
      </c>
      <c r="W331" t="s">
        <v>159</v>
      </c>
      <c r="X331" t="s">
        <v>156</v>
      </c>
      <c r="Y331" t="s">
        <v>110</v>
      </c>
      <c r="Z331">
        <v>2681</v>
      </c>
      <c r="AA331">
        <v>37</v>
      </c>
      <c r="AB331">
        <v>39</v>
      </c>
      <c r="AC331" t="s">
        <v>3158</v>
      </c>
      <c r="AD331" t="s">
        <v>3159</v>
      </c>
      <c r="AE331" t="s">
        <v>3160</v>
      </c>
      <c r="AF331" t="s">
        <v>3161</v>
      </c>
      <c r="AG331" t="s">
        <v>3162</v>
      </c>
      <c r="AH331" t="s">
        <v>3163</v>
      </c>
      <c r="AJ331" s="2">
        <v>45601.634016203701</v>
      </c>
      <c r="AK331" t="s">
        <v>3158</v>
      </c>
      <c r="AL331" t="s">
        <v>65</v>
      </c>
      <c r="AM331" s="3">
        <v>2.09375</v>
      </c>
      <c r="AN331" t="s">
        <v>66</v>
      </c>
      <c r="AO331" t="s">
        <v>101</v>
      </c>
    </row>
    <row r="332" spans="1:41" x14ac:dyDescent="0.2">
      <c r="A332">
        <v>371839</v>
      </c>
      <c r="B332" t="s">
        <v>3164</v>
      </c>
      <c r="C332" t="s">
        <v>278</v>
      </c>
      <c r="D332" t="s">
        <v>3165</v>
      </c>
      <c r="E332" t="s">
        <v>3166</v>
      </c>
      <c r="G332" s="1">
        <v>45581</v>
      </c>
      <c r="H332" s="1">
        <v>45820</v>
      </c>
      <c r="I332" s="1">
        <v>46113</v>
      </c>
      <c r="J332" t="s">
        <v>45</v>
      </c>
      <c r="K332" t="s">
        <v>45</v>
      </c>
      <c r="L332" t="s">
        <v>72</v>
      </c>
      <c r="N332" t="s">
        <v>89</v>
      </c>
      <c r="O332" t="s">
        <v>121</v>
      </c>
      <c r="P332" t="s">
        <v>49</v>
      </c>
      <c r="Q332" t="s">
        <v>3167</v>
      </c>
      <c r="R332" t="s">
        <v>3168</v>
      </c>
      <c r="S332">
        <v>8072</v>
      </c>
      <c r="T332" t="s">
        <v>365</v>
      </c>
      <c r="U332" t="s">
        <v>432</v>
      </c>
      <c r="V332" t="s">
        <v>874</v>
      </c>
      <c r="W332" t="s">
        <v>367</v>
      </c>
      <c r="X332" t="s">
        <v>76</v>
      </c>
      <c r="Y332" t="s">
        <v>125</v>
      </c>
      <c r="Z332">
        <v>3006</v>
      </c>
      <c r="AA332">
        <v>78</v>
      </c>
      <c r="AB332">
        <v>166</v>
      </c>
      <c r="AC332" t="s">
        <v>3169</v>
      </c>
      <c r="AD332" t="s">
        <v>3170</v>
      </c>
      <c r="AE332" t="s">
        <v>3171</v>
      </c>
      <c r="AF332" t="s">
        <v>3172</v>
      </c>
      <c r="AG332" t="s">
        <v>879</v>
      </c>
      <c r="AH332" t="s">
        <v>880</v>
      </c>
      <c r="AJ332" s="2">
        <v>45820.839641203704</v>
      </c>
      <c r="AK332" t="s">
        <v>800</v>
      </c>
      <c r="AL332" t="s">
        <v>65</v>
      </c>
      <c r="AM332" s="4">
        <v>0.40277777777777779</v>
      </c>
      <c r="AN332" t="s">
        <v>66</v>
      </c>
      <c r="AO332" t="s">
        <v>67</v>
      </c>
    </row>
    <row r="333" spans="1:41" x14ac:dyDescent="0.2">
      <c r="A333">
        <v>372994</v>
      </c>
      <c r="B333" t="s">
        <v>3173</v>
      </c>
      <c r="C333" t="s">
        <v>979</v>
      </c>
      <c r="D333" t="s">
        <v>3174</v>
      </c>
      <c r="E333" t="s">
        <v>3175</v>
      </c>
      <c r="F333">
        <v>33001</v>
      </c>
      <c r="G333" s="1">
        <v>37868</v>
      </c>
      <c r="H333" s="1">
        <v>45671</v>
      </c>
      <c r="I333" s="1">
        <v>46037</v>
      </c>
      <c r="J333" t="s">
        <v>45</v>
      </c>
      <c r="K333" t="s">
        <v>45</v>
      </c>
      <c r="L333" t="s">
        <v>46</v>
      </c>
      <c r="M333" s="1">
        <v>45006</v>
      </c>
      <c r="N333" t="s">
        <v>47</v>
      </c>
      <c r="O333" t="s">
        <v>48</v>
      </c>
      <c r="P333" t="s">
        <v>49</v>
      </c>
      <c r="Q333" t="s">
        <v>3176</v>
      </c>
      <c r="R333" t="s">
        <v>3177</v>
      </c>
      <c r="S333">
        <v>343</v>
      </c>
      <c r="T333" t="s">
        <v>52</v>
      </c>
      <c r="U333">
        <v>8</v>
      </c>
      <c r="V333" t="s">
        <v>3178</v>
      </c>
      <c r="W333" t="s">
        <v>54</v>
      </c>
      <c r="X333" t="s">
        <v>76</v>
      </c>
      <c r="Y333" t="s">
        <v>56</v>
      </c>
      <c r="Z333">
        <v>1359</v>
      </c>
      <c r="AA333">
        <v>53</v>
      </c>
      <c r="AB333">
        <v>160</v>
      </c>
      <c r="AC333" t="s">
        <v>985</v>
      </c>
      <c r="AD333" t="s">
        <v>986</v>
      </c>
      <c r="AE333" t="s">
        <v>987</v>
      </c>
      <c r="AI333" t="s">
        <v>988</v>
      </c>
      <c r="AJ333" s="2">
        <v>45855.989444444444</v>
      </c>
      <c r="AK333" t="s">
        <v>556</v>
      </c>
      <c r="AL333" t="s">
        <v>65</v>
      </c>
      <c r="AM333" s="4">
        <v>0.1111111111111111</v>
      </c>
      <c r="AN333" t="s">
        <v>66</v>
      </c>
      <c r="AO333" t="s">
        <v>67</v>
      </c>
    </row>
    <row r="334" spans="1:41" x14ac:dyDescent="0.2">
      <c r="A334">
        <v>370465</v>
      </c>
      <c r="B334" t="s">
        <v>3179</v>
      </c>
      <c r="C334" t="s">
        <v>182</v>
      </c>
      <c r="D334" t="s">
        <v>3180</v>
      </c>
      <c r="E334" t="s">
        <v>3181</v>
      </c>
      <c r="F334">
        <v>41001</v>
      </c>
      <c r="G334" s="1">
        <v>36297</v>
      </c>
      <c r="H334" s="1">
        <v>45771</v>
      </c>
      <c r="J334" t="s">
        <v>45</v>
      </c>
      <c r="K334" t="s">
        <v>45</v>
      </c>
      <c r="L334" t="s">
        <v>72</v>
      </c>
      <c r="M334" s="1">
        <v>39289</v>
      </c>
      <c r="N334" t="s">
        <v>47</v>
      </c>
      <c r="O334" t="s">
        <v>48</v>
      </c>
      <c r="P334" t="s">
        <v>49</v>
      </c>
      <c r="Q334" t="s">
        <v>3182</v>
      </c>
      <c r="R334" t="s">
        <v>3183</v>
      </c>
      <c r="S334">
        <v>644</v>
      </c>
      <c r="T334" t="s">
        <v>92</v>
      </c>
      <c r="U334" t="s">
        <v>187</v>
      </c>
      <c r="V334" t="s">
        <v>447</v>
      </c>
      <c r="W334" t="s">
        <v>448</v>
      </c>
      <c r="X334" t="s">
        <v>92</v>
      </c>
      <c r="Y334" t="s">
        <v>450</v>
      </c>
      <c r="Z334">
        <v>1224</v>
      </c>
      <c r="AA334">
        <v>54</v>
      </c>
      <c r="AB334">
        <v>144</v>
      </c>
      <c r="AC334" t="s">
        <v>2145</v>
      </c>
      <c r="AD334" t="s">
        <v>452</v>
      </c>
      <c r="AE334" t="s">
        <v>453</v>
      </c>
      <c r="AF334" t="s">
        <v>3184</v>
      </c>
      <c r="AG334" t="s">
        <v>3185</v>
      </c>
      <c r="AH334" t="s">
        <v>3186</v>
      </c>
      <c r="AI334" t="s">
        <v>3187</v>
      </c>
      <c r="AJ334" s="2">
        <v>45776.60087962963</v>
      </c>
      <c r="AK334" t="s">
        <v>456</v>
      </c>
      <c r="AL334" t="s">
        <v>65</v>
      </c>
      <c r="AM334" s="3">
        <v>2.1111111111111112</v>
      </c>
      <c r="AN334" t="s">
        <v>66</v>
      </c>
      <c r="AO334" t="s">
        <v>67</v>
      </c>
    </row>
    <row r="335" spans="1:41" x14ac:dyDescent="0.2">
      <c r="A335">
        <v>367185</v>
      </c>
      <c r="B335" t="s">
        <v>3188</v>
      </c>
      <c r="C335" t="s">
        <v>735</v>
      </c>
      <c r="D335" t="s">
        <v>2790</v>
      </c>
      <c r="E335" t="s">
        <v>3189</v>
      </c>
      <c r="F335">
        <v>240226</v>
      </c>
      <c r="G335" s="1">
        <v>37427</v>
      </c>
      <c r="H335" s="1">
        <v>45587</v>
      </c>
      <c r="I335" s="1">
        <v>45945</v>
      </c>
      <c r="J335" t="s">
        <v>45</v>
      </c>
      <c r="K335" t="s">
        <v>45</v>
      </c>
      <c r="L335" t="s">
        <v>72</v>
      </c>
      <c r="M335" s="1">
        <v>45511</v>
      </c>
      <c r="N335" t="s">
        <v>47</v>
      </c>
      <c r="O335" t="s">
        <v>48</v>
      </c>
      <c r="P335" t="s">
        <v>49</v>
      </c>
      <c r="Q335" t="s">
        <v>3190</v>
      </c>
      <c r="R335" t="s">
        <v>3191</v>
      </c>
      <c r="S335">
        <v>3963</v>
      </c>
      <c r="T335" t="s">
        <v>92</v>
      </c>
      <c r="U335" t="s">
        <v>3192</v>
      </c>
      <c r="V335" t="s">
        <v>3193</v>
      </c>
      <c r="W335" t="s">
        <v>3194</v>
      </c>
      <c r="X335" t="s">
        <v>52</v>
      </c>
      <c r="Y335" t="s">
        <v>110</v>
      </c>
      <c r="Z335">
        <v>1921</v>
      </c>
      <c r="AA335">
        <v>46</v>
      </c>
      <c r="AB335">
        <v>166</v>
      </c>
      <c r="AC335" t="s">
        <v>3195</v>
      </c>
      <c r="AD335" t="s">
        <v>3196</v>
      </c>
      <c r="AE335" t="s">
        <v>3197</v>
      </c>
      <c r="AF335" t="s">
        <v>3198</v>
      </c>
      <c r="AG335" t="s">
        <v>3199</v>
      </c>
      <c r="AH335" t="s">
        <v>3200</v>
      </c>
      <c r="AJ335" s="2">
        <v>45664.714930555558</v>
      </c>
      <c r="AK335" t="s">
        <v>3198</v>
      </c>
      <c r="AL335" t="s">
        <v>65</v>
      </c>
      <c r="AM335" s="4">
        <v>0.625</v>
      </c>
      <c r="AN335" t="s">
        <v>66</v>
      </c>
      <c r="AO335" t="s">
        <v>67</v>
      </c>
    </row>
    <row r="336" spans="1:41" x14ac:dyDescent="0.2">
      <c r="A336">
        <v>367550</v>
      </c>
      <c r="B336" t="s">
        <v>3201</v>
      </c>
      <c r="C336" t="s">
        <v>662</v>
      </c>
      <c r="D336" t="s">
        <v>3202</v>
      </c>
      <c r="E336" t="s">
        <v>3203</v>
      </c>
      <c r="F336">
        <v>418801</v>
      </c>
      <c r="G336" s="1">
        <v>38079</v>
      </c>
      <c r="H336" s="1">
        <v>45572</v>
      </c>
      <c r="I336" s="1">
        <v>45931</v>
      </c>
      <c r="J336" t="s">
        <v>45</v>
      </c>
      <c r="K336" t="s">
        <v>45</v>
      </c>
      <c r="L336" t="s">
        <v>72</v>
      </c>
      <c r="M336" s="1">
        <v>42947</v>
      </c>
      <c r="N336" t="s">
        <v>47</v>
      </c>
      <c r="O336" t="s">
        <v>48</v>
      </c>
      <c r="P336" t="s">
        <v>49</v>
      </c>
      <c r="Q336" t="s">
        <v>3204</v>
      </c>
      <c r="R336" t="s">
        <v>3205</v>
      </c>
      <c r="S336">
        <v>4058</v>
      </c>
      <c r="T336" t="s">
        <v>92</v>
      </c>
      <c r="U336" t="s">
        <v>1197</v>
      </c>
      <c r="V336" t="s">
        <v>1198</v>
      </c>
      <c r="W336" t="s">
        <v>1199</v>
      </c>
      <c r="X336" t="s">
        <v>52</v>
      </c>
      <c r="Y336" t="s">
        <v>110</v>
      </c>
      <c r="Z336">
        <v>2541</v>
      </c>
      <c r="AA336">
        <v>38</v>
      </c>
      <c r="AB336">
        <v>158</v>
      </c>
      <c r="AC336" t="s">
        <v>1200</v>
      </c>
      <c r="AD336" t="s">
        <v>1201</v>
      </c>
      <c r="AE336" t="s">
        <v>1202</v>
      </c>
      <c r="AF336" t="s">
        <v>1727</v>
      </c>
      <c r="AG336" t="s">
        <v>1728</v>
      </c>
      <c r="AH336" t="s">
        <v>1729</v>
      </c>
      <c r="AJ336" s="2">
        <v>45680.957662037035</v>
      </c>
      <c r="AK336" t="s">
        <v>1727</v>
      </c>
      <c r="AL336" t="s">
        <v>65</v>
      </c>
      <c r="AM336" s="4">
        <v>0.13194444444444445</v>
      </c>
      <c r="AN336" t="s">
        <v>66</v>
      </c>
      <c r="AO336" t="s">
        <v>67</v>
      </c>
    </row>
    <row r="337" spans="1:41" x14ac:dyDescent="0.2">
      <c r="A337">
        <v>367055</v>
      </c>
      <c r="B337" t="s">
        <v>3206</v>
      </c>
      <c r="C337" t="s">
        <v>763</v>
      </c>
      <c r="D337" t="s">
        <v>3018</v>
      </c>
      <c r="E337" t="s">
        <v>3207</v>
      </c>
      <c r="F337">
        <v>476002</v>
      </c>
      <c r="G337" s="1">
        <v>38776</v>
      </c>
      <c r="H337" s="1">
        <v>45378</v>
      </c>
      <c r="J337" t="s">
        <v>45</v>
      </c>
      <c r="K337" t="s">
        <v>45</v>
      </c>
      <c r="L337" t="s">
        <v>72</v>
      </c>
      <c r="M337" s="1">
        <v>41613</v>
      </c>
      <c r="N337" t="s">
        <v>47</v>
      </c>
      <c r="O337" t="s">
        <v>48</v>
      </c>
      <c r="P337" t="s">
        <v>49</v>
      </c>
      <c r="Q337" t="s">
        <v>3208</v>
      </c>
      <c r="R337" t="s">
        <v>3209</v>
      </c>
      <c r="S337">
        <v>673</v>
      </c>
      <c r="T337" t="s">
        <v>92</v>
      </c>
      <c r="U337" t="s">
        <v>767</v>
      </c>
      <c r="V337" t="s">
        <v>768</v>
      </c>
      <c r="W337" t="s">
        <v>769</v>
      </c>
      <c r="X337" t="s">
        <v>92</v>
      </c>
      <c r="Y337" t="s">
        <v>770</v>
      </c>
      <c r="Z337">
        <v>2675</v>
      </c>
      <c r="AA337">
        <v>42</v>
      </c>
      <c r="AB337">
        <v>146</v>
      </c>
      <c r="AC337" t="s">
        <v>3210</v>
      </c>
      <c r="AD337" t="s">
        <v>3211</v>
      </c>
      <c r="AE337" t="s">
        <v>3212</v>
      </c>
      <c r="AF337" t="s">
        <v>774</v>
      </c>
      <c r="AG337" t="s">
        <v>775</v>
      </c>
      <c r="AH337" t="s">
        <v>776</v>
      </c>
      <c r="AI337" t="s">
        <v>3213</v>
      </c>
      <c r="AJ337" s="2">
        <v>45659.879641203705</v>
      </c>
      <c r="AK337" t="s">
        <v>3214</v>
      </c>
      <c r="AL337" t="s">
        <v>65</v>
      </c>
      <c r="AM337" s="4">
        <v>0.1388888888888889</v>
      </c>
      <c r="AN337" t="s">
        <v>66</v>
      </c>
      <c r="AO337" t="s">
        <v>67</v>
      </c>
    </row>
    <row r="338" spans="1:41" x14ac:dyDescent="0.2">
      <c r="A338">
        <v>372373</v>
      </c>
      <c r="B338" t="s">
        <v>3215</v>
      </c>
      <c r="C338" t="s">
        <v>345</v>
      </c>
      <c r="E338" t="s">
        <v>3216</v>
      </c>
      <c r="F338">
        <v>56203</v>
      </c>
      <c r="G338" s="1">
        <v>36626</v>
      </c>
      <c r="H338" s="1">
        <v>45832</v>
      </c>
      <c r="I338" s="1">
        <v>45915</v>
      </c>
      <c r="J338" t="s">
        <v>45</v>
      </c>
      <c r="K338" t="s">
        <v>45</v>
      </c>
      <c r="L338" t="s">
        <v>429</v>
      </c>
      <c r="M338" s="1">
        <v>40857</v>
      </c>
      <c r="N338" t="s">
        <v>47</v>
      </c>
      <c r="O338" t="s">
        <v>48</v>
      </c>
      <c r="P338" t="s">
        <v>49</v>
      </c>
      <c r="Q338" t="s">
        <v>3217</v>
      </c>
      <c r="R338" t="s">
        <v>3218</v>
      </c>
      <c r="S338">
        <v>8197</v>
      </c>
      <c r="T338" t="s">
        <v>52</v>
      </c>
      <c r="U338">
        <v>2</v>
      </c>
      <c r="V338" t="s">
        <v>1522</v>
      </c>
      <c r="W338" t="s">
        <v>54</v>
      </c>
      <c r="X338" t="s">
        <v>55</v>
      </c>
      <c r="Y338" t="s">
        <v>56</v>
      </c>
      <c r="Z338">
        <v>1625</v>
      </c>
      <c r="AA338">
        <v>52</v>
      </c>
      <c r="AB338">
        <v>160</v>
      </c>
      <c r="AC338" t="s">
        <v>2688</v>
      </c>
      <c r="AD338" t="s">
        <v>2689</v>
      </c>
      <c r="AE338" t="s">
        <v>2690</v>
      </c>
      <c r="AF338" t="s">
        <v>1526</v>
      </c>
      <c r="AG338" t="s">
        <v>1527</v>
      </c>
      <c r="AH338" t="s">
        <v>1528</v>
      </c>
      <c r="AI338" t="s">
        <v>2691</v>
      </c>
      <c r="AJ338" s="2">
        <v>45838.801226851851</v>
      </c>
      <c r="AK338" t="s">
        <v>609</v>
      </c>
      <c r="AL338" t="s">
        <v>65</v>
      </c>
      <c r="AM338" s="3">
        <v>1.0902777777777777</v>
      </c>
      <c r="AN338" t="s">
        <v>66</v>
      </c>
      <c r="AO338" t="s">
        <v>67</v>
      </c>
    </row>
    <row r="339" spans="1:41" x14ac:dyDescent="0.2">
      <c r="A339">
        <v>370435</v>
      </c>
      <c r="B339" t="s">
        <v>3215</v>
      </c>
      <c r="C339" t="s">
        <v>42</v>
      </c>
      <c r="D339" t="s">
        <v>3219</v>
      </c>
      <c r="E339" t="s">
        <v>3220</v>
      </c>
      <c r="F339">
        <v>292103</v>
      </c>
      <c r="G339" s="1">
        <v>33675</v>
      </c>
      <c r="H339" s="1">
        <v>45772</v>
      </c>
      <c r="I339" s="1">
        <v>46113</v>
      </c>
      <c r="J339" t="s">
        <v>45</v>
      </c>
      <c r="K339" t="s">
        <v>45</v>
      </c>
      <c r="L339" t="s">
        <v>429</v>
      </c>
      <c r="N339" t="s">
        <v>47</v>
      </c>
      <c r="O339" t="s">
        <v>48</v>
      </c>
      <c r="P339" t="s">
        <v>49</v>
      </c>
      <c r="Q339" t="s">
        <v>3221</v>
      </c>
      <c r="R339" t="s">
        <v>3222</v>
      </c>
      <c r="S339">
        <v>4455</v>
      </c>
      <c r="T339" t="s">
        <v>156</v>
      </c>
      <c r="U339" t="s">
        <v>667</v>
      </c>
      <c r="V339" t="s">
        <v>3223</v>
      </c>
      <c r="W339" t="s">
        <v>159</v>
      </c>
      <c r="X339" t="s">
        <v>55</v>
      </c>
      <c r="Y339" t="s">
        <v>56</v>
      </c>
      <c r="Z339">
        <v>477</v>
      </c>
      <c r="AA339">
        <v>64</v>
      </c>
      <c r="AB339">
        <v>138</v>
      </c>
      <c r="AC339" t="s">
        <v>3224</v>
      </c>
      <c r="AD339" t="s">
        <v>3225</v>
      </c>
      <c r="AE339" t="s">
        <v>3226</v>
      </c>
      <c r="AI339" t="s">
        <v>179</v>
      </c>
      <c r="AJ339" s="2">
        <v>45775.757696759261</v>
      </c>
      <c r="AK339" t="s">
        <v>64</v>
      </c>
      <c r="AL339" t="s">
        <v>65</v>
      </c>
      <c r="AM339" s="3">
        <v>2.0972222222222223</v>
      </c>
      <c r="AN339" t="s">
        <v>66</v>
      </c>
      <c r="AO339" t="s">
        <v>67</v>
      </c>
    </row>
    <row r="340" spans="1:41" x14ac:dyDescent="0.2">
      <c r="A340">
        <v>371181</v>
      </c>
      <c r="B340" t="s">
        <v>3227</v>
      </c>
      <c r="C340" t="s">
        <v>345</v>
      </c>
      <c r="D340" t="s">
        <v>941</v>
      </c>
      <c r="E340" t="s">
        <v>3228</v>
      </c>
      <c r="F340">
        <v>50607</v>
      </c>
      <c r="G340" s="1">
        <v>45176</v>
      </c>
      <c r="H340" s="1">
        <v>45797</v>
      </c>
      <c r="I340" s="1">
        <v>46054</v>
      </c>
      <c r="J340" t="s">
        <v>45</v>
      </c>
      <c r="K340" t="s">
        <v>45</v>
      </c>
      <c r="L340" t="s">
        <v>72</v>
      </c>
      <c r="N340" t="s">
        <v>47</v>
      </c>
      <c r="O340" t="s">
        <v>48</v>
      </c>
      <c r="P340" t="s">
        <v>49</v>
      </c>
      <c r="Q340" t="s">
        <v>3229</v>
      </c>
      <c r="R340" t="s">
        <v>3230</v>
      </c>
      <c r="S340">
        <v>5090</v>
      </c>
      <c r="T340" t="s">
        <v>92</v>
      </c>
      <c r="U340" t="s">
        <v>350</v>
      </c>
      <c r="V340" t="s">
        <v>3231</v>
      </c>
      <c r="W340" t="s">
        <v>3232</v>
      </c>
      <c r="X340" t="s">
        <v>92</v>
      </c>
      <c r="Y340" t="s">
        <v>110</v>
      </c>
      <c r="Z340">
        <v>12174</v>
      </c>
      <c r="AA340">
        <v>13</v>
      </c>
      <c r="AB340">
        <v>44</v>
      </c>
      <c r="AC340" t="s">
        <v>3233</v>
      </c>
      <c r="AD340" t="s">
        <v>3234</v>
      </c>
      <c r="AE340" t="s">
        <v>3235</v>
      </c>
      <c r="AF340" t="s">
        <v>3236</v>
      </c>
      <c r="AG340" t="s">
        <v>3237</v>
      </c>
      <c r="AH340" t="s">
        <v>3238</v>
      </c>
      <c r="AJ340" s="2">
        <v>45797.901250000003</v>
      </c>
      <c r="AK340" t="s">
        <v>3236</v>
      </c>
      <c r="AL340" t="s">
        <v>65</v>
      </c>
      <c r="AM340" s="3">
        <v>1.3090277777777777</v>
      </c>
      <c r="AN340" t="s">
        <v>66</v>
      </c>
      <c r="AO340" t="s">
        <v>67</v>
      </c>
    </row>
    <row r="341" spans="1:41" x14ac:dyDescent="0.2">
      <c r="A341">
        <v>369727</v>
      </c>
      <c r="B341" t="s">
        <v>3239</v>
      </c>
      <c r="C341" t="s">
        <v>345</v>
      </c>
      <c r="D341" t="s">
        <v>941</v>
      </c>
      <c r="E341" t="s">
        <v>3240</v>
      </c>
      <c r="G341" s="1">
        <v>45684</v>
      </c>
      <c r="H341" s="1">
        <v>45685</v>
      </c>
      <c r="I341" s="1">
        <v>46054</v>
      </c>
      <c r="J341" t="s">
        <v>45</v>
      </c>
      <c r="K341" t="s">
        <v>45</v>
      </c>
      <c r="L341" t="s">
        <v>72</v>
      </c>
      <c r="N341" t="s">
        <v>47</v>
      </c>
      <c r="O341" t="s">
        <v>121</v>
      </c>
      <c r="P341" t="s">
        <v>49</v>
      </c>
      <c r="Q341" t="s">
        <v>3241</v>
      </c>
      <c r="R341" t="s">
        <v>3242</v>
      </c>
      <c r="S341">
        <v>6698</v>
      </c>
      <c r="T341" t="s">
        <v>92</v>
      </c>
      <c r="U341" t="s">
        <v>350</v>
      </c>
      <c r="V341" t="s">
        <v>3231</v>
      </c>
      <c r="W341" t="s">
        <v>3232</v>
      </c>
      <c r="X341" t="s">
        <v>92</v>
      </c>
      <c r="Y341" t="s">
        <v>125</v>
      </c>
      <c r="Z341">
        <v>9586</v>
      </c>
      <c r="AA341">
        <v>49</v>
      </c>
      <c r="AB341">
        <v>78</v>
      </c>
      <c r="AC341" t="s">
        <v>3243</v>
      </c>
      <c r="AD341" t="s">
        <v>3244</v>
      </c>
      <c r="AE341" t="s">
        <v>3245</v>
      </c>
      <c r="AF341" t="s">
        <v>3246</v>
      </c>
      <c r="AG341" t="s">
        <v>3247</v>
      </c>
      <c r="AH341" t="s">
        <v>3248</v>
      </c>
      <c r="AJ341" s="2">
        <v>45750.63045138889</v>
      </c>
      <c r="AK341" t="s">
        <v>276</v>
      </c>
      <c r="AL341" t="s">
        <v>65</v>
      </c>
      <c r="AM341" s="3">
        <v>1.7708333333333333</v>
      </c>
      <c r="AN341" t="s">
        <v>66</v>
      </c>
      <c r="AO341" t="s">
        <v>67</v>
      </c>
    </row>
    <row r="342" spans="1:41" x14ac:dyDescent="0.2">
      <c r="A342">
        <v>372502</v>
      </c>
      <c r="B342" t="s">
        <v>3249</v>
      </c>
      <c r="C342" t="s">
        <v>167</v>
      </c>
      <c r="D342" t="s">
        <v>3250</v>
      </c>
      <c r="E342" s="5">
        <v>3.2360000000000001E+59</v>
      </c>
      <c r="F342">
        <v>351909</v>
      </c>
      <c r="G342" s="1">
        <v>36804</v>
      </c>
      <c r="H342" s="1">
        <v>45503</v>
      </c>
      <c r="I342" s="1">
        <v>46218</v>
      </c>
      <c r="J342" t="s">
        <v>45</v>
      </c>
      <c r="K342" t="s">
        <v>45</v>
      </c>
      <c r="L342" t="s">
        <v>429</v>
      </c>
      <c r="M342" s="1">
        <v>45037</v>
      </c>
      <c r="N342" t="s">
        <v>47</v>
      </c>
      <c r="O342" t="s">
        <v>48</v>
      </c>
      <c r="P342" t="s">
        <v>49</v>
      </c>
      <c r="Q342" t="s">
        <v>3251</v>
      </c>
      <c r="R342" t="s">
        <v>3252</v>
      </c>
      <c r="S342">
        <v>3543</v>
      </c>
      <c r="T342" t="s">
        <v>52</v>
      </c>
      <c r="U342">
        <v>6</v>
      </c>
      <c r="V342" t="s">
        <v>3253</v>
      </c>
      <c r="W342" t="s">
        <v>54</v>
      </c>
      <c r="X342" t="s">
        <v>76</v>
      </c>
      <c r="Y342" t="s">
        <v>56</v>
      </c>
      <c r="Z342">
        <v>861</v>
      </c>
      <c r="AA342">
        <v>59</v>
      </c>
      <c r="AB342">
        <v>166</v>
      </c>
      <c r="AC342" t="s">
        <v>3254</v>
      </c>
      <c r="AD342" t="s">
        <v>3255</v>
      </c>
      <c r="AE342" t="s">
        <v>3256</v>
      </c>
      <c r="AF342" t="s">
        <v>3257</v>
      </c>
      <c r="AG342" t="s">
        <v>3258</v>
      </c>
      <c r="AH342" t="s">
        <v>3259</v>
      </c>
      <c r="AI342" t="s">
        <v>3260</v>
      </c>
      <c r="AJ342" s="2">
        <v>45841.538530092592</v>
      </c>
      <c r="AK342" t="s">
        <v>556</v>
      </c>
      <c r="AL342" t="s">
        <v>65</v>
      </c>
      <c r="AM342" s="3">
        <v>2.4444444444444446</v>
      </c>
      <c r="AN342" t="s">
        <v>66</v>
      </c>
      <c r="AO342" t="s">
        <v>67</v>
      </c>
    </row>
    <row r="343" spans="1:41" x14ac:dyDescent="0.2">
      <c r="A343">
        <v>371244</v>
      </c>
      <c r="B343" t="s">
        <v>3261</v>
      </c>
      <c r="C343" t="s">
        <v>345</v>
      </c>
      <c r="D343" t="s">
        <v>941</v>
      </c>
      <c r="E343" t="s">
        <v>3262</v>
      </c>
      <c r="F343">
        <v>50605</v>
      </c>
      <c r="G343" s="1">
        <v>45252</v>
      </c>
      <c r="H343" s="1">
        <v>45799</v>
      </c>
      <c r="I343" s="1">
        <v>46113</v>
      </c>
      <c r="J343" t="s">
        <v>45</v>
      </c>
      <c r="K343" t="s">
        <v>45</v>
      </c>
      <c r="L343" t="s">
        <v>46</v>
      </c>
      <c r="N343" t="s">
        <v>47</v>
      </c>
      <c r="O343" t="s">
        <v>48</v>
      </c>
      <c r="P343" t="s">
        <v>49</v>
      </c>
      <c r="Q343" t="s">
        <v>3263</v>
      </c>
      <c r="R343" t="s">
        <v>3264</v>
      </c>
      <c r="S343">
        <v>5966</v>
      </c>
      <c r="T343" t="s">
        <v>92</v>
      </c>
      <c r="U343" t="s">
        <v>350</v>
      </c>
      <c r="V343" t="s">
        <v>3231</v>
      </c>
      <c r="W343" t="s">
        <v>3232</v>
      </c>
      <c r="X343" t="s">
        <v>92</v>
      </c>
      <c r="Y343" t="s">
        <v>110</v>
      </c>
      <c r="Z343">
        <v>12173</v>
      </c>
      <c r="AA343">
        <v>20</v>
      </c>
      <c r="AB343">
        <v>44</v>
      </c>
      <c r="AC343" t="s">
        <v>3265</v>
      </c>
      <c r="AD343" t="s">
        <v>3266</v>
      </c>
      <c r="AE343" t="s">
        <v>3267</v>
      </c>
      <c r="AF343" t="s">
        <v>3268</v>
      </c>
      <c r="AG343" t="s">
        <v>3269</v>
      </c>
      <c r="AH343" t="s">
        <v>3270</v>
      </c>
      <c r="AJ343" s="2">
        <v>45800.537418981483</v>
      </c>
      <c r="AK343" t="s">
        <v>3271</v>
      </c>
      <c r="AL343" t="s">
        <v>65</v>
      </c>
      <c r="AM343" s="3">
        <v>1.3020833333333333</v>
      </c>
      <c r="AN343" t="s">
        <v>66</v>
      </c>
      <c r="AO343" t="s">
        <v>67</v>
      </c>
    </row>
    <row r="344" spans="1:41" x14ac:dyDescent="0.2">
      <c r="A344">
        <v>371741</v>
      </c>
      <c r="B344" t="s">
        <v>3272</v>
      </c>
      <c r="C344" t="s">
        <v>323</v>
      </c>
      <c r="D344" t="s">
        <v>3273</v>
      </c>
      <c r="E344" t="s">
        <v>3274</v>
      </c>
      <c r="F344">
        <v>500219</v>
      </c>
      <c r="G344" s="1">
        <v>41082</v>
      </c>
      <c r="H344" s="1">
        <v>45796</v>
      </c>
      <c r="I344" s="1">
        <v>46037</v>
      </c>
      <c r="J344" t="s">
        <v>45</v>
      </c>
      <c r="K344" t="s">
        <v>326</v>
      </c>
      <c r="L344" t="s">
        <v>72</v>
      </c>
      <c r="M344" s="1">
        <v>45420</v>
      </c>
      <c r="N344" t="s">
        <v>47</v>
      </c>
      <c r="O344" t="s">
        <v>48</v>
      </c>
      <c r="P344" t="s">
        <v>49</v>
      </c>
      <c r="Q344" t="s">
        <v>3275</v>
      </c>
      <c r="R344" t="s">
        <v>3276</v>
      </c>
      <c r="S344">
        <v>1150</v>
      </c>
      <c r="T344" t="s">
        <v>365</v>
      </c>
      <c r="U344" t="s">
        <v>366</v>
      </c>
      <c r="V344" t="s">
        <v>330</v>
      </c>
      <c r="W344" t="s">
        <v>367</v>
      </c>
      <c r="X344" t="s">
        <v>76</v>
      </c>
      <c r="Y344" t="s">
        <v>110</v>
      </c>
      <c r="Z344">
        <v>5307</v>
      </c>
      <c r="AA344">
        <v>36</v>
      </c>
      <c r="AB344">
        <v>34</v>
      </c>
      <c r="AC344" t="s">
        <v>368</v>
      </c>
      <c r="AD344" t="s">
        <v>369</v>
      </c>
      <c r="AE344" t="s">
        <v>370</v>
      </c>
      <c r="AF344" t="s">
        <v>384</v>
      </c>
      <c r="AG344" t="s">
        <v>385</v>
      </c>
      <c r="AH344" t="s">
        <v>386</v>
      </c>
      <c r="AJ344" s="2">
        <v>45818.804837962962</v>
      </c>
      <c r="AK344" t="s">
        <v>727</v>
      </c>
      <c r="AL344" t="s">
        <v>65</v>
      </c>
      <c r="AM344" s="4">
        <v>0.88194444444444442</v>
      </c>
      <c r="AN344" t="s">
        <v>66</v>
      </c>
      <c r="AO344" t="s">
        <v>67</v>
      </c>
    </row>
    <row r="345" spans="1:41" x14ac:dyDescent="0.2">
      <c r="A345">
        <v>371886</v>
      </c>
      <c r="B345" t="s">
        <v>3277</v>
      </c>
      <c r="C345" t="s">
        <v>69</v>
      </c>
      <c r="D345" t="s">
        <v>3278</v>
      </c>
      <c r="E345" t="s">
        <v>3279</v>
      </c>
      <c r="F345">
        <v>103207</v>
      </c>
      <c r="G345" s="1">
        <v>33015</v>
      </c>
      <c r="H345" s="1">
        <v>45820</v>
      </c>
      <c r="I345" s="1">
        <v>46218</v>
      </c>
      <c r="J345" t="s">
        <v>45</v>
      </c>
      <c r="K345" t="s">
        <v>45</v>
      </c>
      <c r="L345" t="s">
        <v>429</v>
      </c>
      <c r="M345" s="1">
        <v>43293</v>
      </c>
      <c r="N345" t="s">
        <v>47</v>
      </c>
      <c r="O345" t="s">
        <v>48</v>
      </c>
      <c r="P345" t="s">
        <v>49</v>
      </c>
      <c r="Q345" t="s">
        <v>3280</v>
      </c>
      <c r="R345" t="s">
        <v>3281</v>
      </c>
      <c r="S345">
        <v>4920</v>
      </c>
      <c r="T345" t="s">
        <v>365</v>
      </c>
      <c r="U345" t="s">
        <v>532</v>
      </c>
      <c r="V345" t="s">
        <v>3282</v>
      </c>
      <c r="W345" t="s">
        <v>367</v>
      </c>
      <c r="X345" t="s">
        <v>76</v>
      </c>
      <c r="Y345" t="s">
        <v>434</v>
      </c>
      <c r="Z345">
        <v>153</v>
      </c>
      <c r="AA345">
        <v>51</v>
      </c>
      <c r="AB345">
        <v>152</v>
      </c>
      <c r="AC345" t="s">
        <v>3283</v>
      </c>
      <c r="AD345" t="s">
        <v>3284</v>
      </c>
      <c r="AE345" t="s">
        <v>3285</v>
      </c>
      <c r="AF345" t="s">
        <v>3286</v>
      </c>
      <c r="AH345" t="s">
        <v>3287</v>
      </c>
      <c r="AI345" t="s">
        <v>179</v>
      </c>
      <c r="AJ345" s="2">
        <v>45821.898043981484</v>
      </c>
      <c r="AK345" t="s">
        <v>717</v>
      </c>
      <c r="AL345" t="s">
        <v>65</v>
      </c>
      <c r="AM345" s="3">
        <v>2.3194444444444446</v>
      </c>
      <c r="AN345" t="s">
        <v>66</v>
      </c>
      <c r="AO345" t="s">
        <v>67</v>
      </c>
    </row>
    <row r="346" spans="1:41" x14ac:dyDescent="0.2">
      <c r="A346">
        <v>368437</v>
      </c>
      <c r="B346" t="s">
        <v>3288</v>
      </c>
      <c r="C346" t="s">
        <v>182</v>
      </c>
      <c r="D346" t="s">
        <v>1026</v>
      </c>
      <c r="E346" t="s">
        <v>3289</v>
      </c>
      <c r="F346">
        <v>44303</v>
      </c>
      <c r="G346" s="1">
        <v>37603</v>
      </c>
      <c r="H346" s="1">
        <v>45708</v>
      </c>
      <c r="J346" t="s">
        <v>45</v>
      </c>
      <c r="K346" t="s">
        <v>72</v>
      </c>
      <c r="L346" t="s">
        <v>72</v>
      </c>
      <c r="N346" t="s">
        <v>47</v>
      </c>
      <c r="O346" t="s">
        <v>48</v>
      </c>
      <c r="P346" t="s">
        <v>49</v>
      </c>
      <c r="Q346" t="s">
        <v>3290</v>
      </c>
      <c r="R346" t="s">
        <v>3291</v>
      </c>
      <c r="S346">
        <v>537</v>
      </c>
      <c r="T346" t="s">
        <v>92</v>
      </c>
      <c r="U346" t="s">
        <v>187</v>
      </c>
      <c r="V346" t="s">
        <v>447</v>
      </c>
      <c r="W346" t="s">
        <v>448</v>
      </c>
      <c r="X346" t="s">
        <v>92</v>
      </c>
      <c r="Y346" t="s">
        <v>450</v>
      </c>
      <c r="Z346">
        <v>2336</v>
      </c>
      <c r="AA346">
        <v>37</v>
      </c>
      <c r="AB346">
        <v>38</v>
      </c>
      <c r="AC346" t="s">
        <v>451</v>
      </c>
      <c r="AD346" t="s">
        <v>3292</v>
      </c>
      <c r="AE346" t="s">
        <v>453</v>
      </c>
      <c r="AF346" t="s">
        <v>454</v>
      </c>
      <c r="AG346" t="s">
        <v>473</v>
      </c>
      <c r="AH346" t="s">
        <v>474</v>
      </c>
      <c r="AJ346" s="2">
        <v>45712.681145833332</v>
      </c>
      <c r="AK346" t="s">
        <v>526</v>
      </c>
      <c r="AL346" t="s">
        <v>65</v>
      </c>
      <c r="AM346" s="4">
        <v>0.53472222222222221</v>
      </c>
      <c r="AN346" t="s">
        <v>66</v>
      </c>
      <c r="AO346" t="s">
        <v>67</v>
      </c>
    </row>
    <row r="347" spans="1:41" x14ac:dyDescent="0.2">
      <c r="A347">
        <v>364968</v>
      </c>
      <c r="B347" t="s">
        <v>3293</v>
      </c>
      <c r="C347" t="s">
        <v>735</v>
      </c>
      <c r="D347" t="s">
        <v>1118</v>
      </c>
      <c r="E347" t="s">
        <v>3294</v>
      </c>
      <c r="F347">
        <v>245203</v>
      </c>
      <c r="G347" s="1">
        <v>33535</v>
      </c>
      <c r="H347" s="1">
        <v>45560</v>
      </c>
      <c r="I347" s="1">
        <v>46280</v>
      </c>
      <c r="J347" t="s">
        <v>45</v>
      </c>
      <c r="K347" t="s">
        <v>45</v>
      </c>
      <c r="L347" t="s">
        <v>429</v>
      </c>
      <c r="M347" s="1">
        <v>44502</v>
      </c>
      <c r="N347" t="s">
        <v>47</v>
      </c>
      <c r="O347" t="s">
        <v>48</v>
      </c>
      <c r="P347" t="s">
        <v>49</v>
      </c>
      <c r="Q347" t="s">
        <v>3295</v>
      </c>
      <c r="R347" t="s">
        <v>3296</v>
      </c>
      <c r="S347">
        <v>3930</v>
      </c>
      <c r="T347" t="s">
        <v>365</v>
      </c>
      <c r="U347" t="s">
        <v>969</v>
      </c>
      <c r="V347" t="s">
        <v>2473</v>
      </c>
      <c r="W347" t="s">
        <v>367</v>
      </c>
      <c r="X347" t="s">
        <v>76</v>
      </c>
      <c r="Y347" t="s">
        <v>434</v>
      </c>
      <c r="Z347">
        <v>213</v>
      </c>
      <c r="AA347">
        <v>54</v>
      </c>
      <c r="AB347">
        <v>138</v>
      </c>
      <c r="AC347" t="s">
        <v>2474</v>
      </c>
      <c r="AD347" t="s">
        <v>2475</v>
      </c>
      <c r="AE347" t="s">
        <v>2477</v>
      </c>
      <c r="AI347" t="s">
        <v>179</v>
      </c>
      <c r="AJ347" s="2">
        <v>45566.536365740743</v>
      </c>
      <c r="AK347" t="s">
        <v>568</v>
      </c>
      <c r="AL347" t="s">
        <v>65</v>
      </c>
      <c r="AM347" s="3">
        <v>1.0277777777777777</v>
      </c>
      <c r="AN347" t="s">
        <v>66</v>
      </c>
      <c r="AO347" t="s">
        <v>67</v>
      </c>
    </row>
    <row r="348" spans="1:41" x14ac:dyDescent="0.2">
      <c r="A348">
        <v>370676</v>
      </c>
      <c r="B348" t="s">
        <v>3297</v>
      </c>
      <c r="C348" t="s">
        <v>323</v>
      </c>
      <c r="D348" t="s">
        <v>3298</v>
      </c>
      <c r="E348" t="s">
        <v>3299</v>
      </c>
      <c r="G348" s="1">
        <v>45522</v>
      </c>
      <c r="H348" s="1">
        <v>45522</v>
      </c>
      <c r="J348" t="s">
        <v>326</v>
      </c>
      <c r="K348" t="s">
        <v>45</v>
      </c>
      <c r="L348" t="s">
        <v>72</v>
      </c>
      <c r="N348" t="s">
        <v>47</v>
      </c>
      <c r="O348" t="s">
        <v>48</v>
      </c>
      <c r="P348" t="s">
        <v>406</v>
      </c>
      <c r="Q348" t="s">
        <v>3300</v>
      </c>
      <c r="R348" t="s">
        <v>3301</v>
      </c>
      <c r="S348">
        <v>3019</v>
      </c>
      <c r="T348" t="s">
        <v>257</v>
      </c>
      <c r="U348" t="s">
        <v>329</v>
      </c>
      <c r="V348" t="s">
        <v>3302</v>
      </c>
      <c r="W348" t="s">
        <v>3303</v>
      </c>
      <c r="X348" t="s">
        <v>257</v>
      </c>
      <c r="Y348" t="s">
        <v>642</v>
      </c>
      <c r="Z348">
        <v>12125</v>
      </c>
      <c r="AA348">
        <v>12</v>
      </c>
      <c r="AB348">
        <v>108</v>
      </c>
      <c r="AC348" t="s">
        <v>3304</v>
      </c>
      <c r="AD348" t="s">
        <v>3305</v>
      </c>
      <c r="AE348" t="s">
        <v>3306</v>
      </c>
      <c r="AF348" t="s">
        <v>3307</v>
      </c>
      <c r="AG348" t="s">
        <v>3308</v>
      </c>
      <c r="AH348" t="s">
        <v>3309</v>
      </c>
      <c r="AJ348" s="2">
        <v>45782.951736111114</v>
      </c>
      <c r="AK348" t="s">
        <v>375</v>
      </c>
      <c r="AL348" t="s">
        <v>1168</v>
      </c>
      <c r="AM348" s="3">
        <v>1.1597222222222223</v>
      </c>
      <c r="AN348" t="s">
        <v>66</v>
      </c>
      <c r="AO348" t="s">
        <v>67</v>
      </c>
    </row>
    <row r="349" spans="1:41" x14ac:dyDescent="0.2">
      <c r="A349">
        <v>367210</v>
      </c>
      <c r="B349" t="s">
        <v>3310</v>
      </c>
      <c r="C349" t="s">
        <v>236</v>
      </c>
      <c r="D349" t="s">
        <v>3311</v>
      </c>
      <c r="E349" t="s">
        <v>3312</v>
      </c>
      <c r="F349">
        <v>212601</v>
      </c>
      <c r="G349" s="1">
        <v>36526</v>
      </c>
      <c r="H349" s="1">
        <v>45664</v>
      </c>
      <c r="J349" t="s">
        <v>45</v>
      </c>
      <c r="K349" t="s">
        <v>45</v>
      </c>
      <c r="L349" t="s">
        <v>72</v>
      </c>
      <c r="M349" s="1">
        <v>45183</v>
      </c>
      <c r="N349" t="s">
        <v>47</v>
      </c>
      <c r="O349" t="s">
        <v>48</v>
      </c>
      <c r="P349" t="s">
        <v>49</v>
      </c>
      <c r="Q349" t="s">
        <v>3313</v>
      </c>
      <c r="R349" t="s">
        <v>3314</v>
      </c>
      <c r="S349">
        <v>1220</v>
      </c>
      <c r="T349" t="s">
        <v>92</v>
      </c>
      <c r="U349" t="s">
        <v>1509</v>
      </c>
      <c r="V349" t="s">
        <v>506</v>
      </c>
      <c r="W349" t="s">
        <v>1510</v>
      </c>
      <c r="X349" t="s">
        <v>52</v>
      </c>
      <c r="Y349" t="s">
        <v>410</v>
      </c>
      <c r="Z349">
        <v>1394</v>
      </c>
      <c r="AA349">
        <v>44</v>
      </c>
      <c r="AB349">
        <v>174</v>
      </c>
      <c r="AC349" t="s">
        <v>1511</v>
      </c>
      <c r="AD349" t="s">
        <v>1512</v>
      </c>
      <c r="AE349" t="s">
        <v>1513</v>
      </c>
      <c r="AF349" t="s">
        <v>3315</v>
      </c>
      <c r="AG349" t="s">
        <v>3316</v>
      </c>
      <c r="AH349" t="s">
        <v>3317</v>
      </c>
      <c r="AI349" t="s">
        <v>3318</v>
      </c>
      <c r="AJ349" s="2">
        <v>45791.806805555556</v>
      </c>
      <c r="AK349" t="s">
        <v>100</v>
      </c>
      <c r="AL349" t="s">
        <v>65</v>
      </c>
      <c r="AM349" s="4">
        <v>0.27777777777777779</v>
      </c>
      <c r="AN349" t="s">
        <v>66</v>
      </c>
      <c r="AO349" t="s">
        <v>67</v>
      </c>
    </row>
    <row r="350" spans="1:41" x14ac:dyDescent="0.2">
      <c r="A350">
        <v>369567</v>
      </c>
      <c r="B350" t="s">
        <v>3319</v>
      </c>
      <c r="C350" t="s">
        <v>182</v>
      </c>
      <c r="D350" t="s">
        <v>3320</v>
      </c>
      <c r="E350" t="s">
        <v>3321</v>
      </c>
      <c r="F350">
        <v>44901</v>
      </c>
      <c r="G350" s="1">
        <v>35199</v>
      </c>
      <c r="H350" s="1">
        <v>45741</v>
      </c>
      <c r="I350" s="1">
        <v>46113</v>
      </c>
      <c r="J350" t="s">
        <v>45</v>
      </c>
      <c r="K350" t="s">
        <v>45</v>
      </c>
      <c r="L350" t="s">
        <v>429</v>
      </c>
      <c r="M350" s="1">
        <v>44571</v>
      </c>
      <c r="N350" t="s">
        <v>47</v>
      </c>
      <c r="O350" t="s">
        <v>48</v>
      </c>
      <c r="P350" t="s">
        <v>49</v>
      </c>
      <c r="Q350" t="s">
        <v>3322</v>
      </c>
      <c r="R350" t="s">
        <v>3323</v>
      </c>
      <c r="S350">
        <v>3770</v>
      </c>
      <c r="T350" t="s">
        <v>52</v>
      </c>
      <c r="U350">
        <v>5</v>
      </c>
      <c r="V350" t="s">
        <v>1030</v>
      </c>
      <c r="W350" t="s">
        <v>54</v>
      </c>
      <c r="X350" t="s">
        <v>493</v>
      </c>
      <c r="Y350" t="s">
        <v>434</v>
      </c>
      <c r="Z350">
        <v>711</v>
      </c>
      <c r="AA350">
        <v>60</v>
      </c>
      <c r="AB350">
        <v>28</v>
      </c>
      <c r="AC350" t="s">
        <v>3324</v>
      </c>
      <c r="AD350" t="s">
        <v>3325</v>
      </c>
      <c r="AE350" t="s">
        <v>3326</v>
      </c>
      <c r="AF350" t="s">
        <v>1034</v>
      </c>
      <c r="AG350" t="s">
        <v>1035</v>
      </c>
      <c r="AH350" t="s">
        <v>1036</v>
      </c>
      <c r="AI350" t="s">
        <v>500</v>
      </c>
      <c r="AJ350" s="2">
        <v>45743.954907407409</v>
      </c>
      <c r="AK350" t="s">
        <v>1472</v>
      </c>
      <c r="AL350" t="s">
        <v>65</v>
      </c>
      <c r="AM350" s="3">
        <v>1.4791666666666667</v>
      </c>
      <c r="AN350" t="s">
        <v>66</v>
      </c>
      <c r="AO350" t="s">
        <v>67</v>
      </c>
    </row>
    <row r="351" spans="1:41" x14ac:dyDescent="0.2">
      <c r="A351">
        <v>364022</v>
      </c>
      <c r="B351" t="s">
        <v>3327</v>
      </c>
      <c r="C351" t="s">
        <v>412</v>
      </c>
      <c r="D351" t="s">
        <v>3328</v>
      </c>
      <c r="E351">
        <v>62505514</v>
      </c>
      <c r="F351">
        <v>300892</v>
      </c>
      <c r="G351" s="1">
        <v>38155</v>
      </c>
      <c r="H351" s="1">
        <v>45482</v>
      </c>
      <c r="J351" t="s">
        <v>45</v>
      </c>
      <c r="K351" t="s">
        <v>326</v>
      </c>
      <c r="L351" t="s">
        <v>72</v>
      </c>
      <c r="M351" s="1">
        <v>42487</v>
      </c>
      <c r="N351" t="s">
        <v>47</v>
      </c>
      <c r="O351" t="s">
        <v>48</v>
      </c>
      <c r="P351" t="s">
        <v>49</v>
      </c>
      <c r="Q351" t="s">
        <v>3329</v>
      </c>
      <c r="R351" t="s">
        <v>3330</v>
      </c>
      <c r="S351">
        <v>179</v>
      </c>
      <c r="T351" t="s">
        <v>92</v>
      </c>
      <c r="U351" t="s">
        <v>417</v>
      </c>
      <c r="V351" t="s">
        <v>418</v>
      </c>
      <c r="W351" t="s">
        <v>419</v>
      </c>
      <c r="X351" t="s">
        <v>92</v>
      </c>
      <c r="Y351" t="s">
        <v>410</v>
      </c>
      <c r="Z351">
        <v>2558</v>
      </c>
      <c r="AA351">
        <v>39</v>
      </c>
      <c r="AB351">
        <v>45</v>
      </c>
      <c r="AC351" t="s">
        <v>420</v>
      </c>
      <c r="AD351" t="s">
        <v>421</v>
      </c>
      <c r="AE351" t="s">
        <v>422</v>
      </c>
      <c r="AF351" t="s">
        <v>3331</v>
      </c>
      <c r="AG351" t="s">
        <v>3332</v>
      </c>
      <c r="AH351" t="s">
        <v>3333</v>
      </c>
      <c r="AJ351" s="2">
        <v>45848.64607638889</v>
      </c>
      <c r="AK351" t="s">
        <v>100</v>
      </c>
      <c r="AL351" t="s">
        <v>65</v>
      </c>
      <c r="AM351" s="3">
        <v>1.9166666666666667</v>
      </c>
      <c r="AN351" t="s">
        <v>66</v>
      </c>
      <c r="AO351" t="s">
        <v>101</v>
      </c>
    </row>
    <row r="352" spans="1:41" x14ac:dyDescent="0.2">
      <c r="A352">
        <v>369553</v>
      </c>
      <c r="B352" t="s">
        <v>3334</v>
      </c>
      <c r="C352" t="s">
        <v>197</v>
      </c>
      <c r="D352" t="s">
        <v>3335</v>
      </c>
      <c r="E352" t="s">
        <v>3336</v>
      </c>
      <c r="F352">
        <v>90701</v>
      </c>
      <c r="G352" s="1">
        <v>37133</v>
      </c>
      <c r="H352" s="1">
        <v>45686</v>
      </c>
      <c r="I352" s="1">
        <v>46023</v>
      </c>
      <c r="J352" t="s">
        <v>45</v>
      </c>
      <c r="K352" t="s">
        <v>45</v>
      </c>
      <c r="L352" t="s">
        <v>46</v>
      </c>
      <c r="M352" s="1">
        <v>42477</v>
      </c>
      <c r="N352" t="s">
        <v>47</v>
      </c>
      <c r="O352" t="s">
        <v>48</v>
      </c>
      <c r="P352" t="s">
        <v>49</v>
      </c>
      <c r="Q352" t="s">
        <v>3337</v>
      </c>
      <c r="R352" t="s">
        <v>3338</v>
      </c>
      <c r="S352">
        <v>3280</v>
      </c>
      <c r="T352" t="s">
        <v>52</v>
      </c>
      <c r="U352">
        <v>8</v>
      </c>
      <c r="V352" t="s">
        <v>993</v>
      </c>
      <c r="W352" t="s">
        <v>54</v>
      </c>
      <c r="X352" t="s">
        <v>76</v>
      </c>
      <c r="Y352" t="s">
        <v>56</v>
      </c>
      <c r="Z352">
        <v>1810</v>
      </c>
      <c r="AA352">
        <v>50</v>
      </c>
      <c r="AB352">
        <v>152</v>
      </c>
      <c r="AC352" t="s">
        <v>2958</v>
      </c>
      <c r="AD352" t="s">
        <v>2959</v>
      </c>
      <c r="AE352" t="s">
        <v>2960</v>
      </c>
      <c r="AF352" t="s">
        <v>3339</v>
      </c>
      <c r="AG352" t="s">
        <v>3340</v>
      </c>
      <c r="AH352" t="s">
        <v>3341</v>
      </c>
      <c r="AI352" t="s">
        <v>2959</v>
      </c>
      <c r="AJ352" s="2">
        <v>45743.742986111109</v>
      </c>
      <c r="AK352" t="s">
        <v>3342</v>
      </c>
      <c r="AL352" t="s">
        <v>65</v>
      </c>
      <c r="AM352" s="4">
        <v>0.25</v>
      </c>
      <c r="AN352" t="s">
        <v>66</v>
      </c>
      <c r="AO352" t="s">
        <v>67</v>
      </c>
    </row>
    <row r="353" spans="1:41" x14ac:dyDescent="0.2">
      <c r="A353">
        <v>352260</v>
      </c>
      <c r="B353" t="s">
        <v>3343</v>
      </c>
      <c r="C353" t="s">
        <v>197</v>
      </c>
      <c r="D353" t="s">
        <v>3344</v>
      </c>
      <c r="E353" t="s">
        <v>3345</v>
      </c>
      <c r="G353" s="1">
        <v>43649</v>
      </c>
      <c r="H353" s="1">
        <v>43649</v>
      </c>
      <c r="J353" t="s">
        <v>45</v>
      </c>
      <c r="K353" t="s">
        <v>72</v>
      </c>
      <c r="L353" t="s">
        <v>72</v>
      </c>
      <c r="N353" t="s">
        <v>89</v>
      </c>
      <c r="O353" t="s">
        <v>48</v>
      </c>
      <c r="P353" t="s">
        <v>49</v>
      </c>
      <c r="Q353" t="s">
        <v>3346</v>
      </c>
      <c r="R353" t="s">
        <v>3347</v>
      </c>
      <c r="S353">
        <v>4800</v>
      </c>
      <c r="T353" t="s">
        <v>52</v>
      </c>
      <c r="U353">
        <v>8</v>
      </c>
      <c r="V353" t="s">
        <v>993</v>
      </c>
      <c r="W353" t="s">
        <v>54</v>
      </c>
      <c r="X353" t="s">
        <v>52</v>
      </c>
      <c r="Y353" t="s">
        <v>642</v>
      </c>
      <c r="Z353">
        <v>10286</v>
      </c>
      <c r="AA353">
        <v>8</v>
      </c>
      <c r="AB353">
        <v>45</v>
      </c>
      <c r="AC353" t="s">
        <v>3348</v>
      </c>
      <c r="AD353" t="s">
        <v>2959</v>
      </c>
      <c r="AE353" t="s">
        <v>2960</v>
      </c>
      <c r="AF353" t="s">
        <v>2955</v>
      </c>
      <c r="AG353" t="s">
        <v>2956</v>
      </c>
      <c r="AH353" t="s">
        <v>2957</v>
      </c>
      <c r="AI353" t="s">
        <v>3349</v>
      </c>
      <c r="AJ353" s="2">
        <v>45194.545312499999</v>
      </c>
      <c r="AK353" t="s">
        <v>149</v>
      </c>
      <c r="AL353" t="s">
        <v>862</v>
      </c>
      <c r="AM353" s="3">
        <v>2.0486111111111112</v>
      </c>
      <c r="AN353" t="s">
        <v>66</v>
      </c>
      <c r="AO353" t="s">
        <v>67</v>
      </c>
    </row>
    <row r="354" spans="1:41" x14ac:dyDescent="0.2">
      <c r="A354">
        <v>371947</v>
      </c>
      <c r="B354" t="s">
        <v>3350</v>
      </c>
      <c r="C354" t="s">
        <v>182</v>
      </c>
      <c r="D354" t="s">
        <v>1064</v>
      </c>
      <c r="E354" t="s">
        <v>3351</v>
      </c>
      <c r="F354">
        <v>40242</v>
      </c>
      <c r="G354" s="1">
        <v>32509</v>
      </c>
      <c r="H354" s="1">
        <v>45823</v>
      </c>
      <c r="J354" t="s">
        <v>45</v>
      </c>
      <c r="K354" t="s">
        <v>72</v>
      </c>
      <c r="L354" t="s">
        <v>72</v>
      </c>
      <c r="M354" s="1">
        <v>39111</v>
      </c>
      <c r="N354" t="s">
        <v>47</v>
      </c>
      <c r="O354" t="s">
        <v>48</v>
      </c>
      <c r="P354" t="s">
        <v>49</v>
      </c>
      <c r="Q354" t="s">
        <v>3352</v>
      </c>
      <c r="R354" t="s">
        <v>3353</v>
      </c>
      <c r="S354">
        <v>3090</v>
      </c>
      <c r="T354" t="s">
        <v>92</v>
      </c>
      <c r="U354" t="s">
        <v>187</v>
      </c>
      <c r="V354" t="s">
        <v>447</v>
      </c>
      <c r="W354" t="s">
        <v>448</v>
      </c>
      <c r="X354" t="s">
        <v>92</v>
      </c>
      <c r="Y354" t="s">
        <v>450</v>
      </c>
      <c r="Z354">
        <v>1250</v>
      </c>
      <c r="AA354">
        <v>44</v>
      </c>
      <c r="AB354">
        <v>142</v>
      </c>
      <c r="AC354" t="s">
        <v>3354</v>
      </c>
      <c r="AD354" t="s">
        <v>452</v>
      </c>
      <c r="AE354" t="s">
        <v>453</v>
      </c>
      <c r="AF354" t="s">
        <v>454</v>
      </c>
      <c r="AJ354" s="2">
        <v>45825.680405092593</v>
      </c>
      <c r="AK354" t="s">
        <v>456</v>
      </c>
      <c r="AL354" t="s">
        <v>475</v>
      </c>
      <c r="AM354" s="3">
        <v>2.2743055555555554</v>
      </c>
      <c r="AN354" t="s">
        <v>66</v>
      </c>
      <c r="AO354" t="s">
        <v>67</v>
      </c>
    </row>
    <row r="355" spans="1:41" x14ac:dyDescent="0.2">
      <c r="A355">
        <v>366656</v>
      </c>
      <c r="B355" t="s">
        <v>3355</v>
      </c>
      <c r="C355" t="s">
        <v>662</v>
      </c>
      <c r="D355" t="s">
        <v>3356</v>
      </c>
      <c r="E355" t="s">
        <v>3357</v>
      </c>
      <c r="F355">
        <v>418301</v>
      </c>
      <c r="G355" s="1">
        <v>34487</v>
      </c>
      <c r="H355" s="1">
        <v>45617</v>
      </c>
      <c r="I355" s="1">
        <v>45962</v>
      </c>
      <c r="J355" t="s">
        <v>45</v>
      </c>
      <c r="K355" t="s">
        <v>45</v>
      </c>
      <c r="L355" t="s">
        <v>72</v>
      </c>
      <c r="M355" s="1">
        <v>45547</v>
      </c>
      <c r="N355" t="s">
        <v>47</v>
      </c>
      <c r="O355" t="s">
        <v>48</v>
      </c>
      <c r="P355" t="s">
        <v>49</v>
      </c>
      <c r="Q355" t="s">
        <v>3358</v>
      </c>
      <c r="R355" t="s">
        <v>3359</v>
      </c>
      <c r="S355">
        <v>49</v>
      </c>
      <c r="T355" t="s">
        <v>156</v>
      </c>
      <c r="U355" t="s">
        <v>667</v>
      </c>
      <c r="V355" t="s">
        <v>3355</v>
      </c>
      <c r="W355" t="s">
        <v>159</v>
      </c>
      <c r="X355" t="s">
        <v>55</v>
      </c>
      <c r="Y355" t="s">
        <v>56</v>
      </c>
      <c r="Z355">
        <v>900</v>
      </c>
      <c r="AA355">
        <v>70</v>
      </c>
      <c r="AB355">
        <v>210</v>
      </c>
      <c r="AC355" t="s">
        <v>3360</v>
      </c>
      <c r="AD355" t="s">
        <v>3361</v>
      </c>
      <c r="AE355" t="s">
        <v>3362</v>
      </c>
      <c r="AI355" t="s">
        <v>179</v>
      </c>
      <c r="AJ355" s="2">
        <v>45631.756064814814</v>
      </c>
      <c r="AK355" t="s">
        <v>540</v>
      </c>
      <c r="AL355" t="s">
        <v>65</v>
      </c>
      <c r="AM355" s="3">
        <v>1.2013888888888888</v>
      </c>
      <c r="AN355" t="s">
        <v>66</v>
      </c>
      <c r="AO355" t="s">
        <v>67</v>
      </c>
    </row>
    <row r="356" spans="1:41" x14ac:dyDescent="0.2">
      <c r="A356">
        <v>368922</v>
      </c>
      <c r="B356" t="s">
        <v>3363</v>
      </c>
      <c r="C356" t="s">
        <v>182</v>
      </c>
      <c r="D356" t="s">
        <v>2901</v>
      </c>
      <c r="E356" t="s">
        <v>3364</v>
      </c>
      <c r="F356">
        <v>45009</v>
      </c>
      <c r="G356" s="1">
        <v>38143</v>
      </c>
      <c r="H356" s="1">
        <v>45594</v>
      </c>
      <c r="I356" s="1">
        <v>46204</v>
      </c>
      <c r="J356" t="s">
        <v>45</v>
      </c>
      <c r="K356" t="s">
        <v>45</v>
      </c>
      <c r="L356" t="s">
        <v>429</v>
      </c>
      <c r="M356" s="1">
        <v>40802</v>
      </c>
      <c r="N356" t="s">
        <v>47</v>
      </c>
      <c r="O356" t="s">
        <v>48</v>
      </c>
      <c r="P356" t="s">
        <v>49</v>
      </c>
      <c r="Q356" t="s">
        <v>3365</v>
      </c>
      <c r="R356" t="s">
        <v>3366</v>
      </c>
      <c r="S356">
        <v>7485</v>
      </c>
      <c r="T356" t="s">
        <v>52</v>
      </c>
      <c r="U356">
        <v>5</v>
      </c>
      <c r="V356" t="s">
        <v>2763</v>
      </c>
      <c r="W356" t="s">
        <v>54</v>
      </c>
      <c r="X356" t="s">
        <v>493</v>
      </c>
      <c r="Y356" t="s">
        <v>434</v>
      </c>
      <c r="Z356">
        <v>2041</v>
      </c>
      <c r="AA356">
        <v>39</v>
      </c>
      <c r="AB356">
        <v>144</v>
      </c>
      <c r="AC356" t="s">
        <v>2764</v>
      </c>
      <c r="AD356" t="s">
        <v>2765</v>
      </c>
      <c r="AE356" t="s">
        <v>3367</v>
      </c>
      <c r="AI356" t="s">
        <v>500</v>
      </c>
      <c r="AJ356" s="2">
        <v>45722.912187499998</v>
      </c>
      <c r="AK356" t="s">
        <v>1472</v>
      </c>
      <c r="AL356" t="s">
        <v>65</v>
      </c>
      <c r="AM356" s="3">
        <v>2.1458333333333335</v>
      </c>
      <c r="AN356" t="s">
        <v>66</v>
      </c>
      <c r="AO356" t="s">
        <v>67</v>
      </c>
    </row>
    <row r="357" spans="1:41" x14ac:dyDescent="0.2">
      <c r="A357">
        <v>368055</v>
      </c>
      <c r="B357" t="s">
        <v>3368</v>
      </c>
      <c r="C357" t="s">
        <v>197</v>
      </c>
      <c r="D357" t="s">
        <v>3369</v>
      </c>
      <c r="E357" t="s">
        <v>3370</v>
      </c>
      <c r="F357">
        <v>94301</v>
      </c>
      <c r="G357" s="1">
        <v>37680</v>
      </c>
      <c r="H357" s="1">
        <v>45561</v>
      </c>
      <c r="I357" s="1">
        <v>45945</v>
      </c>
      <c r="J357" t="s">
        <v>45</v>
      </c>
      <c r="K357" t="s">
        <v>45</v>
      </c>
      <c r="L357" t="s">
        <v>72</v>
      </c>
      <c r="N357" t="s">
        <v>47</v>
      </c>
      <c r="O357" t="s">
        <v>48</v>
      </c>
      <c r="P357" t="s">
        <v>49</v>
      </c>
      <c r="Q357" t="s">
        <v>3371</v>
      </c>
      <c r="R357" t="s">
        <v>3372</v>
      </c>
      <c r="S357">
        <v>440</v>
      </c>
      <c r="T357" t="s">
        <v>92</v>
      </c>
      <c r="U357" t="s">
        <v>202</v>
      </c>
      <c r="V357" t="s">
        <v>203</v>
      </c>
      <c r="W357" t="s">
        <v>204</v>
      </c>
      <c r="X357" t="s">
        <v>52</v>
      </c>
      <c r="Y357" t="s">
        <v>110</v>
      </c>
      <c r="Z357">
        <v>2143</v>
      </c>
      <c r="AA357">
        <v>35</v>
      </c>
      <c r="AB357">
        <v>144</v>
      </c>
      <c r="AC357" t="s">
        <v>205</v>
      </c>
      <c r="AD357" t="s">
        <v>206</v>
      </c>
      <c r="AE357" t="s">
        <v>1547</v>
      </c>
      <c r="AF357" t="s">
        <v>3373</v>
      </c>
      <c r="AG357" t="s">
        <v>3374</v>
      </c>
      <c r="AH357" t="s">
        <v>3375</v>
      </c>
      <c r="AI357" t="s">
        <v>211</v>
      </c>
      <c r="AJ357" s="2">
        <v>45699.772858796299</v>
      </c>
      <c r="AK357" t="s">
        <v>149</v>
      </c>
      <c r="AL357" t="s">
        <v>65</v>
      </c>
      <c r="AM357" s="4">
        <v>0.125</v>
      </c>
      <c r="AN357" t="s">
        <v>66</v>
      </c>
      <c r="AO357" t="s">
        <v>67</v>
      </c>
    </row>
    <row r="358" spans="1:41" x14ac:dyDescent="0.2">
      <c r="A358">
        <v>365045</v>
      </c>
      <c r="B358" t="s">
        <v>3376</v>
      </c>
      <c r="C358" t="s">
        <v>735</v>
      </c>
      <c r="D358" t="s">
        <v>736</v>
      </c>
      <c r="E358" t="s">
        <v>3377</v>
      </c>
      <c r="F358">
        <v>245409</v>
      </c>
      <c r="G358" s="1">
        <v>30196</v>
      </c>
      <c r="H358" s="1">
        <v>45566</v>
      </c>
      <c r="I358" s="1">
        <v>46280</v>
      </c>
      <c r="J358" t="s">
        <v>45</v>
      </c>
      <c r="K358" t="s">
        <v>45</v>
      </c>
      <c r="L358" t="s">
        <v>72</v>
      </c>
      <c r="M358" s="1">
        <v>40947</v>
      </c>
      <c r="N358" t="s">
        <v>47</v>
      </c>
      <c r="O358" t="s">
        <v>48</v>
      </c>
      <c r="P358" t="s">
        <v>49</v>
      </c>
      <c r="Q358" t="s">
        <v>3378</v>
      </c>
      <c r="R358" t="s">
        <v>3379</v>
      </c>
      <c r="S358">
        <v>6631</v>
      </c>
      <c r="T358" t="s">
        <v>52</v>
      </c>
      <c r="U358">
        <v>1</v>
      </c>
      <c r="V358" t="s">
        <v>740</v>
      </c>
      <c r="W358" t="s">
        <v>54</v>
      </c>
      <c r="X358" t="s">
        <v>76</v>
      </c>
      <c r="Y358" t="s">
        <v>56</v>
      </c>
      <c r="Z358">
        <v>189</v>
      </c>
      <c r="AA358">
        <v>47</v>
      </c>
      <c r="AB358">
        <v>144</v>
      </c>
      <c r="AC358" t="s">
        <v>2072</v>
      </c>
      <c r="AD358" t="s">
        <v>742</v>
      </c>
      <c r="AE358" t="s">
        <v>743</v>
      </c>
      <c r="AI358" t="s">
        <v>744</v>
      </c>
      <c r="AJ358" s="2">
        <v>45567.146689814814</v>
      </c>
      <c r="AK358" t="s">
        <v>704</v>
      </c>
      <c r="AL358" t="s">
        <v>65</v>
      </c>
      <c r="AM358" s="3">
        <v>1.9722222222222223</v>
      </c>
      <c r="AN358" t="s">
        <v>66</v>
      </c>
      <c r="AO358" t="s">
        <v>67</v>
      </c>
    </row>
    <row r="359" spans="1:41" x14ac:dyDescent="0.2">
      <c r="A359">
        <v>371930</v>
      </c>
      <c r="B359" t="s">
        <v>3380</v>
      </c>
      <c r="C359" t="s">
        <v>167</v>
      </c>
      <c r="D359" t="s">
        <v>3381</v>
      </c>
      <c r="E359" t="s">
        <v>3382</v>
      </c>
      <c r="F359">
        <v>352208</v>
      </c>
      <c r="G359" s="1">
        <v>40717</v>
      </c>
      <c r="H359" s="1">
        <v>45791</v>
      </c>
      <c r="I359" s="1">
        <v>46143</v>
      </c>
      <c r="J359" t="s">
        <v>45</v>
      </c>
      <c r="K359" t="s">
        <v>326</v>
      </c>
      <c r="L359" t="s">
        <v>429</v>
      </c>
      <c r="M359" s="1">
        <v>42896</v>
      </c>
      <c r="N359" t="s">
        <v>47</v>
      </c>
      <c r="O359" t="s">
        <v>48</v>
      </c>
      <c r="P359" t="s">
        <v>49</v>
      </c>
      <c r="Q359" t="s">
        <v>3383</v>
      </c>
      <c r="R359" t="s">
        <v>3384</v>
      </c>
      <c r="S359">
        <v>5719</v>
      </c>
      <c r="T359" t="s">
        <v>52</v>
      </c>
      <c r="U359">
        <v>6</v>
      </c>
      <c r="V359" t="s">
        <v>1477</v>
      </c>
      <c r="W359" t="s">
        <v>54</v>
      </c>
      <c r="X359" t="s">
        <v>76</v>
      </c>
      <c r="Y359" t="s">
        <v>56</v>
      </c>
      <c r="Z359">
        <v>798</v>
      </c>
      <c r="AA359">
        <v>60</v>
      </c>
      <c r="AB359">
        <v>28</v>
      </c>
      <c r="AC359" t="s">
        <v>1478</v>
      </c>
      <c r="AD359" t="s">
        <v>1479</v>
      </c>
      <c r="AE359" t="s">
        <v>1480</v>
      </c>
      <c r="AF359" t="s">
        <v>1478</v>
      </c>
      <c r="AG359" t="s">
        <v>1479</v>
      </c>
      <c r="AH359" t="s">
        <v>1480</v>
      </c>
      <c r="AI359" t="s">
        <v>1481</v>
      </c>
      <c r="AJ359" s="2">
        <v>45825.092222222222</v>
      </c>
      <c r="AK359" t="s">
        <v>717</v>
      </c>
      <c r="AL359" t="s">
        <v>65</v>
      </c>
      <c r="AM359" s="4">
        <v>9.0277777777777776E-2</v>
      </c>
      <c r="AN359" t="s">
        <v>66</v>
      </c>
      <c r="AO359" t="s">
        <v>67</v>
      </c>
    </row>
    <row r="360" spans="1:41" x14ac:dyDescent="0.2">
      <c r="A360">
        <v>368960</v>
      </c>
      <c r="B360" t="s">
        <v>3385</v>
      </c>
      <c r="C360" t="s">
        <v>182</v>
      </c>
      <c r="D360" t="s">
        <v>2179</v>
      </c>
      <c r="E360" t="s">
        <v>3386</v>
      </c>
      <c r="F360">
        <v>43702</v>
      </c>
      <c r="G360" s="1">
        <v>37430</v>
      </c>
      <c r="H360" s="1">
        <v>45531</v>
      </c>
      <c r="I360" s="1">
        <v>46127</v>
      </c>
      <c r="J360" t="s">
        <v>45</v>
      </c>
      <c r="K360" t="s">
        <v>45</v>
      </c>
      <c r="L360" t="s">
        <v>429</v>
      </c>
      <c r="M360" s="1">
        <v>42075</v>
      </c>
      <c r="N360" t="s">
        <v>47</v>
      </c>
      <c r="O360" t="s">
        <v>48</v>
      </c>
      <c r="P360" t="s">
        <v>49</v>
      </c>
      <c r="Q360" t="s">
        <v>3387</v>
      </c>
      <c r="R360" t="s">
        <v>3388</v>
      </c>
      <c r="S360">
        <v>6650</v>
      </c>
      <c r="T360" t="s">
        <v>52</v>
      </c>
      <c r="U360">
        <v>4</v>
      </c>
      <c r="V360" t="s">
        <v>1271</v>
      </c>
      <c r="W360" t="s">
        <v>54</v>
      </c>
      <c r="X360" t="s">
        <v>493</v>
      </c>
      <c r="Y360" t="s">
        <v>56</v>
      </c>
      <c r="Z360">
        <v>2053</v>
      </c>
      <c r="AA360">
        <v>45</v>
      </c>
      <c r="AB360">
        <v>210</v>
      </c>
      <c r="AC360" t="s">
        <v>3389</v>
      </c>
      <c r="AD360" t="s">
        <v>3390</v>
      </c>
      <c r="AE360" t="s">
        <v>3391</v>
      </c>
      <c r="AF360" t="s">
        <v>3389</v>
      </c>
      <c r="AG360" t="s">
        <v>3390</v>
      </c>
      <c r="AH360" t="s">
        <v>3391</v>
      </c>
      <c r="AI360" t="s">
        <v>3392</v>
      </c>
      <c r="AJ360" s="2">
        <v>45722.925358796296</v>
      </c>
      <c r="AK360" t="s">
        <v>1472</v>
      </c>
      <c r="AL360" t="s">
        <v>65</v>
      </c>
      <c r="AM360" s="3">
        <v>2.0416666666666665</v>
      </c>
      <c r="AN360" t="s">
        <v>66</v>
      </c>
      <c r="AO360" t="s">
        <v>67</v>
      </c>
    </row>
    <row r="361" spans="1:41" x14ac:dyDescent="0.2">
      <c r="A361">
        <v>371560</v>
      </c>
      <c r="B361" t="s">
        <v>3393</v>
      </c>
      <c r="C361" t="s">
        <v>323</v>
      </c>
      <c r="D361" t="s">
        <v>324</v>
      </c>
      <c r="E361" t="s">
        <v>3394</v>
      </c>
      <c r="F361">
        <v>500760</v>
      </c>
      <c r="G361" s="1">
        <v>42893</v>
      </c>
      <c r="H361" s="1">
        <v>45763</v>
      </c>
      <c r="I361" s="1">
        <v>46037</v>
      </c>
      <c r="J361" t="s">
        <v>45</v>
      </c>
      <c r="K361" t="s">
        <v>45</v>
      </c>
      <c r="L361" t="s">
        <v>72</v>
      </c>
      <c r="M361" s="1">
        <v>45076</v>
      </c>
      <c r="N361" t="s">
        <v>47</v>
      </c>
      <c r="O361" t="s">
        <v>48</v>
      </c>
      <c r="P361" t="s">
        <v>49</v>
      </c>
      <c r="Q361" t="s">
        <v>3395</v>
      </c>
      <c r="R361" t="s">
        <v>3396</v>
      </c>
      <c r="S361">
        <v>2152</v>
      </c>
      <c r="T361" t="s">
        <v>1328</v>
      </c>
      <c r="U361" t="s">
        <v>3114</v>
      </c>
      <c r="V361" t="s">
        <v>3115</v>
      </c>
      <c r="W361" t="s">
        <v>3116</v>
      </c>
      <c r="X361" t="s">
        <v>1328</v>
      </c>
      <c r="Y361" t="s">
        <v>110</v>
      </c>
      <c r="Z361">
        <v>8826</v>
      </c>
      <c r="AA361">
        <v>13</v>
      </c>
      <c r="AB361">
        <v>78</v>
      </c>
      <c r="AC361" t="s">
        <v>2833</v>
      </c>
      <c r="AD361" t="s">
        <v>2834</v>
      </c>
      <c r="AE361" t="s">
        <v>2835</v>
      </c>
      <c r="AF361" t="s">
        <v>368</v>
      </c>
      <c r="AG361" t="s">
        <v>369</v>
      </c>
      <c r="AH361" t="s">
        <v>370</v>
      </c>
      <c r="AI361" t="s">
        <v>385</v>
      </c>
      <c r="AJ361" s="2">
        <v>45814.947997685187</v>
      </c>
      <c r="AK361" t="s">
        <v>727</v>
      </c>
      <c r="AL361" t="s">
        <v>65</v>
      </c>
      <c r="AM361" s="4">
        <v>0.39583333333333331</v>
      </c>
      <c r="AN361" t="s">
        <v>66</v>
      </c>
      <c r="AO361" t="s">
        <v>67</v>
      </c>
    </row>
    <row r="362" spans="1:41" x14ac:dyDescent="0.2">
      <c r="A362">
        <v>362568</v>
      </c>
      <c r="B362" t="s">
        <v>3397</v>
      </c>
      <c r="C362" t="s">
        <v>118</v>
      </c>
      <c r="D362" t="s">
        <v>1410</v>
      </c>
      <c r="E362" t="s">
        <v>3398</v>
      </c>
      <c r="F362">
        <v>20211</v>
      </c>
      <c r="G362" s="1">
        <v>34866</v>
      </c>
      <c r="H362" s="1">
        <v>45487</v>
      </c>
      <c r="I362" s="1">
        <v>46174</v>
      </c>
      <c r="J362" t="s">
        <v>45</v>
      </c>
      <c r="K362" t="s">
        <v>45</v>
      </c>
      <c r="L362" t="s">
        <v>72</v>
      </c>
      <c r="M362" s="1">
        <v>45487</v>
      </c>
      <c r="N362" t="s">
        <v>47</v>
      </c>
      <c r="O362" t="s">
        <v>48</v>
      </c>
      <c r="P362" t="s">
        <v>49</v>
      </c>
      <c r="Q362" t="s">
        <v>3399</v>
      </c>
      <c r="R362" t="s">
        <v>3400</v>
      </c>
      <c r="S362">
        <v>8134</v>
      </c>
      <c r="T362" t="s">
        <v>257</v>
      </c>
      <c r="U362" t="s">
        <v>283</v>
      </c>
      <c r="V362" t="s">
        <v>3401</v>
      </c>
      <c r="W362" t="s">
        <v>260</v>
      </c>
      <c r="X362" t="s">
        <v>257</v>
      </c>
      <c r="Y362" t="s">
        <v>110</v>
      </c>
      <c r="Z362">
        <v>481</v>
      </c>
      <c r="AA362">
        <v>63</v>
      </c>
      <c r="AB362">
        <v>34</v>
      </c>
      <c r="AC362" t="s">
        <v>3402</v>
      </c>
      <c r="AD362" t="s">
        <v>3403</v>
      </c>
      <c r="AE362" t="s">
        <v>3404</v>
      </c>
      <c r="AI362" t="s">
        <v>3403</v>
      </c>
      <c r="AJ362" s="2">
        <v>45490.656030092592</v>
      </c>
      <c r="AK362" t="s">
        <v>3402</v>
      </c>
      <c r="AL362" t="s">
        <v>65</v>
      </c>
      <c r="AM362" s="4">
        <v>0.3263888888888889</v>
      </c>
      <c r="AN362" t="s">
        <v>66</v>
      </c>
      <c r="AO362" t="s">
        <v>67</v>
      </c>
    </row>
    <row r="363" spans="1:41" x14ac:dyDescent="0.2">
      <c r="A363">
        <v>372996</v>
      </c>
      <c r="B363" t="s">
        <v>3405</v>
      </c>
      <c r="C363" t="s">
        <v>788</v>
      </c>
      <c r="D363" t="s">
        <v>3406</v>
      </c>
      <c r="E363" s="5" t="s">
        <v>3407</v>
      </c>
      <c r="F363">
        <v>85801</v>
      </c>
      <c r="G363" s="1">
        <v>40210</v>
      </c>
      <c r="H363" s="1">
        <v>45631</v>
      </c>
      <c r="I363" s="1">
        <v>45992</v>
      </c>
      <c r="J363" t="s">
        <v>45</v>
      </c>
      <c r="K363" t="s">
        <v>45</v>
      </c>
      <c r="L363" t="s">
        <v>545</v>
      </c>
      <c r="N363" t="s">
        <v>47</v>
      </c>
      <c r="O363" t="s">
        <v>48</v>
      </c>
      <c r="P363" t="s">
        <v>49</v>
      </c>
      <c r="Q363" t="s">
        <v>3408</v>
      </c>
      <c r="R363" t="s">
        <v>3409</v>
      </c>
      <c r="S363">
        <v>15</v>
      </c>
      <c r="T363" t="s">
        <v>296</v>
      </c>
      <c r="U363" t="s">
        <v>3410</v>
      </c>
      <c r="V363" t="s">
        <v>3411</v>
      </c>
      <c r="W363" t="s">
        <v>299</v>
      </c>
      <c r="X363" t="s">
        <v>76</v>
      </c>
      <c r="Y363" t="s">
        <v>56</v>
      </c>
      <c r="Z363">
        <v>2579</v>
      </c>
      <c r="AA363">
        <v>49</v>
      </c>
      <c r="AB363">
        <v>160</v>
      </c>
      <c r="AC363" t="s">
        <v>3412</v>
      </c>
      <c r="AD363" t="s">
        <v>3413</v>
      </c>
      <c r="AE363" t="s">
        <v>3414</v>
      </c>
      <c r="AF363" t="s">
        <v>3415</v>
      </c>
      <c r="AG363" t="s">
        <v>3416</v>
      </c>
      <c r="AH363" t="s">
        <v>3417</v>
      </c>
      <c r="AI363" t="s">
        <v>3418</v>
      </c>
      <c r="AJ363" s="2">
        <v>45855.991296296299</v>
      </c>
      <c r="AK363" t="s">
        <v>556</v>
      </c>
      <c r="AL363" t="s">
        <v>65</v>
      </c>
      <c r="AM363" s="3">
        <v>1.3402777777777777</v>
      </c>
      <c r="AN363" t="s">
        <v>66</v>
      </c>
      <c r="AO363" t="s">
        <v>67</v>
      </c>
    </row>
    <row r="364" spans="1:41" x14ac:dyDescent="0.2">
      <c r="A364">
        <v>371004</v>
      </c>
      <c r="B364" t="s">
        <v>3419</v>
      </c>
      <c r="C364" t="s">
        <v>278</v>
      </c>
      <c r="D364" t="s">
        <v>3420</v>
      </c>
      <c r="E364" t="s">
        <v>3421</v>
      </c>
      <c r="F364">
        <v>422203</v>
      </c>
      <c r="G364" s="1">
        <v>45399</v>
      </c>
      <c r="H364" s="1">
        <v>45790</v>
      </c>
      <c r="I364" s="1">
        <v>46096</v>
      </c>
      <c r="J364" t="s">
        <v>45</v>
      </c>
      <c r="K364" t="s">
        <v>45</v>
      </c>
      <c r="L364" t="s">
        <v>72</v>
      </c>
      <c r="M364" s="1">
        <v>40678</v>
      </c>
      <c r="N364" t="s">
        <v>47</v>
      </c>
      <c r="O364" t="s">
        <v>48</v>
      </c>
      <c r="P364" t="s">
        <v>49</v>
      </c>
      <c r="Q364" t="s">
        <v>3422</v>
      </c>
      <c r="R364" t="s">
        <v>3423</v>
      </c>
      <c r="S364">
        <v>5620</v>
      </c>
      <c r="T364" t="s">
        <v>365</v>
      </c>
      <c r="U364" t="s">
        <v>432</v>
      </c>
      <c r="V364" t="s">
        <v>1499</v>
      </c>
      <c r="W364" t="s">
        <v>367</v>
      </c>
      <c r="X364" t="s">
        <v>55</v>
      </c>
      <c r="Y364" t="s">
        <v>434</v>
      </c>
      <c r="Z364">
        <v>340</v>
      </c>
      <c r="AA364">
        <v>57</v>
      </c>
      <c r="AB364">
        <v>34</v>
      </c>
      <c r="AC364" t="s">
        <v>1500</v>
      </c>
      <c r="AD364" t="s">
        <v>1501</v>
      </c>
      <c r="AE364" t="s">
        <v>1502</v>
      </c>
      <c r="AH364" t="s">
        <v>1504</v>
      </c>
      <c r="AI364" t="s">
        <v>179</v>
      </c>
      <c r="AJ364" s="2">
        <v>45792.739155092589</v>
      </c>
      <c r="AK364" t="s">
        <v>307</v>
      </c>
      <c r="AL364" t="s">
        <v>65</v>
      </c>
      <c r="AM364" s="3">
        <v>1.0625</v>
      </c>
      <c r="AN364" t="s">
        <v>66</v>
      </c>
      <c r="AO364" t="s">
        <v>67</v>
      </c>
    </row>
    <row r="365" spans="1:41" x14ac:dyDescent="0.2">
      <c r="A365">
        <v>372106</v>
      </c>
      <c r="B365" t="s">
        <v>3424</v>
      </c>
      <c r="C365" t="s">
        <v>182</v>
      </c>
      <c r="D365" t="s">
        <v>2636</v>
      </c>
      <c r="E365" t="s">
        <v>3425</v>
      </c>
      <c r="F365">
        <v>43010</v>
      </c>
      <c r="G365" s="1">
        <v>34366</v>
      </c>
      <c r="H365" s="1">
        <v>45827</v>
      </c>
      <c r="J365" t="s">
        <v>45</v>
      </c>
      <c r="K365" t="s">
        <v>72</v>
      </c>
      <c r="L365" t="s">
        <v>72</v>
      </c>
      <c r="N365" t="s">
        <v>47</v>
      </c>
      <c r="O365" t="s">
        <v>48</v>
      </c>
      <c r="P365" t="s">
        <v>586</v>
      </c>
      <c r="Q365" t="s">
        <v>3426</v>
      </c>
      <c r="R365" t="s">
        <v>3427</v>
      </c>
      <c r="S365">
        <v>1450</v>
      </c>
      <c r="T365" t="s">
        <v>92</v>
      </c>
      <c r="U365" t="s">
        <v>187</v>
      </c>
      <c r="V365" t="s">
        <v>2640</v>
      </c>
      <c r="W365" t="s">
        <v>448</v>
      </c>
      <c r="X365" t="s">
        <v>449</v>
      </c>
      <c r="Y365" t="s">
        <v>770</v>
      </c>
      <c r="Z365">
        <v>1118</v>
      </c>
      <c r="AA365">
        <v>33</v>
      </c>
      <c r="AB365">
        <v>138</v>
      </c>
      <c r="AC365" t="s">
        <v>2641</v>
      </c>
      <c r="AD365" t="s">
        <v>2642</v>
      </c>
      <c r="AE365" t="s">
        <v>2643</v>
      </c>
      <c r="AJ365" s="2">
        <v>45831.552245370367</v>
      </c>
      <c r="AK365" t="s">
        <v>456</v>
      </c>
      <c r="AL365" t="s">
        <v>475</v>
      </c>
      <c r="AM365" s="3">
        <v>1.1666666666666667</v>
      </c>
      <c r="AN365" t="s">
        <v>809</v>
      </c>
      <c r="AO365" t="s">
        <v>67</v>
      </c>
    </row>
    <row r="366" spans="1:41" x14ac:dyDescent="0.2">
      <c r="A366">
        <v>372679</v>
      </c>
      <c r="B366" t="s">
        <v>3428</v>
      </c>
      <c r="C366" t="s">
        <v>323</v>
      </c>
      <c r="D366" t="s">
        <v>3429</v>
      </c>
      <c r="E366">
        <v>32494390</v>
      </c>
      <c r="F366">
        <v>500902</v>
      </c>
      <c r="G366" s="1">
        <v>31654</v>
      </c>
      <c r="H366" s="1">
        <v>45848</v>
      </c>
      <c r="I366" s="1">
        <v>46174</v>
      </c>
      <c r="J366" t="s">
        <v>45</v>
      </c>
      <c r="K366" t="s">
        <v>45</v>
      </c>
      <c r="L366" t="s">
        <v>429</v>
      </c>
      <c r="M366" s="1">
        <v>42161</v>
      </c>
      <c r="N366" t="s">
        <v>47</v>
      </c>
      <c r="O366" t="s">
        <v>48</v>
      </c>
      <c r="P366" t="s">
        <v>49</v>
      </c>
      <c r="Q366" t="s">
        <v>3430</v>
      </c>
      <c r="R366" t="s">
        <v>3431</v>
      </c>
      <c r="S366">
        <v>631</v>
      </c>
      <c r="T366" t="s">
        <v>52</v>
      </c>
      <c r="U366">
        <v>10</v>
      </c>
      <c r="V366" t="s">
        <v>3432</v>
      </c>
      <c r="W366" t="s">
        <v>54</v>
      </c>
      <c r="X366" t="s">
        <v>76</v>
      </c>
      <c r="Y366" t="s">
        <v>56</v>
      </c>
      <c r="Z366">
        <v>882</v>
      </c>
      <c r="AA366">
        <v>48</v>
      </c>
      <c r="AB366">
        <v>152</v>
      </c>
      <c r="AC366" t="s">
        <v>3433</v>
      </c>
      <c r="AD366" t="s">
        <v>3434</v>
      </c>
      <c r="AE366" t="s">
        <v>3435</v>
      </c>
      <c r="AF366" t="s">
        <v>3436</v>
      </c>
      <c r="AG366" t="s">
        <v>3437</v>
      </c>
      <c r="AH366" t="s">
        <v>3438</v>
      </c>
      <c r="AI366" t="s">
        <v>3439</v>
      </c>
      <c r="AJ366" s="2">
        <v>45849.743715277778</v>
      </c>
      <c r="AK366" t="s">
        <v>540</v>
      </c>
      <c r="AL366" t="s">
        <v>65</v>
      </c>
      <c r="AM366" s="3">
        <v>2.2916666666666665</v>
      </c>
      <c r="AN366" t="s">
        <v>66</v>
      </c>
      <c r="AO366" t="s">
        <v>67</v>
      </c>
    </row>
    <row r="367" spans="1:41" x14ac:dyDescent="0.2">
      <c r="A367">
        <v>372961</v>
      </c>
      <c r="B367" t="s">
        <v>3440</v>
      </c>
      <c r="C367" t="s">
        <v>3441</v>
      </c>
      <c r="D367" t="s">
        <v>3442</v>
      </c>
      <c r="E367" t="s">
        <v>3443</v>
      </c>
      <c r="F367">
        <v>347701</v>
      </c>
      <c r="G367" s="1">
        <v>37868</v>
      </c>
      <c r="H367" s="1">
        <v>45727</v>
      </c>
      <c r="I367" s="1">
        <v>46113</v>
      </c>
      <c r="J367" t="s">
        <v>45</v>
      </c>
      <c r="K367" t="s">
        <v>45</v>
      </c>
      <c r="L367" t="s">
        <v>46</v>
      </c>
      <c r="M367" s="1">
        <v>43557</v>
      </c>
      <c r="N367" t="s">
        <v>47</v>
      </c>
      <c r="O367" t="s">
        <v>48</v>
      </c>
      <c r="P367" t="s">
        <v>49</v>
      </c>
      <c r="Q367" t="s">
        <v>3444</v>
      </c>
      <c r="R367" t="s">
        <v>3445</v>
      </c>
      <c r="S367">
        <v>500</v>
      </c>
      <c r="T367" t="s">
        <v>52</v>
      </c>
      <c r="U367">
        <v>8</v>
      </c>
      <c r="V367" t="s">
        <v>3178</v>
      </c>
      <c r="W367" t="s">
        <v>54</v>
      </c>
      <c r="X367" t="s">
        <v>76</v>
      </c>
      <c r="Y367" t="s">
        <v>56</v>
      </c>
      <c r="Z367">
        <v>1555</v>
      </c>
      <c r="AA367">
        <v>48</v>
      </c>
      <c r="AB367">
        <v>160</v>
      </c>
      <c r="AC367" t="s">
        <v>985</v>
      </c>
      <c r="AD367" t="s">
        <v>986</v>
      </c>
      <c r="AE367" t="s">
        <v>3446</v>
      </c>
      <c r="AI367" t="s">
        <v>988</v>
      </c>
      <c r="AJ367" s="2">
        <v>45855.959166666667</v>
      </c>
      <c r="AK367" t="s">
        <v>556</v>
      </c>
      <c r="AL367" t="s">
        <v>65</v>
      </c>
      <c r="AM367" s="4">
        <v>0.11805555555555555</v>
      </c>
      <c r="AN367" t="s">
        <v>66</v>
      </c>
      <c r="AO367" t="s">
        <v>67</v>
      </c>
    </row>
    <row r="368" spans="1:41" x14ac:dyDescent="0.2">
      <c r="A368">
        <v>367056</v>
      </c>
      <c r="B368" t="s">
        <v>3447</v>
      </c>
      <c r="C368" t="s">
        <v>763</v>
      </c>
      <c r="D368" t="s">
        <v>3448</v>
      </c>
      <c r="E368" t="s">
        <v>3449</v>
      </c>
      <c r="F368">
        <v>476201</v>
      </c>
      <c r="G368" s="1">
        <v>43776</v>
      </c>
      <c r="H368" s="1">
        <v>45365</v>
      </c>
      <c r="J368" t="s">
        <v>45</v>
      </c>
      <c r="K368" t="s">
        <v>45</v>
      </c>
      <c r="L368" t="s">
        <v>72</v>
      </c>
      <c r="N368" t="s">
        <v>47</v>
      </c>
      <c r="O368" t="s">
        <v>48</v>
      </c>
      <c r="P368" t="s">
        <v>49</v>
      </c>
      <c r="Q368" t="s">
        <v>3450</v>
      </c>
      <c r="R368" t="s">
        <v>3451</v>
      </c>
      <c r="S368">
        <v>800</v>
      </c>
      <c r="T368" t="s">
        <v>92</v>
      </c>
      <c r="U368" t="s">
        <v>767</v>
      </c>
      <c r="V368" t="s">
        <v>768</v>
      </c>
      <c r="W368" t="s">
        <v>769</v>
      </c>
      <c r="X368" t="s">
        <v>92</v>
      </c>
      <c r="Y368" t="s">
        <v>770</v>
      </c>
      <c r="Z368">
        <v>10707</v>
      </c>
      <c r="AA368">
        <v>21</v>
      </c>
      <c r="AB368">
        <v>45</v>
      </c>
      <c r="AC368" t="s">
        <v>3210</v>
      </c>
      <c r="AD368" t="s">
        <v>3211</v>
      </c>
      <c r="AE368" t="s">
        <v>3212</v>
      </c>
      <c r="AF368" t="s">
        <v>774</v>
      </c>
      <c r="AG368" t="s">
        <v>3452</v>
      </c>
      <c r="AH368" t="s">
        <v>776</v>
      </c>
      <c r="AI368" t="s">
        <v>3213</v>
      </c>
      <c r="AJ368" s="2">
        <v>45659.880381944444</v>
      </c>
      <c r="AK368" t="s">
        <v>3214</v>
      </c>
      <c r="AL368" t="s">
        <v>65</v>
      </c>
      <c r="AM368" s="3">
        <v>1.7361111111111112</v>
      </c>
      <c r="AN368" t="s">
        <v>66</v>
      </c>
      <c r="AO368" t="s">
        <v>101</v>
      </c>
    </row>
    <row r="369" spans="1:41" x14ac:dyDescent="0.2">
      <c r="A369">
        <v>372480</v>
      </c>
      <c r="B369" t="s">
        <v>3453</v>
      </c>
      <c r="C369" t="s">
        <v>182</v>
      </c>
      <c r="D369" t="s">
        <v>3454</v>
      </c>
      <c r="E369" t="s">
        <v>3455</v>
      </c>
      <c r="F369">
        <v>42202</v>
      </c>
      <c r="G369" s="1">
        <v>32509</v>
      </c>
      <c r="H369" s="1">
        <v>45819</v>
      </c>
      <c r="J369" t="s">
        <v>45</v>
      </c>
      <c r="K369" t="s">
        <v>72</v>
      </c>
      <c r="L369" t="s">
        <v>72</v>
      </c>
      <c r="M369" s="1">
        <v>38474</v>
      </c>
      <c r="N369" t="s">
        <v>47</v>
      </c>
      <c r="O369" t="s">
        <v>48</v>
      </c>
      <c r="P369" t="s">
        <v>49</v>
      </c>
      <c r="Q369" t="s">
        <v>3456</v>
      </c>
      <c r="R369" t="s">
        <v>3457</v>
      </c>
      <c r="S369">
        <v>354</v>
      </c>
      <c r="T369" t="s">
        <v>92</v>
      </c>
      <c r="U369" t="s">
        <v>187</v>
      </c>
      <c r="V369" t="s">
        <v>447</v>
      </c>
      <c r="W369" t="s">
        <v>448</v>
      </c>
      <c r="X369" t="s">
        <v>92</v>
      </c>
      <c r="Y369" t="s">
        <v>450</v>
      </c>
      <c r="Z369">
        <v>1225</v>
      </c>
      <c r="AA369">
        <v>54</v>
      </c>
      <c r="AB369">
        <v>144</v>
      </c>
      <c r="AC369" t="s">
        <v>3354</v>
      </c>
      <c r="AD369" t="s">
        <v>452</v>
      </c>
      <c r="AE369" t="s">
        <v>453</v>
      </c>
      <c r="AF369" t="s">
        <v>454</v>
      </c>
      <c r="AG369" t="s">
        <v>473</v>
      </c>
      <c r="AH369" t="s">
        <v>474</v>
      </c>
      <c r="AJ369" s="2">
        <v>45840.810127314813</v>
      </c>
      <c r="AK369" t="s">
        <v>276</v>
      </c>
      <c r="AL369" t="s">
        <v>475</v>
      </c>
      <c r="AM369" s="3">
        <v>2.4652777777777777</v>
      </c>
      <c r="AN369" t="s">
        <v>66</v>
      </c>
      <c r="AO369" t="s">
        <v>67</v>
      </c>
    </row>
    <row r="370" spans="1:41" x14ac:dyDescent="0.2">
      <c r="A370">
        <v>371596</v>
      </c>
      <c r="B370" t="s">
        <v>3458</v>
      </c>
      <c r="C370" t="s">
        <v>134</v>
      </c>
      <c r="D370" t="s">
        <v>3459</v>
      </c>
      <c r="E370" t="s">
        <v>3460</v>
      </c>
      <c r="F370">
        <v>452514</v>
      </c>
      <c r="G370" s="1">
        <v>37473</v>
      </c>
      <c r="H370" s="1">
        <v>45813</v>
      </c>
      <c r="I370" s="1">
        <v>46174</v>
      </c>
      <c r="J370" t="s">
        <v>45</v>
      </c>
      <c r="K370" t="s">
        <v>45</v>
      </c>
      <c r="L370" t="s">
        <v>429</v>
      </c>
      <c r="M370" s="1">
        <v>43305</v>
      </c>
      <c r="N370" t="s">
        <v>47</v>
      </c>
      <c r="O370" t="s">
        <v>48</v>
      </c>
      <c r="P370" t="s">
        <v>49</v>
      </c>
      <c r="Q370" t="s">
        <v>3461</v>
      </c>
      <c r="R370" t="s">
        <v>3462</v>
      </c>
      <c r="S370">
        <v>3150</v>
      </c>
      <c r="T370" t="s">
        <v>52</v>
      </c>
      <c r="U370">
        <v>6</v>
      </c>
      <c r="V370" t="s">
        <v>3463</v>
      </c>
      <c r="W370" t="s">
        <v>54</v>
      </c>
      <c r="X370" t="s">
        <v>76</v>
      </c>
      <c r="Y370" t="s">
        <v>56</v>
      </c>
      <c r="Z370">
        <v>751</v>
      </c>
      <c r="AA370">
        <v>60</v>
      </c>
      <c r="AB370">
        <v>144</v>
      </c>
      <c r="AC370" t="s">
        <v>3464</v>
      </c>
      <c r="AD370" t="s">
        <v>3465</v>
      </c>
      <c r="AE370" t="s">
        <v>3466</v>
      </c>
      <c r="AF370" t="s">
        <v>3467</v>
      </c>
      <c r="AG370" t="s">
        <v>3468</v>
      </c>
      <c r="AH370" t="s">
        <v>3469</v>
      </c>
      <c r="AI370" t="s">
        <v>3470</v>
      </c>
      <c r="AJ370" s="2">
        <v>45817.690659722219</v>
      </c>
      <c r="AK370" t="s">
        <v>717</v>
      </c>
      <c r="AL370" t="s">
        <v>65</v>
      </c>
      <c r="AM370" s="3">
        <v>2.3402777777777777</v>
      </c>
      <c r="AN370" t="s">
        <v>66</v>
      </c>
      <c r="AO370" t="s">
        <v>67</v>
      </c>
    </row>
    <row r="371" spans="1:41" x14ac:dyDescent="0.2">
      <c r="A371">
        <v>364990</v>
      </c>
      <c r="B371" t="s">
        <v>3471</v>
      </c>
      <c r="C371" t="s">
        <v>735</v>
      </c>
      <c r="D371" t="s">
        <v>3472</v>
      </c>
      <c r="E371" t="s">
        <v>3473</v>
      </c>
      <c r="F371">
        <v>240307</v>
      </c>
      <c r="G371" s="1">
        <v>38642</v>
      </c>
      <c r="H371" s="1">
        <v>45562</v>
      </c>
      <c r="I371" s="1">
        <v>46249</v>
      </c>
      <c r="J371" t="s">
        <v>45</v>
      </c>
      <c r="K371" t="s">
        <v>45</v>
      </c>
      <c r="L371" t="s">
        <v>72</v>
      </c>
      <c r="M371" s="1">
        <v>38491</v>
      </c>
      <c r="N371" t="s">
        <v>47</v>
      </c>
      <c r="O371" t="s">
        <v>48</v>
      </c>
      <c r="P371" t="s">
        <v>49</v>
      </c>
      <c r="Q371" t="s">
        <v>3474</v>
      </c>
      <c r="R371" t="s">
        <v>3475</v>
      </c>
      <c r="S371">
        <v>4384</v>
      </c>
      <c r="T371" t="s">
        <v>296</v>
      </c>
      <c r="U371" t="s">
        <v>1487</v>
      </c>
      <c r="V371" t="s">
        <v>3476</v>
      </c>
      <c r="W371" t="s">
        <v>299</v>
      </c>
      <c r="X371" t="s">
        <v>76</v>
      </c>
      <c r="Y371" t="s">
        <v>56</v>
      </c>
      <c r="Z371">
        <v>2429</v>
      </c>
      <c r="AA371">
        <v>39</v>
      </c>
      <c r="AB371">
        <v>160</v>
      </c>
      <c r="AC371" t="s">
        <v>3477</v>
      </c>
      <c r="AD371" t="s">
        <v>3478</v>
      </c>
      <c r="AE371" t="s">
        <v>3479</v>
      </c>
      <c r="AI371" t="s">
        <v>1494</v>
      </c>
      <c r="AJ371" s="2">
        <v>45566.628460648149</v>
      </c>
      <c r="AK371" t="s">
        <v>717</v>
      </c>
      <c r="AL371" t="s">
        <v>65</v>
      </c>
      <c r="AM371" s="4">
        <v>0.875</v>
      </c>
      <c r="AN371" t="s">
        <v>66</v>
      </c>
      <c r="AO371" t="s">
        <v>67</v>
      </c>
    </row>
    <row r="372" spans="1:41" x14ac:dyDescent="0.2">
      <c r="A372">
        <v>372908</v>
      </c>
      <c r="B372" t="s">
        <v>3480</v>
      </c>
      <c r="C372" t="s">
        <v>167</v>
      </c>
      <c r="D372" t="s">
        <v>1628</v>
      </c>
      <c r="E372">
        <v>32505124</v>
      </c>
      <c r="F372">
        <v>353428</v>
      </c>
      <c r="G372" s="1">
        <v>33086</v>
      </c>
      <c r="H372" s="1">
        <v>45749</v>
      </c>
      <c r="I372" s="1">
        <v>46143</v>
      </c>
      <c r="J372" t="s">
        <v>45</v>
      </c>
      <c r="K372" t="s">
        <v>45</v>
      </c>
      <c r="L372" t="s">
        <v>429</v>
      </c>
      <c r="M372" s="1">
        <v>41569</v>
      </c>
      <c r="N372" t="s">
        <v>47</v>
      </c>
      <c r="O372" t="s">
        <v>48</v>
      </c>
      <c r="P372" t="s">
        <v>49</v>
      </c>
      <c r="Q372" t="s">
        <v>3481</v>
      </c>
      <c r="R372" t="s">
        <v>3482</v>
      </c>
      <c r="S372">
        <v>4565</v>
      </c>
      <c r="T372" t="s">
        <v>365</v>
      </c>
      <c r="U372" t="s">
        <v>532</v>
      </c>
      <c r="V372" t="s">
        <v>3483</v>
      </c>
      <c r="W372" t="s">
        <v>367</v>
      </c>
      <c r="X372" t="s">
        <v>76</v>
      </c>
      <c r="Y372" t="s">
        <v>434</v>
      </c>
      <c r="Z372">
        <v>315</v>
      </c>
      <c r="AA372">
        <v>55</v>
      </c>
      <c r="AB372">
        <v>158</v>
      </c>
      <c r="AC372" t="s">
        <v>3484</v>
      </c>
      <c r="AD372" t="s">
        <v>3485</v>
      </c>
      <c r="AE372" t="s">
        <v>3486</v>
      </c>
      <c r="AF372" t="s">
        <v>3487</v>
      </c>
      <c r="AG372" t="s">
        <v>3488</v>
      </c>
      <c r="AH372" t="s">
        <v>3489</v>
      </c>
      <c r="AI372" t="s">
        <v>179</v>
      </c>
      <c r="AJ372" s="2">
        <v>45855.887685185182</v>
      </c>
      <c r="AK372" t="s">
        <v>556</v>
      </c>
      <c r="AL372" t="s">
        <v>65</v>
      </c>
      <c r="AM372" s="3">
        <v>2.0416666666666665</v>
      </c>
      <c r="AN372" t="s">
        <v>66</v>
      </c>
      <c r="AO372" t="s">
        <v>67</v>
      </c>
    </row>
    <row r="373" spans="1:41" x14ac:dyDescent="0.2">
      <c r="A373">
        <v>361032</v>
      </c>
      <c r="B373" t="s">
        <v>3490</v>
      </c>
      <c r="C373" t="s">
        <v>221</v>
      </c>
      <c r="D373" t="s">
        <v>104</v>
      </c>
      <c r="E373" t="s">
        <v>3491</v>
      </c>
      <c r="F373">
        <v>10402</v>
      </c>
      <c r="G373" s="1">
        <v>42614</v>
      </c>
      <c r="H373" s="1">
        <v>45442</v>
      </c>
      <c r="I373" s="1">
        <v>46113</v>
      </c>
      <c r="J373" t="s">
        <v>45</v>
      </c>
      <c r="K373" t="s">
        <v>45</v>
      </c>
      <c r="L373" t="s">
        <v>72</v>
      </c>
      <c r="N373" t="s">
        <v>47</v>
      </c>
      <c r="O373" t="s">
        <v>48</v>
      </c>
      <c r="P373" t="s">
        <v>49</v>
      </c>
      <c r="Q373" t="s">
        <v>3492</v>
      </c>
      <c r="R373" t="s">
        <v>3493</v>
      </c>
      <c r="S373">
        <v>663</v>
      </c>
      <c r="T373" t="s">
        <v>92</v>
      </c>
      <c r="U373" t="s">
        <v>226</v>
      </c>
      <c r="V373" t="s">
        <v>227</v>
      </c>
      <c r="W373" t="s">
        <v>228</v>
      </c>
      <c r="X373" t="s">
        <v>92</v>
      </c>
      <c r="Y373" t="s">
        <v>110</v>
      </c>
      <c r="Z373">
        <v>8468</v>
      </c>
      <c r="AA373">
        <v>17</v>
      </c>
      <c r="AB373">
        <v>78</v>
      </c>
      <c r="AC373" t="s">
        <v>229</v>
      </c>
      <c r="AD373" t="s">
        <v>230</v>
      </c>
      <c r="AE373" t="s">
        <v>231</v>
      </c>
      <c r="AF373" t="s">
        <v>232</v>
      </c>
      <c r="AG373" t="s">
        <v>233</v>
      </c>
      <c r="AH373" t="s">
        <v>234</v>
      </c>
      <c r="AJ373" s="2">
        <v>45443.907349537039</v>
      </c>
      <c r="AK373" t="s">
        <v>229</v>
      </c>
      <c r="AL373" t="s">
        <v>65</v>
      </c>
      <c r="AM373" s="3">
        <v>1.0694444444444444</v>
      </c>
      <c r="AN373" t="s">
        <v>66</v>
      </c>
      <c r="AO373" t="s">
        <v>67</v>
      </c>
    </row>
    <row r="374" spans="1:41" x14ac:dyDescent="0.2">
      <c r="A374">
        <v>361851</v>
      </c>
      <c r="B374" t="s">
        <v>3494</v>
      </c>
      <c r="C374" t="s">
        <v>278</v>
      </c>
      <c r="D374" t="s">
        <v>3495</v>
      </c>
      <c r="E374">
        <v>32546184</v>
      </c>
      <c r="F374">
        <v>421702</v>
      </c>
      <c r="G374" s="1">
        <v>33407</v>
      </c>
      <c r="H374" s="1">
        <v>45463</v>
      </c>
      <c r="I374" s="1">
        <v>46235</v>
      </c>
      <c r="J374" t="s">
        <v>45</v>
      </c>
      <c r="K374" t="s">
        <v>45</v>
      </c>
      <c r="L374" t="s">
        <v>429</v>
      </c>
      <c r="M374" s="1">
        <v>36502</v>
      </c>
      <c r="N374" t="s">
        <v>47</v>
      </c>
      <c r="O374" t="s">
        <v>48</v>
      </c>
      <c r="P374" t="s">
        <v>49</v>
      </c>
      <c r="Q374" t="s">
        <v>3496</v>
      </c>
      <c r="R374" t="s">
        <v>3497</v>
      </c>
      <c r="S374">
        <v>9755</v>
      </c>
      <c r="T374" t="s">
        <v>365</v>
      </c>
      <c r="U374" t="s">
        <v>432</v>
      </c>
      <c r="V374" t="s">
        <v>2391</v>
      </c>
      <c r="W374" t="s">
        <v>367</v>
      </c>
      <c r="X374" t="s">
        <v>55</v>
      </c>
      <c r="Y374" t="s">
        <v>434</v>
      </c>
      <c r="Z374">
        <v>343</v>
      </c>
      <c r="AA374">
        <v>82</v>
      </c>
      <c r="AB374">
        <v>166</v>
      </c>
      <c r="AC374" t="s">
        <v>3498</v>
      </c>
      <c r="AD374" t="s">
        <v>3499</v>
      </c>
      <c r="AE374" t="s">
        <v>2395</v>
      </c>
      <c r="AF374" t="s">
        <v>3500</v>
      </c>
      <c r="AG374" t="s">
        <v>3501</v>
      </c>
      <c r="AH374" t="s">
        <v>3502</v>
      </c>
      <c r="AI374" t="s">
        <v>179</v>
      </c>
      <c r="AJ374" s="2">
        <v>45467.864016203705</v>
      </c>
      <c r="AK374" t="s">
        <v>609</v>
      </c>
      <c r="AL374" t="s">
        <v>65</v>
      </c>
      <c r="AM374" s="3">
        <v>1.6875</v>
      </c>
      <c r="AN374" t="s">
        <v>66</v>
      </c>
      <c r="AO374" t="s">
        <v>67</v>
      </c>
    </row>
    <row r="375" spans="1:41" x14ac:dyDescent="0.2">
      <c r="A375">
        <v>372918</v>
      </c>
      <c r="B375" t="s">
        <v>3503</v>
      </c>
      <c r="C375" t="s">
        <v>167</v>
      </c>
      <c r="D375" t="s">
        <v>3504</v>
      </c>
      <c r="E375" t="s">
        <v>3505</v>
      </c>
      <c r="F375">
        <v>352553</v>
      </c>
      <c r="G375" s="1">
        <v>32645</v>
      </c>
      <c r="H375" s="1">
        <v>45700</v>
      </c>
      <c r="I375" s="1">
        <v>46054</v>
      </c>
      <c r="J375" t="s">
        <v>45</v>
      </c>
      <c r="K375" t="s">
        <v>45</v>
      </c>
      <c r="L375" t="s">
        <v>429</v>
      </c>
      <c r="M375" s="1">
        <v>42857</v>
      </c>
      <c r="N375" t="s">
        <v>47</v>
      </c>
      <c r="O375" t="s">
        <v>48</v>
      </c>
      <c r="P375" t="s">
        <v>49</v>
      </c>
      <c r="Q375" t="s">
        <v>3506</v>
      </c>
      <c r="R375" t="s">
        <v>3507</v>
      </c>
      <c r="S375">
        <v>2107</v>
      </c>
      <c r="T375" t="s">
        <v>365</v>
      </c>
      <c r="U375" t="s">
        <v>532</v>
      </c>
      <c r="V375" t="s">
        <v>3508</v>
      </c>
      <c r="W375" t="s">
        <v>367</v>
      </c>
      <c r="X375" t="s">
        <v>76</v>
      </c>
      <c r="Y375" t="s">
        <v>434</v>
      </c>
      <c r="Z375">
        <v>303</v>
      </c>
      <c r="AA375">
        <v>70</v>
      </c>
      <c r="AB375">
        <v>80</v>
      </c>
      <c r="AC375" t="s">
        <v>3254</v>
      </c>
      <c r="AD375" t="s">
        <v>3255</v>
      </c>
      <c r="AE375" t="s">
        <v>3256</v>
      </c>
      <c r="AI375" t="s">
        <v>179</v>
      </c>
      <c r="AJ375" s="2">
        <v>45855.899259259262</v>
      </c>
      <c r="AK375" t="s">
        <v>556</v>
      </c>
      <c r="AL375" t="s">
        <v>65</v>
      </c>
      <c r="AM375" s="4">
        <v>0.61111111111111116</v>
      </c>
      <c r="AN375" t="s">
        <v>66</v>
      </c>
      <c r="AO375" t="s">
        <v>67</v>
      </c>
    </row>
    <row r="376" spans="1:41" x14ac:dyDescent="0.2">
      <c r="A376">
        <v>369737</v>
      </c>
      <c r="B376" t="s">
        <v>3509</v>
      </c>
      <c r="C376" t="s">
        <v>182</v>
      </c>
      <c r="D376" t="s">
        <v>468</v>
      </c>
      <c r="E376" t="s">
        <v>3510</v>
      </c>
      <c r="F376">
        <v>40404</v>
      </c>
      <c r="G376" s="1">
        <v>40122</v>
      </c>
      <c r="H376" s="1">
        <v>45512</v>
      </c>
      <c r="I376" s="1">
        <v>46157</v>
      </c>
      <c r="J376" t="s">
        <v>45</v>
      </c>
      <c r="K376" t="s">
        <v>45</v>
      </c>
      <c r="L376" t="s">
        <v>429</v>
      </c>
      <c r="M376" s="1">
        <v>42947</v>
      </c>
      <c r="N376" t="s">
        <v>47</v>
      </c>
      <c r="O376" t="s">
        <v>48</v>
      </c>
      <c r="P376" t="s">
        <v>49</v>
      </c>
      <c r="Q376" t="s">
        <v>3511</v>
      </c>
      <c r="R376" t="s">
        <v>3512</v>
      </c>
      <c r="S376">
        <v>3941</v>
      </c>
      <c r="T376" t="s">
        <v>52</v>
      </c>
      <c r="U376">
        <v>5</v>
      </c>
      <c r="V376" t="s">
        <v>3513</v>
      </c>
      <c r="W376" t="s">
        <v>54</v>
      </c>
      <c r="X376" t="s">
        <v>493</v>
      </c>
      <c r="Y376" t="s">
        <v>434</v>
      </c>
      <c r="Z376">
        <v>3080</v>
      </c>
      <c r="AA376">
        <v>52</v>
      </c>
      <c r="AB376">
        <v>38</v>
      </c>
      <c r="AC376" t="s">
        <v>3514</v>
      </c>
      <c r="AD376" t="s">
        <v>3515</v>
      </c>
      <c r="AE376" t="s">
        <v>3516</v>
      </c>
      <c r="AF376" t="s">
        <v>3517</v>
      </c>
      <c r="AG376" t="s">
        <v>3518</v>
      </c>
      <c r="AH376" t="s">
        <v>3519</v>
      </c>
      <c r="AI376" t="s">
        <v>3520</v>
      </c>
      <c r="AJ376" s="2">
        <v>45750.672129629631</v>
      </c>
      <c r="AK376" t="s">
        <v>3521</v>
      </c>
      <c r="AL376" t="s">
        <v>65</v>
      </c>
      <c r="AM376" s="3">
        <v>1.9444444444444444</v>
      </c>
      <c r="AN376" t="s">
        <v>66</v>
      </c>
      <c r="AO376" t="s">
        <v>67</v>
      </c>
    </row>
    <row r="377" spans="1:41" x14ac:dyDescent="0.2">
      <c r="A377">
        <v>371627</v>
      </c>
      <c r="B377" t="s">
        <v>3522</v>
      </c>
      <c r="C377" t="s">
        <v>42</v>
      </c>
      <c r="D377" t="s">
        <v>3523</v>
      </c>
      <c r="E377" t="s">
        <v>3524</v>
      </c>
      <c r="F377">
        <v>291301</v>
      </c>
      <c r="G377" s="1">
        <v>33842</v>
      </c>
      <c r="H377" s="1">
        <v>45814</v>
      </c>
      <c r="I377" s="1">
        <v>46174</v>
      </c>
      <c r="J377" t="s">
        <v>45</v>
      </c>
      <c r="K377" t="s">
        <v>45</v>
      </c>
      <c r="L377" t="s">
        <v>429</v>
      </c>
      <c r="M377" s="1">
        <v>38743</v>
      </c>
      <c r="N377" t="s">
        <v>47</v>
      </c>
      <c r="O377" t="s">
        <v>48</v>
      </c>
      <c r="P377" t="s">
        <v>49</v>
      </c>
      <c r="Q377" t="s">
        <v>3525</v>
      </c>
      <c r="R377" t="s">
        <v>3526</v>
      </c>
      <c r="S377">
        <v>8789</v>
      </c>
      <c r="T377" t="s">
        <v>296</v>
      </c>
      <c r="U377" t="s">
        <v>2674</v>
      </c>
      <c r="V377" t="s">
        <v>3527</v>
      </c>
      <c r="W377" t="s">
        <v>299</v>
      </c>
      <c r="X377" t="s">
        <v>55</v>
      </c>
      <c r="Y377" t="s">
        <v>56</v>
      </c>
      <c r="Z377">
        <v>13</v>
      </c>
      <c r="AA377">
        <v>64</v>
      </c>
      <c r="AB377">
        <v>160</v>
      </c>
      <c r="AC377" t="s">
        <v>3528</v>
      </c>
      <c r="AD377" t="s">
        <v>3529</v>
      </c>
      <c r="AE377" t="s">
        <v>3530</v>
      </c>
      <c r="AI377" t="s">
        <v>2682</v>
      </c>
      <c r="AJ377" s="2">
        <v>45817.727199074077</v>
      </c>
      <c r="AK377" t="s">
        <v>64</v>
      </c>
      <c r="AL377" t="s">
        <v>65</v>
      </c>
      <c r="AM377" s="3">
        <v>2.0694444444444446</v>
      </c>
      <c r="AN377" t="s">
        <v>66</v>
      </c>
      <c r="AO377" t="s">
        <v>67</v>
      </c>
    </row>
    <row r="378" spans="1:41" x14ac:dyDescent="0.2">
      <c r="A378">
        <v>371498</v>
      </c>
      <c r="B378" t="s">
        <v>3531</v>
      </c>
      <c r="C378" t="s">
        <v>278</v>
      </c>
      <c r="D378" t="s">
        <v>279</v>
      </c>
      <c r="E378" t="s">
        <v>3532</v>
      </c>
      <c r="F378">
        <v>422609</v>
      </c>
      <c r="G378" s="1">
        <v>37705</v>
      </c>
      <c r="H378" s="1">
        <v>45807</v>
      </c>
      <c r="I378" s="1">
        <v>46174</v>
      </c>
      <c r="J378" t="s">
        <v>45</v>
      </c>
      <c r="K378" t="s">
        <v>45</v>
      </c>
      <c r="L378" t="s">
        <v>72</v>
      </c>
      <c r="N378" t="s">
        <v>47</v>
      </c>
      <c r="O378" t="s">
        <v>48</v>
      </c>
      <c r="P378" t="s">
        <v>49</v>
      </c>
      <c r="Q378" t="s">
        <v>3533</v>
      </c>
      <c r="R378" t="s">
        <v>3534</v>
      </c>
      <c r="S378">
        <v>7855</v>
      </c>
      <c r="T378" t="s">
        <v>257</v>
      </c>
      <c r="U378" t="s">
        <v>283</v>
      </c>
      <c r="V378" t="s">
        <v>284</v>
      </c>
      <c r="W378" t="s">
        <v>260</v>
      </c>
      <c r="X378" t="s">
        <v>257</v>
      </c>
      <c r="Y378" t="s">
        <v>110</v>
      </c>
      <c r="Z378">
        <v>2198</v>
      </c>
      <c r="AA378">
        <v>62</v>
      </c>
      <c r="AB378">
        <v>160</v>
      </c>
      <c r="AC378" t="s">
        <v>285</v>
      </c>
      <c r="AD378" t="s">
        <v>286</v>
      </c>
      <c r="AE378" t="s">
        <v>287</v>
      </c>
      <c r="AF378" t="s">
        <v>288</v>
      </c>
      <c r="AG378" t="s">
        <v>3535</v>
      </c>
      <c r="AH378" t="s">
        <v>290</v>
      </c>
      <c r="AI378" t="s">
        <v>286</v>
      </c>
      <c r="AJ378" s="2">
        <v>45813.71365740741</v>
      </c>
      <c r="AK378" t="s">
        <v>288</v>
      </c>
      <c r="AL378" t="s">
        <v>65</v>
      </c>
      <c r="AM378" s="4">
        <v>0.98611111111111116</v>
      </c>
      <c r="AN378" t="s">
        <v>66</v>
      </c>
      <c r="AO378" t="s">
        <v>67</v>
      </c>
    </row>
    <row r="379" spans="1:41" x14ac:dyDescent="0.2">
      <c r="A379">
        <v>361906</v>
      </c>
      <c r="B379" t="s">
        <v>3536</v>
      </c>
      <c r="C379" t="s">
        <v>278</v>
      </c>
      <c r="D379" t="s">
        <v>950</v>
      </c>
      <c r="E379" t="s">
        <v>3537</v>
      </c>
      <c r="F379">
        <v>422102</v>
      </c>
      <c r="G379" s="1">
        <v>32023</v>
      </c>
      <c r="H379" s="1">
        <v>45460</v>
      </c>
      <c r="I379" s="1">
        <v>46096</v>
      </c>
      <c r="J379" t="s">
        <v>45</v>
      </c>
      <c r="K379" t="s">
        <v>45</v>
      </c>
      <c r="L379" t="s">
        <v>429</v>
      </c>
      <c r="M379" s="1">
        <v>43166</v>
      </c>
      <c r="N379" t="s">
        <v>47</v>
      </c>
      <c r="O379" t="s">
        <v>48</v>
      </c>
      <c r="P379" t="s">
        <v>49</v>
      </c>
      <c r="Q379" t="s">
        <v>3538</v>
      </c>
      <c r="R379" t="s">
        <v>3539</v>
      </c>
      <c r="S379">
        <v>5320</v>
      </c>
      <c r="T379" t="s">
        <v>365</v>
      </c>
      <c r="U379" t="s">
        <v>432</v>
      </c>
      <c r="V379" t="s">
        <v>2391</v>
      </c>
      <c r="W379" t="s">
        <v>367</v>
      </c>
      <c r="X379" t="s">
        <v>55</v>
      </c>
      <c r="Y379" t="s">
        <v>434</v>
      </c>
      <c r="Z379">
        <v>348</v>
      </c>
      <c r="AA379">
        <v>57</v>
      </c>
      <c r="AB379">
        <v>160</v>
      </c>
      <c r="AC379" t="s">
        <v>3540</v>
      </c>
      <c r="AD379" t="s">
        <v>2393</v>
      </c>
      <c r="AE379" t="s">
        <v>2395</v>
      </c>
      <c r="AF379" t="s">
        <v>3500</v>
      </c>
      <c r="AG379" t="s">
        <v>3501</v>
      </c>
      <c r="AH379" t="s">
        <v>3541</v>
      </c>
      <c r="AI379" t="s">
        <v>2396</v>
      </c>
      <c r="AJ379" s="2">
        <v>45468.731249999997</v>
      </c>
      <c r="AK379" t="s">
        <v>64</v>
      </c>
      <c r="AL379" t="s">
        <v>65</v>
      </c>
      <c r="AM379" s="3">
        <v>2.0069444444444446</v>
      </c>
      <c r="AN379" t="s">
        <v>66</v>
      </c>
      <c r="AO379" t="s">
        <v>67</v>
      </c>
    </row>
    <row r="380" spans="1:41" x14ac:dyDescent="0.2">
      <c r="A380">
        <v>372780</v>
      </c>
      <c r="B380" t="s">
        <v>3542</v>
      </c>
      <c r="C380" t="s">
        <v>134</v>
      </c>
      <c r="D380" t="s">
        <v>3543</v>
      </c>
      <c r="E380" t="s">
        <v>3544</v>
      </c>
      <c r="F380">
        <v>451917</v>
      </c>
      <c r="G380" s="1">
        <v>33400</v>
      </c>
      <c r="H380" s="1">
        <v>45492</v>
      </c>
      <c r="I380" s="1">
        <v>46188</v>
      </c>
      <c r="J380" t="s">
        <v>45</v>
      </c>
      <c r="K380" t="s">
        <v>45</v>
      </c>
      <c r="L380" t="s">
        <v>72</v>
      </c>
      <c r="M380" s="1">
        <v>45097</v>
      </c>
      <c r="N380" t="s">
        <v>47</v>
      </c>
      <c r="O380" t="s">
        <v>48</v>
      </c>
      <c r="P380" t="s">
        <v>49</v>
      </c>
      <c r="Q380" t="s">
        <v>3545</v>
      </c>
      <c r="R380" t="s">
        <v>3546</v>
      </c>
      <c r="S380">
        <v>2708</v>
      </c>
      <c r="T380" t="s">
        <v>52</v>
      </c>
      <c r="U380">
        <v>6</v>
      </c>
      <c r="V380" t="s">
        <v>3547</v>
      </c>
      <c r="W380" t="s">
        <v>54</v>
      </c>
      <c r="X380" t="s">
        <v>76</v>
      </c>
      <c r="Y380" t="s">
        <v>56</v>
      </c>
      <c r="Z380">
        <v>771</v>
      </c>
      <c r="AA380">
        <v>49</v>
      </c>
      <c r="AB380">
        <v>28</v>
      </c>
      <c r="AC380" t="s">
        <v>3548</v>
      </c>
      <c r="AD380" t="s">
        <v>3549</v>
      </c>
      <c r="AE380" t="s">
        <v>3550</v>
      </c>
      <c r="AF380" t="s">
        <v>3551</v>
      </c>
      <c r="AG380" t="s">
        <v>3552</v>
      </c>
      <c r="AH380" t="s">
        <v>3553</v>
      </c>
      <c r="AI380" t="s">
        <v>179</v>
      </c>
      <c r="AJ380" s="2">
        <v>45853.758136574077</v>
      </c>
      <c r="AK380" t="s">
        <v>3554</v>
      </c>
      <c r="AL380" t="s">
        <v>65</v>
      </c>
      <c r="AM380" s="3">
        <v>1.0763888888888888</v>
      </c>
      <c r="AN380" t="s">
        <v>66</v>
      </c>
      <c r="AO380" t="s">
        <v>67</v>
      </c>
    </row>
    <row r="381" spans="1:41" x14ac:dyDescent="0.2">
      <c r="A381">
        <v>372367</v>
      </c>
      <c r="B381" t="s">
        <v>3555</v>
      </c>
      <c r="C381" t="s">
        <v>278</v>
      </c>
      <c r="E381" t="s">
        <v>3556</v>
      </c>
      <c r="F381">
        <v>422606</v>
      </c>
      <c r="G381" s="1">
        <v>32965</v>
      </c>
      <c r="H381" s="1">
        <v>45832</v>
      </c>
      <c r="I381" s="1">
        <v>46143</v>
      </c>
      <c r="J381" t="s">
        <v>45</v>
      </c>
      <c r="K381" t="s">
        <v>45</v>
      </c>
      <c r="L381" t="s">
        <v>429</v>
      </c>
      <c r="M381" s="1">
        <v>41808</v>
      </c>
      <c r="N381" t="s">
        <v>47</v>
      </c>
      <c r="O381" t="s">
        <v>48</v>
      </c>
      <c r="P381" t="s">
        <v>49</v>
      </c>
      <c r="Q381" t="s">
        <v>3557</v>
      </c>
      <c r="R381" t="s">
        <v>3558</v>
      </c>
      <c r="S381">
        <v>8024</v>
      </c>
      <c r="T381" t="s">
        <v>52</v>
      </c>
      <c r="U381">
        <v>4</v>
      </c>
      <c r="V381" t="s">
        <v>1185</v>
      </c>
      <c r="W381" t="s">
        <v>54</v>
      </c>
      <c r="X381" t="s">
        <v>55</v>
      </c>
      <c r="Y381" t="s">
        <v>56</v>
      </c>
      <c r="Z381">
        <v>654</v>
      </c>
      <c r="AA381">
        <v>40</v>
      </c>
      <c r="AB381">
        <v>152</v>
      </c>
      <c r="AC381" t="s">
        <v>1186</v>
      </c>
      <c r="AD381" t="s">
        <v>1187</v>
      </c>
      <c r="AE381" t="s">
        <v>1188</v>
      </c>
      <c r="AF381" t="s">
        <v>1189</v>
      </c>
      <c r="AG381" t="s">
        <v>1190</v>
      </c>
      <c r="AH381" t="s">
        <v>1191</v>
      </c>
      <c r="AI381" t="s">
        <v>1192</v>
      </c>
      <c r="AJ381" s="2">
        <v>45838.782048611109</v>
      </c>
      <c r="AK381" t="s">
        <v>307</v>
      </c>
      <c r="AL381" t="s">
        <v>65</v>
      </c>
      <c r="AM381" s="4">
        <v>0.5</v>
      </c>
      <c r="AN381" t="s">
        <v>66</v>
      </c>
      <c r="AO381" t="s">
        <v>67</v>
      </c>
    </row>
    <row r="382" spans="1:41" x14ac:dyDescent="0.2">
      <c r="A382">
        <v>370373</v>
      </c>
      <c r="B382" t="s">
        <v>3559</v>
      </c>
      <c r="C382" t="s">
        <v>134</v>
      </c>
      <c r="D382" t="s">
        <v>3560</v>
      </c>
      <c r="E382" t="s">
        <v>3561</v>
      </c>
      <c r="F382">
        <v>450131</v>
      </c>
      <c r="G382" s="1">
        <v>38480</v>
      </c>
      <c r="H382" s="1">
        <v>45771</v>
      </c>
      <c r="I382" s="1">
        <v>46157</v>
      </c>
      <c r="J382" t="s">
        <v>45</v>
      </c>
      <c r="K382" t="s">
        <v>45</v>
      </c>
      <c r="L382" t="s">
        <v>72</v>
      </c>
      <c r="M382" s="1">
        <v>45448</v>
      </c>
      <c r="N382" t="s">
        <v>47</v>
      </c>
      <c r="O382" t="s">
        <v>48</v>
      </c>
      <c r="P382" t="s">
        <v>49</v>
      </c>
      <c r="Q382" t="s">
        <v>3562</v>
      </c>
      <c r="R382" t="s">
        <v>3563</v>
      </c>
      <c r="S382">
        <v>1630</v>
      </c>
      <c r="T382" t="s">
        <v>92</v>
      </c>
      <c r="U382" t="s">
        <v>139</v>
      </c>
      <c r="V382" t="s">
        <v>140</v>
      </c>
      <c r="W382" t="s">
        <v>141</v>
      </c>
      <c r="X382" t="s">
        <v>92</v>
      </c>
      <c r="Y382" t="s">
        <v>110</v>
      </c>
      <c r="Z382">
        <v>2391</v>
      </c>
      <c r="AA382">
        <v>50</v>
      </c>
      <c r="AB382">
        <v>158</v>
      </c>
      <c r="AC382" t="s">
        <v>3564</v>
      </c>
      <c r="AD382" t="s">
        <v>3565</v>
      </c>
      <c r="AE382" t="s">
        <v>3566</v>
      </c>
      <c r="AF382" t="s">
        <v>145</v>
      </c>
      <c r="AG382" t="s">
        <v>146</v>
      </c>
      <c r="AH382" t="s">
        <v>147</v>
      </c>
      <c r="AI382" t="s">
        <v>148</v>
      </c>
      <c r="AJ382" s="2">
        <v>45772.683506944442</v>
      </c>
      <c r="AK382" t="s">
        <v>3564</v>
      </c>
      <c r="AL382" t="s">
        <v>65</v>
      </c>
      <c r="AM382" s="4">
        <v>0.3888888888888889</v>
      </c>
      <c r="AN382" t="s">
        <v>66</v>
      </c>
      <c r="AO382" t="s">
        <v>67</v>
      </c>
    </row>
    <row r="383" spans="1:41" x14ac:dyDescent="0.2">
      <c r="A383">
        <v>372476</v>
      </c>
      <c r="B383" t="s">
        <v>3567</v>
      </c>
      <c r="C383" t="s">
        <v>167</v>
      </c>
      <c r="D383" t="s">
        <v>1315</v>
      </c>
      <c r="E383" t="s">
        <v>3568</v>
      </c>
      <c r="F383">
        <v>353040</v>
      </c>
      <c r="G383" s="1">
        <v>36693</v>
      </c>
      <c r="H383" s="1">
        <v>45506</v>
      </c>
      <c r="I383" s="1">
        <v>46218</v>
      </c>
      <c r="J383" t="s">
        <v>45</v>
      </c>
      <c r="K383" t="s">
        <v>326</v>
      </c>
      <c r="L383" t="s">
        <v>429</v>
      </c>
      <c r="M383" s="1">
        <v>45099</v>
      </c>
      <c r="N383" t="s">
        <v>47</v>
      </c>
      <c r="O383" t="s">
        <v>48</v>
      </c>
      <c r="P383" t="s">
        <v>49</v>
      </c>
      <c r="Q383" t="s">
        <v>3569</v>
      </c>
      <c r="R383" t="s">
        <v>3570</v>
      </c>
      <c r="S383">
        <v>2264</v>
      </c>
      <c r="T383" t="s">
        <v>52</v>
      </c>
      <c r="U383">
        <v>6</v>
      </c>
      <c r="V383" t="s">
        <v>3571</v>
      </c>
      <c r="W383" t="s">
        <v>54</v>
      </c>
      <c r="X383" t="s">
        <v>76</v>
      </c>
      <c r="Y383" t="s">
        <v>56</v>
      </c>
      <c r="Z383">
        <v>853</v>
      </c>
      <c r="AA383">
        <v>85</v>
      </c>
      <c r="AB383">
        <v>210</v>
      </c>
      <c r="AC383" t="s">
        <v>3572</v>
      </c>
      <c r="AD383" t="s">
        <v>3573</v>
      </c>
      <c r="AE383" t="s">
        <v>3574</v>
      </c>
      <c r="AF383" t="s">
        <v>3575</v>
      </c>
      <c r="AG383" t="s">
        <v>3576</v>
      </c>
      <c r="AH383" t="s">
        <v>3577</v>
      </c>
      <c r="AI383" t="s">
        <v>3578</v>
      </c>
      <c r="AJ383" s="2">
        <v>45840.767731481479</v>
      </c>
      <c r="AK383" t="s">
        <v>556</v>
      </c>
      <c r="AL383" t="s">
        <v>65</v>
      </c>
      <c r="AM383" s="3">
        <v>1.9930555555555556</v>
      </c>
      <c r="AN383" t="s">
        <v>66</v>
      </c>
      <c r="AO383" t="s">
        <v>67</v>
      </c>
    </row>
    <row r="384" spans="1:41" x14ac:dyDescent="0.2">
      <c r="A384">
        <v>370865</v>
      </c>
      <c r="B384" t="s">
        <v>3567</v>
      </c>
      <c r="C384" t="s">
        <v>345</v>
      </c>
      <c r="D384" t="s">
        <v>3579</v>
      </c>
      <c r="E384" t="s">
        <v>3580</v>
      </c>
      <c r="F384">
        <v>50510</v>
      </c>
      <c r="G384" s="1">
        <v>42885</v>
      </c>
      <c r="H384" s="1">
        <v>45786</v>
      </c>
      <c r="I384" s="1">
        <v>46143</v>
      </c>
      <c r="J384" t="s">
        <v>45</v>
      </c>
      <c r="K384" t="s">
        <v>45</v>
      </c>
      <c r="L384" t="s">
        <v>72</v>
      </c>
      <c r="M384" s="1">
        <v>44935</v>
      </c>
      <c r="N384" t="s">
        <v>47</v>
      </c>
      <c r="O384" t="s">
        <v>48</v>
      </c>
      <c r="P384" t="s">
        <v>49</v>
      </c>
      <c r="Q384" t="s">
        <v>3581</v>
      </c>
      <c r="R384" t="s">
        <v>3582</v>
      </c>
      <c r="S384">
        <v>5591</v>
      </c>
      <c r="T384" t="s">
        <v>92</v>
      </c>
      <c r="U384" t="s">
        <v>350</v>
      </c>
      <c r="V384" t="s">
        <v>3583</v>
      </c>
      <c r="W384" t="s">
        <v>3584</v>
      </c>
      <c r="X384" t="s">
        <v>92</v>
      </c>
      <c r="Y384" t="s">
        <v>110</v>
      </c>
      <c r="Z384">
        <v>8746</v>
      </c>
      <c r="AA384">
        <v>20</v>
      </c>
      <c r="AB384">
        <v>78</v>
      </c>
      <c r="AC384" t="s">
        <v>3585</v>
      </c>
      <c r="AD384" t="s">
        <v>3586</v>
      </c>
      <c r="AE384" t="s">
        <v>3587</v>
      </c>
      <c r="AF384" t="s">
        <v>3588</v>
      </c>
      <c r="AG384" t="s">
        <v>3589</v>
      </c>
      <c r="AH384" t="s">
        <v>3590</v>
      </c>
      <c r="AJ384" s="2">
        <v>45786.741469907407</v>
      </c>
      <c r="AK384" t="s">
        <v>276</v>
      </c>
      <c r="AL384" t="s">
        <v>65</v>
      </c>
      <c r="AM384" s="3">
        <v>1.4930555555555556</v>
      </c>
      <c r="AN384" t="s">
        <v>66</v>
      </c>
      <c r="AO384" t="s">
        <v>67</v>
      </c>
    </row>
    <row r="385" spans="1:41" x14ac:dyDescent="0.2">
      <c r="A385">
        <v>372919</v>
      </c>
      <c r="B385" t="s">
        <v>3591</v>
      </c>
      <c r="C385" t="s">
        <v>167</v>
      </c>
      <c r="D385" t="s">
        <v>168</v>
      </c>
      <c r="E385" t="s">
        <v>3592</v>
      </c>
      <c r="F385">
        <v>353230</v>
      </c>
      <c r="G385" s="1">
        <v>35962</v>
      </c>
      <c r="H385" s="1">
        <v>45713</v>
      </c>
      <c r="I385" s="1">
        <v>46054</v>
      </c>
      <c r="J385" t="s">
        <v>45</v>
      </c>
      <c r="K385" t="s">
        <v>45</v>
      </c>
      <c r="L385" t="s">
        <v>429</v>
      </c>
      <c r="M385" s="1">
        <v>43783</v>
      </c>
      <c r="N385" t="s">
        <v>47</v>
      </c>
      <c r="O385" t="s">
        <v>48</v>
      </c>
      <c r="P385" t="s">
        <v>49</v>
      </c>
      <c r="Q385" t="s">
        <v>3593</v>
      </c>
      <c r="R385" t="s">
        <v>3594</v>
      </c>
      <c r="S385">
        <v>2780</v>
      </c>
      <c r="T385" t="s">
        <v>365</v>
      </c>
      <c r="U385" t="s">
        <v>532</v>
      </c>
      <c r="V385" t="s">
        <v>3595</v>
      </c>
      <c r="W385" t="s">
        <v>367</v>
      </c>
      <c r="X385" t="s">
        <v>76</v>
      </c>
      <c r="Y385" t="s">
        <v>434</v>
      </c>
      <c r="Z385">
        <v>1448</v>
      </c>
      <c r="AA385">
        <v>52</v>
      </c>
      <c r="AB385">
        <v>166</v>
      </c>
      <c r="AC385" t="s">
        <v>3596</v>
      </c>
      <c r="AD385" t="s">
        <v>3597</v>
      </c>
      <c r="AE385" t="s">
        <v>3598</v>
      </c>
      <c r="AF385" t="s">
        <v>3599</v>
      </c>
      <c r="AG385" t="s">
        <v>3600</v>
      </c>
      <c r="AH385" t="s">
        <v>3601</v>
      </c>
      <c r="AI385" t="s">
        <v>179</v>
      </c>
      <c r="AJ385" s="2">
        <v>45855.899988425925</v>
      </c>
      <c r="AK385" t="s">
        <v>556</v>
      </c>
      <c r="AL385" t="s">
        <v>65</v>
      </c>
      <c r="AM385" s="3">
        <v>2.1736111111111112</v>
      </c>
      <c r="AN385" t="s">
        <v>66</v>
      </c>
      <c r="AO385" t="s">
        <v>67</v>
      </c>
    </row>
    <row r="386" spans="1:41" x14ac:dyDescent="0.2">
      <c r="A386">
        <v>371728</v>
      </c>
      <c r="B386" t="s">
        <v>3602</v>
      </c>
      <c r="C386" t="s">
        <v>323</v>
      </c>
      <c r="D386" t="s">
        <v>3603</v>
      </c>
      <c r="E386" t="s">
        <v>3604</v>
      </c>
      <c r="F386">
        <v>500218</v>
      </c>
      <c r="G386" s="1">
        <v>40988</v>
      </c>
      <c r="H386" s="1">
        <v>45792</v>
      </c>
      <c r="I386" s="1">
        <v>46037</v>
      </c>
      <c r="J386" t="s">
        <v>45</v>
      </c>
      <c r="K386" t="s">
        <v>326</v>
      </c>
      <c r="L386" t="s">
        <v>72</v>
      </c>
      <c r="M386" s="1">
        <v>45057</v>
      </c>
      <c r="N386" t="s">
        <v>47</v>
      </c>
      <c r="O386" t="s">
        <v>48</v>
      </c>
      <c r="P386" t="s">
        <v>49</v>
      </c>
      <c r="Q386" t="s">
        <v>3605</v>
      </c>
      <c r="R386" t="s">
        <v>3606</v>
      </c>
      <c r="S386">
        <v>400</v>
      </c>
      <c r="T386" t="s">
        <v>365</v>
      </c>
      <c r="U386" t="s">
        <v>366</v>
      </c>
      <c r="V386" t="s">
        <v>330</v>
      </c>
      <c r="W386" t="s">
        <v>367</v>
      </c>
      <c r="X386" t="s">
        <v>76</v>
      </c>
      <c r="Y386" t="s">
        <v>110</v>
      </c>
      <c r="Z386">
        <v>5306</v>
      </c>
      <c r="AA386">
        <v>28</v>
      </c>
      <c r="AB386">
        <v>28</v>
      </c>
      <c r="AC386" t="s">
        <v>368</v>
      </c>
      <c r="AD386" t="s">
        <v>369</v>
      </c>
      <c r="AE386" t="s">
        <v>370</v>
      </c>
      <c r="AF386" t="s">
        <v>384</v>
      </c>
      <c r="AG386" t="s">
        <v>385</v>
      </c>
      <c r="AH386" t="s">
        <v>386</v>
      </c>
      <c r="AJ386" s="2">
        <v>45818.777025462965</v>
      </c>
      <c r="AK386" t="s">
        <v>727</v>
      </c>
      <c r="AL386" t="s">
        <v>65</v>
      </c>
      <c r="AM386" s="4">
        <v>7.6388888888888895E-2</v>
      </c>
      <c r="AN386" t="s">
        <v>66</v>
      </c>
      <c r="AO386" t="s">
        <v>67</v>
      </c>
    </row>
    <row r="387" spans="1:41" x14ac:dyDescent="0.2">
      <c r="A387">
        <v>372643</v>
      </c>
      <c r="B387" t="s">
        <v>3607</v>
      </c>
      <c r="C387" t="s">
        <v>345</v>
      </c>
      <c r="D387" t="s">
        <v>3608</v>
      </c>
      <c r="E387" t="s">
        <v>3609</v>
      </c>
      <c r="F387">
        <v>55905</v>
      </c>
      <c r="G387" s="1">
        <v>42562</v>
      </c>
      <c r="H387" s="1">
        <v>45484</v>
      </c>
      <c r="I387" s="1">
        <v>46143</v>
      </c>
      <c r="J387" t="s">
        <v>45</v>
      </c>
      <c r="K387" t="s">
        <v>45</v>
      </c>
      <c r="L387" t="s">
        <v>72</v>
      </c>
      <c r="M387" s="1">
        <v>42562</v>
      </c>
      <c r="N387" t="s">
        <v>47</v>
      </c>
      <c r="O387" t="s">
        <v>48</v>
      </c>
      <c r="P387" t="s">
        <v>49</v>
      </c>
      <c r="Q387" t="s">
        <v>3610</v>
      </c>
      <c r="R387" t="s">
        <v>3611</v>
      </c>
      <c r="S387">
        <v>9230</v>
      </c>
      <c r="T387" t="s">
        <v>52</v>
      </c>
      <c r="U387">
        <v>2</v>
      </c>
      <c r="V387" t="s">
        <v>2325</v>
      </c>
      <c r="W387" t="s">
        <v>54</v>
      </c>
      <c r="X387" t="s">
        <v>55</v>
      </c>
      <c r="Y387" t="s">
        <v>56</v>
      </c>
      <c r="Z387">
        <v>7726</v>
      </c>
      <c r="AA387">
        <v>25</v>
      </c>
      <c r="AB387">
        <v>28</v>
      </c>
      <c r="AC387" t="s">
        <v>2326</v>
      </c>
      <c r="AD387" t="s">
        <v>2327</v>
      </c>
      <c r="AE387" t="s">
        <v>2328</v>
      </c>
      <c r="AF387" t="s">
        <v>3612</v>
      </c>
      <c r="AG387" t="s">
        <v>3613</v>
      </c>
      <c r="AH387" t="s">
        <v>3614</v>
      </c>
      <c r="AI387" t="s">
        <v>3615</v>
      </c>
      <c r="AJ387" s="2">
        <v>45848.68</v>
      </c>
      <c r="AK387" t="s">
        <v>1167</v>
      </c>
      <c r="AL387" t="s">
        <v>65</v>
      </c>
      <c r="AM387" s="3">
        <v>1.9513888888888888</v>
      </c>
      <c r="AN387" t="s">
        <v>66</v>
      </c>
      <c r="AO387" t="s">
        <v>67</v>
      </c>
    </row>
    <row r="388" spans="1:41" x14ac:dyDescent="0.2">
      <c r="A388">
        <v>370088</v>
      </c>
      <c r="B388" t="s">
        <v>3616</v>
      </c>
      <c r="C388" t="s">
        <v>86</v>
      </c>
      <c r="D388" t="s">
        <v>3617</v>
      </c>
      <c r="E388" t="s">
        <v>3618</v>
      </c>
      <c r="G388" s="1">
        <v>45331</v>
      </c>
      <c r="H388" s="1">
        <v>45331</v>
      </c>
      <c r="I388" s="1">
        <v>46143</v>
      </c>
      <c r="J388" t="s">
        <v>45</v>
      </c>
      <c r="K388" t="s">
        <v>45</v>
      </c>
      <c r="L388" t="s">
        <v>72</v>
      </c>
      <c r="M388" s="1">
        <v>45331</v>
      </c>
      <c r="N388" t="s">
        <v>47</v>
      </c>
      <c r="O388" t="s">
        <v>48</v>
      </c>
      <c r="P388" t="s">
        <v>49</v>
      </c>
      <c r="Q388" t="s">
        <v>3619</v>
      </c>
      <c r="R388" t="s">
        <v>3620</v>
      </c>
      <c r="S388">
        <v>1050</v>
      </c>
      <c r="T388" t="s">
        <v>92</v>
      </c>
      <c r="U388" t="s">
        <v>93</v>
      </c>
      <c r="V388" t="s">
        <v>506</v>
      </c>
      <c r="W388" t="s">
        <v>507</v>
      </c>
      <c r="X388" t="s">
        <v>92</v>
      </c>
      <c r="Y388" t="s">
        <v>110</v>
      </c>
      <c r="Z388">
        <v>12195</v>
      </c>
      <c r="AA388">
        <v>7</v>
      </c>
      <c r="AB388">
        <v>48</v>
      </c>
      <c r="AC388" t="s">
        <v>508</v>
      </c>
      <c r="AD388" t="s">
        <v>3621</v>
      </c>
      <c r="AE388" t="s">
        <v>2361</v>
      </c>
      <c r="AF388" t="s">
        <v>3622</v>
      </c>
      <c r="AG388" t="s">
        <v>3623</v>
      </c>
      <c r="AH388" t="s">
        <v>3624</v>
      </c>
      <c r="AJ388" s="2">
        <v>45763.56045138889</v>
      </c>
      <c r="AK388" t="s">
        <v>100</v>
      </c>
      <c r="AL388" t="s">
        <v>65</v>
      </c>
      <c r="AM388" s="4">
        <v>0.55208333333333337</v>
      </c>
      <c r="AN388" t="s">
        <v>66</v>
      </c>
      <c r="AO388" t="s">
        <v>67</v>
      </c>
    </row>
    <row r="389" spans="1:41" x14ac:dyDescent="0.2">
      <c r="A389">
        <v>370044</v>
      </c>
      <c r="B389" t="s">
        <v>3625</v>
      </c>
      <c r="C389" t="s">
        <v>278</v>
      </c>
      <c r="D389" t="s">
        <v>2210</v>
      </c>
      <c r="E389" t="s">
        <v>3626</v>
      </c>
      <c r="G389" s="1">
        <v>42914</v>
      </c>
      <c r="H389" s="1">
        <v>43011</v>
      </c>
      <c r="J389" t="s">
        <v>326</v>
      </c>
      <c r="K389" t="s">
        <v>45</v>
      </c>
      <c r="L389" t="s">
        <v>72</v>
      </c>
      <c r="M389" s="1">
        <v>42914</v>
      </c>
      <c r="N389" t="s">
        <v>47</v>
      </c>
      <c r="O389" t="s">
        <v>48</v>
      </c>
      <c r="P389" t="s">
        <v>1752</v>
      </c>
      <c r="Q389" t="s">
        <v>3627</v>
      </c>
      <c r="R389" t="s">
        <v>3628</v>
      </c>
      <c r="S389">
        <v>5725</v>
      </c>
      <c r="T389" t="s">
        <v>365</v>
      </c>
      <c r="U389" t="s">
        <v>432</v>
      </c>
      <c r="V389" t="s">
        <v>2214</v>
      </c>
      <c r="W389" t="s">
        <v>409</v>
      </c>
      <c r="X389" t="s">
        <v>76</v>
      </c>
      <c r="Y389" t="s">
        <v>410</v>
      </c>
      <c r="Z389">
        <v>8888</v>
      </c>
      <c r="AA389">
        <v>12</v>
      </c>
      <c r="AB389">
        <v>78</v>
      </c>
      <c r="AC389" t="s">
        <v>1500</v>
      </c>
      <c r="AD389" t="s">
        <v>1501</v>
      </c>
      <c r="AE389" t="s">
        <v>1502</v>
      </c>
      <c r="AF389" t="s">
        <v>1500</v>
      </c>
      <c r="AG389" t="s">
        <v>1501</v>
      </c>
      <c r="AH389" t="s">
        <v>3629</v>
      </c>
      <c r="AJ389" s="2">
        <v>45762.656481481485</v>
      </c>
      <c r="AK389" t="s">
        <v>1500</v>
      </c>
      <c r="AL389" t="s">
        <v>1168</v>
      </c>
      <c r="AM389" s="3">
        <v>1.5277777777777777</v>
      </c>
      <c r="AN389" t="s">
        <v>66</v>
      </c>
      <c r="AO389" t="s">
        <v>67</v>
      </c>
    </row>
    <row r="390" spans="1:41" x14ac:dyDescent="0.2">
      <c r="A390">
        <v>357488</v>
      </c>
      <c r="B390" t="s">
        <v>3625</v>
      </c>
      <c r="C390" t="s">
        <v>278</v>
      </c>
      <c r="D390" t="s">
        <v>3630</v>
      </c>
      <c r="E390" t="s">
        <v>3631</v>
      </c>
      <c r="J390" t="s">
        <v>45</v>
      </c>
      <c r="K390" t="s">
        <v>45</v>
      </c>
      <c r="L390" t="s">
        <v>72</v>
      </c>
      <c r="N390" t="s">
        <v>89</v>
      </c>
      <c r="O390" t="s">
        <v>48</v>
      </c>
      <c r="P390" t="s">
        <v>49</v>
      </c>
      <c r="Q390" t="s">
        <v>3632</v>
      </c>
      <c r="R390" t="s">
        <v>3633</v>
      </c>
      <c r="S390">
        <v>5700</v>
      </c>
      <c r="T390" t="s">
        <v>92</v>
      </c>
      <c r="U390" t="s">
        <v>3634</v>
      </c>
      <c r="V390" t="s">
        <v>3635</v>
      </c>
      <c r="W390" t="s">
        <v>3636</v>
      </c>
      <c r="X390" t="s">
        <v>92</v>
      </c>
      <c r="Y390" t="s">
        <v>96</v>
      </c>
      <c r="Z390">
        <v>11608</v>
      </c>
      <c r="AA390">
        <v>2</v>
      </c>
      <c r="AB390">
        <v>189</v>
      </c>
      <c r="AC390" t="s">
        <v>3637</v>
      </c>
      <c r="AD390" t="s">
        <v>3638</v>
      </c>
      <c r="AE390" t="s">
        <v>3639</v>
      </c>
      <c r="AJ390" s="2">
        <v>45330.726921296293</v>
      </c>
      <c r="AK390" t="s">
        <v>149</v>
      </c>
      <c r="AL390" t="s">
        <v>65</v>
      </c>
      <c r="AM390" s="3">
        <v>1.2638888888888888</v>
      </c>
      <c r="AN390" t="s">
        <v>66</v>
      </c>
      <c r="AO390" t="s">
        <v>67</v>
      </c>
    </row>
    <row r="391" spans="1:41" x14ac:dyDescent="0.2">
      <c r="A391">
        <v>369300</v>
      </c>
      <c r="B391" t="s">
        <v>3640</v>
      </c>
      <c r="C391" t="s">
        <v>118</v>
      </c>
      <c r="D391" t="s">
        <v>1410</v>
      </c>
      <c r="E391">
        <v>32590704</v>
      </c>
      <c r="F391">
        <v>20224</v>
      </c>
      <c r="G391" s="1">
        <v>34598</v>
      </c>
      <c r="H391" s="1">
        <v>45601</v>
      </c>
      <c r="I391" s="1">
        <v>46266</v>
      </c>
      <c r="J391" t="s">
        <v>45</v>
      </c>
      <c r="K391" t="s">
        <v>45</v>
      </c>
      <c r="L391" t="s">
        <v>429</v>
      </c>
      <c r="M391" s="1">
        <v>39923</v>
      </c>
      <c r="N391" t="s">
        <v>47</v>
      </c>
      <c r="O391" t="s">
        <v>48</v>
      </c>
      <c r="P391" t="s">
        <v>49</v>
      </c>
      <c r="Q391" t="s">
        <v>3641</v>
      </c>
      <c r="R391" t="s">
        <v>3642</v>
      </c>
      <c r="S391">
        <v>6334</v>
      </c>
      <c r="T391" t="s">
        <v>365</v>
      </c>
      <c r="U391" t="s">
        <v>815</v>
      </c>
      <c r="V391" t="s">
        <v>958</v>
      </c>
      <c r="W391" t="s">
        <v>367</v>
      </c>
      <c r="X391" t="s">
        <v>55</v>
      </c>
      <c r="Y391" t="s">
        <v>434</v>
      </c>
      <c r="Z391">
        <v>53</v>
      </c>
      <c r="AA391">
        <v>54</v>
      </c>
      <c r="AB391">
        <v>28</v>
      </c>
      <c r="AC391" t="s">
        <v>2717</v>
      </c>
      <c r="AD391" t="s">
        <v>2718</v>
      </c>
      <c r="AE391" t="s">
        <v>2719</v>
      </c>
      <c r="AF391" t="s">
        <v>2720</v>
      </c>
      <c r="AG391" t="s">
        <v>963</v>
      </c>
      <c r="AH391" t="s">
        <v>3643</v>
      </c>
      <c r="AI391" t="s">
        <v>179</v>
      </c>
      <c r="AJ391" s="2">
        <v>45734.536944444444</v>
      </c>
      <c r="AK391" t="s">
        <v>2717</v>
      </c>
      <c r="AL391" t="s">
        <v>65</v>
      </c>
      <c r="AM391" s="3">
        <v>1.4027777777777777</v>
      </c>
      <c r="AN391" t="s">
        <v>66</v>
      </c>
      <c r="AO391" t="s">
        <v>67</v>
      </c>
    </row>
    <row r="392" spans="1:41" x14ac:dyDescent="0.2">
      <c r="A392">
        <v>368782</v>
      </c>
      <c r="B392" t="s">
        <v>3644</v>
      </c>
      <c r="C392" t="s">
        <v>558</v>
      </c>
      <c r="D392" t="s">
        <v>1076</v>
      </c>
      <c r="E392" t="s">
        <v>3645</v>
      </c>
      <c r="F392">
        <v>261408</v>
      </c>
      <c r="G392" s="1">
        <v>40081</v>
      </c>
      <c r="H392" s="1">
        <v>45720</v>
      </c>
      <c r="I392" s="1">
        <v>46096</v>
      </c>
      <c r="J392" t="s">
        <v>45</v>
      </c>
      <c r="K392" t="s">
        <v>45</v>
      </c>
      <c r="L392" t="s">
        <v>46</v>
      </c>
      <c r="N392" t="s">
        <v>47</v>
      </c>
      <c r="O392" t="s">
        <v>48</v>
      </c>
      <c r="P392" t="s">
        <v>49</v>
      </c>
      <c r="Q392" t="s">
        <v>3646</v>
      </c>
      <c r="R392" t="s">
        <v>3647</v>
      </c>
      <c r="S392">
        <v>4593</v>
      </c>
      <c r="T392" t="s">
        <v>365</v>
      </c>
      <c r="U392" t="s">
        <v>562</v>
      </c>
      <c r="V392" t="s">
        <v>1881</v>
      </c>
      <c r="W392" t="s">
        <v>367</v>
      </c>
      <c r="X392" t="s">
        <v>493</v>
      </c>
      <c r="Y392" t="s">
        <v>434</v>
      </c>
      <c r="Z392">
        <v>2924</v>
      </c>
      <c r="AA392">
        <v>46</v>
      </c>
      <c r="AB392">
        <v>66</v>
      </c>
      <c r="AC392" t="s">
        <v>1882</v>
      </c>
      <c r="AD392" t="s">
        <v>1883</v>
      </c>
      <c r="AE392" t="s">
        <v>2988</v>
      </c>
      <c r="AI392" t="s">
        <v>3648</v>
      </c>
      <c r="AJ392" s="2">
        <v>45721.861145833333</v>
      </c>
      <c r="AK392" t="s">
        <v>501</v>
      </c>
      <c r="AL392" t="s">
        <v>65</v>
      </c>
      <c r="AM392" s="3">
        <v>2.1597222222222223</v>
      </c>
      <c r="AN392" t="s">
        <v>66</v>
      </c>
      <c r="AO392" t="s">
        <v>67</v>
      </c>
    </row>
    <row r="393" spans="1:41" x14ac:dyDescent="0.2">
      <c r="A393">
        <v>372989</v>
      </c>
      <c r="B393" t="s">
        <v>3649</v>
      </c>
      <c r="C393" t="s">
        <v>2298</v>
      </c>
      <c r="D393" t="s">
        <v>1001</v>
      </c>
      <c r="E393" t="s">
        <v>3650</v>
      </c>
      <c r="F393">
        <v>226102</v>
      </c>
      <c r="G393" s="1">
        <v>33162</v>
      </c>
      <c r="H393" s="1">
        <v>45673</v>
      </c>
      <c r="I393" s="1">
        <v>46037</v>
      </c>
      <c r="J393" t="s">
        <v>45</v>
      </c>
      <c r="K393" t="s">
        <v>45</v>
      </c>
      <c r="L393" t="s">
        <v>46</v>
      </c>
      <c r="M393" s="1">
        <v>44740</v>
      </c>
      <c r="N393" t="s">
        <v>47</v>
      </c>
      <c r="O393" t="s">
        <v>48</v>
      </c>
      <c r="P393" t="s">
        <v>49</v>
      </c>
      <c r="Q393" t="s">
        <v>3651</v>
      </c>
      <c r="R393" t="s">
        <v>3652</v>
      </c>
      <c r="S393">
        <v>447</v>
      </c>
      <c r="T393" t="s">
        <v>52</v>
      </c>
      <c r="U393">
        <v>8</v>
      </c>
      <c r="V393" t="s">
        <v>2302</v>
      </c>
      <c r="W393" t="s">
        <v>54</v>
      </c>
      <c r="X393" t="s">
        <v>76</v>
      </c>
      <c r="Y393" t="s">
        <v>56</v>
      </c>
      <c r="Z393">
        <v>1047</v>
      </c>
      <c r="AA393">
        <v>41</v>
      </c>
      <c r="AB393">
        <v>160</v>
      </c>
      <c r="AC393" t="s">
        <v>3653</v>
      </c>
      <c r="AD393" t="s">
        <v>2304</v>
      </c>
      <c r="AE393" t="s">
        <v>2305</v>
      </c>
      <c r="AI393" t="s">
        <v>2304</v>
      </c>
      <c r="AJ393" s="2">
        <v>45855.983032407406</v>
      </c>
      <c r="AK393" t="s">
        <v>556</v>
      </c>
      <c r="AL393" t="s">
        <v>65</v>
      </c>
      <c r="AM393" s="4">
        <v>0.22916666666666666</v>
      </c>
      <c r="AN393" t="s">
        <v>66</v>
      </c>
      <c r="AO393" t="s">
        <v>67</v>
      </c>
    </row>
    <row r="394" spans="1:41" x14ac:dyDescent="0.2">
      <c r="A394">
        <v>368904</v>
      </c>
      <c r="B394" t="s">
        <v>3654</v>
      </c>
      <c r="C394" t="s">
        <v>558</v>
      </c>
      <c r="D394" t="s">
        <v>1743</v>
      </c>
      <c r="E394" t="s">
        <v>3655</v>
      </c>
      <c r="F394">
        <v>260113</v>
      </c>
      <c r="G394" s="1">
        <v>33520</v>
      </c>
      <c r="H394" s="1">
        <v>45585</v>
      </c>
      <c r="I394" s="1">
        <v>45931</v>
      </c>
      <c r="J394" t="s">
        <v>45</v>
      </c>
      <c r="K394" t="s">
        <v>45</v>
      </c>
      <c r="L394" t="s">
        <v>429</v>
      </c>
      <c r="M394" s="1">
        <v>39359</v>
      </c>
      <c r="N394" t="s">
        <v>47</v>
      </c>
      <c r="O394" t="s">
        <v>48</v>
      </c>
      <c r="P394" t="s">
        <v>49</v>
      </c>
      <c r="Q394" t="s">
        <v>3656</v>
      </c>
      <c r="R394" t="s">
        <v>3657</v>
      </c>
      <c r="S394">
        <v>3940</v>
      </c>
      <c r="T394" t="s">
        <v>365</v>
      </c>
      <c r="U394" t="s">
        <v>562</v>
      </c>
      <c r="V394" t="s">
        <v>1746</v>
      </c>
      <c r="W394" t="s">
        <v>367</v>
      </c>
      <c r="X394" t="s">
        <v>493</v>
      </c>
      <c r="Y394" t="s">
        <v>434</v>
      </c>
      <c r="Z394">
        <v>99</v>
      </c>
      <c r="AA394">
        <v>60</v>
      </c>
      <c r="AB394">
        <v>66</v>
      </c>
      <c r="AC394" t="s">
        <v>1747</v>
      </c>
      <c r="AD394" t="s">
        <v>2887</v>
      </c>
      <c r="AE394" t="s">
        <v>3658</v>
      </c>
      <c r="AI394" t="s">
        <v>500</v>
      </c>
      <c r="AJ394" s="2">
        <v>45722.902719907404</v>
      </c>
      <c r="AK394" t="s">
        <v>501</v>
      </c>
      <c r="AL394" t="s">
        <v>65</v>
      </c>
      <c r="AM394" s="3">
        <v>2.4930555555555554</v>
      </c>
      <c r="AN394" t="s">
        <v>66</v>
      </c>
      <c r="AO394" t="s">
        <v>67</v>
      </c>
    </row>
    <row r="395" spans="1:41" x14ac:dyDescent="0.2">
      <c r="A395">
        <v>369039</v>
      </c>
      <c r="B395" t="s">
        <v>3659</v>
      </c>
      <c r="C395" t="s">
        <v>662</v>
      </c>
      <c r="D395" t="s">
        <v>3660</v>
      </c>
      <c r="E395" t="s">
        <v>3661</v>
      </c>
      <c r="F395">
        <v>419408</v>
      </c>
      <c r="G395" s="1">
        <v>45719</v>
      </c>
      <c r="H395" s="1">
        <v>45609</v>
      </c>
      <c r="I395" s="1">
        <v>45931</v>
      </c>
      <c r="J395" t="s">
        <v>45</v>
      </c>
      <c r="K395" t="s">
        <v>45</v>
      </c>
      <c r="L395" t="s">
        <v>46</v>
      </c>
      <c r="M395" s="1">
        <v>43503</v>
      </c>
      <c r="N395" t="s">
        <v>47</v>
      </c>
      <c r="O395" t="s">
        <v>48</v>
      </c>
      <c r="P395" t="s">
        <v>49</v>
      </c>
      <c r="Q395" t="s">
        <v>3662</v>
      </c>
      <c r="R395" t="s">
        <v>3663</v>
      </c>
      <c r="S395">
        <v>2050</v>
      </c>
      <c r="T395" t="s">
        <v>92</v>
      </c>
      <c r="U395" t="s">
        <v>1197</v>
      </c>
      <c r="V395" t="s">
        <v>1198</v>
      </c>
      <c r="W395" t="s">
        <v>1199</v>
      </c>
      <c r="X395" t="s">
        <v>52</v>
      </c>
      <c r="Y395" t="s">
        <v>110</v>
      </c>
      <c r="Z395">
        <v>2091</v>
      </c>
      <c r="AA395">
        <v>47</v>
      </c>
      <c r="AB395">
        <v>158</v>
      </c>
      <c r="AC395" t="s">
        <v>1200</v>
      </c>
      <c r="AD395" t="s">
        <v>1201</v>
      </c>
      <c r="AE395" t="s">
        <v>1202</v>
      </c>
      <c r="AF395" t="s">
        <v>1727</v>
      </c>
      <c r="AG395" t="s">
        <v>1728</v>
      </c>
      <c r="AH395" t="s">
        <v>1729</v>
      </c>
      <c r="AJ395" s="2">
        <v>45724.755185185182</v>
      </c>
      <c r="AK395" t="s">
        <v>1200</v>
      </c>
      <c r="AL395" t="s">
        <v>65</v>
      </c>
      <c r="AM395" s="4">
        <v>0.1388888888888889</v>
      </c>
      <c r="AN395" t="s">
        <v>66</v>
      </c>
      <c r="AO395" t="s">
        <v>67</v>
      </c>
    </row>
    <row r="396" spans="1:41" x14ac:dyDescent="0.2">
      <c r="A396">
        <v>371804</v>
      </c>
      <c r="B396" t="s">
        <v>3664</v>
      </c>
      <c r="C396" t="s">
        <v>692</v>
      </c>
      <c r="D396" t="s">
        <v>2256</v>
      </c>
      <c r="E396" t="s">
        <v>3665</v>
      </c>
      <c r="G396" s="1">
        <v>45819</v>
      </c>
      <c r="H396" s="1">
        <v>45686</v>
      </c>
      <c r="I396" s="1">
        <v>46054</v>
      </c>
      <c r="J396" t="s">
        <v>45</v>
      </c>
      <c r="K396" t="s">
        <v>45</v>
      </c>
      <c r="L396" t="s">
        <v>72</v>
      </c>
      <c r="N396" t="s">
        <v>47</v>
      </c>
      <c r="O396" t="s">
        <v>121</v>
      </c>
      <c r="P396" t="s">
        <v>49</v>
      </c>
      <c r="Q396" t="s">
        <v>3666</v>
      </c>
      <c r="R396" t="s">
        <v>3667</v>
      </c>
      <c r="S396">
        <v>4080</v>
      </c>
      <c r="T396" t="s">
        <v>365</v>
      </c>
      <c r="U396" t="s">
        <v>432</v>
      </c>
      <c r="V396" t="s">
        <v>3668</v>
      </c>
      <c r="W396" t="s">
        <v>367</v>
      </c>
      <c r="X396" t="s">
        <v>76</v>
      </c>
      <c r="Y396" t="s">
        <v>125</v>
      </c>
      <c r="Z396">
        <v>12141</v>
      </c>
      <c r="AA396">
        <v>21</v>
      </c>
      <c r="AB396">
        <v>210</v>
      </c>
      <c r="AC396" t="s">
        <v>3669</v>
      </c>
      <c r="AD396" t="s">
        <v>3670</v>
      </c>
      <c r="AE396" t="s">
        <v>3671</v>
      </c>
      <c r="AF396" t="s">
        <v>3672</v>
      </c>
      <c r="AG396" t="s">
        <v>3673</v>
      </c>
      <c r="AH396" t="s">
        <v>3674</v>
      </c>
      <c r="AJ396" s="2">
        <v>45819.826585648145</v>
      </c>
      <c r="AK396" t="s">
        <v>1167</v>
      </c>
      <c r="AL396" t="s">
        <v>65</v>
      </c>
      <c r="AM396" s="3">
        <v>1.3819444444444444</v>
      </c>
      <c r="AN396" t="s">
        <v>66</v>
      </c>
      <c r="AO396" t="s">
        <v>67</v>
      </c>
    </row>
    <row r="397" spans="1:41" x14ac:dyDescent="0.2">
      <c r="A397">
        <v>372494</v>
      </c>
      <c r="B397" t="s">
        <v>3675</v>
      </c>
      <c r="C397" t="s">
        <v>69</v>
      </c>
      <c r="D397" t="s">
        <v>3676</v>
      </c>
      <c r="E397" t="s">
        <v>3677</v>
      </c>
      <c r="F397">
        <v>103704</v>
      </c>
      <c r="G397" s="1">
        <v>35265</v>
      </c>
      <c r="H397" s="1">
        <v>45833</v>
      </c>
      <c r="I397" s="1">
        <v>46188</v>
      </c>
      <c r="J397" t="s">
        <v>45</v>
      </c>
      <c r="K397" t="s">
        <v>45</v>
      </c>
      <c r="L397" t="s">
        <v>429</v>
      </c>
      <c r="M397" s="1">
        <v>38546</v>
      </c>
      <c r="N397" t="s">
        <v>47</v>
      </c>
      <c r="O397" t="s">
        <v>48</v>
      </c>
      <c r="P397" t="s">
        <v>49</v>
      </c>
      <c r="Q397" t="s">
        <v>3678</v>
      </c>
      <c r="R397" t="s">
        <v>3679</v>
      </c>
      <c r="S397">
        <v>6418</v>
      </c>
      <c r="T397" t="s">
        <v>365</v>
      </c>
      <c r="U397" t="s">
        <v>532</v>
      </c>
      <c r="V397" t="s">
        <v>936</v>
      </c>
      <c r="W397" t="s">
        <v>367</v>
      </c>
      <c r="X397" t="s">
        <v>76</v>
      </c>
      <c r="Y397" t="s">
        <v>434</v>
      </c>
      <c r="Z397">
        <v>163</v>
      </c>
      <c r="AA397">
        <v>59</v>
      </c>
      <c r="AB397">
        <v>146</v>
      </c>
      <c r="AC397" t="s">
        <v>937</v>
      </c>
      <c r="AD397" t="s">
        <v>938</v>
      </c>
      <c r="AE397" t="s">
        <v>939</v>
      </c>
      <c r="AI397" t="s">
        <v>179</v>
      </c>
      <c r="AJ397" s="2">
        <v>45840.911087962966</v>
      </c>
      <c r="AK397" t="s">
        <v>1999</v>
      </c>
      <c r="AL397" t="s">
        <v>65</v>
      </c>
      <c r="AM397" s="4">
        <v>0.89583333333333337</v>
      </c>
      <c r="AN397" t="s">
        <v>66</v>
      </c>
      <c r="AO397" t="s">
        <v>67</v>
      </c>
    </row>
    <row r="398" spans="1:41" x14ac:dyDescent="0.2">
      <c r="A398">
        <v>368908</v>
      </c>
      <c r="B398" t="s">
        <v>3680</v>
      </c>
      <c r="C398" t="s">
        <v>182</v>
      </c>
      <c r="D398" t="s">
        <v>2295</v>
      </c>
      <c r="E398" t="s">
        <v>3681</v>
      </c>
      <c r="F398">
        <v>40728</v>
      </c>
      <c r="G398" s="1">
        <v>33521</v>
      </c>
      <c r="H398" s="1">
        <v>45580</v>
      </c>
      <c r="I398" s="1">
        <v>45931</v>
      </c>
      <c r="J398" t="s">
        <v>45</v>
      </c>
      <c r="K398" t="s">
        <v>45</v>
      </c>
      <c r="L398" t="s">
        <v>429</v>
      </c>
      <c r="M398" s="1">
        <v>45260</v>
      </c>
      <c r="N398" t="s">
        <v>47</v>
      </c>
      <c r="O398" t="s">
        <v>48</v>
      </c>
      <c r="P398" t="s">
        <v>49</v>
      </c>
      <c r="Q398" t="s">
        <v>3682</v>
      </c>
      <c r="R398" t="s">
        <v>3683</v>
      </c>
      <c r="S398">
        <v>4678</v>
      </c>
      <c r="T398" t="s">
        <v>365</v>
      </c>
      <c r="U398" t="s">
        <v>562</v>
      </c>
      <c r="V398" t="s">
        <v>1746</v>
      </c>
      <c r="W398" t="s">
        <v>367</v>
      </c>
      <c r="X398" t="s">
        <v>493</v>
      </c>
      <c r="Y398" t="s">
        <v>434</v>
      </c>
      <c r="Z398">
        <v>100</v>
      </c>
      <c r="AA398">
        <v>62</v>
      </c>
      <c r="AB398">
        <v>142</v>
      </c>
      <c r="AC398" t="s">
        <v>1747</v>
      </c>
      <c r="AD398" t="s">
        <v>2887</v>
      </c>
      <c r="AE398" t="s">
        <v>1749</v>
      </c>
      <c r="AI398" t="s">
        <v>500</v>
      </c>
      <c r="AJ398" s="2">
        <v>45722.906805555554</v>
      </c>
      <c r="AK398" t="s">
        <v>1472</v>
      </c>
      <c r="AL398" t="s">
        <v>65</v>
      </c>
      <c r="AM398" s="3">
        <v>1.6666666666666667</v>
      </c>
      <c r="AN398" t="s">
        <v>66</v>
      </c>
      <c r="AO398" t="s">
        <v>67</v>
      </c>
    </row>
    <row r="399" spans="1:41" x14ac:dyDescent="0.2">
      <c r="A399">
        <v>370405</v>
      </c>
      <c r="B399" t="s">
        <v>3684</v>
      </c>
      <c r="C399" t="s">
        <v>69</v>
      </c>
      <c r="D399" t="s">
        <v>3685</v>
      </c>
      <c r="E399" t="s">
        <v>3686</v>
      </c>
      <c r="F399">
        <v>104006</v>
      </c>
      <c r="G399" s="1">
        <v>35271</v>
      </c>
      <c r="H399" s="1">
        <v>45771</v>
      </c>
      <c r="I399" s="1">
        <v>46174</v>
      </c>
      <c r="J399" t="s">
        <v>45</v>
      </c>
      <c r="K399" t="s">
        <v>45</v>
      </c>
      <c r="L399" t="s">
        <v>429</v>
      </c>
      <c r="M399" s="1">
        <v>44697</v>
      </c>
      <c r="N399" t="s">
        <v>47</v>
      </c>
      <c r="O399" t="s">
        <v>48</v>
      </c>
      <c r="P399" t="s">
        <v>49</v>
      </c>
      <c r="Q399" t="s">
        <v>3687</v>
      </c>
      <c r="R399" t="s">
        <v>3688</v>
      </c>
      <c r="S399">
        <v>5700</v>
      </c>
      <c r="T399" t="s">
        <v>365</v>
      </c>
      <c r="U399" t="s">
        <v>532</v>
      </c>
      <c r="V399" t="s">
        <v>3689</v>
      </c>
      <c r="W399" t="s">
        <v>367</v>
      </c>
      <c r="X399" t="s">
        <v>76</v>
      </c>
      <c r="Y399" t="s">
        <v>434</v>
      </c>
      <c r="Z399">
        <v>165</v>
      </c>
      <c r="AA399">
        <v>70</v>
      </c>
      <c r="AB399">
        <v>166</v>
      </c>
      <c r="AC399" t="s">
        <v>3690</v>
      </c>
      <c r="AD399" t="s">
        <v>3691</v>
      </c>
      <c r="AE399" t="s">
        <v>3692</v>
      </c>
      <c r="AF399" t="s">
        <v>3693</v>
      </c>
      <c r="AG399" t="s">
        <v>3694</v>
      </c>
      <c r="AH399" t="s">
        <v>3695</v>
      </c>
      <c r="AI399" t="s">
        <v>179</v>
      </c>
      <c r="AJ399" s="2">
        <v>45775.575428240743</v>
      </c>
      <c r="AK399" t="s">
        <v>568</v>
      </c>
      <c r="AL399" t="s">
        <v>65</v>
      </c>
      <c r="AM399" s="3">
        <v>2.2916666666666665</v>
      </c>
      <c r="AN399" t="s">
        <v>66</v>
      </c>
      <c r="AO399" t="s">
        <v>67</v>
      </c>
    </row>
    <row r="400" spans="1:41" x14ac:dyDescent="0.2">
      <c r="A400">
        <v>364913</v>
      </c>
      <c r="B400" t="s">
        <v>3696</v>
      </c>
      <c r="C400" t="s">
        <v>692</v>
      </c>
      <c r="D400" t="s">
        <v>3697</v>
      </c>
      <c r="E400">
        <v>32304060</v>
      </c>
      <c r="F400">
        <v>480403</v>
      </c>
      <c r="G400" s="1">
        <v>34108</v>
      </c>
      <c r="H400" s="1">
        <v>45562</v>
      </c>
      <c r="I400" s="1">
        <v>46280</v>
      </c>
      <c r="J400" t="s">
        <v>45</v>
      </c>
      <c r="K400" t="s">
        <v>45</v>
      </c>
      <c r="L400" t="s">
        <v>429</v>
      </c>
      <c r="M400" s="1">
        <v>44781</v>
      </c>
      <c r="N400" t="s">
        <v>47</v>
      </c>
      <c r="O400" t="s">
        <v>48</v>
      </c>
      <c r="P400" t="s">
        <v>49</v>
      </c>
      <c r="Q400" t="s">
        <v>3698</v>
      </c>
      <c r="R400" t="s">
        <v>3699</v>
      </c>
      <c r="S400">
        <v>7938</v>
      </c>
      <c r="T400" t="s">
        <v>52</v>
      </c>
      <c r="U400">
        <v>2</v>
      </c>
      <c r="V400" t="s">
        <v>2248</v>
      </c>
      <c r="W400" t="s">
        <v>54</v>
      </c>
      <c r="X400" t="s">
        <v>76</v>
      </c>
      <c r="Y400" t="s">
        <v>56</v>
      </c>
      <c r="Z400">
        <v>569</v>
      </c>
      <c r="AA400">
        <v>60</v>
      </c>
      <c r="AB400">
        <v>66</v>
      </c>
      <c r="AC400" t="s">
        <v>2249</v>
      </c>
      <c r="AD400" t="s">
        <v>2261</v>
      </c>
      <c r="AE400" t="s">
        <v>2251</v>
      </c>
      <c r="AF400" t="s">
        <v>3700</v>
      </c>
      <c r="AG400" t="s">
        <v>3701</v>
      </c>
      <c r="AH400" t="s">
        <v>3702</v>
      </c>
      <c r="AI400" t="s">
        <v>3703</v>
      </c>
      <c r="AJ400" s="2">
        <v>45565.531967592593</v>
      </c>
      <c r="AK400" t="s">
        <v>568</v>
      </c>
      <c r="AL400" t="s">
        <v>65</v>
      </c>
      <c r="AM400" s="4">
        <v>0.19444444444444445</v>
      </c>
      <c r="AN400" t="s">
        <v>66</v>
      </c>
      <c r="AO400" t="s">
        <v>67</v>
      </c>
    </row>
    <row r="401" spans="1:41" x14ac:dyDescent="0.2">
      <c r="A401">
        <v>367334</v>
      </c>
      <c r="B401" t="s">
        <v>1611</v>
      </c>
      <c r="C401" t="s">
        <v>1000</v>
      </c>
      <c r="D401" t="s">
        <v>3704</v>
      </c>
      <c r="E401" t="s">
        <v>3705</v>
      </c>
      <c r="F401">
        <v>402102</v>
      </c>
      <c r="G401" s="1">
        <v>37918</v>
      </c>
      <c r="H401" s="1">
        <v>45630</v>
      </c>
      <c r="J401" t="s">
        <v>45</v>
      </c>
      <c r="K401" t="s">
        <v>45</v>
      </c>
      <c r="L401" t="s">
        <v>72</v>
      </c>
      <c r="M401" s="1">
        <v>45630</v>
      </c>
      <c r="N401" t="s">
        <v>47</v>
      </c>
      <c r="O401" t="s">
        <v>48</v>
      </c>
      <c r="P401" t="s">
        <v>49</v>
      </c>
      <c r="Q401" t="s">
        <v>3706</v>
      </c>
      <c r="R401" t="s">
        <v>3707</v>
      </c>
      <c r="S401">
        <v>706</v>
      </c>
      <c r="T401" t="s">
        <v>92</v>
      </c>
      <c r="U401" t="s">
        <v>1005</v>
      </c>
      <c r="V401" t="s">
        <v>590</v>
      </c>
      <c r="W401" t="s">
        <v>1006</v>
      </c>
      <c r="X401" t="s">
        <v>92</v>
      </c>
      <c r="Y401" t="s">
        <v>770</v>
      </c>
      <c r="Z401">
        <v>2418</v>
      </c>
      <c r="AA401">
        <v>35</v>
      </c>
      <c r="AB401">
        <v>144</v>
      </c>
      <c r="AC401" t="s">
        <v>3708</v>
      </c>
      <c r="AD401" t="s">
        <v>3709</v>
      </c>
      <c r="AE401" t="s">
        <v>3710</v>
      </c>
      <c r="AF401" t="s">
        <v>1011</v>
      </c>
      <c r="AG401" t="s">
        <v>1010</v>
      </c>
      <c r="AH401" t="s">
        <v>3711</v>
      </c>
      <c r="AJ401" s="2">
        <v>45672.268136574072</v>
      </c>
      <c r="AK401" t="s">
        <v>1011</v>
      </c>
      <c r="AL401" t="s">
        <v>65</v>
      </c>
      <c r="AM401" s="4">
        <v>0.28472222222222221</v>
      </c>
      <c r="AN401" t="s">
        <v>66</v>
      </c>
      <c r="AO401" t="s">
        <v>67</v>
      </c>
    </row>
    <row r="402" spans="1:41" x14ac:dyDescent="0.2">
      <c r="A402">
        <v>356715</v>
      </c>
      <c r="B402" t="s">
        <v>3712</v>
      </c>
      <c r="C402" t="s">
        <v>182</v>
      </c>
      <c r="D402" t="s">
        <v>811</v>
      </c>
      <c r="E402" t="s">
        <v>3713</v>
      </c>
      <c r="F402">
        <v>45125</v>
      </c>
      <c r="G402" s="1">
        <v>33500</v>
      </c>
      <c r="H402" s="1">
        <v>44903</v>
      </c>
      <c r="I402" s="1">
        <v>45945</v>
      </c>
      <c r="J402" t="s">
        <v>45</v>
      </c>
      <c r="K402" t="s">
        <v>45</v>
      </c>
      <c r="L402" t="s">
        <v>72</v>
      </c>
      <c r="M402" s="1">
        <v>42045</v>
      </c>
      <c r="N402" t="s">
        <v>47</v>
      </c>
      <c r="O402" t="s">
        <v>48</v>
      </c>
      <c r="P402" t="s">
        <v>49</v>
      </c>
      <c r="Q402" t="s">
        <v>3714</v>
      </c>
      <c r="R402" t="s">
        <v>3715</v>
      </c>
      <c r="S402">
        <v>6284</v>
      </c>
      <c r="T402" t="s">
        <v>365</v>
      </c>
      <c r="U402" t="s">
        <v>815</v>
      </c>
      <c r="V402" t="s">
        <v>816</v>
      </c>
      <c r="W402" t="s">
        <v>367</v>
      </c>
      <c r="X402" t="s">
        <v>493</v>
      </c>
      <c r="Y402" t="s">
        <v>434</v>
      </c>
      <c r="Z402">
        <v>90</v>
      </c>
      <c r="AA402">
        <v>49</v>
      </c>
      <c r="AB402">
        <v>166</v>
      </c>
      <c r="AC402" t="s">
        <v>817</v>
      </c>
      <c r="AD402" t="s">
        <v>818</v>
      </c>
      <c r="AE402" t="s">
        <v>819</v>
      </c>
      <c r="AF402" t="s">
        <v>820</v>
      </c>
      <c r="AH402" t="s">
        <v>821</v>
      </c>
      <c r="AI402" t="s">
        <v>179</v>
      </c>
      <c r="AJ402" s="2">
        <v>45316.816481481481</v>
      </c>
      <c r="AK402" t="s">
        <v>403</v>
      </c>
      <c r="AL402" t="s">
        <v>65</v>
      </c>
      <c r="AM402" s="3">
        <v>2.1388888888888888</v>
      </c>
      <c r="AN402" t="s">
        <v>66</v>
      </c>
      <c r="AO402" t="s">
        <v>67</v>
      </c>
    </row>
    <row r="403" spans="1:41" x14ac:dyDescent="0.2">
      <c r="A403">
        <v>367118</v>
      </c>
      <c r="B403" t="s">
        <v>3716</v>
      </c>
      <c r="C403" t="s">
        <v>735</v>
      </c>
      <c r="D403" t="s">
        <v>736</v>
      </c>
      <c r="E403" t="s">
        <v>3717</v>
      </c>
      <c r="F403">
        <v>245506</v>
      </c>
      <c r="G403" s="1">
        <v>39753</v>
      </c>
      <c r="H403" s="1">
        <v>45569</v>
      </c>
      <c r="I403" s="1">
        <v>45915</v>
      </c>
      <c r="J403" t="s">
        <v>45</v>
      </c>
      <c r="K403" t="s">
        <v>45</v>
      </c>
      <c r="L403" t="s">
        <v>72</v>
      </c>
      <c r="M403" s="1">
        <v>45660</v>
      </c>
      <c r="N403" t="s">
        <v>47</v>
      </c>
      <c r="O403" t="s">
        <v>48</v>
      </c>
      <c r="P403" t="s">
        <v>49</v>
      </c>
      <c r="Q403" t="s">
        <v>3718</v>
      </c>
      <c r="R403" t="s">
        <v>3719</v>
      </c>
      <c r="S403">
        <v>6954</v>
      </c>
      <c r="T403" t="s">
        <v>52</v>
      </c>
      <c r="U403">
        <v>1</v>
      </c>
      <c r="V403" t="s">
        <v>740</v>
      </c>
      <c r="W403" t="s">
        <v>54</v>
      </c>
      <c r="X403" t="s">
        <v>76</v>
      </c>
      <c r="Y403" t="s">
        <v>56</v>
      </c>
      <c r="Z403">
        <v>3018</v>
      </c>
      <c r="AA403">
        <v>42</v>
      </c>
      <c r="AB403">
        <v>166</v>
      </c>
      <c r="AC403" t="s">
        <v>3720</v>
      </c>
      <c r="AD403" t="s">
        <v>3721</v>
      </c>
      <c r="AE403" t="s">
        <v>3722</v>
      </c>
      <c r="AF403" t="s">
        <v>741</v>
      </c>
      <c r="AG403" t="s">
        <v>742</v>
      </c>
      <c r="AH403" t="s">
        <v>2073</v>
      </c>
      <c r="AI403" t="s">
        <v>3723</v>
      </c>
      <c r="AJ403" s="2">
        <v>45660.898680555554</v>
      </c>
      <c r="AK403" t="s">
        <v>3724</v>
      </c>
      <c r="AL403" t="s">
        <v>65</v>
      </c>
      <c r="AM403" s="3">
        <v>1.8263888888888888</v>
      </c>
      <c r="AN403" t="s">
        <v>66</v>
      </c>
      <c r="AO403" t="s">
        <v>67</v>
      </c>
    </row>
    <row r="404" spans="1:41" x14ac:dyDescent="0.2">
      <c r="A404">
        <v>372910</v>
      </c>
      <c r="B404" t="s">
        <v>3725</v>
      </c>
      <c r="C404" t="s">
        <v>167</v>
      </c>
      <c r="D404" t="s">
        <v>1603</v>
      </c>
      <c r="E404" t="s">
        <v>3726</v>
      </c>
      <c r="F404">
        <v>353044</v>
      </c>
      <c r="G404" s="1">
        <v>30987</v>
      </c>
      <c r="H404" s="1">
        <v>45715</v>
      </c>
      <c r="I404" s="1">
        <v>46054</v>
      </c>
      <c r="J404" t="s">
        <v>45</v>
      </c>
      <c r="K404" t="s">
        <v>45</v>
      </c>
      <c r="L404" t="s">
        <v>429</v>
      </c>
      <c r="M404" s="1">
        <v>42208</v>
      </c>
      <c r="N404" t="s">
        <v>47</v>
      </c>
      <c r="O404" t="s">
        <v>48</v>
      </c>
      <c r="P404" t="s">
        <v>49</v>
      </c>
      <c r="Q404" t="s">
        <v>3727</v>
      </c>
      <c r="R404" t="s">
        <v>3728</v>
      </c>
      <c r="S404">
        <v>2955</v>
      </c>
      <c r="T404" t="s">
        <v>365</v>
      </c>
      <c r="U404" t="s">
        <v>532</v>
      </c>
      <c r="V404" t="s">
        <v>3729</v>
      </c>
      <c r="W404" t="s">
        <v>367</v>
      </c>
      <c r="X404" t="s">
        <v>76</v>
      </c>
      <c r="Y404" t="s">
        <v>434</v>
      </c>
      <c r="Z404">
        <v>296</v>
      </c>
      <c r="AA404">
        <v>70</v>
      </c>
      <c r="AB404">
        <v>166</v>
      </c>
      <c r="AC404" t="s">
        <v>3730</v>
      </c>
      <c r="AD404" t="s">
        <v>3731</v>
      </c>
      <c r="AE404" t="s">
        <v>3732</v>
      </c>
      <c r="AI404" t="s">
        <v>179</v>
      </c>
      <c r="AJ404" s="2">
        <v>45855.891076388885</v>
      </c>
      <c r="AK404" t="s">
        <v>556</v>
      </c>
      <c r="AL404" t="s">
        <v>65</v>
      </c>
      <c r="AM404" s="3">
        <v>1.4583333333333333</v>
      </c>
      <c r="AN404" t="s">
        <v>66</v>
      </c>
      <c r="AO404" t="s">
        <v>67</v>
      </c>
    </row>
    <row r="405" spans="1:41" x14ac:dyDescent="0.2">
      <c r="A405">
        <v>365900</v>
      </c>
      <c r="B405" t="s">
        <v>3733</v>
      </c>
      <c r="C405" t="s">
        <v>2962</v>
      </c>
      <c r="D405" t="s">
        <v>3734</v>
      </c>
      <c r="E405" t="s">
        <v>3735</v>
      </c>
      <c r="F405">
        <v>336701</v>
      </c>
      <c r="G405" s="1">
        <v>44836</v>
      </c>
      <c r="H405" s="1">
        <v>45594</v>
      </c>
      <c r="I405" s="1">
        <v>45945</v>
      </c>
      <c r="J405" t="s">
        <v>45</v>
      </c>
      <c r="K405" t="s">
        <v>45</v>
      </c>
      <c r="L405" t="s">
        <v>72</v>
      </c>
      <c r="N405" t="s">
        <v>47</v>
      </c>
      <c r="O405" t="s">
        <v>48</v>
      </c>
      <c r="P405" t="s">
        <v>49</v>
      </c>
      <c r="Q405" t="s">
        <v>3736</v>
      </c>
      <c r="R405" t="s">
        <v>3737</v>
      </c>
      <c r="S405">
        <v>1035</v>
      </c>
      <c r="T405" t="s">
        <v>92</v>
      </c>
      <c r="U405" t="s">
        <v>2967</v>
      </c>
      <c r="V405" t="s">
        <v>2968</v>
      </c>
      <c r="W405" t="s">
        <v>2969</v>
      </c>
      <c r="X405" t="s">
        <v>76</v>
      </c>
      <c r="Y405" t="s">
        <v>56</v>
      </c>
      <c r="Z405">
        <v>11847</v>
      </c>
      <c r="AA405">
        <v>11</v>
      </c>
      <c r="AB405">
        <v>189</v>
      </c>
      <c r="AC405" t="s">
        <v>2970</v>
      </c>
      <c r="AD405" t="s">
        <v>2971</v>
      </c>
      <c r="AE405" t="s">
        <v>2972</v>
      </c>
      <c r="AF405" t="s">
        <v>2973</v>
      </c>
      <c r="AG405" t="s">
        <v>2974</v>
      </c>
      <c r="AH405" t="s">
        <v>2975</v>
      </c>
      <c r="AI405" t="s">
        <v>2976</v>
      </c>
      <c r="AJ405" s="2">
        <v>45594.966932870368</v>
      </c>
      <c r="AK405" t="s">
        <v>3738</v>
      </c>
      <c r="AL405" t="s">
        <v>65</v>
      </c>
      <c r="AM405" s="3">
        <v>1.46875</v>
      </c>
      <c r="AN405" t="s">
        <v>66</v>
      </c>
      <c r="AO405" t="s">
        <v>101</v>
      </c>
    </row>
    <row r="406" spans="1:41" x14ac:dyDescent="0.2">
      <c r="A406">
        <v>362625</v>
      </c>
      <c r="B406" t="s">
        <v>3739</v>
      </c>
      <c r="C406" t="s">
        <v>692</v>
      </c>
      <c r="D406" t="s">
        <v>1419</v>
      </c>
      <c r="E406" t="s">
        <v>3740</v>
      </c>
      <c r="F406">
        <v>480707</v>
      </c>
      <c r="G406" s="1">
        <v>35333</v>
      </c>
      <c r="H406" s="1">
        <v>45491</v>
      </c>
      <c r="I406" s="1">
        <v>46204</v>
      </c>
      <c r="J406" t="s">
        <v>45</v>
      </c>
      <c r="K406" t="s">
        <v>45</v>
      </c>
      <c r="L406" t="s">
        <v>72</v>
      </c>
      <c r="M406" s="1">
        <v>41416</v>
      </c>
      <c r="N406" t="s">
        <v>47</v>
      </c>
      <c r="O406" t="s">
        <v>48</v>
      </c>
      <c r="P406" t="s">
        <v>49</v>
      </c>
      <c r="Q406" t="s">
        <v>3741</v>
      </c>
      <c r="R406" t="s">
        <v>3742</v>
      </c>
      <c r="S406">
        <v>7251</v>
      </c>
      <c r="T406" t="s">
        <v>52</v>
      </c>
      <c r="U406">
        <v>4</v>
      </c>
      <c r="V406" t="s">
        <v>1423</v>
      </c>
      <c r="W406" t="s">
        <v>54</v>
      </c>
      <c r="X406" t="s">
        <v>76</v>
      </c>
      <c r="Y406" t="s">
        <v>56</v>
      </c>
      <c r="Z406">
        <v>647</v>
      </c>
      <c r="AA406">
        <v>55</v>
      </c>
      <c r="AB406">
        <v>138</v>
      </c>
      <c r="AC406" t="s">
        <v>3743</v>
      </c>
      <c r="AD406" t="s">
        <v>1425</v>
      </c>
      <c r="AE406" t="s">
        <v>1426</v>
      </c>
      <c r="AF406" t="s">
        <v>3743</v>
      </c>
      <c r="AG406" t="s">
        <v>1425</v>
      </c>
      <c r="AH406" t="s">
        <v>3744</v>
      </c>
      <c r="AI406" t="s">
        <v>3745</v>
      </c>
      <c r="AJ406" s="2">
        <v>45492.03738425926</v>
      </c>
      <c r="AK406" t="s">
        <v>132</v>
      </c>
      <c r="AL406" t="s">
        <v>65</v>
      </c>
      <c r="AM406" s="3">
        <v>2.1736111111111112</v>
      </c>
      <c r="AN406" t="s">
        <v>66</v>
      </c>
      <c r="AO406" t="s">
        <v>67</v>
      </c>
    </row>
    <row r="407" spans="1:41" x14ac:dyDescent="0.2">
      <c r="A407">
        <v>370037</v>
      </c>
      <c r="B407" t="s">
        <v>3746</v>
      </c>
      <c r="C407" t="s">
        <v>42</v>
      </c>
      <c r="E407" t="s">
        <v>3747</v>
      </c>
      <c r="F407">
        <v>292504</v>
      </c>
      <c r="G407" s="1">
        <v>38622</v>
      </c>
      <c r="H407" s="1">
        <v>45756</v>
      </c>
      <c r="I407" s="1">
        <v>46127</v>
      </c>
      <c r="J407" t="s">
        <v>45</v>
      </c>
      <c r="K407" t="s">
        <v>45</v>
      </c>
      <c r="L407" t="s">
        <v>429</v>
      </c>
      <c r="N407" t="s">
        <v>47</v>
      </c>
      <c r="O407" t="s">
        <v>48</v>
      </c>
      <c r="P407" t="s">
        <v>49</v>
      </c>
      <c r="Q407" t="s">
        <v>3748</v>
      </c>
      <c r="R407" t="s">
        <v>3749</v>
      </c>
      <c r="S407">
        <v>6995</v>
      </c>
      <c r="T407" t="s">
        <v>52</v>
      </c>
      <c r="U407">
        <v>3</v>
      </c>
      <c r="V407" t="s">
        <v>2054</v>
      </c>
      <c r="W407" t="s">
        <v>54</v>
      </c>
      <c r="X407" t="s">
        <v>55</v>
      </c>
      <c r="Y407" t="s">
        <v>56</v>
      </c>
      <c r="Z407">
        <v>2518</v>
      </c>
      <c r="AA407">
        <v>42</v>
      </c>
      <c r="AB407">
        <v>160</v>
      </c>
      <c r="AC407" t="s">
        <v>2058</v>
      </c>
      <c r="AD407" t="s">
        <v>2059</v>
      </c>
      <c r="AE407" t="s">
        <v>3750</v>
      </c>
      <c r="AF407" t="s">
        <v>3751</v>
      </c>
      <c r="AG407" t="s">
        <v>3752</v>
      </c>
      <c r="AH407" t="s">
        <v>3753</v>
      </c>
      <c r="AI407" t="s">
        <v>1809</v>
      </c>
      <c r="AJ407" s="2">
        <v>45762.597118055557</v>
      </c>
      <c r="AK407" t="s">
        <v>609</v>
      </c>
      <c r="AL407" t="s">
        <v>65</v>
      </c>
      <c r="AM407" s="3">
        <v>2.4861111111111112</v>
      </c>
      <c r="AN407" t="s">
        <v>66</v>
      </c>
      <c r="AO407" t="s">
        <v>67</v>
      </c>
    </row>
    <row r="408" spans="1:41" x14ac:dyDescent="0.2">
      <c r="A408">
        <v>371176</v>
      </c>
      <c r="B408" t="s">
        <v>3754</v>
      </c>
      <c r="C408" t="s">
        <v>103</v>
      </c>
      <c r="D408" t="s">
        <v>3755</v>
      </c>
      <c r="E408" t="s">
        <v>3756</v>
      </c>
      <c r="F408">
        <v>313402</v>
      </c>
      <c r="G408" s="1">
        <v>33208</v>
      </c>
      <c r="H408" s="1">
        <v>45791</v>
      </c>
      <c r="I408" s="1">
        <v>46143</v>
      </c>
      <c r="J408" t="s">
        <v>45</v>
      </c>
      <c r="K408" t="s">
        <v>45</v>
      </c>
      <c r="L408" t="s">
        <v>46</v>
      </c>
      <c r="M408" s="1">
        <v>42156</v>
      </c>
      <c r="N408" t="s">
        <v>47</v>
      </c>
      <c r="O408" t="s">
        <v>48</v>
      </c>
      <c r="P408" t="s">
        <v>49</v>
      </c>
      <c r="Q408" t="s">
        <v>3757</v>
      </c>
      <c r="R408" t="s">
        <v>3758</v>
      </c>
      <c r="S408">
        <v>3058</v>
      </c>
      <c r="T408" t="s">
        <v>52</v>
      </c>
      <c r="U408">
        <v>8</v>
      </c>
      <c r="V408" t="s">
        <v>3759</v>
      </c>
      <c r="W408" t="s">
        <v>54</v>
      </c>
      <c r="X408" t="s">
        <v>76</v>
      </c>
      <c r="Y408" t="s">
        <v>56</v>
      </c>
      <c r="Z408">
        <v>1085</v>
      </c>
      <c r="AA408">
        <v>45</v>
      </c>
      <c r="AB408">
        <v>15</v>
      </c>
      <c r="AC408" t="s">
        <v>3760</v>
      </c>
      <c r="AD408" t="s">
        <v>3761</v>
      </c>
      <c r="AE408" t="s">
        <v>3762</v>
      </c>
      <c r="AI408" t="s">
        <v>3761</v>
      </c>
      <c r="AJ408" s="2">
        <v>45797.882604166669</v>
      </c>
      <c r="AK408" t="s">
        <v>717</v>
      </c>
      <c r="AL408" t="s">
        <v>65</v>
      </c>
      <c r="AM408" s="4">
        <v>0.71875</v>
      </c>
      <c r="AN408" t="s">
        <v>66</v>
      </c>
      <c r="AO408" t="s">
        <v>101</v>
      </c>
    </row>
    <row r="409" spans="1:41" x14ac:dyDescent="0.2">
      <c r="A409">
        <v>366912</v>
      </c>
      <c r="B409" t="s">
        <v>3763</v>
      </c>
      <c r="C409" t="s">
        <v>735</v>
      </c>
      <c r="D409" t="s">
        <v>3764</v>
      </c>
      <c r="E409">
        <v>32776764</v>
      </c>
      <c r="G409" s="1">
        <v>45642</v>
      </c>
      <c r="H409" s="1">
        <v>45644</v>
      </c>
      <c r="I409" s="1">
        <v>46037</v>
      </c>
      <c r="J409" t="s">
        <v>45</v>
      </c>
      <c r="K409" t="s">
        <v>45</v>
      </c>
      <c r="L409" t="s">
        <v>72</v>
      </c>
      <c r="M409" s="1">
        <v>39611</v>
      </c>
      <c r="N409" t="s">
        <v>89</v>
      </c>
      <c r="O409" t="s">
        <v>121</v>
      </c>
      <c r="P409" t="s">
        <v>49</v>
      </c>
      <c r="Q409" t="s">
        <v>3765</v>
      </c>
      <c r="R409" t="s">
        <v>3766</v>
      </c>
      <c r="S409">
        <v>6466</v>
      </c>
      <c r="T409" t="s">
        <v>365</v>
      </c>
      <c r="U409" t="s">
        <v>969</v>
      </c>
      <c r="V409" t="s">
        <v>3767</v>
      </c>
      <c r="W409" t="s">
        <v>367</v>
      </c>
      <c r="X409" t="s">
        <v>76</v>
      </c>
      <c r="Y409" t="s">
        <v>125</v>
      </c>
      <c r="Z409">
        <v>2189</v>
      </c>
      <c r="AA409">
        <v>84</v>
      </c>
      <c r="AB409">
        <v>66</v>
      </c>
      <c r="AC409" t="s">
        <v>3768</v>
      </c>
      <c r="AD409" t="s">
        <v>3769</v>
      </c>
      <c r="AE409" t="s">
        <v>3770</v>
      </c>
      <c r="AF409" t="s">
        <v>3771</v>
      </c>
      <c r="AG409" t="s">
        <v>3769</v>
      </c>
      <c r="AH409" t="s">
        <v>3770</v>
      </c>
      <c r="AI409" t="s">
        <v>3772</v>
      </c>
      <c r="AJ409" s="2">
        <v>45644.558993055558</v>
      </c>
      <c r="AK409" t="s">
        <v>132</v>
      </c>
      <c r="AL409" t="s">
        <v>65</v>
      </c>
      <c r="AM409" s="3">
        <v>2.1388888888888888</v>
      </c>
      <c r="AN409" t="s">
        <v>66</v>
      </c>
      <c r="AO409" t="s">
        <v>67</v>
      </c>
    </row>
    <row r="410" spans="1:41" x14ac:dyDescent="0.2">
      <c r="A410">
        <v>363766</v>
      </c>
      <c r="B410" t="s">
        <v>3773</v>
      </c>
      <c r="C410" t="s">
        <v>735</v>
      </c>
      <c r="D410" t="s">
        <v>104</v>
      </c>
      <c r="E410">
        <v>32777412</v>
      </c>
      <c r="G410" s="1">
        <v>45321</v>
      </c>
      <c r="H410" s="1">
        <v>45022</v>
      </c>
      <c r="I410" s="1">
        <v>46068</v>
      </c>
      <c r="J410" t="s">
        <v>45</v>
      </c>
      <c r="K410" t="s">
        <v>45</v>
      </c>
      <c r="L410" t="s">
        <v>72</v>
      </c>
      <c r="M410" s="1">
        <v>39611</v>
      </c>
      <c r="N410" t="s">
        <v>89</v>
      </c>
      <c r="O410" t="s">
        <v>121</v>
      </c>
      <c r="P410" t="s">
        <v>49</v>
      </c>
      <c r="Q410" t="s">
        <v>3774</v>
      </c>
      <c r="R410" t="s">
        <v>3775</v>
      </c>
      <c r="S410">
        <v>6715</v>
      </c>
      <c r="T410" t="s">
        <v>365</v>
      </c>
      <c r="U410" t="s">
        <v>969</v>
      </c>
      <c r="V410" t="s">
        <v>3767</v>
      </c>
      <c r="W410" t="s">
        <v>367</v>
      </c>
      <c r="X410" t="s">
        <v>76</v>
      </c>
      <c r="Y410" t="s">
        <v>125</v>
      </c>
      <c r="Z410">
        <v>2188</v>
      </c>
      <c r="AA410">
        <v>84</v>
      </c>
      <c r="AB410">
        <v>66</v>
      </c>
      <c r="AC410" t="s">
        <v>3776</v>
      </c>
      <c r="AD410" t="s">
        <v>3769</v>
      </c>
      <c r="AE410" t="s">
        <v>3777</v>
      </c>
      <c r="AJ410" s="2">
        <v>45523.733252314814</v>
      </c>
      <c r="AK410" t="s">
        <v>100</v>
      </c>
      <c r="AL410" t="s">
        <v>65</v>
      </c>
      <c r="AM410" s="3">
        <v>2.1458333333333335</v>
      </c>
      <c r="AN410" t="s">
        <v>66</v>
      </c>
      <c r="AO410" t="s">
        <v>67</v>
      </c>
    </row>
    <row r="411" spans="1:41" x14ac:dyDescent="0.2">
      <c r="A411">
        <v>372506</v>
      </c>
      <c r="B411" t="s">
        <v>3778</v>
      </c>
      <c r="C411" t="s">
        <v>182</v>
      </c>
      <c r="D411" t="s">
        <v>3779</v>
      </c>
      <c r="E411" t="s">
        <v>3780</v>
      </c>
      <c r="F411">
        <v>45804</v>
      </c>
      <c r="G411" s="1">
        <v>36845</v>
      </c>
      <c r="H411" s="1">
        <v>40886</v>
      </c>
      <c r="J411" t="s">
        <v>326</v>
      </c>
      <c r="K411" t="s">
        <v>45</v>
      </c>
      <c r="L411" t="s">
        <v>72</v>
      </c>
      <c r="M411" s="1">
        <v>38364</v>
      </c>
      <c r="N411" t="s">
        <v>47</v>
      </c>
      <c r="O411" t="s">
        <v>48</v>
      </c>
      <c r="P411" t="s">
        <v>1752</v>
      </c>
      <c r="Q411" t="s">
        <v>3781</v>
      </c>
      <c r="R411" t="s">
        <v>3782</v>
      </c>
      <c r="S411">
        <v>217</v>
      </c>
      <c r="T411" t="s">
        <v>365</v>
      </c>
      <c r="U411" t="s">
        <v>815</v>
      </c>
      <c r="V411" t="s">
        <v>816</v>
      </c>
      <c r="W411" t="s">
        <v>409</v>
      </c>
      <c r="X411" t="s">
        <v>76</v>
      </c>
      <c r="Y411" t="s">
        <v>410</v>
      </c>
      <c r="Z411">
        <v>1836</v>
      </c>
      <c r="AA411">
        <v>33</v>
      </c>
      <c r="AB411">
        <v>80</v>
      </c>
      <c r="AC411" t="s">
        <v>3783</v>
      </c>
      <c r="AD411" t="s">
        <v>3784</v>
      </c>
      <c r="AE411" t="s">
        <v>3785</v>
      </c>
      <c r="AF411" t="s">
        <v>817</v>
      </c>
      <c r="AG411" t="s">
        <v>818</v>
      </c>
      <c r="AH411" t="s">
        <v>819</v>
      </c>
      <c r="AJ411" s="2">
        <v>45841.64603009259</v>
      </c>
      <c r="AK411" t="s">
        <v>100</v>
      </c>
      <c r="AL411" t="s">
        <v>65</v>
      </c>
      <c r="AM411" s="4">
        <v>0.40972222222222221</v>
      </c>
      <c r="AN411" t="s">
        <v>66</v>
      </c>
      <c r="AO411" t="s">
        <v>67</v>
      </c>
    </row>
    <row r="412" spans="1:41" x14ac:dyDescent="0.2">
      <c r="A412">
        <v>356492</v>
      </c>
      <c r="B412" t="s">
        <v>3786</v>
      </c>
      <c r="C412" t="s">
        <v>103</v>
      </c>
      <c r="D412" t="s">
        <v>3787</v>
      </c>
      <c r="E412" t="s">
        <v>3788</v>
      </c>
      <c r="F412">
        <v>315407</v>
      </c>
      <c r="G412" s="1">
        <v>44461</v>
      </c>
      <c r="H412" s="1">
        <v>45021</v>
      </c>
      <c r="I412" s="1">
        <v>45992</v>
      </c>
      <c r="J412" t="s">
        <v>45</v>
      </c>
      <c r="K412" t="s">
        <v>45</v>
      </c>
      <c r="L412" t="s">
        <v>72</v>
      </c>
      <c r="N412" t="s">
        <v>47</v>
      </c>
      <c r="O412" t="s">
        <v>48</v>
      </c>
      <c r="P412" t="s">
        <v>406</v>
      </c>
      <c r="Q412" t="s">
        <v>3789</v>
      </c>
      <c r="R412" t="s">
        <v>3790</v>
      </c>
      <c r="S412">
        <v>18</v>
      </c>
      <c r="T412" t="s">
        <v>257</v>
      </c>
      <c r="U412" t="s">
        <v>1691</v>
      </c>
      <c r="V412" t="s">
        <v>3791</v>
      </c>
      <c r="W412" t="s">
        <v>260</v>
      </c>
      <c r="X412" t="s">
        <v>257</v>
      </c>
      <c r="Y412" t="s">
        <v>110</v>
      </c>
      <c r="Z412">
        <v>11946</v>
      </c>
      <c r="AA412">
        <v>8</v>
      </c>
      <c r="AB412">
        <v>189</v>
      </c>
      <c r="AC412" t="s">
        <v>3792</v>
      </c>
      <c r="AD412" t="s">
        <v>3793</v>
      </c>
      <c r="AE412" t="s">
        <v>3794</v>
      </c>
      <c r="AF412" t="s">
        <v>3795</v>
      </c>
      <c r="AG412" t="s">
        <v>3796</v>
      </c>
      <c r="AH412" t="s">
        <v>3797</v>
      </c>
      <c r="AJ412" s="2">
        <v>45313.606122685182</v>
      </c>
      <c r="AK412" t="s">
        <v>149</v>
      </c>
      <c r="AL412" t="s">
        <v>65</v>
      </c>
      <c r="AM412" s="3">
        <v>1.2708333333333333</v>
      </c>
      <c r="AN412" t="s">
        <v>66</v>
      </c>
      <c r="AO412" t="s">
        <v>101</v>
      </c>
    </row>
    <row r="413" spans="1:41" x14ac:dyDescent="0.2">
      <c r="A413">
        <v>369858</v>
      </c>
      <c r="B413" t="s">
        <v>3798</v>
      </c>
      <c r="C413" t="s">
        <v>197</v>
      </c>
      <c r="D413" t="s">
        <v>3799</v>
      </c>
      <c r="E413" t="s">
        <v>3800</v>
      </c>
      <c r="F413">
        <v>95701</v>
      </c>
      <c r="G413" s="1">
        <v>37683</v>
      </c>
      <c r="H413" s="1">
        <v>45583</v>
      </c>
      <c r="I413" s="1">
        <v>45931</v>
      </c>
      <c r="J413" t="s">
        <v>45</v>
      </c>
      <c r="K413" t="s">
        <v>45</v>
      </c>
      <c r="L413" t="s">
        <v>72</v>
      </c>
      <c r="N413" t="s">
        <v>47</v>
      </c>
      <c r="O413" t="s">
        <v>48</v>
      </c>
      <c r="P413" t="s">
        <v>49</v>
      </c>
      <c r="Q413" t="s">
        <v>3801</v>
      </c>
      <c r="R413" t="s">
        <v>3802</v>
      </c>
      <c r="S413">
        <v>322</v>
      </c>
      <c r="T413" t="s">
        <v>92</v>
      </c>
      <c r="U413" t="s">
        <v>202</v>
      </c>
      <c r="V413" t="s">
        <v>203</v>
      </c>
      <c r="W413" t="s">
        <v>204</v>
      </c>
      <c r="X413" t="s">
        <v>52</v>
      </c>
      <c r="Y413" t="s">
        <v>110</v>
      </c>
      <c r="Z413">
        <v>2374</v>
      </c>
      <c r="AA413">
        <v>32</v>
      </c>
      <c r="AB413">
        <v>144</v>
      </c>
      <c r="AC413" t="s">
        <v>205</v>
      </c>
      <c r="AD413" t="s">
        <v>206</v>
      </c>
      <c r="AE413" t="s">
        <v>207</v>
      </c>
      <c r="AF413" t="s">
        <v>208</v>
      </c>
      <c r="AG413" t="s">
        <v>1549</v>
      </c>
      <c r="AH413" t="s">
        <v>210</v>
      </c>
      <c r="AI413" t="s">
        <v>211</v>
      </c>
      <c r="AJ413" s="2">
        <v>45755.81653935185</v>
      </c>
      <c r="AK413" t="s">
        <v>212</v>
      </c>
      <c r="AL413" t="s">
        <v>65</v>
      </c>
      <c r="AM413" s="4">
        <v>0.20833333333333334</v>
      </c>
      <c r="AN413" t="s">
        <v>66</v>
      </c>
      <c r="AO413" t="s">
        <v>67</v>
      </c>
    </row>
    <row r="414" spans="1:41" x14ac:dyDescent="0.2">
      <c r="A414">
        <v>370719</v>
      </c>
      <c r="B414" t="s">
        <v>3803</v>
      </c>
      <c r="C414" t="s">
        <v>69</v>
      </c>
      <c r="D414" t="s">
        <v>3804</v>
      </c>
      <c r="E414" t="s">
        <v>3805</v>
      </c>
      <c r="G414" s="1">
        <v>45782</v>
      </c>
      <c r="H414" s="1">
        <v>45630</v>
      </c>
      <c r="I414" s="1">
        <v>46006</v>
      </c>
      <c r="J414" t="s">
        <v>45</v>
      </c>
      <c r="K414" t="s">
        <v>45</v>
      </c>
      <c r="L414" t="s">
        <v>72</v>
      </c>
      <c r="N414" t="s">
        <v>47</v>
      </c>
      <c r="O414" t="s">
        <v>121</v>
      </c>
      <c r="P414" t="s">
        <v>49</v>
      </c>
      <c r="Q414" t="s">
        <v>3806</v>
      </c>
      <c r="R414" t="s">
        <v>3807</v>
      </c>
      <c r="S414">
        <v>6732</v>
      </c>
      <c r="T414" t="s">
        <v>52</v>
      </c>
      <c r="U414">
        <v>4</v>
      </c>
      <c r="V414" t="s">
        <v>75</v>
      </c>
      <c r="W414" t="s">
        <v>54</v>
      </c>
      <c r="X414" t="s">
        <v>52</v>
      </c>
      <c r="Y414" t="s">
        <v>125</v>
      </c>
      <c r="Z414">
        <v>11146</v>
      </c>
      <c r="AA414">
        <v>33</v>
      </c>
      <c r="AB414">
        <v>78</v>
      </c>
      <c r="AC414" t="s">
        <v>3808</v>
      </c>
      <c r="AD414" t="s">
        <v>3809</v>
      </c>
      <c r="AE414" t="s">
        <v>3810</v>
      </c>
      <c r="AF414" t="s">
        <v>3811</v>
      </c>
      <c r="AG414" t="s">
        <v>3812</v>
      </c>
      <c r="AH414" t="s">
        <v>3813</v>
      </c>
      <c r="AJ414" s="2">
        <v>45783.602361111109</v>
      </c>
      <c r="AK414" t="s">
        <v>660</v>
      </c>
      <c r="AL414" t="s">
        <v>65</v>
      </c>
      <c r="AM414" s="3">
        <v>2.0833333333333335</v>
      </c>
      <c r="AN414" t="s">
        <v>66</v>
      </c>
      <c r="AO414" t="s">
        <v>67</v>
      </c>
    </row>
    <row r="415" spans="1:41" x14ac:dyDescent="0.2">
      <c r="A415">
        <v>371679</v>
      </c>
      <c r="B415" t="s">
        <v>3814</v>
      </c>
      <c r="C415" t="s">
        <v>69</v>
      </c>
      <c r="D415" t="s">
        <v>3815</v>
      </c>
      <c r="E415" t="s">
        <v>3816</v>
      </c>
      <c r="G415" s="1">
        <v>45817</v>
      </c>
      <c r="H415" s="1">
        <v>45799</v>
      </c>
      <c r="I415" s="1">
        <v>46174</v>
      </c>
      <c r="J415" t="s">
        <v>45</v>
      </c>
      <c r="K415" t="s">
        <v>45</v>
      </c>
      <c r="L415" t="s">
        <v>72</v>
      </c>
      <c r="N415" t="s">
        <v>47</v>
      </c>
      <c r="O415" t="s">
        <v>121</v>
      </c>
      <c r="P415" t="s">
        <v>49</v>
      </c>
      <c r="Q415" t="s">
        <v>3817</v>
      </c>
      <c r="R415" t="s">
        <v>3818</v>
      </c>
      <c r="S415">
        <v>4776</v>
      </c>
      <c r="T415" t="s">
        <v>52</v>
      </c>
      <c r="U415">
        <v>4</v>
      </c>
      <c r="V415" t="s">
        <v>75</v>
      </c>
      <c r="W415" t="s">
        <v>54</v>
      </c>
      <c r="X415" t="s">
        <v>52</v>
      </c>
      <c r="Y415" t="s">
        <v>125</v>
      </c>
      <c r="Z415">
        <v>11147</v>
      </c>
      <c r="AA415">
        <v>43</v>
      </c>
      <c r="AB415">
        <v>78</v>
      </c>
      <c r="AC415" t="s">
        <v>3819</v>
      </c>
      <c r="AD415" t="s">
        <v>81</v>
      </c>
      <c r="AE415" t="s">
        <v>82</v>
      </c>
      <c r="AF415" t="s">
        <v>3820</v>
      </c>
      <c r="AG415" t="s">
        <v>3821</v>
      </c>
      <c r="AH415" t="s">
        <v>3822</v>
      </c>
      <c r="AJ415" s="2">
        <v>45817.923055555555</v>
      </c>
      <c r="AK415" t="s">
        <v>800</v>
      </c>
      <c r="AL415" t="s">
        <v>65</v>
      </c>
      <c r="AM415" s="3">
        <v>2.0902777777777777</v>
      </c>
      <c r="AN415" t="s">
        <v>66</v>
      </c>
      <c r="AO415" t="s">
        <v>67</v>
      </c>
    </row>
    <row r="416" spans="1:41" x14ac:dyDescent="0.2">
      <c r="A416">
        <v>370826</v>
      </c>
      <c r="B416" t="s">
        <v>3823</v>
      </c>
      <c r="C416" t="s">
        <v>69</v>
      </c>
      <c r="D416" t="s">
        <v>3824</v>
      </c>
      <c r="E416" t="s">
        <v>3825</v>
      </c>
      <c r="G416" s="1">
        <v>45546</v>
      </c>
      <c r="H416" s="1">
        <v>45785</v>
      </c>
      <c r="I416" s="1">
        <v>46143</v>
      </c>
      <c r="J416" t="s">
        <v>45</v>
      </c>
      <c r="K416" t="s">
        <v>45</v>
      </c>
      <c r="L416" t="s">
        <v>72</v>
      </c>
      <c r="N416" t="s">
        <v>89</v>
      </c>
      <c r="O416" t="s">
        <v>121</v>
      </c>
      <c r="P416" t="s">
        <v>49</v>
      </c>
      <c r="Q416" t="s">
        <v>3826</v>
      </c>
      <c r="R416" t="s">
        <v>3827</v>
      </c>
      <c r="S416">
        <v>7577</v>
      </c>
      <c r="T416" t="s">
        <v>52</v>
      </c>
      <c r="U416">
        <v>4</v>
      </c>
      <c r="V416" t="s">
        <v>75</v>
      </c>
      <c r="W416" t="s">
        <v>54</v>
      </c>
      <c r="X416" t="s">
        <v>52</v>
      </c>
      <c r="Y416" t="s">
        <v>125</v>
      </c>
      <c r="Z416">
        <v>11148</v>
      </c>
      <c r="AA416">
        <v>25</v>
      </c>
      <c r="AB416">
        <v>78</v>
      </c>
      <c r="AC416" t="s">
        <v>3828</v>
      </c>
      <c r="AD416" t="s">
        <v>3829</v>
      </c>
      <c r="AE416" t="s">
        <v>3830</v>
      </c>
      <c r="AJ416" s="2">
        <v>45785.52443287037</v>
      </c>
      <c r="AK416" t="s">
        <v>800</v>
      </c>
      <c r="AL416" t="s">
        <v>65</v>
      </c>
      <c r="AM416" s="3">
        <v>2.0972222222222223</v>
      </c>
      <c r="AN416" t="s">
        <v>66</v>
      </c>
      <c r="AO416" t="s">
        <v>67</v>
      </c>
    </row>
    <row r="417" spans="1:41" x14ac:dyDescent="0.2">
      <c r="A417">
        <v>370827</v>
      </c>
      <c r="B417" t="s">
        <v>3831</v>
      </c>
      <c r="C417" t="s">
        <v>69</v>
      </c>
      <c r="D417" t="s">
        <v>1927</v>
      </c>
      <c r="E417" t="s">
        <v>3832</v>
      </c>
      <c r="G417" s="1">
        <v>45538</v>
      </c>
      <c r="H417" s="1">
        <v>45785</v>
      </c>
      <c r="I417" s="1">
        <v>46157</v>
      </c>
      <c r="J417" t="s">
        <v>45</v>
      </c>
      <c r="K417" t="s">
        <v>45</v>
      </c>
      <c r="L417" t="s">
        <v>72</v>
      </c>
      <c r="N417" t="s">
        <v>89</v>
      </c>
      <c r="O417" t="s">
        <v>121</v>
      </c>
      <c r="P417" t="s">
        <v>49</v>
      </c>
      <c r="Q417" t="s">
        <v>3833</v>
      </c>
      <c r="R417" t="s">
        <v>3834</v>
      </c>
      <c r="S417">
        <v>6465</v>
      </c>
      <c r="T417" t="s">
        <v>52</v>
      </c>
      <c r="U417">
        <v>4</v>
      </c>
      <c r="V417" t="s">
        <v>75</v>
      </c>
      <c r="W417" t="s">
        <v>54</v>
      </c>
      <c r="X417" t="s">
        <v>76</v>
      </c>
      <c r="Y417" t="s">
        <v>125</v>
      </c>
      <c r="Z417">
        <v>11149</v>
      </c>
      <c r="AA417">
        <v>27</v>
      </c>
      <c r="AB417">
        <v>78</v>
      </c>
      <c r="AC417" t="s">
        <v>77</v>
      </c>
      <c r="AD417" t="s">
        <v>78</v>
      </c>
      <c r="AE417" t="s">
        <v>79</v>
      </c>
      <c r="AF417" t="s">
        <v>3835</v>
      </c>
      <c r="AG417" t="s">
        <v>3836</v>
      </c>
      <c r="AH417" t="s">
        <v>3837</v>
      </c>
      <c r="AI417" t="s">
        <v>3838</v>
      </c>
      <c r="AJ417" s="2">
        <v>45785.531226851854</v>
      </c>
      <c r="AK417" t="s">
        <v>800</v>
      </c>
      <c r="AL417" t="s">
        <v>65</v>
      </c>
      <c r="AM417" s="3">
        <v>2.1041666666666665</v>
      </c>
      <c r="AN417" t="s">
        <v>66</v>
      </c>
      <c r="AO417" t="s">
        <v>67</v>
      </c>
    </row>
    <row r="418" spans="1:41" x14ac:dyDescent="0.2">
      <c r="A418">
        <v>368871</v>
      </c>
      <c r="B418" t="s">
        <v>3839</v>
      </c>
      <c r="C418" t="s">
        <v>182</v>
      </c>
      <c r="D418" t="s">
        <v>779</v>
      </c>
      <c r="E418">
        <v>32517532</v>
      </c>
      <c r="F418">
        <v>45634</v>
      </c>
      <c r="G418" s="1">
        <v>40528</v>
      </c>
      <c r="H418" s="1">
        <v>45712</v>
      </c>
      <c r="I418" s="1">
        <v>46068</v>
      </c>
      <c r="J418" t="s">
        <v>45</v>
      </c>
      <c r="K418" t="s">
        <v>45</v>
      </c>
      <c r="L418" t="s">
        <v>429</v>
      </c>
      <c r="M418" s="1">
        <v>44869</v>
      </c>
      <c r="N418" t="s">
        <v>47</v>
      </c>
      <c r="O418" t="s">
        <v>48</v>
      </c>
      <c r="P418" t="s">
        <v>49</v>
      </c>
      <c r="Q418" t="s">
        <v>3840</v>
      </c>
      <c r="R418" t="s">
        <v>3841</v>
      </c>
      <c r="S418">
        <v>2155</v>
      </c>
      <c r="T418" t="s">
        <v>365</v>
      </c>
      <c r="U418" t="s">
        <v>815</v>
      </c>
      <c r="V418" t="s">
        <v>816</v>
      </c>
      <c r="W418" t="s">
        <v>367</v>
      </c>
      <c r="X418" t="s">
        <v>493</v>
      </c>
      <c r="Y418" t="s">
        <v>434</v>
      </c>
      <c r="Z418">
        <v>1746</v>
      </c>
      <c r="AA418">
        <v>63</v>
      </c>
      <c r="AB418">
        <v>66</v>
      </c>
      <c r="AC418" t="s">
        <v>817</v>
      </c>
      <c r="AD418" t="s">
        <v>818</v>
      </c>
      <c r="AE418" t="s">
        <v>819</v>
      </c>
      <c r="AF418" t="s">
        <v>3842</v>
      </c>
      <c r="AH418" t="s">
        <v>3843</v>
      </c>
      <c r="AI418" t="s">
        <v>179</v>
      </c>
      <c r="AJ418" s="2">
        <v>45722.884733796294</v>
      </c>
      <c r="AK418" t="s">
        <v>1472</v>
      </c>
      <c r="AL418" t="s">
        <v>65</v>
      </c>
      <c r="AM418" s="4">
        <v>0.58333333333333337</v>
      </c>
      <c r="AN418" t="s">
        <v>66</v>
      </c>
      <c r="AO418" t="s">
        <v>67</v>
      </c>
    </row>
    <row r="419" spans="1:41" x14ac:dyDescent="0.2">
      <c r="A419">
        <v>372528</v>
      </c>
      <c r="B419" t="s">
        <v>3844</v>
      </c>
      <c r="C419" t="s">
        <v>692</v>
      </c>
      <c r="D419" t="s">
        <v>3845</v>
      </c>
      <c r="E419" t="s">
        <v>3846</v>
      </c>
      <c r="F419">
        <v>480118</v>
      </c>
      <c r="G419" s="1">
        <v>39275</v>
      </c>
      <c r="H419" s="1">
        <v>45817</v>
      </c>
      <c r="I419" s="1">
        <v>46188</v>
      </c>
      <c r="J419" t="s">
        <v>45</v>
      </c>
      <c r="K419" t="s">
        <v>45</v>
      </c>
      <c r="L419" t="s">
        <v>72</v>
      </c>
      <c r="M419" s="1">
        <v>44474</v>
      </c>
      <c r="N419" t="s">
        <v>47</v>
      </c>
      <c r="O419" t="s">
        <v>48</v>
      </c>
      <c r="P419" t="s">
        <v>49</v>
      </c>
      <c r="Q419" t="s">
        <v>3847</v>
      </c>
      <c r="R419" t="s">
        <v>3848</v>
      </c>
      <c r="S419">
        <v>8650</v>
      </c>
      <c r="T419" t="s">
        <v>257</v>
      </c>
      <c r="U419" t="s">
        <v>283</v>
      </c>
      <c r="V419" t="s">
        <v>2084</v>
      </c>
      <c r="W419" t="s">
        <v>260</v>
      </c>
      <c r="X419" t="s">
        <v>257</v>
      </c>
      <c r="Y419" t="s">
        <v>110</v>
      </c>
      <c r="Z419">
        <v>530</v>
      </c>
      <c r="AA419">
        <v>69</v>
      </c>
      <c r="AB419">
        <v>34</v>
      </c>
      <c r="AC419" t="s">
        <v>2085</v>
      </c>
      <c r="AD419" t="s">
        <v>2086</v>
      </c>
      <c r="AE419" t="s">
        <v>2087</v>
      </c>
      <c r="AF419" t="s">
        <v>2088</v>
      </c>
      <c r="AG419" t="s">
        <v>2089</v>
      </c>
      <c r="AI419" t="s">
        <v>2086</v>
      </c>
      <c r="AJ419" s="2">
        <v>45841.93650462963</v>
      </c>
      <c r="AK419" t="s">
        <v>2085</v>
      </c>
      <c r="AL419" t="s">
        <v>65</v>
      </c>
      <c r="AM419" s="4">
        <v>0.33333333333333331</v>
      </c>
      <c r="AN419" t="s">
        <v>66</v>
      </c>
      <c r="AO419" t="s">
        <v>67</v>
      </c>
    </row>
    <row r="420" spans="1:41" x14ac:dyDescent="0.2">
      <c r="A420">
        <v>369032</v>
      </c>
      <c r="B420" t="s">
        <v>3849</v>
      </c>
      <c r="C420" t="s">
        <v>167</v>
      </c>
      <c r="D420" t="s">
        <v>1628</v>
      </c>
      <c r="E420" t="s">
        <v>3850</v>
      </c>
      <c r="F420">
        <v>353402</v>
      </c>
      <c r="G420" s="1">
        <v>31688</v>
      </c>
      <c r="H420" s="1">
        <v>45568</v>
      </c>
      <c r="I420" s="1">
        <v>45931</v>
      </c>
      <c r="J420" t="s">
        <v>45</v>
      </c>
      <c r="K420" t="s">
        <v>45</v>
      </c>
      <c r="L420" t="s">
        <v>429</v>
      </c>
      <c r="M420" s="1">
        <v>44949</v>
      </c>
      <c r="N420" t="s">
        <v>47</v>
      </c>
      <c r="O420" t="s">
        <v>48</v>
      </c>
      <c r="P420" t="s">
        <v>49</v>
      </c>
      <c r="Q420" t="s">
        <v>3851</v>
      </c>
      <c r="R420" t="s">
        <v>3852</v>
      </c>
      <c r="S420">
        <v>4560</v>
      </c>
      <c r="T420" t="s">
        <v>52</v>
      </c>
      <c r="U420">
        <v>6</v>
      </c>
      <c r="V420" t="s">
        <v>1477</v>
      </c>
      <c r="W420" t="s">
        <v>54</v>
      </c>
      <c r="X420" t="s">
        <v>76</v>
      </c>
      <c r="Y420" t="s">
        <v>56</v>
      </c>
      <c r="Z420">
        <v>758</v>
      </c>
      <c r="AA420">
        <v>67</v>
      </c>
      <c r="AB420">
        <v>176</v>
      </c>
      <c r="AC420" t="s">
        <v>3853</v>
      </c>
      <c r="AD420" t="s">
        <v>3854</v>
      </c>
      <c r="AE420" t="s">
        <v>3855</v>
      </c>
      <c r="AF420" t="s">
        <v>3856</v>
      </c>
      <c r="AG420" t="s">
        <v>3857</v>
      </c>
      <c r="AH420" t="s">
        <v>3858</v>
      </c>
      <c r="AI420" t="s">
        <v>3859</v>
      </c>
      <c r="AJ420" s="2">
        <v>45722.968807870369</v>
      </c>
      <c r="AK420" t="s">
        <v>501</v>
      </c>
      <c r="AL420" t="s">
        <v>65</v>
      </c>
      <c r="AM420" s="4">
        <v>0.27777777777777779</v>
      </c>
      <c r="AN420" t="s">
        <v>66</v>
      </c>
      <c r="AO420" t="s">
        <v>67</v>
      </c>
    </row>
    <row r="421" spans="1:41" x14ac:dyDescent="0.2">
      <c r="A421">
        <v>370961</v>
      </c>
      <c r="B421" t="s">
        <v>3860</v>
      </c>
      <c r="C421" t="s">
        <v>735</v>
      </c>
      <c r="D421" t="s">
        <v>3861</v>
      </c>
      <c r="E421" t="s">
        <v>3862</v>
      </c>
      <c r="F421">
        <v>241210</v>
      </c>
      <c r="G421" s="1">
        <v>33004</v>
      </c>
      <c r="H421" s="1">
        <v>45527</v>
      </c>
      <c r="I421" s="1">
        <v>46235</v>
      </c>
      <c r="J421" t="s">
        <v>45</v>
      </c>
      <c r="K421" t="s">
        <v>45</v>
      </c>
      <c r="L421" t="s">
        <v>72</v>
      </c>
      <c r="M421" s="1">
        <v>44405</v>
      </c>
      <c r="N421" t="s">
        <v>47</v>
      </c>
      <c r="O421" t="s">
        <v>48</v>
      </c>
      <c r="P421" t="s">
        <v>49</v>
      </c>
      <c r="Q421" t="s">
        <v>3863</v>
      </c>
      <c r="R421" t="s">
        <v>3864</v>
      </c>
      <c r="S421">
        <v>2379</v>
      </c>
      <c r="T421" t="s">
        <v>52</v>
      </c>
      <c r="U421">
        <v>1</v>
      </c>
      <c r="V421" t="s">
        <v>1853</v>
      </c>
      <c r="W421" t="s">
        <v>54</v>
      </c>
      <c r="X421" t="s">
        <v>76</v>
      </c>
      <c r="Y421" t="s">
        <v>56</v>
      </c>
      <c r="Z421">
        <v>967</v>
      </c>
      <c r="AA421">
        <v>56</v>
      </c>
      <c r="AB421">
        <v>80</v>
      </c>
      <c r="AC421" t="s">
        <v>3865</v>
      </c>
      <c r="AD421" t="s">
        <v>3866</v>
      </c>
      <c r="AE421" t="s">
        <v>3867</v>
      </c>
      <c r="AF421" t="s">
        <v>3868</v>
      </c>
      <c r="AG421" t="s">
        <v>3869</v>
      </c>
      <c r="AH421" t="s">
        <v>3870</v>
      </c>
      <c r="AI421" t="s">
        <v>3871</v>
      </c>
      <c r="AJ421" s="2">
        <v>45791.732754629629</v>
      </c>
      <c r="AK421" t="s">
        <v>800</v>
      </c>
      <c r="AL421" t="s">
        <v>65</v>
      </c>
      <c r="AM421" s="4">
        <v>0.67361111111111116</v>
      </c>
      <c r="AN421" t="s">
        <v>66</v>
      </c>
      <c r="AO421" t="s">
        <v>67</v>
      </c>
    </row>
    <row r="422" spans="1:41" x14ac:dyDescent="0.2">
      <c r="A422">
        <v>371387</v>
      </c>
      <c r="B422" t="s">
        <v>3872</v>
      </c>
      <c r="C422" t="s">
        <v>735</v>
      </c>
      <c r="D422" t="s">
        <v>3861</v>
      </c>
      <c r="E422" t="s">
        <v>3873</v>
      </c>
      <c r="G422" s="1">
        <v>45400</v>
      </c>
      <c r="H422" s="1">
        <v>45805</v>
      </c>
      <c r="I422" s="1">
        <v>46249</v>
      </c>
      <c r="J422" t="s">
        <v>45</v>
      </c>
      <c r="K422" t="s">
        <v>45</v>
      </c>
      <c r="L422" t="s">
        <v>72</v>
      </c>
      <c r="M422" s="1">
        <v>43613</v>
      </c>
      <c r="N422" t="s">
        <v>89</v>
      </c>
      <c r="O422" t="s">
        <v>121</v>
      </c>
      <c r="P422" t="s">
        <v>49</v>
      </c>
      <c r="Q422" t="s">
        <v>3874</v>
      </c>
      <c r="R422" t="s">
        <v>3875</v>
      </c>
      <c r="S422">
        <v>3086</v>
      </c>
      <c r="T422" t="s">
        <v>52</v>
      </c>
      <c r="U422">
        <v>1</v>
      </c>
      <c r="V422" t="s">
        <v>1853</v>
      </c>
      <c r="W422" t="s">
        <v>54</v>
      </c>
      <c r="X422" t="s">
        <v>76</v>
      </c>
      <c r="Y422" t="s">
        <v>125</v>
      </c>
      <c r="Z422">
        <v>9726</v>
      </c>
      <c r="AA422">
        <v>36</v>
      </c>
      <c r="AB422">
        <v>158</v>
      </c>
      <c r="AC422" t="s">
        <v>3865</v>
      </c>
      <c r="AD422" t="s">
        <v>3866</v>
      </c>
      <c r="AE422" t="s">
        <v>3876</v>
      </c>
      <c r="AF422" t="s">
        <v>3868</v>
      </c>
      <c r="AG422" t="s">
        <v>3869</v>
      </c>
      <c r="AH422" t="s">
        <v>3870</v>
      </c>
      <c r="AI422" t="s">
        <v>3866</v>
      </c>
      <c r="AJ422" s="2">
        <v>45807.519525462965</v>
      </c>
      <c r="AK422" t="s">
        <v>800</v>
      </c>
      <c r="AL422" t="s">
        <v>65</v>
      </c>
      <c r="AM422" s="3">
        <v>1.8125</v>
      </c>
      <c r="AN422" t="s">
        <v>66</v>
      </c>
      <c r="AO422" t="s">
        <v>67</v>
      </c>
    </row>
    <row r="423" spans="1:41" x14ac:dyDescent="0.2">
      <c r="A423">
        <v>370466</v>
      </c>
      <c r="B423" t="s">
        <v>3877</v>
      </c>
      <c r="C423" t="s">
        <v>3878</v>
      </c>
      <c r="E423" t="s">
        <v>3879</v>
      </c>
      <c r="F423">
        <v>511202</v>
      </c>
      <c r="G423" s="1">
        <v>38944</v>
      </c>
      <c r="H423" s="1">
        <v>45770</v>
      </c>
      <c r="J423" t="s">
        <v>45</v>
      </c>
      <c r="K423" t="s">
        <v>72</v>
      </c>
      <c r="L423" t="s">
        <v>72</v>
      </c>
      <c r="M423" s="1">
        <v>39846</v>
      </c>
      <c r="N423" t="s">
        <v>47</v>
      </c>
      <c r="O423" t="s">
        <v>48</v>
      </c>
      <c r="P423" t="s">
        <v>49</v>
      </c>
      <c r="Q423" t="s">
        <v>3880</v>
      </c>
      <c r="R423" t="s">
        <v>3881</v>
      </c>
      <c r="S423">
        <v>109</v>
      </c>
      <c r="T423" t="s">
        <v>156</v>
      </c>
      <c r="U423" t="s">
        <v>157</v>
      </c>
      <c r="W423" t="s">
        <v>159</v>
      </c>
      <c r="X423" t="s">
        <v>156</v>
      </c>
      <c r="Y423" t="s">
        <v>450</v>
      </c>
      <c r="Z423">
        <v>2851</v>
      </c>
      <c r="AA423">
        <v>29</v>
      </c>
      <c r="AB423">
        <v>152</v>
      </c>
      <c r="AC423" t="s">
        <v>3882</v>
      </c>
      <c r="AD423" t="s">
        <v>3883</v>
      </c>
      <c r="AE423" t="s">
        <v>3884</v>
      </c>
      <c r="AI423" t="s">
        <v>3883</v>
      </c>
      <c r="AJ423" s="2">
        <v>45776.619027777779</v>
      </c>
      <c r="AK423" t="s">
        <v>526</v>
      </c>
      <c r="AL423" t="s">
        <v>65</v>
      </c>
      <c r="AM423" s="3">
        <v>2.3819444444444446</v>
      </c>
      <c r="AN423" t="s">
        <v>66</v>
      </c>
      <c r="AO423" t="s">
        <v>101</v>
      </c>
    </row>
    <row r="424" spans="1:41" x14ac:dyDescent="0.2">
      <c r="A424">
        <v>368249</v>
      </c>
      <c r="B424" t="s">
        <v>3885</v>
      </c>
      <c r="C424" t="s">
        <v>788</v>
      </c>
      <c r="D424" t="s">
        <v>3886</v>
      </c>
      <c r="E424" t="s">
        <v>3887</v>
      </c>
      <c r="F424">
        <v>86702</v>
      </c>
      <c r="G424" s="1">
        <v>36508</v>
      </c>
      <c r="H424" s="1">
        <v>45706</v>
      </c>
      <c r="I424" s="1">
        <v>46068</v>
      </c>
      <c r="J424" t="s">
        <v>45</v>
      </c>
      <c r="K424" t="s">
        <v>45</v>
      </c>
      <c r="L424" t="s">
        <v>72</v>
      </c>
      <c r="N424" t="s">
        <v>47</v>
      </c>
      <c r="O424" t="s">
        <v>48</v>
      </c>
      <c r="P424" t="s">
        <v>49</v>
      </c>
      <c r="Q424" t="s">
        <v>3888</v>
      </c>
      <c r="R424" t="s">
        <v>3889</v>
      </c>
      <c r="S424">
        <v>5</v>
      </c>
      <c r="T424" t="s">
        <v>257</v>
      </c>
      <c r="U424" t="s">
        <v>1691</v>
      </c>
      <c r="V424" t="s">
        <v>3890</v>
      </c>
      <c r="W424" t="s">
        <v>260</v>
      </c>
      <c r="X424" t="s">
        <v>257</v>
      </c>
      <c r="Y424" t="s">
        <v>110</v>
      </c>
      <c r="Z424">
        <v>1740</v>
      </c>
      <c r="AA424">
        <v>61</v>
      </c>
      <c r="AB424">
        <v>37</v>
      </c>
      <c r="AC424" t="s">
        <v>3891</v>
      </c>
      <c r="AD424" t="s">
        <v>3892</v>
      </c>
      <c r="AE424" t="s">
        <v>3893</v>
      </c>
      <c r="AI424" t="s">
        <v>3894</v>
      </c>
      <c r="AJ424" s="2">
        <v>45706.90892361111</v>
      </c>
      <c r="AK424" t="s">
        <v>3895</v>
      </c>
      <c r="AL424" t="s">
        <v>65</v>
      </c>
      <c r="AM424" s="3">
        <v>1.28125</v>
      </c>
      <c r="AN424" t="s">
        <v>66</v>
      </c>
      <c r="AO424" t="s">
        <v>101</v>
      </c>
    </row>
    <row r="425" spans="1:41" x14ac:dyDescent="0.2">
      <c r="A425">
        <v>371479</v>
      </c>
      <c r="B425" t="s">
        <v>3896</v>
      </c>
      <c r="C425" t="s">
        <v>2889</v>
      </c>
      <c r="D425" t="s">
        <v>3897</v>
      </c>
      <c r="E425" t="s">
        <v>3898</v>
      </c>
      <c r="F425">
        <v>191203</v>
      </c>
      <c r="G425" s="1">
        <v>38474</v>
      </c>
      <c r="H425" s="1">
        <v>45553</v>
      </c>
      <c r="I425" s="1">
        <v>46174</v>
      </c>
      <c r="J425" t="s">
        <v>45</v>
      </c>
      <c r="K425" t="s">
        <v>45</v>
      </c>
      <c r="L425" t="s">
        <v>72</v>
      </c>
      <c r="M425" s="1">
        <v>44862</v>
      </c>
      <c r="N425" t="s">
        <v>47</v>
      </c>
      <c r="O425" t="s">
        <v>48</v>
      </c>
      <c r="P425" t="s">
        <v>49</v>
      </c>
      <c r="Q425" t="s">
        <v>3899</v>
      </c>
      <c r="R425" t="s">
        <v>3900</v>
      </c>
      <c r="S425">
        <v>110</v>
      </c>
      <c r="T425" t="s">
        <v>257</v>
      </c>
      <c r="U425" t="s">
        <v>836</v>
      </c>
      <c r="V425" t="s">
        <v>3901</v>
      </c>
      <c r="W425" t="s">
        <v>260</v>
      </c>
      <c r="X425" t="s">
        <v>257</v>
      </c>
      <c r="Y425" t="s">
        <v>110</v>
      </c>
      <c r="Z425">
        <v>518</v>
      </c>
      <c r="AA425">
        <v>43</v>
      </c>
      <c r="AB425">
        <v>45</v>
      </c>
      <c r="AC425" t="s">
        <v>3902</v>
      </c>
      <c r="AD425" t="s">
        <v>3903</v>
      </c>
      <c r="AE425" t="s">
        <v>3904</v>
      </c>
      <c r="AF425" t="s">
        <v>3905</v>
      </c>
      <c r="AG425" t="s">
        <v>3906</v>
      </c>
      <c r="AH425" t="s">
        <v>3907</v>
      </c>
      <c r="AI425" t="s">
        <v>3908</v>
      </c>
      <c r="AJ425" s="2">
        <v>45812.762083333335</v>
      </c>
      <c r="AK425" t="s">
        <v>3909</v>
      </c>
      <c r="AL425" t="s">
        <v>65</v>
      </c>
      <c r="AM425" s="3">
        <v>2.1388888888888888</v>
      </c>
      <c r="AN425" t="s">
        <v>66</v>
      </c>
      <c r="AO425" t="s">
        <v>101</v>
      </c>
    </row>
    <row r="426" spans="1:41" x14ac:dyDescent="0.2">
      <c r="A426">
        <v>371725</v>
      </c>
      <c r="B426" t="s">
        <v>3910</v>
      </c>
      <c r="C426" t="s">
        <v>662</v>
      </c>
      <c r="D426" t="s">
        <v>3911</v>
      </c>
      <c r="E426">
        <v>32889366</v>
      </c>
      <c r="F426">
        <v>410202</v>
      </c>
      <c r="G426" s="1">
        <v>38513</v>
      </c>
      <c r="H426" s="1">
        <v>45727</v>
      </c>
      <c r="I426" s="1">
        <v>46113</v>
      </c>
      <c r="J426" t="s">
        <v>45</v>
      </c>
      <c r="K426" t="s">
        <v>45</v>
      </c>
      <c r="L426" t="s">
        <v>46</v>
      </c>
      <c r="M426" s="1">
        <v>44859</v>
      </c>
      <c r="N426" t="s">
        <v>47</v>
      </c>
      <c r="O426" t="s">
        <v>48</v>
      </c>
      <c r="P426" t="s">
        <v>49</v>
      </c>
      <c r="Q426" t="s">
        <v>3912</v>
      </c>
      <c r="R426" t="s">
        <v>3913</v>
      </c>
      <c r="S426">
        <v>527</v>
      </c>
      <c r="T426" t="s">
        <v>52</v>
      </c>
      <c r="U426">
        <v>8</v>
      </c>
      <c r="V426" t="s">
        <v>3914</v>
      </c>
      <c r="W426" t="s">
        <v>54</v>
      </c>
      <c r="X426" t="s">
        <v>76</v>
      </c>
      <c r="Y426" t="s">
        <v>56</v>
      </c>
      <c r="Z426">
        <v>1063</v>
      </c>
      <c r="AA426">
        <v>44</v>
      </c>
      <c r="AB426">
        <v>176</v>
      </c>
      <c r="AC426" t="s">
        <v>3915</v>
      </c>
      <c r="AD426" t="s">
        <v>3916</v>
      </c>
      <c r="AE426" t="s">
        <v>3917</v>
      </c>
      <c r="AJ426" s="2">
        <v>45818.764710648145</v>
      </c>
      <c r="AK426" t="s">
        <v>556</v>
      </c>
      <c r="AL426" t="s">
        <v>65</v>
      </c>
      <c r="AM426" s="4">
        <v>0.10416666666666667</v>
      </c>
      <c r="AN426" t="s">
        <v>66</v>
      </c>
      <c r="AO426" t="s">
        <v>67</v>
      </c>
    </row>
    <row r="427" spans="1:41" x14ac:dyDescent="0.2">
      <c r="A427">
        <v>371726</v>
      </c>
      <c r="B427" t="s">
        <v>3918</v>
      </c>
      <c r="C427" t="s">
        <v>662</v>
      </c>
      <c r="D427" t="s">
        <v>3919</v>
      </c>
      <c r="E427">
        <v>83740518</v>
      </c>
      <c r="F427">
        <v>411901</v>
      </c>
      <c r="G427" s="1">
        <v>37539</v>
      </c>
      <c r="H427" s="1">
        <v>45685</v>
      </c>
      <c r="I427" s="1">
        <v>46054</v>
      </c>
      <c r="J427" t="s">
        <v>45</v>
      </c>
      <c r="K427" t="s">
        <v>45</v>
      </c>
      <c r="L427" t="s">
        <v>3920</v>
      </c>
      <c r="M427" s="1">
        <v>45530</v>
      </c>
      <c r="N427" t="s">
        <v>47</v>
      </c>
      <c r="O427" t="s">
        <v>48</v>
      </c>
      <c r="P427" t="s">
        <v>49</v>
      </c>
      <c r="Q427" t="s">
        <v>154</v>
      </c>
      <c r="R427" t="s">
        <v>3921</v>
      </c>
      <c r="S427">
        <v>200</v>
      </c>
      <c r="T427" t="s">
        <v>156</v>
      </c>
      <c r="U427" t="s">
        <v>667</v>
      </c>
      <c r="V427" t="s">
        <v>3922</v>
      </c>
      <c r="W427" t="s">
        <v>159</v>
      </c>
      <c r="X427" t="s">
        <v>55</v>
      </c>
      <c r="Y427" t="s">
        <v>56</v>
      </c>
      <c r="Z427">
        <v>2206</v>
      </c>
      <c r="AA427">
        <v>41</v>
      </c>
      <c r="AB427">
        <v>158</v>
      </c>
      <c r="AC427" t="s">
        <v>1237</v>
      </c>
      <c r="AD427" t="s">
        <v>1238</v>
      </c>
      <c r="AE427" t="s">
        <v>1239</v>
      </c>
      <c r="AF427" t="s">
        <v>1594</v>
      </c>
      <c r="AG427" t="s">
        <v>1595</v>
      </c>
      <c r="AH427" t="s">
        <v>1596</v>
      </c>
      <c r="AI427" t="s">
        <v>179</v>
      </c>
      <c r="AJ427" s="2">
        <v>45818.765370370369</v>
      </c>
      <c r="AK427" t="s">
        <v>556</v>
      </c>
      <c r="AL427" t="s">
        <v>65</v>
      </c>
      <c r="AM427" s="4">
        <v>0.45833333333333331</v>
      </c>
      <c r="AN427" t="s">
        <v>66</v>
      </c>
      <c r="AO427" t="s">
        <v>67</v>
      </c>
    </row>
    <row r="428" spans="1:41" x14ac:dyDescent="0.2">
      <c r="A428">
        <v>339448</v>
      </c>
      <c r="B428" t="s">
        <v>3923</v>
      </c>
      <c r="C428" t="s">
        <v>182</v>
      </c>
      <c r="D428" t="s">
        <v>3779</v>
      </c>
      <c r="E428" t="s">
        <v>3924</v>
      </c>
      <c r="F428">
        <v>45805</v>
      </c>
      <c r="G428" s="1">
        <v>36845</v>
      </c>
      <c r="H428" s="1">
        <v>41513</v>
      </c>
      <c r="J428" t="s">
        <v>326</v>
      </c>
      <c r="K428" t="s">
        <v>45</v>
      </c>
      <c r="L428" t="s">
        <v>72</v>
      </c>
      <c r="M428" s="1">
        <v>41513</v>
      </c>
      <c r="N428" t="s">
        <v>47</v>
      </c>
      <c r="O428" t="s">
        <v>48</v>
      </c>
      <c r="P428" t="s">
        <v>1752</v>
      </c>
      <c r="Q428" t="s">
        <v>3925</v>
      </c>
      <c r="R428" t="s">
        <v>3926</v>
      </c>
      <c r="S428">
        <v>278</v>
      </c>
      <c r="T428" t="s">
        <v>365</v>
      </c>
      <c r="U428" t="s">
        <v>815</v>
      </c>
      <c r="V428" t="s">
        <v>816</v>
      </c>
      <c r="W428" t="s">
        <v>409</v>
      </c>
      <c r="X428" t="s">
        <v>76</v>
      </c>
      <c r="Y428" t="s">
        <v>410</v>
      </c>
      <c r="Z428">
        <v>1837</v>
      </c>
      <c r="AA428">
        <v>27</v>
      </c>
      <c r="AB428">
        <v>80</v>
      </c>
      <c r="AC428" t="s">
        <v>817</v>
      </c>
      <c r="AD428" t="s">
        <v>818</v>
      </c>
      <c r="AE428" t="s">
        <v>819</v>
      </c>
      <c r="AF428" t="s">
        <v>817</v>
      </c>
      <c r="AG428" t="s">
        <v>818</v>
      </c>
      <c r="AH428" t="s">
        <v>819</v>
      </c>
      <c r="AI428" t="s">
        <v>818</v>
      </c>
      <c r="AJ428" s="2">
        <v>44686.662916666668</v>
      </c>
      <c r="AK428" t="s">
        <v>149</v>
      </c>
      <c r="AL428" t="s">
        <v>65</v>
      </c>
      <c r="AM428" s="4">
        <v>0.41666666666666669</v>
      </c>
      <c r="AN428" t="s">
        <v>66</v>
      </c>
      <c r="AO428" t="s">
        <v>67</v>
      </c>
    </row>
    <row r="429" spans="1:41" x14ac:dyDescent="0.2">
      <c r="A429">
        <v>363362</v>
      </c>
      <c r="B429" t="s">
        <v>3927</v>
      </c>
      <c r="C429" t="s">
        <v>182</v>
      </c>
      <c r="D429" t="s">
        <v>3180</v>
      </c>
      <c r="E429" t="s">
        <v>3928</v>
      </c>
      <c r="J429" t="s">
        <v>45</v>
      </c>
      <c r="K429" t="s">
        <v>45</v>
      </c>
      <c r="L429" t="s">
        <v>72</v>
      </c>
      <c r="N429" t="s">
        <v>89</v>
      </c>
      <c r="O429" t="s">
        <v>121</v>
      </c>
      <c r="P429" t="s">
        <v>49</v>
      </c>
      <c r="T429" t="s">
        <v>92</v>
      </c>
      <c r="U429" t="s">
        <v>187</v>
      </c>
      <c r="V429" t="s">
        <v>447</v>
      </c>
      <c r="W429" t="s">
        <v>448</v>
      </c>
      <c r="X429" t="s">
        <v>92</v>
      </c>
      <c r="Y429" t="s">
        <v>450</v>
      </c>
      <c r="Z429">
        <v>12256</v>
      </c>
      <c r="AA429">
        <v>2</v>
      </c>
      <c r="AB429">
        <v>44</v>
      </c>
      <c r="AC429" t="s">
        <v>451</v>
      </c>
      <c r="AD429" t="s">
        <v>452</v>
      </c>
      <c r="AE429" t="s">
        <v>453</v>
      </c>
      <c r="AJ429" s="2">
        <v>45510.810277777775</v>
      </c>
      <c r="AK429" t="s">
        <v>100</v>
      </c>
      <c r="AL429" t="s">
        <v>65</v>
      </c>
      <c r="AM429" s="3">
        <v>1.6701388888888888</v>
      </c>
      <c r="AN429" t="s">
        <v>66</v>
      </c>
      <c r="AO429" t="s">
        <v>67</v>
      </c>
    </row>
    <row r="430" spans="1:41" x14ac:dyDescent="0.2">
      <c r="A430">
        <v>363434</v>
      </c>
      <c r="B430" t="s">
        <v>3929</v>
      </c>
      <c r="C430" t="s">
        <v>182</v>
      </c>
      <c r="D430" t="s">
        <v>915</v>
      </c>
      <c r="E430" t="s">
        <v>3930</v>
      </c>
      <c r="J430" t="s">
        <v>45</v>
      </c>
      <c r="K430" t="s">
        <v>45</v>
      </c>
      <c r="L430" t="s">
        <v>72</v>
      </c>
      <c r="N430" t="s">
        <v>89</v>
      </c>
      <c r="O430" t="s">
        <v>121</v>
      </c>
      <c r="P430" t="s">
        <v>49</v>
      </c>
      <c r="T430" t="s">
        <v>92</v>
      </c>
      <c r="U430" t="s">
        <v>187</v>
      </c>
      <c r="V430" t="s">
        <v>447</v>
      </c>
      <c r="W430" t="s">
        <v>448</v>
      </c>
      <c r="X430" t="s">
        <v>92</v>
      </c>
      <c r="Y430" t="s">
        <v>450</v>
      </c>
      <c r="Z430">
        <v>12269</v>
      </c>
      <c r="AA430">
        <v>2</v>
      </c>
      <c r="AB430">
        <v>44</v>
      </c>
      <c r="AC430" t="s">
        <v>451</v>
      </c>
      <c r="AD430" t="s">
        <v>452</v>
      </c>
      <c r="AE430" t="s">
        <v>453</v>
      </c>
      <c r="AJ430" s="2">
        <v>45511.887465277781</v>
      </c>
      <c r="AK430" t="s">
        <v>100</v>
      </c>
      <c r="AL430" t="s">
        <v>65</v>
      </c>
      <c r="AM430" s="3">
        <v>1.8645833333333333</v>
      </c>
      <c r="AN430" t="s">
        <v>66</v>
      </c>
      <c r="AO430" t="s">
        <v>67</v>
      </c>
    </row>
    <row r="431" spans="1:41" x14ac:dyDescent="0.2">
      <c r="A431">
        <v>363436</v>
      </c>
      <c r="B431" t="s">
        <v>3931</v>
      </c>
      <c r="C431" t="s">
        <v>182</v>
      </c>
      <c r="D431" t="s">
        <v>915</v>
      </c>
      <c r="E431" t="s">
        <v>3932</v>
      </c>
      <c r="J431" t="s">
        <v>45</v>
      </c>
      <c r="K431" t="s">
        <v>45</v>
      </c>
      <c r="L431" t="s">
        <v>72</v>
      </c>
      <c r="N431" t="s">
        <v>89</v>
      </c>
      <c r="O431" t="s">
        <v>121</v>
      </c>
      <c r="P431" t="s">
        <v>49</v>
      </c>
      <c r="T431" t="s">
        <v>92</v>
      </c>
      <c r="U431" t="s">
        <v>187</v>
      </c>
      <c r="V431" t="s">
        <v>447</v>
      </c>
      <c r="W431" t="s">
        <v>448</v>
      </c>
      <c r="X431" t="s">
        <v>92</v>
      </c>
      <c r="Y431" t="s">
        <v>450</v>
      </c>
      <c r="Z431">
        <v>12270</v>
      </c>
      <c r="AA431">
        <v>2</v>
      </c>
      <c r="AB431">
        <v>44</v>
      </c>
      <c r="AC431" t="s">
        <v>451</v>
      </c>
      <c r="AD431" t="s">
        <v>452</v>
      </c>
      <c r="AE431" t="s">
        <v>453</v>
      </c>
      <c r="AJ431" s="2">
        <v>45511.891458333332</v>
      </c>
      <c r="AK431" t="s">
        <v>100</v>
      </c>
      <c r="AL431" t="s">
        <v>65</v>
      </c>
      <c r="AM431" s="3">
        <v>1.8715277777777777</v>
      </c>
      <c r="AN431" t="s">
        <v>66</v>
      </c>
      <c r="AO431" t="s">
        <v>67</v>
      </c>
    </row>
    <row r="432" spans="1:41" x14ac:dyDescent="0.2">
      <c r="A432">
        <v>363577</v>
      </c>
      <c r="B432" t="s">
        <v>3933</v>
      </c>
      <c r="C432" t="s">
        <v>182</v>
      </c>
      <c r="D432" t="s">
        <v>3934</v>
      </c>
      <c r="E432" t="s">
        <v>3935</v>
      </c>
      <c r="J432" t="s">
        <v>45</v>
      </c>
      <c r="K432" t="s">
        <v>45</v>
      </c>
      <c r="L432" t="s">
        <v>72</v>
      </c>
      <c r="N432" t="s">
        <v>89</v>
      </c>
      <c r="O432" t="s">
        <v>121</v>
      </c>
      <c r="P432" t="s">
        <v>49</v>
      </c>
      <c r="T432" t="s">
        <v>92</v>
      </c>
      <c r="U432" t="s">
        <v>187</v>
      </c>
      <c r="V432" t="s">
        <v>447</v>
      </c>
      <c r="W432" t="s">
        <v>448</v>
      </c>
      <c r="X432" t="s">
        <v>92</v>
      </c>
      <c r="Y432" t="s">
        <v>450</v>
      </c>
      <c r="Z432">
        <v>12283</v>
      </c>
      <c r="AA432">
        <v>2</v>
      </c>
      <c r="AB432">
        <v>44</v>
      </c>
      <c r="AC432" t="s">
        <v>451</v>
      </c>
      <c r="AD432" t="s">
        <v>452</v>
      </c>
      <c r="AE432" t="s">
        <v>453</v>
      </c>
      <c r="AJ432" s="2">
        <v>45516.806620370371</v>
      </c>
      <c r="AK432" t="s">
        <v>100</v>
      </c>
      <c r="AL432" t="s">
        <v>65</v>
      </c>
      <c r="AM432" s="3">
        <v>1.6770833333333333</v>
      </c>
      <c r="AN432" t="s">
        <v>66</v>
      </c>
      <c r="AO432" t="s">
        <v>67</v>
      </c>
    </row>
    <row r="433" spans="1:41" x14ac:dyDescent="0.2">
      <c r="A433">
        <v>369354</v>
      </c>
      <c r="B433" t="s">
        <v>3936</v>
      </c>
      <c r="C433" t="s">
        <v>182</v>
      </c>
      <c r="D433" t="s">
        <v>3937</v>
      </c>
      <c r="E433" t="s">
        <v>3938</v>
      </c>
      <c r="G433" s="1">
        <v>45499</v>
      </c>
      <c r="H433" s="1">
        <v>45706</v>
      </c>
      <c r="J433" t="s">
        <v>45</v>
      </c>
      <c r="K433" t="s">
        <v>45</v>
      </c>
      <c r="L433" t="s">
        <v>72</v>
      </c>
      <c r="N433" t="s">
        <v>89</v>
      </c>
      <c r="O433" t="s">
        <v>121</v>
      </c>
      <c r="P433" t="s">
        <v>49</v>
      </c>
      <c r="Q433" t="s">
        <v>3939</v>
      </c>
      <c r="R433" t="s">
        <v>3940</v>
      </c>
      <c r="S433">
        <v>288</v>
      </c>
      <c r="T433" t="s">
        <v>92</v>
      </c>
      <c r="U433" t="s">
        <v>187</v>
      </c>
      <c r="V433" t="s">
        <v>447</v>
      </c>
      <c r="W433" t="s">
        <v>448</v>
      </c>
      <c r="X433" t="s">
        <v>92</v>
      </c>
      <c r="Y433" t="s">
        <v>450</v>
      </c>
      <c r="Z433">
        <v>12192</v>
      </c>
      <c r="AA433">
        <v>8</v>
      </c>
      <c r="AB433">
        <v>44</v>
      </c>
      <c r="AC433" t="s">
        <v>3941</v>
      </c>
      <c r="AD433" t="s">
        <v>3942</v>
      </c>
      <c r="AE433" t="s">
        <v>3943</v>
      </c>
      <c r="AJ433" s="2">
        <v>45735.932245370372</v>
      </c>
      <c r="AK433" t="s">
        <v>650</v>
      </c>
      <c r="AL433" t="s">
        <v>65</v>
      </c>
      <c r="AM433" s="3">
        <v>1.40625</v>
      </c>
      <c r="AN433" t="s">
        <v>66</v>
      </c>
      <c r="AO433" t="s">
        <v>67</v>
      </c>
    </row>
    <row r="434" spans="1:41" x14ac:dyDescent="0.2">
      <c r="A434">
        <v>363364</v>
      </c>
      <c r="B434" t="s">
        <v>3944</v>
      </c>
      <c r="C434" t="s">
        <v>182</v>
      </c>
      <c r="D434" t="s">
        <v>932</v>
      </c>
      <c r="E434" t="s">
        <v>3945</v>
      </c>
      <c r="J434" t="s">
        <v>45</v>
      </c>
      <c r="K434" t="s">
        <v>45</v>
      </c>
      <c r="L434" t="s">
        <v>72</v>
      </c>
      <c r="N434" t="s">
        <v>89</v>
      </c>
      <c r="O434" t="s">
        <v>121</v>
      </c>
      <c r="P434" t="s">
        <v>49</v>
      </c>
      <c r="T434" t="s">
        <v>92</v>
      </c>
      <c r="U434" t="s">
        <v>187</v>
      </c>
      <c r="V434" t="s">
        <v>447</v>
      </c>
      <c r="W434" t="s">
        <v>448</v>
      </c>
      <c r="X434" t="s">
        <v>92</v>
      </c>
      <c r="Y434" t="s">
        <v>450</v>
      </c>
      <c r="Z434">
        <v>12257</v>
      </c>
      <c r="AA434">
        <v>2</v>
      </c>
      <c r="AB434">
        <v>44</v>
      </c>
      <c r="AC434" t="s">
        <v>451</v>
      </c>
      <c r="AD434" t="s">
        <v>3946</v>
      </c>
      <c r="AE434" t="s">
        <v>453</v>
      </c>
      <c r="AJ434" s="2">
        <v>45510.824386574073</v>
      </c>
      <c r="AK434" t="s">
        <v>100</v>
      </c>
      <c r="AL434" t="s">
        <v>65</v>
      </c>
      <c r="AM434" s="3">
        <v>1.7881944444444444</v>
      </c>
      <c r="AN434" t="s">
        <v>66</v>
      </c>
      <c r="AO434" t="s">
        <v>67</v>
      </c>
    </row>
    <row r="435" spans="1:41" x14ac:dyDescent="0.2">
      <c r="A435">
        <v>363438</v>
      </c>
      <c r="B435" t="s">
        <v>3947</v>
      </c>
      <c r="C435" t="s">
        <v>182</v>
      </c>
      <c r="D435" t="s">
        <v>915</v>
      </c>
      <c r="E435" t="s">
        <v>3948</v>
      </c>
      <c r="J435" t="s">
        <v>45</v>
      </c>
      <c r="K435" t="s">
        <v>45</v>
      </c>
      <c r="L435" t="s">
        <v>72</v>
      </c>
      <c r="N435" t="s">
        <v>89</v>
      </c>
      <c r="O435" t="s">
        <v>121</v>
      </c>
      <c r="P435" t="s">
        <v>49</v>
      </c>
      <c r="T435" t="s">
        <v>92</v>
      </c>
      <c r="U435" t="s">
        <v>187</v>
      </c>
      <c r="V435" t="s">
        <v>447</v>
      </c>
      <c r="W435" t="s">
        <v>448</v>
      </c>
      <c r="X435" t="s">
        <v>92</v>
      </c>
      <c r="Y435" t="s">
        <v>450</v>
      </c>
      <c r="Z435">
        <v>12271</v>
      </c>
      <c r="AA435">
        <v>2</v>
      </c>
      <c r="AB435">
        <v>44</v>
      </c>
      <c r="AC435" t="s">
        <v>451</v>
      </c>
      <c r="AD435" t="s">
        <v>452</v>
      </c>
      <c r="AE435" t="s">
        <v>453</v>
      </c>
      <c r="AJ435" s="2">
        <v>45511.895092592589</v>
      </c>
      <c r="AK435" t="s">
        <v>100</v>
      </c>
      <c r="AL435" t="s">
        <v>65</v>
      </c>
      <c r="AM435" s="3">
        <v>1.8784722222222223</v>
      </c>
      <c r="AN435" t="s">
        <v>66</v>
      </c>
      <c r="AO435" t="s">
        <v>67</v>
      </c>
    </row>
    <row r="436" spans="1:41" x14ac:dyDescent="0.2">
      <c r="A436">
        <v>363441</v>
      </c>
      <c r="B436" t="s">
        <v>3949</v>
      </c>
      <c r="C436" t="s">
        <v>182</v>
      </c>
      <c r="D436" t="s">
        <v>915</v>
      </c>
      <c r="E436" t="s">
        <v>3950</v>
      </c>
      <c r="J436" t="s">
        <v>45</v>
      </c>
      <c r="K436" t="s">
        <v>45</v>
      </c>
      <c r="L436" t="s">
        <v>72</v>
      </c>
      <c r="N436" t="s">
        <v>89</v>
      </c>
      <c r="O436" t="s">
        <v>121</v>
      </c>
      <c r="P436" t="s">
        <v>49</v>
      </c>
      <c r="T436" t="s">
        <v>92</v>
      </c>
      <c r="U436" t="s">
        <v>187</v>
      </c>
      <c r="V436" t="s">
        <v>447</v>
      </c>
      <c r="W436" t="s">
        <v>448</v>
      </c>
      <c r="X436" t="s">
        <v>92</v>
      </c>
      <c r="Y436" t="s">
        <v>450</v>
      </c>
      <c r="Z436">
        <v>12272</v>
      </c>
      <c r="AA436">
        <v>2</v>
      </c>
      <c r="AB436">
        <v>44</v>
      </c>
      <c r="AC436" t="s">
        <v>451</v>
      </c>
      <c r="AD436" t="s">
        <v>452</v>
      </c>
      <c r="AE436" t="s">
        <v>453</v>
      </c>
      <c r="AJ436" s="2">
        <v>45511.898298611108</v>
      </c>
      <c r="AK436" t="s">
        <v>100</v>
      </c>
      <c r="AL436" t="s">
        <v>65</v>
      </c>
      <c r="AM436" s="3">
        <v>1.8854166666666667</v>
      </c>
      <c r="AN436" t="s">
        <v>66</v>
      </c>
      <c r="AO436" t="s">
        <v>67</v>
      </c>
    </row>
    <row r="437" spans="1:41" x14ac:dyDescent="0.2">
      <c r="A437">
        <v>363370</v>
      </c>
      <c r="B437" t="s">
        <v>3951</v>
      </c>
      <c r="C437" t="s">
        <v>182</v>
      </c>
      <c r="D437" t="s">
        <v>558</v>
      </c>
      <c r="E437" t="s">
        <v>3952</v>
      </c>
      <c r="J437" t="s">
        <v>45</v>
      </c>
      <c r="K437" t="s">
        <v>45</v>
      </c>
      <c r="L437" t="s">
        <v>72</v>
      </c>
      <c r="N437" t="s">
        <v>89</v>
      </c>
      <c r="O437" t="s">
        <v>121</v>
      </c>
      <c r="P437" t="s">
        <v>49</v>
      </c>
      <c r="T437" t="s">
        <v>92</v>
      </c>
      <c r="U437" t="s">
        <v>187</v>
      </c>
      <c r="V437" t="s">
        <v>447</v>
      </c>
      <c r="W437" t="s">
        <v>448</v>
      </c>
      <c r="X437" t="s">
        <v>92</v>
      </c>
      <c r="Y437" t="s">
        <v>450</v>
      </c>
      <c r="Z437">
        <v>12259</v>
      </c>
      <c r="AA437">
        <v>2</v>
      </c>
      <c r="AB437">
        <v>44</v>
      </c>
      <c r="AC437" t="s">
        <v>451</v>
      </c>
      <c r="AD437" t="s">
        <v>452</v>
      </c>
      <c r="AE437" t="s">
        <v>453</v>
      </c>
      <c r="AJ437" s="2">
        <v>45510.854363425926</v>
      </c>
      <c r="AK437" t="s">
        <v>100</v>
      </c>
      <c r="AL437" t="s">
        <v>65</v>
      </c>
      <c r="AM437" s="3">
        <v>1.7951388888888888</v>
      </c>
      <c r="AN437" t="s">
        <v>66</v>
      </c>
      <c r="AO437" t="s">
        <v>67</v>
      </c>
    </row>
    <row r="438" spans="1:41" x14ac:dyDescent="0.2">
      <c r="A438">
        <v>363373</v>
      </c>
      <c r="B438" t="s">
        <v>3953</v>
      </c>
      <c r="C438" t="s">
        <v>182</v>
      </c>
      <c r="D438" t="s">
        <v>894</v>
      </c>
      <c r="E438" t="s">
        <v>3954</v>
      </c>
      <c r="J438" t="s">
        <v>45</v>
      </c>
      <c r="K438" t="s">
        <v>45</v>
      </c>
      <c r="L438" t="s">
        <v>72</v>
      </c>
      <c r="N438" t="s">
        <v>89</v>
      </c>
      <c r="O438" t="s">
        <v>121</v>
      </c>
      <c r="P438" t="s">
        <v>49</v>
      </c>
      <c r="T438" t="s">
        <v>92</v>
      </c>
      <c r="U438" t="s">
        <v>187</v>
      </c>
      <c r="V438" t="s">
        <v>447</v>
      </c>
      <c r="W438" t="s">
        <v>448</v>
      </c>
      <c r="X438" t="s">
        <v>92</v>
      </c>
      <c r="Y438" t="s">
        <v>450</v>
      </c>
      <c r="Z438">
        <v>12260</v>
      </c>
      <c r="AA438">
        <v>2</v>
      </c>
      <c r="AB438">
        <v>44</v>
      </c>
      <c r="AC438" t="s">
        <v>451</v>
      </c>
      <c r="AD438" t="s">
        <v>452</v>
      </c>
      <c r="AE438" t="s">
        <v>453</v>
      </c>
      <c r="AJ438" s="2">
        <v>45510.859907407408</v>
      </c>
      <c r="AK438" t="s">
        <v>100</v>
      </c>
      <c r="AL438" t="s">
        <v>65</v>
      </c>
      <c r="AM438" s="3">
        <v>1.8020833333333333</v>
      </c>
      <c r="AN438" t="s">
        <v>66</v>
      </c>
      <c r="AO438" t="s">
        <v>67</v>
      </c>
    </row>
    <row r="439" spans="1:41" x14ac:dyDescent="0.2">
      <c r="A439">
        <v>363375</v>
      </c>
      <c r="B439" t="s">
        <v>3955</v>
      </c>
      <c r="C439" t="s">
        <v>182</v>
      </c>
      <c r="D439" t="s">
        <v>3956</v>
      </c>
      <c r="E439" t="s">
        <v>3957</v>
      </c>
      <c r="J439" t="s">
        <v>45</v>
      </c>
      <c r="K439" t="s">
        <v>45</v>
      </c>
      <c r="L439" t="s">
        <v>72</v>
      </c>
      <c r="N439" t="s">
        <v>89</v>
      </c>
      <c r="O439" t="s">
        <v>121</v>
      </c>
      <c r="P439" t="s">
        <v>49</v>
      </c>
      <c r="T439" t="s">
        <v>92</v>
      </c>
      <c r="U439" t="s">
        <v>187</v>
      </c>
      <c r="V439" t="s">
        <v>447</v>
      </c>
      <c r="W439" t="s">
        <v>448</v>
      </c>
      <c r="X439" t="s">
        <v>92</v>
      </c>
      <c r="Y439" t="s">
        <v>450</v>
      </c>
      <c r="Z439">
        <v>12261</v>
      </c>
      <c r="AA439">
        <v>2</v>
      </c>
      <c r="AB439">
        <v>44</v>
      </c>
      <c r="AC439" t="s">
        <v>451</v>
      </c>
      <c r="AD439" t="s">
        <v>452</v>
      </c>
      <c r="AE439" t="s">
        <v>453</v>
      </c>
      <c r="AJ439" s="2">
        <v>45510.863842592589</v>
      </c>
      <c r="AK439" t="s">
        <v>100</v>
      </c>
      <c r="AL439" t="s">
        <v>65</v>
      </c>
      <c r="AM439" s="3">
        <v>1.8090277777777777</v>
      </c>
      <c r="AN439" t="s">
        <v>66</v>
      </c>
      <c r="AO439" t="s">
        <v>67</v>
      </c>
    </row>
    <row r="440" spans="1:41" x14ac:dyDescent="0.2">
      <c r="A440">
        <v>365166</v>
      </c>
      <c r="B440" t="s">
        <v>3958</v>
      </c>
      <c r="C440" t="s">
        <v>182</v>
      </c>
      <c r="D440" t="s">
        <v>1064</v>
      </c>
      <c r="E440" t="s">
        <v>3959</v>
      </c>
      <c r="G440" s="1">
        <v>45572</v>
      </c>
      <c r="H440" s="1">
        <v>45572</v>
      </c>
      <c r="J440" t="s">
        <v>45</v>
      </c>
      <c r="K440" t="s">
        <v>45</v>
      </c>
      <c r="L440" t="s">
        <v>72</v>
      </c>
      <c r="N440" t="s">
        <v>89</v>
      </c>
      <c r="O440" t="s">
        <v>121</v>
      </c>
      <c r="P440" t="s">
        <v>49</v>
      </c>
      <c r="Q440" t="s">
        <v>3960</v>
      </c>
      <c r="R440" t="s">
        <v>3961</v>
      </c>
      <c r="S440">
        <v>2801</v>
      </c>
      <c r="T440" t="s">
        <v>92</v>
      </c>
      <c r="U440" t="s">
        <v>187</v>
      </c>
      <c r="V440" t="s">
        <v>447</v>
      </c>
      <c r="W440" t="s">
        <v>448</v>
      </c>
      <c r="X440" t="s">
        <v>92</v>
      </c>
      <c r="Y440" t="s">
        <v>450</v>
      </c>
      <c r="Z440">
        <v>12262</v>
      </c>
      <c r="AA440">
        <v>6</v>
      </c>
      <c r="AB440">
        <v>44</v>
      </c>
      <c r="AC440" t="s">
        <v>451</v>
      </c>
      <c r="AD440" t="s">
        <v>452</v>
      </c>
      <c r="AE440" t="s">
        <v>453</v>
      </c>
      <c r="AJ440" s="2">
        <v>45572.674444444441</v>
      </c>
      <c r="AK440" t="s">
        <v>132</v>
      </c>
      <c r="AL440" t="s">
        <v>65</v>
      </c>
      <c r="AM440" s="3">
        <v>1.8159722222222223</v>
      </c>
      <c r="AN440" t="s">
        <v>66</v>
      </c>
      <c r="AO440" t="s">
        <v>67</v>
      </c>
    </row>
    <row r="441" spans="1:41" x14ac:dyDescent="0.2">
      <c r="A441">
        <v>363380</v>
      </c>
      <c r="B441" t="s">
        <v>3962</v>
      </c>
      <c r="C441" t="s">
        <v>182</v>
      </c>
      <c r="D441" t="s">
        <v>2034</v>
      </c>
      <c r="E441" t="s">
        <v>3963</v>
      </c>
      <c r="J441" t="s">
        <v>45</v>
      </c>
      <c r="K441" t="s">
        <v>45</v>
      </c>
      <c r="L441" t="s">
        <v>72</v>
      </c>
      <c r="N441" t="s">
        <v>89</v>
      </c>
      <c r="O441" t="s">
        <v>121</v>
      </c>
      <c r="P441" t="s">
        <v>49</v>
      </c>
      <c r="T441" t="s">
        <v>92</v>
      </c>
      <c r="U441" t="s">
        <v>187</v>
      </c>
      <c r="V441" t="s">
        <v>447</v>
      </c>
      <c r="W441" t="s">
        <v>448</v>
      </c>
      <c r="X441" t="s">
        <v>92</v>
      </c>
      <c r="Y441" t="s">
        <v>450</v>
      </c>
      <c r="Z441">
        <v>12263</v>
      </c>
      <c r="AA441">
        <v>2</v>
      </c>
      <c r="AB441">
        <v>44</v>
      </c>
      <c r="AC441" t="s">
        <v>451</v>
      </c>
      <c r="AD441" t="s">
        <v>452</v>
      </c>
      <c r="AE441" t="s">
        <v>453</v>
      </c>
      <c r="AJ441" s="2">
        <v>45510.885787037034</v>
      </c>
      <c r="AK441" t="s">
        <v>100</v>
      </c>
      <c r="AL441" t="s">
        <v>65</v>
      </c>
      <c r="AM441" s="3">
        <v>1.8229166666666667</v>
      </c>
      <c r="AN441" t="s">
        <v>66</v>
      </c>
      <c r="AO441" t="s">
        <v>67</v>
      </c>
    </row>
    <row r="442" spans="1:41" x14ac:dyDescent="0.2">
      <c r="A442">
        <v>367624</v>
      </c>
      <c r="B442" t="s">
        <v>3964</v>
      </c>
      <c r="C442" t="s">
        <v>182</v>
      </c>
      <c r="D442" t="s">
        <v>183</v>
      </c>
      <c r="E442" t="s">
        <v>3965</v>
      </c>
      <c r="G442" s="1">
        <v>45671</v>
      </c>
      <c r="H442" s="1">
        <v>45566</v>
      </c>
      <c r="J442" t="s">
        <v>45</v>
      </c>
      <c r="K442" t="s">
        <v>45</v>
      </c>
      <c r="L442" t="s">
        <v>72</v>
      </c>
      <c r="N442" t="s">
        <v>89</v>
      </c>
      <c r="O442" t="s">
        <v>121</v>
      </c>
      <c r="P442" t="s">
        <v>49</v>
      </c>
      <c r="Q442" t="s">
        <v>3966</v>
      </c>
      <c r="R442" t="s">
        <v>3967</v>
      </c>
      <c r="S442">
        <v>10</v>
      </c>
      <c r="T442" t="s">
        <v>92</v>
      </c>
      <c r="U442" t="s">
        <v>187</v>
      </c>
      <c r="V442" t="s">
        <v>447</v>
      </c>
      <c r="W442" t="s">
        <v>448</v>
      </c>
      <c r="X442" t="s">
        <v>92</v>
      </c>
      <c r="Y442" t="s">
        <v>450</v>
      </c>
      <c r="Z442">
        <v>12273</v>
      </c>
      <c r="AA442">
        <v>5</v>
      </c>
      <c r="AB442">
        <v>44</v>
      </c>
      <c r="AC442" t="s">
        <v>451</v>
      </c>
      <c r="AD442" t="s">
        <v>452</v>
      </c>
      <c r="AE442" t="s">
        <v>453</v>
      </c>
      <c r="AI442" t="s">
        <v>452</v>
      </c>
      <c r="AJ442" s="2">
        <v>45684.868877314817</v>
      </c>
      <c r="AK442" t="s">
        <v>132</v>
      </c>
      <c r="AL442" t="s">
        <v>65</v>
      </c>
      <c r="AM442" s="3">
        <v>1.8923611111111112</v>
      </c>
      <c r="AN442" t="s">
        <v>66</v>
      </c>
      <c r="AO442" t="s">
        <v>67</v>
      </c>
    </row>
    <row r="443" spans="1:41" x14ac:dyDescent="0.2">
      <c r="A443">
        <v>363447</v>
      </c>
      <c r="B443" t="s">
        <v>3968</v>
      </c>
      <c r="C443" t="s">
        <v>182</v>
      </c>
      <c r="D443" t="s">
        <v>915</v>
      </c>
      <c r="E443" t="s">
        <v>3969</v>
      </c>
      <c r="J443" t="s">
        <v>45</v>
      </c>
      <c r="K443" t="s">
        <v>45</v>
      </c>
      <c r="L443" t="s">
        <v>72</v>
      </c>
      <c r="N443" t="s">
        <v>89</v>
      </c>
      <c r="O443" t="s">
        <v>121</v>
      </c>
      <c r="P443" t="s">
        <v>49</v>
      </c>
      <c r="T443" t="s">
        <v>92</v>
      </c>
      <c r="U443" t="s">
        <v>187</v>
      </c>
      <c r="V443" t="s">
        <v>447</v>
      </c>
      <c r="W443" t="s">
        <v>448</v>
      </c>
      <c r="X443" t="s">
        <v>92</v>
      </c>
      <c r="Y443" t="s">
        <v>450</v>
      </c>
      <c r="Z443">
        <v>12274</v>
      </c>
      <c r="AA443">
        <v>2</v>
      </c>
      <c r="AB443">
        <v>44</v>
      </c>
      <c r="AC443" t="s">
        <v>451</v>
      </c>
      <c r="AD443" t="s">
        <v>452</v>
      </c>
      <c r="AE443" t="s">
        <v>453</v>
      </c>
      <c r="AJ443" s="2">
        <v>45511.903101851851</v>
      </c>
      <c r="AK443" t="s">
        <v>100</v>
      </c>
      <c r="AL443" t="s">
        <v>65</v>
      </c>
      <c r="AM443" s="3">
        <v>1.8993055555555556</v>
      </c>
      <c r="AN443" t="s">
        <v>66</v>
      </c>
      <c r="AO443" t="s">
        <v>67</v>
      </c>
    </row>
    <row r="444" spans="1:41" x14ac:dyDescent="0.2">
      <c r="A444">
        <v>363382</v>
      </c>
      <c r="B444" t="s">
        <v>3970</v>
      </c>
      <c r="C444" t="s">
        <v>182</v>
      </c>
      <c r="D444" t="s">
        <v>779</v>
      </c>
      <c r="E444" t="s">
        <v>3971</v>
      </c>
      <c r="J444" t="s">
        <v>45</v>
      </c>
      <c r="K444" t="s">
        <v>45</v>
      </c>
      <c r="L444" t="s">
        <v>72</v>
      </c>
      <c r="N444" t="s">
        <v>89</v>
      </c>
      <c r="O444" t="s">
        <v>121</v>
      </c>
      <c r="P444" t="s">
        <v>49</v>
      </c>
      <c r="T444" t="s">
        <v>92</v>
      </c>
      <c r="U444" t="s">
        <v>187</v>
      </c>
      <c r="V444" t="s">
        <v>447</v>
      </c>
      <c r="W444" t="s">
        <v>448</v>
      </c>
      <c r="X444" t="s">
        <v>92</v>
      </c>
      <c r="Y444" t="s">
        <v>450</v>
      </c>
      <c r="Z444">
        <v>12264</v>
      </c>
      <c r="AA444">
        <v>2</v>
      </c>
      <c r="AB444">
        <v>44</v>
      </c>
      <c r="AC444" t="s">
        <v>451</v>
      </c>
      <c r="AD444" t="s">
        <v>452</v>
      </c>
      <c r="AE444" t="s">
        <v>453</v>
      </c>
      <c r="AJ444" s="2">
        <v>45510.888761574075</v>
      </c>
      <c r="AK444" t="s">
        <v>100</v>
      </c>
      <c r="AL444" t="s">
        <v>65</v>
      </c>
      <c r="AM444" s="3">
        <v>1.8298611111111112</v>
      </c>
      <c r="AN444" t="s">
        <v>66</v>
      </c>
      <c r="AO444" t="s">
        <v>67</v>
      </c>
    </row>
    <row r="445" spans="1:41" x14ac:dyDescent="0.2">
      <c r="A445">
        <v>363384</v>
      </c>
      <c r="B445" t="s">
        <v>3972</v>
      </c>
      <c r="C445" t="s">
        <v>182</v>
      </c>
      <c r="D445" t="s">
        <v>610</v>
      </c>
      <c r="E445" t="s">
        <v>3973</v>
      </c>
      <c r="J445" t="s">
        <v>45</v>
      </c>
      <c r="K445" t="s">
        <v>45</v>
      </c>
      <c r="L445" t="s">
        <v>72</v>
      </c>
      <c r="N445" t="s">
        <v>89</v>
      </c>
      <c r="O445" t="s">
        <v>121</v>
      </c>
      <c r="P445" t="s">
        <v>49</v>
      </c>
      <c r="T445" t="s">
        <v>92</v>
      </c>
      <c r="U445" t="s">
        <v>187</v>
      </c>
      <c r="V445" t="s">
        <v>447</v>
      </c>
      <c r="W445" t="s">
        <v>448</v>
      </c>
      <c r="X445" t="s">
        <v>92</v>
      </c>
      <c r="Y445" t="s">
        <v>450</v>
      </c>
      <c r="Z445">
        <v>12265</v>
      </c>
      <c r="AA445">
        <v>2</v>
      </c>
      <c r="AB445">
        <v>44</v>
      </c>
      <c r="AC445" t="s">
        <v>451</v>
      </c>
      <c r="AD445" t="s">
        <v>452</v>
      </c>
      <c r="AE445" t="s">
        <v>453</v>
      </c>
      <c r="AJ445" s="2">
        <v>45510.89329861111</v>
      </c>
      <c r="AK445" t="s">
        <v>100</v>
      </c>
      <c r="AL445" t="s">
        <v>65</v>
      </c>
      <c r="AM445" s="3">
        <v>1.8368055555555556</v>
      </c>
      <c r="AN445" t="s">
        <v>66</v>
      </c>
      <c r="AO445" t="s">
        <v>67</v>
      </c>
    </row>
    <row r="446" spans="1:41" x14ac:dyDescent="0.2">
      <c r="A446">
        <v>363386</v>
      </c>
      <c r="B446" t="s">
        <v>3974</v>
      </c>
      <c r="C446" t="s">
        <v>182</v>
      </c>
      <c r="D446" t="s">
        <v>610</v>
      </c>
      <c r="E446" t="s">
        <v>3975</v>
      </c>
      <c r="J446" t="s">
        <v>45</v>
      </c>
      <c r="K446" t="s">
        <v>45</v>
      </c>
      <c r="L446" t="s">
        <v>72</v>
      </c>
      <c r="N446" t="s">
        <v>89</v>
      </c>
      <c r="O446" t="s">
        <v>121</v>
      </c>
      <c r="P446" t="s">
        <v>49</v>
      </c>
      <c r="T446" t="s">
        <v>92</v>
      </c>
      <c r="U446" t="s">
        <v>187</v>
      </c>
      <c r="V446" t="s">
        <v>447</v>
      </c>
      <c r="W446" t="s">
        <v>448</v>
      </c>
      <c r="X446" t="s">
        <v>92</v>
      </c>
      <c r="Y446" t="s">
        <v>450</v>
      </c>
      <c r="Z446">
        <v>12266</v>
      </c>
      <c r="AA446">
        <v>2</v>
      </c>
      <c r="AB446">
        <v>44</v>
      </c>
      <c r="AC446" t="s">
        <v>451</v>
      </c>
      <c r="AD446" t="s">
        <v>452</v>
      </c>
      <c r="AE446" t="s">
        <v>453</v>
      </c>
      <c r="AJ446" s="2">
        <v>45510.897268518522</v>
      </c>
      <c r="AK446" t="s">
        <v>100</v>
      </c>
      <c r="AL446" t="s">
        <v>65</v>
      </c>
      <c r="AM446" s="3">
        <v>1.84375</v>
      </c>
      <c r="AN446" t="s">
        <v>66</v>
      </c>
      <c r="AO446" t="s">
        <v>67</v>
      </c>
    </row>
    <row r="447" spans="1:41" x14ac:dyDescent="0.2">
      <c r="A447">
        <v>363449</v>
      </c>
      <c r="B447" t="s">
        <v>3976</v>
      </c>
      <c r="C447" t="s">
        <v>182</v>
      </c>
      <c r="D447" t="s">
        <v>915</v>
      </c>
      <c r="E447" t="s">
        <v>3977</v>
      </c>
      <c r="J447" t="s">
        <v>45</v>
      </c>
      <c r="K447" t="s">
        <v>45</v>
      </c>
      <c r="L447" t="s">
        <v>72</v>
      </c>
      <c r="N447" t="s">
        <v>89</v>
      </c>
      <c r="O447" t="s">
        <v>121</v>
      </c>
      <c r="P447" t="s">
        <v>49</v>
      </c>
      <c r="T447" t="s">
        <v>92</v>
      </c>
      <c r="U447" t="s">
        <v>187</v>
      </c>
      <c r="V447" t="s">
        <v>447</v>
      </c>
      <c r="W447" t="s">
        <v>448</v>
      </c>
      <c r="X447" t="s">
        <v>92</v>
      </c>
      <c r="Y447" t="s">
        <v>450</v>
      </c>
      <c r="Z447">
        <v>12275</v>
      </c>
      <c r="AA447">
        <v>2</v>
      </c>
      <c r="AB447">
        <v>44</v>
      </c>
      <c r="AC447" t="s">
        <v>451</v>
      </c>
      <c r="AD447" t="s">
        <v>452</v>
      </c>
      <c r="AE447" t="s">
        <v>453</v>
      </c>
      <c r="AJ447" s="2">
        <v>45511.906145833331</v>
      </c>
      <c r="AK447" t="s">
        <v>100</v>
      </c>
      <c r="AL447" t="s">
        <v>65</v>
      </c>
      <c r="AM447" s="3">
        <v>1.90625</v>
      </c>
      <c r="AN447" t="s">
        <v>66</v>
      </c>
      <c r="AO447" t="s">
        <v>67</v>
      </c>
    </row>
    <row r="448" spans="1:41" x14ac:dyDescent="0.2">
      <c r="A448">
        <v>363451</v>
      </c>
      <c r="B448" t="s">
        <v>3978</v>
      </c>
      <c r="C448" t="s">
        <v>182</v>
      </c>
      <c r="D448" t="s">
        <v>915</v>
      </c>
      <c r="E448" t="s">
        <v>3979</v>
      </c>
      <c r="J448" t="s">
        <v>45</v>
      </c>
      <c r="K448" t="s">
        <v>45</v>
      </c>
      <c r="L448" t="s">
        <v>72</v>
      </c>
      <c r="N448" t="s">
        <v>89</v>
      </c>
      <c r="O448" t="s">
        <v>121</v>
      </c>
      <c r="P448" t="s">
        <v>49</v>
      </c>
      <c r="T448" t="s">
        <v>92</v>
      </c>
      <c r="U448" t="s">
        <v>187</v>
      </c>
      <c r="V448" t="s">
        <v>447</v>
      </c>
      <c r="W448" t="s">
        <v>448</v>
      </c>
      <c r="X448" t="s">
        <v>92</v>
      </c>
      <c r="Y448" t="s">
        <v>450</v>
      </c>
      <c r="Z448">
        <v>12276</v>
      </c>
      <c r="AA448">
        <v>2</v>
      </c>
      <c r="AB448">
        <v>44</v>
      </c>
      <c r="AC448" t="s">
        <v>451</v>
      </c>
      <c r="AD448" t="s">
        <v>452</v>
      </c>
      <c r="AE448" t="s">
        <v>453</v>
      </c>
      <c r="AJ448" s="2">
        <v>45511.908310185187</v>
      </c>
      <c r="AK448" t="s">
        <v>100</v>
      </c>
      <c r="AL448" t="s">
        <v>65</v>
      </c>
      <c r="AM448" s="3">
        <v>1.9131944444444444</v>
      </c>
      <c r="AN448" t="s">
        <v>66</v>
      </c>
      <c r="AO448" t="s">
        <v>67</v>
      </c>
    </row>
    <row r="449" spans="1:41" x14ac:dyDescent="0.2">
      <c r="A449">
        <v>363429</v>
      </c>
      <c r="B449" t="s">
        <v>3980</v>
      </c>
      <c r="C449" t="s">
        <v>182</v>
      </c>
      <c r="D449" t="s">
        <v>1813</v>
      </c>
      <c r="E449" t="s">
        <v>3981</v>
      </c>
      <c r="J449" t="s">
        <v>45</v>
      </c>
      <c r="K449" t="s">
        <v>45</v>
      </c>
      <c r="L449" t="s">
        <v>72</v>
      </c>
      <c r="N449" t="s">
        <v>89</v>
      </c>
      <c r="O449" t="s">
        <v>121</v>
      </c>
      <c r="P449" t="s">
        <v>49</v>
      </c>
      <c r="T449" t="s">
        <v>92</v>
      </c>
      <c r="U449" t="s">
        <v>187</v>
      </c>
      <c r="V449" t="s">
        <v>447</v>
      </c>
      <c r="W449" t="s">
        <v>448</v>
      </c>
      <c r="X449" t="s">
        <v>92</v>
      </c>
      <c r="Y449" t="s">
        <v>450</v>
      </c>
      <c r="Z449">
        <v>12267</v>
      </c>
      <c r="AA449">
        <v>2</v>
      </c>
      <c r="AB449">
        <v>44</v>
      </c>
      <c r="AC449" t="s">
        <v>451</v>
      </c>
      <c r="AD449" t="s">
        <v>452</v>
      </c>
      <c r="AE449" t="s">
        <v>453</v>
      </c>
      <c r="AJ449" s="2">
        <v>45511.881157407406</v>
      </c>
      <c r="AK449" t="s">
        <v>100</v>
      </c>
      <c r="AL449" t="s">
        <v>65</v>
      </c>
      <c r="AM449" s="3">
        <v>1.8506944444444444</v>
      </c>
      <c r="AN449" t="s">
        <v>66</v>
      </c>
      <c r="AO449" t="s">
        <v>67</v>
      </c>
    </row>
    <row r="450" spans="1:41" x14ac:dyDescent="0.2">
      <c r="A450">
        <v>363431</v>
      </c>
      <c r="B450" t="s">
        <v>3982</v>
      </c>
      <c r="C450" t="s">
        <v>182</v>
      </c>
      <c r="D450" t="s">
        <v>3983</v>
      </c>
      <c r="E450" t="s">
        <v>3984</v>
      </c>
      <c r="J450" t="s">
        <v>45</v>
      </c>
      <c r="K450" t="s">
        <v>45</v>
      </c>
      <c r="L450" t="s">
        <v>72</v>
      </c>
      <c r="N450" t="s">
        <v>89</v>
      </c>
      <c r="O450" t="s">
        <v>121</v>
      </c>
      <c r="P450" t="s">
        <v>49</v>
      </c>
      <c r="T450" t="s">
        <v>92</v>
      </c>
      <c r="U450" t="s">
        <v>187</v>
      </c>
      <c r="V450" t="s">
        <v>447</v>
      </c>
      <c r="W450" t="s">
        <v>448</v>
      </c>
      <c r="X450" t="s">
        <v>92</v>
      </c>
      <c r="Y450" t="s">
        <v>450</v>
      </c>
      <c r="Z450">
        <v>12268</v>
      </c>
      <c r="AA450">
        <v>2</v>
      </c>
      <c r="AB450">
        <v>44</v>
      </c>
      <c r="AC450" t="s">
        <v>451</v>
      </c>
      <c r="AD450" t="s">
        <v>452</v>
      </c>
      <c r="AE450" t="s">
        <v>453</v>
      </c>
      <c r="AJ450" s="2">
        <v>45511.885069444441</v>
      </c>
      <c r="AK450" t="s">
        <v>100</v>
      </c>
      <c r="AL450" t="s">
        <v>65</v>
      </c>
      <c r="AM450" s="3">
        <v>1.8576388888888888</v>
      </c>
      <c r="AN450" t="s">
        <v>66</v>
      </c>
      <c r="AO450" t="s">
        <v>67</v>
      </c>
    </row>
    <row r="451" spans="1:41" x14ac:dyDescent="0.2">
      <c r="A451">
        <v>363454</v>
      </c>
      <c r="B451" t="s">
        <v>3985</v>
      </c>
      <c r="C451" t="s">
        <v>182</v>
      </c>
      <c r="D451" t="s">
        <v>915</v>
      </c>
      <c r="E451" t="s">
        <v>3986</v>
      </c>
      <c r="J451" t="s">
        <v>45</v>
      </c>
      <c r="K451" t="s">
        <v>45</v>
      </c>
      <c r="L451" t="s">
        <v>72</v>
      </c>
      <c r="N451" t="s">
        <v>89</v>
      </c>
      <c r="O451" t="s">
        <v>121</v>
      </c>
      <c r="P451" t="s">
        <v>49</v>
      </c>
      <c r="T451" t="s">
        <v>92</v>
      </c>
      <c r="U451" t="s">
        <v>187</v>
      </c>
      <c r="V451" t="s">
        <v>447</v>
      </c>
      <c r="W451" t="s">
        <v>448</v>
      </c>
      <c r="X451" t="s">
        <v>92</v>
      </c>
      <c r="Y451" t="s">
        <v>450</v>
      </c>
      <c r="Z451">
        <v>12277</v>
      </c>
      <c r="AA451">
        <v>2</v>
      </c>
      <c r="AB451">
        <v>44</v>
      </c>
      <c r="AC451" t="s">
        <v>451</v>
      </c>
      <c r="AD451" t="s">
        <v>452</v>
      </c>
      <c r="AE451" t="s">
        <v>453</v>
      </c>
      <c r="AJ451" s="2">
        <v>45511.91238425926</v>
      </c>
      <c r="AK451" t="s">
        <v>100</v>
      </c>
      <c r="AL451" t="s">
        <v>65</v>
      </c>
      <c r="AM451" s="3">
        <v>1.9201388888888888</v>
      </c>
      <c r="AN451" t="s">
        <v>66</v>
      </c>
      <c r="AO451" t="s">
        <v>67</v>
      </c>
    </row>
    <row r="452" spans="1:41" x14ac:dyDescent="0.2">
      <c r="A452">
        <v>363559</v>
      </c>
      <c r="B452" t="s">
        <v>3987</v>
      </c>
      <c r="C452" t="s">
        <v>182</v>
      </c>
      <c r="D452" t="s">
        <v>915</v>
      </c>
      <c r="E452" t="s">
        <v>3988</v>
      </c>
      <c r="J452" t="s">
        <v>45</v>
      </c>
      <c r="K452" t="s">
        <v>45</v>
      </c>
      <c r="L452" t="s">
        <v>46</v>
      </c>
      <c r="N452" t="s">
        <v>89</v>
      </c>
      <c r="O452" t="s">
        <v>48</v>
      </c>
      <c r="P452" t="s">
        <v>49</v>
      </c>
      <c r="T452" t="s">
        <v>92</v>
      </c>
      <c r="U452" t="s">
        <v>187</v>
      </c>
      <c r="V452" t="s">
        <v>447</v>
      </c>
      <c r="W452" t="s">
        <v>448</v>
      </c>
      <c r="X452" t="s">
        <v>92</v>
      </c>
      <c r="Y452" t="s">
        <v>450</v>
      </c>
      <c r="Z452">
        <v>12280</v>
      </c>
      <c r="AA452">
        <v>2</v>
      </c>
      <c r="AB452">
        <v>44</v>
      </c>
      <c r="AC452" t="s">
        <v>451</v>
      </c>
      <c r="AD452" t="s">
        <v>452</v>
      </c>
      <c r="AE452" t="s">
        <v>453</v>
      </c>
      <c r="AJ452" s="2">
        <v>45516.720300925925</v>
      </c>
      <c r="AK452" t="s">
        <v>100</v>
      </c>
      <c r="AL452" t="s">
        <v>65</v>
      </c>
      <c r="AM452" s="3">
        <v>1.9409722222222223</v>
      </c>
      <c r="AN452" t="s">
        <v>66</v>
      </c>
      <c r="AO452" t="s">
        <v>67</v>
      </c>
    </row>
    <row r="453" spans="1:41" x14ac:dyDescent="0.2">
      <c r="A453">
        <v>363564</v>
      </c>
      <c r="B453" t="s">
        <v>3989</v>
      </c>
      <c r="C453" t="s">
        <v>182</v>
      </c>
      <c r="E453" t="s">
        <v>3990</v>
      </c>
      <c r="J453" t="s">
        <v>45</v>
      </c>
      <c r="K453" t="s">
        <v>45</v>
      </c>
      <c r="L453" t="s">
        <v>46</v>
      </c>
      <c r="N453" t="s">
        <v>89</v>
      </c>
      <c r="O453" t="s">
        <v>48</v>
      </c>
      <c r="P453" t="s">
        <v>49</v>
      </c>
      <c r="T453" t="s">
        <v>92</v>
      </c>
      <c r="U453" t="s">
        <v>187</v>
      </c>
      <c r="V453" t="s">
        <v>447</v>
      </c>
      <c r="W453" t="s">
        <v>448</v>
      </c>
      <c r="X453" t="s">
        <v>92</v>
      </c>
      <c r="Y453" t="s">
        <v>450</v>
      </c>
      <c r="Z453">
        <v>12281</v>
      </c>
      <c r="AA453">
        <v>2</v>
      </c>
      <c r="AB453">
        <v>44</v>
      </c>
      <c r="AC453" t="s">
        <v>451</v>
      </c>
      <c r="AD453" t="s">
        <v>452</v>
      </c>
      <c r="AE453" t="s">
        <v>453</v>
      </c>
      <c r="AJ453" s="2">
        <v>45516.732118055559</v>
      </c>
      <c r="AK453" t="s">
        <v>100</v>
      </c>
      <c r="AL453" t="s">
        <v>65</v>
      </c>
      <c r="AM453" s="3">
        <v>1.9479166666666667</v>
      </c>
      <c r="AN453" t="s">
        <v>66</v>
      </c>
      <c r="AO453" t="s">
        <v>67</v>
      </c>
    </row>
    <row r="454" spans="1:41" x14ac:dyDescent="0.2">
      <c r="A454">
        <v>363567</v>
      </c>
      <c r="B454" t="s">
        <v>3991</v>
      </c>
      <c r="C454" t="s">
        <v>182</v>
      </c>
      <c r="E454" t="s">
        <v>3992</v>
      </c>
      <c r="J454" t="s">
        <v>45</v>
      </c>
      <c r="K454" t="s">
        <v>45</v>
      </c>
      <c r="L454" t="s">
        <v>46</v>
      </c>
      <c r="N454" t="s">
        <v>89</v>
      </c>
      <c r="O454" t="s">
        <v>48</v>
      </c>
      <c r="P454" t="s">
        <v>49</v>
      </c>
      <c r="T454" t="s">
        <v>92</v>
      </c>
      <c r="U454" t="s">
        <v>187</v>
      </c>
      <c r="V454" t="s">
        <v>447</v>
      </c>
      <c r="W454" t="s">
        <v>448</v>
      </c>
      <c r="X454" t="s">
        <v>92</v>
      </c>
      <c r="Y454" t="s">
        <v>450</v>
      </c>
      <c r="Z454">
        <v>12282</v>
      </c>
      <c r="AA454">
        <v>2</v>
      </c>
      <c r="AB454">
        <v>44</v>
      </c>
      <c r="AC454" t="s">
        <v>451</v>
      </c>
      <c r="AD454" t="s">
        <v>452</v>
      </c>
      <c r="AE454" t="s">
        <v>453</v>
      </c>
      <c r="AJ454" s="2">
        <v>45516.735833333332</v>
      </c>
      <c r="AK454" t="s">
        <v>100</v>
      </c>
      <c r="AL454" t="s">
        <v>65</v>
      </c>
      <c r="AM454" s="3">
        <v>1.9548611111111112</v>
      </c>
      <c r="AN454" t="s">
        <v>66</v>
      </c>
      <c r="AO454" t="s">
        <v>67</v>
      </c>
    </row>
    <row r="455" spans="1:41" x14ac:dyDescent="0.2">
      <c r="A455">
        <v>359253</v>
      </c>
      <c r="B455" t="s">
        <v>3993</v>
      </c>
      <c r="C455" t="s">
        <v>182</v>
      </c>
      <c r="D455" t="s">
        <v>622</v>
      </c>
      <c r="E455" t="s">
        <v>3994</v>
      </c>
      <c r="F455">
        <v>43405</v>
      </c>
      <c r="G455" s="1">
        <v>35541</v>
      </c>
      <c r="H455" s="1">
        <v>44832</v>
      </c>
      <c r="J455" t="s">
        <v>45</v>
      </c>
      <c r="K455" t="s">
        <v>45</v>
      </c>
      <c r="L455" t="s">
        <v>72</v>
      </c>
      <c r="N455" t="s">
        <v>47</v>
      </c>
      <c r="O455" t="s">
        <v>48</v>
      </c>
      <c r="P455" t="s">
        <v>49</v>
      </c>
      <c r="Q455" t="s">
        <v>3995</v>
      </c>
      <c r="R455" t="s">
        <v>3996</v>
      </c>
      <c r="S455">
        <v>1230</v>
      </c>
      <c r="T455" t="s">
        <v>92</v>
      </c>
      <c r="U455" t="s">
        <v>187</v>
      </c>
      <c r="V455" t="s">
        <v>3997</v>
      </c>
      <c r="W455" t="s">
        <v>448</v>
      </c>
      <c r="X455" t="s">
        <v>449</v>
      </c>
      <c r="Y455" t="s">
        <v>770</v>
      </c>
      <c r="Z455">
        <v>1306</v>
      </c>
      <c r="AA455">
        <v>29</v>
      </c>
      <c r="AB455">
        <v>74</v>
      </c>
      <c r="AC455" t="s">
        <v>3998</v>
      </c>
      <c r="AD455" t="s">
        <v>3999</v>
      </c>
      <c r="AE455" t="s">
        <v>4000</v>
      </c>
      <c r="AF455" t="s">
        <v>4001</v>
      </c>
      <c r="AG455" t="s">
        <v>4002</v>
      </c>
      <c r="AH455" t="s">
        <v>4003</v>
      </c>
      <c r="AI455" t="s">
        <v>4004</v>
      </c>
      <c r="AJ455" s="2">
        <v>45386.800462962965</v>
      </c>
      <c r="AK455" t="s">
        <v>149</v>
      </c>
      <c r="AL455" t="s">
        <v>65</v>
      </c>
      <c r="AM455" s="4">
        <v>0.78472222222222221</v>
      </c>
      <c r="AN455" t="s">
        <v>66</v>
      </c>
      <c r="AO455" t="s">
        <v>67</v>
      </c>
    </row>
    <row r="456" spans="1:41" x14ac:dyDescent="0.2">
      <c r="A456">
        <v>368878</v>
      </c>
      <c r="B456" t="s">
        <v>4005</v>
      </c>
      <c r="C456" t="s">
        <v>182</v>
      </c>
      <c r="D456" t="s">
        <v>3934</v>
      </c>
      <c r="E456" t="s">
        <v>4006</v>
      </c>
      <c r="G456" s="1">
        <v>45078</v>
      </c>
      <c r="H456" s="1">
        <v>45700</v>
      </c>
      <c r="I456" s="1">
        <v>46266</v>
      </c>
      <c r="J456" t="s">
        <v>45</v>
      </c>
      <c r="K456" t="s">
        <v>45</v>
      </c>
      <c r="L456" t="s">
        <v>72</v>
      </c>
      <c r="N456" t="s">
        <v>47</v>
      </c>
      <c r="O456" t="s">
        <v>48</v>
      </c>
      <c r="P456" t="s">
        <v>406</v>
      </c>
      <c r="Q456" t="s">
        <v>4007</v>
      </c>
      <c r="R456" t="s">
        <v>4008</v>
      </c>
      <c r="S456">
        <v>547</v>
      </c>
      <c r="T456" t="s">
        <v>92</v>
      </c>
      <c r="U456" t="s">
        <v>187</v>
      </c>
      <c r="V456" t="s">
        <v>4009</v>
      </c>
      <c r="W456" t="s">
        <v>2751</v>
      </c>
      <c r="X456" t="s">
        <v>92</v>
      </c>
      <c r="Y456" t="s">
        <v>110</v>
      </c>
      <c r="Z456">
        <v>12162</v>
      </c>
      <c r="AA456">
        <v>11</v>
      </c>
      <c r="AB456">
        <v>44</v>
      </c>
      <c r="AC456" t="s">
        <v>2755</v>
      </c>
      <c r="AD456" t="s">
        <v>2756</v>
      </c>
      <c r="AE456" t="s">
        <v>2757</v>
      </c>
      <c r="AF456" t="s">
        <v>2752</v>
      </c>
      <c r="AG456" t="s">
        <v>2753</v>
      </c>
      <c r="AH456" t="s">
        <v>2754</v>
      </c>
      <c r="AI456" t="s">
        <v>2756</v>
      </c>
      <c r="AJ456" s="2">
        <v>45722.887662037036</v>
      </c>
      <c r="AK456" t="s">
        <v>100</v>
      </c>
      <c r="AL456" t="s">
        <v>65</v>
      </c>
      <c r="AM456" s="4">
        <v>0.98263888888888884</v>
      </c>
      <c r="AN456" t="s">
        <v>66</v>
      </c>
      <c r="AO456" t="s">
        <v>67</v>
      </c>
    </row>
    <row r="457" spans="1:41" x14ac:dyDescent="0.2">
      <c r="A457">
        <v>370491</v>
      </c>
      <c r="B457" t="s">
        <v>4010</v>
      </c>
      <c r="C457" t="s">
        <v>182</v>
      </c>
      <c r="D457" t="s">
        <v>3180</v>
      </c>
      <c r="E457" t="s">
        <v>4011</v>
      </c>
      <c r="F457">
        <v>49940</v>
      </c>
      <c r="G457" s="1">
        <v>45125</v>
      </c>
      <c r="H457" s="1">
        <v>45771</v>
      </c>
      <c r="J457" t="s">
        <v>45</v>
      </c>
      <c r="K457" t="s">
        <v>45</v>
      </c>
      <c r="L457" t="s">
        <v>72</v>
      </c>
      <c r="M457" s="1">
        <v>42885</v>
      </c>
      <c r="N457" t="s">
        <v>47</v>
      </c>
      <c r="O457" t="s">
        <v>121</v>
      </c>
      <c r="P457" t="s">
        <v>49</v>
      </c>
      <c r="Q457" t="s">
        <v>4012</v>
      </c>
      <c r="R457" t="s">
        <v>4013</v>
      </c>
      <c r="S457">
        <v>580</v>
      </c>
      <c r="T457" t="s">
        <v>92</v>
      </c>
      <c r="U457" t="s">
        <v>187</v>
      </c>
      <c r="V457" t="s">
        <v>447</v>
      </c>
      <c r="W457" t="s">
        <v>448</v>
      </c>
      <c r="X457" t="s">
        <v>92</v>
      </c>
      <c r="Y457" t="s">
        <v>450</v>
      </c>
      <c r="Z457">
        <v>7546</v>
      </c>
      <c r="AA457">
        <v>40</v>
      </c>
      <c r="AB457">
        <v>28</v>
      </c>
      <c r="AC457" t="s">
        <v>451</v>
      </c>
      <c r="AD457" t="s">
        <v>452</v>
      </c>
      <c r="AE457" t="s">
        <v>453</v>
      </c>
      <c r="AF457" t="s">
        <v>4014</v>
      </c>
      <c r="AG457" t="s">
        <v>4015</v>
      </c>
      <c r="AH457" t="s">
        <v>4016</v>
      </c>
      <c r="AJ457" s="2">
        <v>45776.74858796296</v>
      </c>
      <c r="AK457" t="s">
        <v>456</v>
      </c>
      <c r="AL457" t="s">
        <v>65</v>
      </c>
      <c r="AM457" s="3">
        <v>1.875</v>
      </c>
      <c r="AN457" t="s">
        <v>66</v>
      </c>
      <c r="AO457" t="s">
        <v>67</v>
      </c>
    </row>
    <row r="458" spans="1:41" x14ac:dyDescent="0.2">
      <c r="A458">
        <v>366900</v>
      </c>
      <c r="B458" t="s">
        <v>4017</v>
      </c>
      <c r="C458" t="s">
        <v>182</v>
      </c>
      <c r="D458" t="s">
        <v>3320</v>
      </c>
      <c r="E458" t="s">
        <v>4018</v>
      </c>
      <c r="G458" s="1">
        <v>45643</v>
      </c>
      <c r="H458" s="1">
        <v>45215</v>
      </c>
      <c r="J458" t="s">
        <v>45</v>
      </c>
      <c r="K458" t="s">
        <v>45</v>
      </c>
      <c r="L458" t="s">
        <v>72</v>
      </c>
      <c r="N458" t="s">
        <v>47</v>
      </c>
      <c r="O458" t="s">
        <v>121</v>
      </c>
      <c r="P458" t="s">
        <v>49</v>
      </c>
      <c r="Q458" t="s">
        <v>4019</v>
      </c>
      <c r="R458" t="s">
        <v>4020</v>
      </c>
      <c r="S458">
        <v>660</v>
      </c>
      <c r="T458" t="s">
        <v>92</v>
      </c>
      <c r="U458" t="s">
        <v>187</v>
      </c>
      <c r="V458" t="s">
        <v>447</v>
      </c>
      <c r="W458" t="s">
        <v>448</v>
      </c>
      <c r="X458" t="s">
        <v>92</v>
      </c>
      <c r="Y458" t="s">
        <v>96</v>
      </c>
      <c r="Z458">
        <v>12142</v>
      </c>
      <c r="AA458">
        <v>15</v>
      </c>
      <c r="AB458">
        <v>210</v>
      </c>
      <c r="AC458" t="s">
        <v>4021</v>
      </c>
      <c r="AD458" t="s">
        <v>4022</v>
      </c>
      <c r="AE458" t="s">
        <v>4023</v>
      </c>
      <c r="AI458" t="s">
        <v>4024</v>
      </c>
      <c r="AJ458" s="2">
        <v>45643.88858796296</v>
      </c>
      <c r="AK458" t="s">
        <v>800</v>
      </c>
      <c r="AL458" t="s">
        <v>65</v>
      </c>
      <c r="AM458" s="3">
        <v>1.3888888888888888</v>
      </c>
      <c r="AN458" t="s">
        <v>66</v>
      </c>
      <c r="AO458" t="s">
        <v>67</v>
      </c>
    </row>
    <row r="459" spans="1:41" x14ac:dyDescent="0.2">
      <c r="A459">
        <v>369326</v>
      </c>
      <c r="B459" t="s">
        <v>4025</v>
      </c>
      <c r="C459" t="s">
        <v>182</v>
      </c>
      <c r="D459" t="s">
        <v>3320</v>
      </c>
      <c r="E459" t="s">
        <v>4026</v>
      </c>
      <c r="G459" s="1">
        <v>45677</v>
      </c>
      <c r="H459" s="1">
        <v>45709</v>
      </c>
      <c r="J459" t="s">
        <v>45</v>
      </c>
      <c r="K459" t="s">
        <v>45</v>
      </c>
      <c r="L459" t="s">
        <v>72</v>
      </c>
      <c r="N459" t="s">
        <v>47</v>
      </c>
      <c r="O459" t="s">
        <v>121</v>
      </c>
      <c r="P459" t="s">
        <v>49</v>
      </c>
      <c r="Q459" t="s">
        <v>4027</v>
      </c>
      <c r="R459" t="s">
        <v>4028</v>
      </c>
      <c r="S459">
        <v>1618</v>
      </c>
      <c r="T459" t="s">
        <v>92</v>
      </c>
      <c r="U459" t="s">
        <v>187</v>
      </c>
      <c r="V459" t="s">
        <v>447</v>
      </c>
      <c r="W459" t="s">
        <v>448</v>
      </c>
      <c r="X459" t="s">
        <v>449</v>
      </c>
      <c r="Y459" t="s">
        <v>450</v>
      </c>
      <c r="Z459">
        <v>9151</v>
      </c>
      <c r="AA459">
        <v>27</v>
      </c>
      <c r="AB459">
        <v>28</v>
      </c>
      <c r="AC459" t="s">
        <v>451</v>
      </c>
      <c r="AD459" t="s">
        <v>452</v>
      </c>
      <c r="AE459" t="s">
        <v>453</v>
      </c>
      <c r="AF459" t="s">
        <v>4029</v>
      </c>
      <c r="AG459" t="s">
        <v>4030</v>
      </c>
      <c r="AI459" t="s">
        <v>4031</v>
      </c>
      <c r="AJ459" s="2">
        <v>45734.697442129633</v>
      </c>
      <c r="AK459" t="s">
        <v>100</v>
      </c>
      <c r="AL459" t="s">
        <v>65</v>
      </c>
      <c r="AM459" s="4">
        <v>0.61111111111111116</v>
      </c>
      <c r="AN459" t="s">
        <v>66</v>
      </c>
      <c r="AO459" t="s">
        <v>67</v>
      </c>
    </row>
    <row r="460" spans="1:41" x14ac:dyDescent="0.2">
      <c r="A460">
        <v>370482</v>
      </c>
      <c r="B460" t="s">
        <v>4032</v>
      </c>
      <c r="C460" t="s">
        <v>182</v>
      </c>
      <c r="D460" t="s">
        <v>1064</v>
      </c>
      <c r="E460" t="s">
        <v>4033</v>
      </c>
      <c r="G460" s="1">
        <v>45493</v>
      </c>
      <c r="H460" s="1">
        <v>45775</v>
      </c>
      <c r="J460" t="s">
        <v>45</v>
      </c>
      <c r="K460" t="s">
        <v>326</v>
      </c>
      <c r="L460" t="s">
        <v>72</v>
      </c>
      <c r="N460" t="s">
        <v>89</v>
      </c>
      <c r="O460" t="s">
        <v>121</v>
      </c>
      <c r="P460" t="s">
        <v>49</v>
      </c>
      <c r="Q460" t="s">
        <v>4034</v>
      </c>
      <c r="R460" t="s">
        <v>4035</v>
      </c>
      <c r="S460">
        <v>3255</v>
      </c>
      <c r="T460" t="s">
        <v>92</v>
      </c>
      <c r="U460" t="s">
        <v>187</v>
      </c>
      <c r="V460" t="s">
        <v>447</v>
      </c>
      <c r="W460" t="s">
        <v>448</v>
      </c>
      <c r="X460" t="s">
        <v>92</v>
      </c>
      <c r="Y460" t="s">
        <v>450</v>
      </c>
      <c r="Z460">
        <v>1755</v>
      </c>
      <c r="AA460">
        <v>98</v>
      </c>
      <c r="AB460">
        <v>38</v>
      </c>
      <c r="AC460" t="s">
        <v>3354</v>
      </c>
      <c r="AD460" t="s">
        <v>452</v>
      </c>
      <c r="AE460" t="s">
        <v>453</v>
      </c>
      <c r="AF460" t="s">
        <v>4036</v>
      </c>
      <c r="AG460" t="s">
        <v>4037</v>
      </c>
      <c r="AH460" t="s">
        <v>4038</v>
      </c>
      <c r="AJ460" s="2">
        <v>45776.681539351855</v>
      </c>
      <c r="AK460" t="s">
        <v>456</v>
      </c>
      <c r="AL460" t="s">
        <v>65</v>
      </c>
      <c r="AM460" s="3">
        <v>1.0486111111111112</v>
      </c>
      <c r="AN460" t="s">
        <v>66</v>
      </c>
      <c r="AO460" t="s">
        <v>67</v>
      </c>
    </row>
    <row r="461" spans="1:41" x14ac:dyDescent="0.2">
      <c r="A461">
        <v>370929</v>
      </c>
      <c r="B461" t="s">
        <v>4039</v>
      </c>
      <c r="C461" t="s">
        <v>182</v>
      </c>
      <c r="D461" t="s">
        <v>1224</v>
      </c>
      <c r="E461" t="s">
        <v>4040</v>
      </c>
      <c r="G461" s="1">
        <v>45033</v>
      </c>
      <c r="H461" s="1">
        <v>45769</v>
      </c>
      <c r="J461" t="s">
        <v>72</v>
      </c>
      <c r="K461" t="s">
        <v>45</v>
      </c>
      <c r="L461" t="s">
        <v>72</v>
      </c>
      <c r="N461" t="s">
        <v>47</v>
      </c>
      <c r="O461" t="s">
        <v>121</v>
      </c>
      <c r="P461" t="s">
        <v>49</v>
      </c>
      <c r="Q461" t="s">
        <v>4041</v>
      </c>
      <c r="R461" t="s">
        <v>4042</v>
      </c>
      <c r="S461">
        <v>1730</v>
      </c>
      <c r="T461" t="s">
        <v>92</v>
      </c>
      <c r="U461" t="s">
        <v>187</v>
      </c>
      <c r="V461" t="s">
        <v>447</v>
      </c>
      <c r="W461" t="s">
        <v>448</v>
      </c>
      <c r="X461" t="s">
        <v>92</v>
      </c>
      <c r="Y461" t="s">
        <v>450</v>
      </c>
      <c r="Z461">
        <v>1754</v>
      </c>
      <c r="AA461">
        <v>72</v>
      </c>
      <c r="AB461">
        <v>144</v>
      </c>
      <c r="AC461" t="s">
        <v>451</v>
      </c>
      <c r="AD461" t="s">
        <v>452</v>
      </c>
      <c r="AE461" t="s">
        <v>453</v>
      </c>
      <c r="AF461" t="s">
        <v>1229</v>
      </c>
      <c r="AG461" t="s">
        <v>1230</v>
      </c>
      <c r="AI461" t="s">
        <v>1230</v>
      </c>
      <c r="AJ461" s="2">
        <v>45790.806747685187</v>
      </c>
      <c r="AK461" t="s">
        <v>800</v>
      </c>
      <c r="AL461" t="s">
        <v>65</v>
      </c>
      <c r="AM461" s="3">
        <v>2.0486111111111112</v>
      </c>
      <c r="AN461" t="s">
        <v>66</v>
      </c>
      <c r="AO461" t="s">
        <v>67</v>
      </c>
    </row>
    <row r="462" spans="1:41" x14ac:dyDescent="0.2">
      <c r="A462">
        <v>369353</v>
      </c>
      <c r="B462" t="s">
        <v>4043</v>
      </c>
      <c r="C462" t="s">
        <v>182</v>
      </c>
      <c r="D462" t="s">
        <v>3937</v>
      </c>
      <c r="E462" t="s">
        <v>4044</v>
      </c>
      <c r="G462" s="1">
        <v>45489</v>
      </c>
      <c r="H462" s="1">
        <v>45706</v>
      </c>
      <c r="J462" t="s">
        <v>45</v>
      </c>
      <c r="K462" t="s">
        <v>45</v>
      </c>
      <c r="L462" t="s">
        <v>72</v>
      </c>
      <c r="N462" t="s">
        <v>47</v>
      </c>
      <c r="O462" t="s">
        <v>121</v>
      </c>
      <c r="P462" t="s">
        <v>49</v>
      </c>
      <c r="Q462" t="s">
        <v>4045</v>
      </c>
      <c r="R462" t="s">
        <v>4046</v>
      </c>
      <c r="S462">
        <v>3234</v>
      </c>
      <c r="T462" t="s">
        <v>92</v>
      </c>
      <c r="U462" t="s">
        <v>187</v>
      </c>
      <c r="V462" t="s">
        <v>447</v>
      </c>
      <c r="W462" t="s">
        <v>448</v>
      </c>
      <c r="X462" t="s">
        <v>449</v>
      </c>
      <c r="Y462" t="s">
        <v>450</v>
      </c>
      <c r="Z462">
        <v>9149</v>
      </c>
      <c r="AA462">
        <v>47</v>
      </c>
      <c r="AB462">
        <v>28</v>
      </c>
      <c r="AC462" t="s">
        <v>451</v>
      </c>
      <c r="AD462" t="s">
        <v>4047</v>
      </c>
      <c r="AE462" t="s">
        <v>453</v>
      </c>
      <c r="AF462" t="s">
        <v>3941</v>
      </c>
      <c r="AG462" t="s">
        <v>3942</v>
      </c>
      <c r="AH462" t="s">
        <v>3943</v>
      </c>
      <c r="AJ462" s="2">
        <v>45735.93136574074</v>
      </c>
      <c r="AK462" t="s">
        <v>650</v>
      </c>
      <c r="AL462" t="s">
        <v>65</v>
      </c>
      <c r="AM462" s="4">
        <v>0.83333333333333337</v>
      </c>
      <c r="AN462" t="s">
        <v>66</v>
      </c>
      <c r="AO462" t="s">
        <v>67</v>
      </c>
    </row>
    <row r="463" spans="1:41" x14ac:dyDescent="0.2">
      <c r="A463">
        <v>363195</v>
      </c>
      <c r="B463" t="s">
        <v>4048</v>
      </c>
      <c r="C463" t="s">
        <v>182</v>
      </c>
      <c r="D463" t="s">
        <v>2295</v>
      </c>
      <c r="E463" t="s">
        <v>4049</v>
      </c>
      <c r="G463" s="1">
        <v>43027</v>
      </c>
      <c r="H463" s="1">
        <v>45499</v>
      </c>
      <c r="J463" t="s">
        <v>72</v>
      </c>
      <c r="K463" t="s">
        <v>45</v>
      </c>
      <c r="L463" t="s">
        <v>72</v>
      </c>
      <c r="N463" t="s">
        <v>89</v>
      </c>
      <c r="O463" t="s">
        <v>121</v>
      </c>
      <c r="P463" t="s">
        <v>49</v>
      </c>
      <c r="Q463" t="s">
        <v>4050</v>
      </c>
      <c r="R463" t="s">
        <v>4051</v>
      </c>
      <c r="S463">
        <v>3990</v>
      </c>
      <c r="T463" t="s">
        <v>92</v>
      </c>
      <c r="U463" t="s">
        <v>187</v>
      </c>
      <c r="V463" t="s">
        <v>447</v>
      </c>
      <c r="W463" t="s">
        <v>448</v>
      </c>
      <c r="X463" t="s">
        <v>92</v>
      </c>
      <c r="Y463" t="s">
        <v>450</v>
      </c>
      <c r="Z463">
        <v>1753</v>
      </c>
      <c r="AA463">
        <v>42</v>
      </c>
      <c r="AB463">
        <v>144</v>
      </c>
      <c r="AC463" t="s">
        <v>451</v>
      </c>
      <c r="AD463" t="s">
        <v>452</v>
      </c>
      <c r="AE463" t="s">
        <v>453</v>
      </c>
      <c r="AF463" t="s">
        <v>1747</v>
      </c>
      <c r="AG463" t="s">
        <v>4052</v>
      </c>
      <c r="AI463" t="s">
        <v>4053</v>
      </c>
      <c r="AJ463" s="2">
        <v>45506.69494212963</v>
      </c>
      <c r="AK463" t="s">
        <v>526</v>
      </c>
      <c r="AL463" t="s">
        <v>65</v>
      </c>
      <c r="AM463" s="3">
        <v>2.0416666666666665</v>
      </c>
      <c r="AN463" t="s">
        <v>66</v>
      </c>
      <c r="AO463" t="s">
        <v>67</v>
      </c>
    </row>
    <row r="464" spans="1:41" x14ac:dyDescent="0.2">
      <c r="A464">
        <v>371955</v>
      </c>
      <c r="B464" t="s">
        <v>4054</v>
      </c>
      <c r="C464" t="s">
        <v>182</v>
      </c>
      <c r="D464" t="s">
        <v>932</v>
      </c>
      <c r="E464" t="s">
        <v>4055</v>
      </c>
      <c r="F464">
        <v>40691</v>
      </c>
      <c r="G464" s="1">
        <v>45523</v>
      </c>
      <c r="H464" s="1">
        <v>45820</v>
      </c>
      <c r="J464" t="s">
        <v>72</v>
      </c>
      <c r="K464" t="s">
        <v>45</v>
      </c>
      <c r="L464" t="s">
        <v>72</v>
      </c>
      <c r="N464" t="s">
        <v>47</v>
      </c>
      <c r="O464" t="s">
        <v>121</v>
      </c>
      <c r="P464" t="s">
        <v>49</v>
      </c>
      <c r="Q464" t="s">
        <v>4056</v>
      </c>
      <c r="R464" t="s">
        <v>4057</v>
      </c>
      <c r="S464">
        <v>748</v>
      </c>
      <c r="T464" t="s">
        <v>92</v>
      </c>
      <c r="U464" t="s">
        <v>187</v>
      </c>
      <c r="V464" t="s">
        <v>447</v>
      </c>
      <c r="W464" t="s">
        <v>448</v>
      </c>
      <c r="X464" t="s">
        <v>92</v>
      </c>
      <c r="Y464" t="s">
        <v>450</v>
      </c>
      <c r="Z464">
        <v>1749</v>
      </c>
      <c r="AA464">
        <v>69</v>
      </c>
      <c r="AB464">
        <v>144</v>
      </c>
      <c r="AC464" t="s">
        <v>451</v>
      </c>
      <c r="AD464" t="s">
        <v>452</v>
      </c>
      <c r="AE464" t="s">
        <v>453</v>
      </c>
      <c r="AF464" t="s">
        <v>4058</v>
      </c>
      <c r="AG464" t="s">
        <v>4059</v>
      </c>
      <c r="AJ464" s="2">
        <v>45825.706736111111</v>
      </c>
      <c r="AK464" t="s">
        <v>456</v>
      </c>
      <c r="AL464" t="s">
        <v>65</v>
      </c>
      <c r="AM464" s="3">
        <v>2.0555555555555554</v>
      </c>
      <c r="AN464" t="s">
        <v>66</v>
      </c>
      <c r="AO464" t="s">
        <v>67</v>
      </c>
    </row>
    <row r="465" spans="1:41" x14ac:dyDescent="0.2">
      <c r="A465">
        <v>363504</v>
      </c>
      <c r="B465" t="s">
        <v>4060</v>
      </c>
      <c r="C465" t="s">
        <v>182</v>
      </c>
      <c r="D465" t="s">
        <v>932</v>
      </c>
      <c r="E465" t="s">
        <v>4061</v>
      </c>
      <c r="F465">
        <v>49915</v>
      </c>
      <c r="G465" s="1">
        <v>45501</v>
      </c>
      <c r="H465" s="1">
        <v>45379</v>
      </c>
      <c r="J465" t="s">
        <v>45</v>
      </c>
      <c r="K465" t="s">
        <v>45</v>
      </c>
      <c r="L465" t="s">
        <v>72</v>
      </c>
      <c r="N465" t="s">
        <v>89</v>
      </c>
      <c r="O465" t="s">
        <v>121</v>
      </c>
      <c r="P465" t="s">
        <v>49</v>
      </c>
      <c r="Q465" t="s">
        <v>4062</v>
      </c>
      <c r="R465" t="s">
        <v>4063</v>
      </c>
      <c r="S465">
        <v>5420</v>
      </c>
      <c r="T465" t="s">
        <v>92</v>
      </c>
      <c r="U465" t="s">
        <v>187</v>
      </c>
      <c r="V465" t="s">
        <v>447</v>
      </c>
      <c r="W465" t="s">
        <v>448</v>
      </c>
      <c r="X465" t="s">
        <v>92</v>
      </c>
      <c r="Y465" t="s">
        <v>450</v>
      </c>
      <c r="Z465">
        <v>1721</v>
      </c>
      <c r="AA465">
        <v>94</v>
      </c>
      <c r="AB465">
        <v>144</v>
      </c>
      <c r="AC465" t="s">
        <v>451</v>
      </c>
      <c r="AD465" t="s">
        <v>4047</v>
      </c>
      <c r="AE465" t="s">
        <v>453</v>
      </c>
      <c r="AF465" t="s">
        <v>4064</v>
      </c>
      <c r="AG465" t="s">
        <v>4065</v>
      </c>
      <c r="AH465" t="s">
        <v>4066</v>
      </c>
      <c r="AJ465" s="2">
        <v>45514.784733796296</v>
      </c>
      <c r="AK465" t="s">
        <v>451</v>
      </c>
      <c r="AL465" t="s">
        <v>65</v>
      </c>
      <c r="AM465" s="3">
        <v>2.1944444444444446</v>
      </c>
      <c r="AN465" t="s">
        <v>66</v>
      </c>
      <c r="AO465" t="s">
        <v>67</v>
      </c>
    </row>
    <row r="466" spans="1:41" x14ac:dyDescent="0.2">
      <c r="A466">
        <v>366453</v>
      </c>
      <c r="B466" t="s">
        <v>4067</v>
      </c>
      <c r="C466" t="s">
        <v>182</v>
      </c>
      <c r="D466" t="s">
        <v>779</v>
      </c>
      <c r="E466" t="s">
        <v>4068</v>
      </c>
      <c r="F466">
        <v>49942</v>
      </c>
      <c r="G466" s="1">
        <v>45054</v>
      </c>
      <c r="H466" s="1">
        <v>45617</v>
      </c>
      <c r="J466" t="s">
        <v>45</v>
      </c>
      <c r="K466" t="s">
        <v>45</v>
      </c>
      <c r="L466" t="s">
        <v>72</v>
      </c>
      <c r="N466" t="s">
        <v>47</v>
      </c>
      <c r="O466" t="s">
        <v>121</v>
      </c>
      <c r="P466" t="s">
        <v>49</v>
      </c>
      <c r="Q466" t="s">
        <v>4069</v>
      </c>
      <c r="R466" t="s">
        <v>4070</v>
      </c>
      <c r="S466">
        <v>615</v>
      </c>
      <c r="T466" t="s">
        <v>92</v>
      </c>
      <c r="U466" t="s">
        <v>187</v>
      </c>
      <c r="V466" t="s">
        <v>447</v>
      </c>
      <c r="W466" t="s">
        <v>448</v>
      </c>
      <c r="X466" t="s">
        <v>92</v>
      </c>
      <c r="Y466" t="s">
        <v>450</v>
      </c>
      <c r="Z466">
        <v>7526</v>
      </c>
      <c r="AA466">
        <v>44</v>
      </c>
      <c r="AB466">
        <v>74</v>
      </c>
      <c r="AC466" t="s">
        <v>454</v>
      </c>
      <c r="AD466" t="s">
        <v>473</v>
      </c>
      <c r="AE466" t="s">
        <v>474</v>
      </c>
      <c r="AF466" t="s">
        <v>4071</v>
      </c>
      <c r="AG466" t="s">
        <v>4072</v>
      </c>
      <c r="AJ466" s="2">
        <v>45622.626064814816</v>
      </c>
      <c r="AK466" t="s">
        <v>456</v>
      </c>
      <c r="AL466" t="s">
        <v>65</v>
      </c>
      <c r="AM466" s="4">
        <v>0.41666666666666669</v>
      </c>
      <c r="AN466" t="s">
        <v>66</v>
      </c>
      <c r="AO466" t="s">
        <v>67</v>
      </c>
    </row>
    <row r="467" spans="1:41" x14ac:dyDescent="0.2">
      <c r="A467">
        <v>366638</v>
      </c>
      <c r="B467" t="s">
        <v>4073</v>
      </c>
      <c r="C467" t="s">
        <v>182</v>
      </c>
      <c r="D467" t="s">
        <v>4074</v>
      </c>
      <c r="E467" t="s">
        <v>4075</v>
      </c>
      <c r="G467" s="1">
        <v>45629</v>
      </c>
      <c r="H467" s="1">
        <v>45372</v>
      </c>
      <c r="J467" t="s">
        <v>45</v>
      </c>
      <c r="K467" t="s">
        <v>45</v>
      </c>
      <c r="L467" t="s">
        <v>72</v>
      </c>
      <c r="N467" t="s">
        <v>47</v>
      </c>
      <c r="O467" t="s">
        <v>121</v>
      </c>
      <c r="P467" t="s">
        <v>49</v>
      </c>
      <c r="Q467" t="s">
        <v>4076</v>
      </c>
      <c r="R467" t="s">
        <v>4077</v>
      </c>
      <c r="S467">
        <v>3910</v>
      </c>
      <c r="T467" t="s">
        <v>92</v>
      </c>
      <c r="U467" t="s">
        <v>187</v>
      </c>
      <c r="V467" t="s">
        <v>447</v>
      </c>
      <c r="W467" t="s">
        <v>448</v>
      </c>
      <c r="X467" t="s">
        <v>92</v>
      </c>
      <c r="Y467" t="s">
        <v>450</v>
      </c>
      <c r="Z467">
        <v>12139</v>
      </c>
      <c r="AA467">
        <v>14</v>
      </c>
      <c r="AB467">
        <v>210</v>
      </c>
      <c r="AC467" t="s">
        <v>454</v>
      </c>
      <c r="AD467" t="s">
        <v>455</v>
      </c>
      <c r="AE467" t="s">
        <v>474</v>
      </c>
      <c r="AJ467" s="2">
        <v>45630.945694444446</v>
      </c>
      <c r="AK467" t="s">
        <v>660</v>
      </c>
      <c r="AL467" t="s">
        <v>65</v>
      </c>
      <c r="AM467" s="3">
        <v>1.375</v>
      </c>
      <c r="AN467" t="s">
        <v>66</v>
      </c>
      <c r="AO467" t="s">
        <v>67</v>
      </c>
    </row>
    <row r="468" spans="1:41" x14ac:dyDescent="0.2">
      <c r="A468">
        <v>368541</v>
      </c>
      <c r="B468" t="s">
        <v>4078</v>
      </c>
      <c r="C468" t="s">
        <v>182</v>
      </c>
      <c r="D468" t="s">
        <v>443</v>
      </c>
      <c r="E468" t="s">
        <v>4079</v>
      </c>
      <c r="G468" s="1">
        <v>45541</v>
      </c>
      <c r="H468" s="1">
        <v>45712</v>
      </c>
      <c r="J468" t="s">
        <v>45</v>
      </c>
      <c r="K468" t="s">
        <v>72</v>
      </c>
      <c r="L468" t="s">
        <v>72</v>
      </c>
      <c r="N468" t="s">
        <v>89</v>
      </c>
      <c r="O468" t="s">
        <v>121</v>
      </c>
      <c r="P468" t="s">
        <v>49</v>
      </c>
      <c r="Q468" t="s">
        <v>4080</v>
      </c>
      <c r="R468" t="s">
        <v>4081</v>
      </c>
      <c r="S468">
        <v>2095</v>
      </c>
      <c r="T468" t="s">
        <v>92</v>
      </c>
      <c r="U468" t="s">
        <v>187</v>
      </c>
      <c r="V468" t="s">
        <v>447</v>
      </c>
      <c r="W468" t="s">
        <v>448</v>
      </c>
      <c r="X468" t="s">
        <v>92</v>
      </c>
      <c r="Y468" t="s">
        <v>450</v>
      </c>
      <c r="Z468">
        <v>2037</v>
      </c>
      <c r="AA468">
        <v>59</v>
      </c>
      <c r="AB468">
        <v>66</v>
      </c>
      <c r="AC468" t="s">
        <v>451</v>
      </c>
      <c r="AD468" t="s">
        <v>452</v>
      </c>
      <c r="AE468" t="s">
        <v>453</v>
      </c>
      <c r="AJ468" s="2">
        <v>45714.77511574074</v>
      </c>
      <c r="AK468" t="s">
        <v>526</v>
      </c>
      <c r="AL468" t="s">
        <v>65</v>
      </c>
      <c r="AM468" s="4">
        <v>0.65972222222222221</v>
      </c>
      <c r="AN468" t="s">
        <v>66</v>
      </c>
      <c r="AO468" t="s">
        <v>67</v>
      </c>
    </row>
    <row r="469" spans="1:41" x14ac:dyDescent="0.2">
      <c r="A469">
        <v>369528</v>
      </c>
      <c r="B469" t="s">
        <v>4082</v>
      </c>
      <c r="C469" t="s">
        <v>182</v>
      </c>
      <c r="D469" t="s">
        <v>4083</v>
      </c>
      <c r="E469" t="s">
        <v>4084</v>
      </c>
      <c r="G469" s="1">
        <v>44392</v>
      </c>
      <c r="H469" s="1">
        <v>45736</v>
      </c>
      <c r="J469" t="s">
        <v>45</v>
      </c>
      <c r="K469" t="s">
        <v>45</v>
      </c>
      <c r="L469" t="s">
        <v>72</v>
      </c>
      <c r="N469" t="s">
        <v>89</v>
      </c>
      <c r="O469" t="s">
        <v>121</v>
      </c>
      <c r="P469" t="s">
        <v>49</v>
      </c>
      <c r="Q469" t="s">
        <v>4085</v>
      </c>
      <c r="R469" t="s">
        <v>4086</v>
      </c>
      <c r="S469">
        <v>3456</v>
      </c>
      <c r="T469" t="s">
        <v>92</v>
      </c>
      <c r="U469" t="s">
        <v>187</v>
      </c>
      <c r="V469" t="s">
        <v>447</v>
      </c>
      <c r="W469" t="s">
        <v>448</v>
      </c>
      <c r="X469" t="s">
        <v>449</v>
      </c>
      <c r="Y469" t="s">
        <v>450</v>
      </c>
      <c r="Z469">
        <v>9150</v>
      </c>
      <c r="AA469">
        <v>16</v>
      </c>
      <c r="AB469">
        <v>28</v>
      </c>
      <c r="AC469" t="s">
        <v>454</v>
      </c>
      <c r="AD469" t="s">
        <v>473</v>
      </c>
      <c r="AE469" t="s">
        <v>474</v>
      </c>
      <c r="AF469" t="s">
        <v>4087</v>
      </c>
      <c r="AG469" t="s">
        <v>4088</v>
      </c>
      <c r="AJ469" s="2">
        <v>45743.633298611108</v>
      </c>
      <c r="AK469" t="s">
        <v>526</v>
      </c>
      <c r="AL469" t="s">
        <v>65</v>
      </c>
      <c r="AM469" s="4">
        <v>0.61805555555555558</v>
      </c>
      <c r="AN469" t="s">
        <v>66</v>
      </c>
      <c r="AO469" t="s">
        <v>67</v>
      </c>
    </row>
    <row r="470" spans="1:41" x14ac:dyDescent="0.2">
      <c r="A470">
        <v>355431</v>
      </c>
      <c r="B470" t="s">
        <v>4089</v>
      </c>
      <c r="C470" t="s">
        <v>182</v>
      </c>
      <c r="D470" t="s">
        <v>1026</v>
      </c>
      <c r="E470" t="s">
        <v>4090</v>
      </c>
      <c r="J470" t="s">
        <v>45</v>
      </c>
      <c r="K470" t="s">
        <v>45</v>
      </c>
      <c r="L470" t="s">
        <v>72</v>
      </c>
      <c r="N470" t="s">
        <v>89</v>
      </c>
      <c r="O470" t="s">
        <v>121</v>
      </c>
      <c r="P470" t="s">
        <v>49</v>
      </c>
      <c r="T470" t="s">
        <v>92</v>
      </c>
      <c r="U470" t="s">
        <v>187</v>
      </c>
      <c r="V470" t="s">
        <v>447</v>
      </c>
      <c r="W470" t="s">
        <v>448</v>
      </c>
      <c r="X470" t="s">
        <v>92</v>
      </c>
      <c r="Y470" t="s">
        <v>96</v>
      </c>
      <c r="Z470">
        <v>12214</v>
      </c>
      <c r="AA470">
        <v>3</v>
      </c>
      <c r="AB470">
        <v>160</v>
      </c>
      <c r="AC470" t="s">
        <v>4091</v>
      </c>
      <c r="AD470" t="s">
        <v>4092</v>
      </c>
      <c r="AE470" t="s">
        <v>4093</v>
      </c>
      <c r="AI470" t="s">
        <v>452</v>
      </c>
      <c r="AJ470" s="2">
        <v>45264.793946759259</v>
      </c>
      <c r="AK470" t="s">
        <v>100</v>
      </c>
      <c r="AL470" t="s">
        <v>65</v>
      </c>
      <c r="AM470" s="3">
        <v>1.5138888888888888</v>
      </c>
      <c r="AN470" t="s">
        <v>66</v>
      </c>
      <c r="AO470" t="s">
        <v>67</v>
      </c>
    </row>
    <row r="471" spans="1:41" x14ac:dyDescent="0.2">
      <c r="A471">
        <v>355430</v>
      </c>
      <c r="B471" t="s">
        <v>4094</v>
      </c>
      <c r="C471" t="s">
        <v>182</v>
      </c>
      <c r="D471" t="s">
        <v>1026</v>
      </c>
      <c r="E471" t="s">
        <v>4095</v>
      </c>
      <c r="J471" t="s">
        <v>45</v>
      </c>
      <c r="K471" t="s">
        <v>45</v>
      </c>
      <c r="L471" t="s">
        <v>72</v>
      </c>
      <c r="N471" t="s">
        <v>89</v>
      </c>
      <c r="O471" t="s">
        <v>121</v>
      </c>
      <c r="P471" t="s">
        <v>49</v>
      </c>
      <c r="T471" t="s">
        <v>92</v>
      </c>
      <c r="U471" t="s">
        <v>187</v>
      </c>
      <c r="V471" t="s">
        <v>447</v>
      </c>
      <c r="W471" t="s">
        <v>448</v>
      </c>
      <c r="X471" t="s">
        <v>92</v>
      </c>
      <c r="Y471" t="s">
        <v>96</v>
      </c>
      <c r="Z471">
        <v>12215</v>
      </c>
      <c r="AA471">
        <v>2</v>
      </c>
      <c r="AB471">
        <v>160</v>
      </c>
      <c r="AC471" t="s">
        <v>4091</v>
      </c>
      <c r="AD471" t="s">
        <v>4092</v>
      </c>
      <c r="AE471" t="s">
        <v>4093</v>
      </c>
      <c r="AI471" t="s">
        <v>452</v>
      </c>
      <c r="AJ471" s="2">
        <v>45264.78802083333</v>
      </c>
      <c r="AK471" t="s">
        <v>100</v>
      </c>
      <c r="AL471" t="s">
        <v>65</v>
      </c>
      <c r="AM471" s="3">
        <v>2.1319444444444446</v>
      </c>
      <c r="AN471" t="s">
        <v>66</v>
      </c>
      <c r="AO471" t="s">
        <v>67</v>
      </c>
    </row>
    <row r="472" spans="1:41" x14ac:dyDescent="0.2">
      <c r="A472">
        <v>372933</v>
      </c>
      <c r="B472" t="s">
        <v>4096</v>
      </c>
      <c r="C472" t="s">
        <v>182</v>
      </c>
      <c r="D472" t="s">
        <v>932</v>
      </c>
      <c r="E472" t="s">
        <v>4097</v>
      </c>
      <c r="G472" s="1">
        <v>45797</v>
      </c>
      <c r="H472" s="1">
        <v>45446</v>
      </c>
      <c r="J472" t="s">
        <v>45</v>
      </c>
      <c r="K472" t="s">
        <v>45</v>
      </c>
      <c r="L472" t="s">
        <v>72</v>
      </c>
      <c r="N472" t="s">
        <v>89</v>
      </c>
      <c r="O472" t="s">
        <v>48</v>
      </c>
      <c r="P472" t="s">
        <v>49</v>
      </c>
      <c r="Q472" t="s">
        <v>4098</v>
      </c>
      <c r="R472" t="s">
        <v>4099</v>
      </c>
      <c r="S472">
        <v>163</v>
      </c>
      <c r="T472" t="s">
        <v>92</v>
      </c>
      <c r="U472" t="s">
        <v>187</v>
      </c>
      <c r="V472" t="s">
        <v>447</v>
      </c>
      <c r="W472" t="s">
        <v>448</v>
      </c>
      <c r="X472" t="s">
        <v>449</v>
      </c>
      <c r="Y472" t="s">
        <v>450</v>
      </c>
      <c r="Z472">
        <v>9152</v>
      </c>
      <c r="AA472">
        <v>30</v>
      </c>
      <c r="AB472">
        <v>28</v>
      </c>
      <c r="AC472" t="s">
        <v>451</v>
      </c>
      <c r="AD472" t="s">
        <v>452</v>
      </c>
      <c r="AE472" t="s">
        <v>453</v>
      </c>
      <c r="AF472" t="s">
        <v>4100</v>
      </c>
      <c r="AG472" t="s">
        <v>4101</v>
      </c>
      <c r="AJ472" s="2">
        <v>45855.920381944445</v>
      </c>
      <c r="AK472" t="s">
        <v>84</v>
      </c>
      <c r="AL472" t="s">
        <v>65</v>
      </c>
      <c r="AM472" s="4">
        <v>0.60416666666666663</v>
      </c>
      <c r="AN472" t="s">
        <v>66</v>
      </c>
      <c r="AO472" t="s">
        <v>67</v>
      </c>
    </row>
    <row r="473" spans="1:41" x14ac:dyDescent="0.2">
      <c r="A473">
        <v>363327</v>
      </c>
      <c r="B473" t="s">
        <v>4102</v>
      </c>
      <c r="C473" t="s">
        <v>345</v>
      </c>
      <c r="D473" t="s">
        <v>4103</v>
      </c>
      <c r="E473" t="s">
        <v>4104</v>
      </c>
      <c r="F473">
        <v>50108</v>
      </c>
      <c r="G473" s="1">
        <v>39189</v>
      </c>
      <c r="H473" s="1">
        <v>45507</v>
      </c>
      <c r="I473" s="1">
        <v>45931</v>
      </c>
      <c r="J473" t="s">
        <v>45</v>
      </c>
      <c r="K473" t="s">
        <v>45</v>
      </c>
      <c r="L473" t="s">
        <v>429</v>
      </c>
      <c r="M473" s="1">
        <v>39995</v>
      </c>
      <c r="N473" t="s">
        <v>47</v>
      </c>
      <c r="O473" t="s">
        <v>48</v>
      </c>
      <c r="P473" t="s">
        <v>49</v>
      </c>
      <c r="Q473" t="s">
        <v>4105</v>
      </c>
      <c r="R473" t="s">
        <v>4106</v>
      </c>
      <c r="S473">
        <v>6720</v>
      </c>
      <c r="T473" t="s">
        <v>365</v>
      </c>
      <c r="U473" t="s">
        <v>432</v>
      </c>
      <c r="V473" t="s">
        <v>4107</v>
      </c>
      <c r="W473" t="s">
        <v>367</v>
      </c>
      <c r="X473" t="s">
        <v>55</v>
      </c>
      <c r="Y473" t="s">
        <v>434</v>
      </c>
      <c r="Z473">
        <v>2903</v>
      </c>
      <c r="AA473">
        <v>47</v>
      </c>
      <c r="AB473">
        <v>166</v>
      </c>
      <c r="AC473" t="s">
        <v>4108</v>
      </c>
      <c r="AD473" t="s">
        <v>4109</v>
      </c>
      <c r="AE473" t="s">
        <v>4110</v>
      </c>
      <c r="AF473" t="s">
        <v>4111</v>
      </c>
      <c r="AG473" t="s">
        <v>4112</v>
      </c>
      <c r="AH473" t="s">
        <v>4113</v>
      </c>
      <c r="AI473" t="s">
        <v>179</v>
      </c>
      <c r="AJ473" s="2">
        <v>45509.899259259262</v>
      </c>
      <c r="AK473" t="s">
        <v>64</v>
      </c>
      <c r="AL473" t="s">
        <v>65</v>
      </c>
      <c r="AM473" s="3">
        <v>2.2361111111111112</v>
      </c>
      <c r="AN473" t="s">
        <v>66</v>
      </c>
      <c r="AO473" t="s">
        <v>67</v>
      </c>
    </row>
    <row r="474" spans="1:41" x14ac:dyDescent="0.2">
      <c r="A474">
        <v>363826</v>
      </c>
      <c r="B474" t="s">
        <v>4114</v>
      </c>
      <c r="C474" t="s">
        <v>167</v>
      </c>
      <c r="D474" t="s">
        <v>2702</v>
      </c>
      <c r="E474">
        <v>32616034</v>
      </c>
      <c r="F474">
        <v>353307</v>
      </c>
      <c r="G474" s="1">
        <v>35860</v>
      </c>
      <c r="H474" s="1">
        <v>45506</v>
      </c>
      <c r="I474" s="1">
        <v>46218</v>
      </c>
      <c r="J474" t="s">
        <v>45</v>
      </c>
      <c r="K474" t="s">
        <v>45</v>
      </c>
      <c r="L474" t="s">
        <v>72</v>
      </c>
      <c r="M474" s="1">
        <v>43371</v>
      </c>
      <c r="N474" t="s">
        <v>47</v>
      </c>
      <c r="O474" t="s">
        <v>48</v>
      </c>
      <c r="P474" t="s">
        <v>49</v>
      </c>
      <c r="Q474" t="s">
        <v>4115</v>
      </c>
      <c r="R474" t="s">
        <v>4116</v>
      </c>
      <c r="S474">
        <v>6629</v>
      </c>
      <c r="T474" t="s">
        <v>52</v>
      </c>
      <c r="U474">
        <v>6</v>
      </c>
      <c r="V474" t="s">
        <v>3013</v>
      </c>
      <c r="W474" t="s">
        <v>54</v>
      </c>
      <c r="X474" t="s">
        <v>76</v>
      </c>
      <c r="Y474" t="s">
        <v>56</v>
      </c>
      <c r="Z474">
        <v>876</v>
      </c>
      <c r="AA474">
        <v>74</v>
      </c>
      <c r="AB474">
        <v>152</v>
      </c>
      <c r="AC474" t="s">
        <v>4117</v>
      </c>
      <c r="AD474" t="s">
        <v>4118</v>
      </c>
      <c r="AE474" t="s">
        <v>4119</v>
      </c>
      <c r="AF474" t="s">
        <v>4120</v>
      </c>
      <c r="AG474" t="s">
        <v>4121</v>
      </c>
      <c r="AH474" t="s">
        <v>4122</v>
      </c>
      <c r="AI474" t="s">
        <v>179</v>
      </c>
      <c r="AJ474" s="2">
        <v>45524.664513888885</v>
      </c>
      <c r="AK474" t="s">
        <v>2517</v>
      </c>
      <c r="AL474" t="s">
        <v>65</v>
      </c>
      <c r="AM474" s="4">
        <v>0</v>
      </c>
      <c r="AN474" t="s">
        <v>66</v>
      </c>
      <c r="AO474" t="s">
        <v>67</v>
      </c>
    </row>
    <row r="475" spans="1:41" x14ac:dyDescent="0.2">
      <c r="A475">
        <v>370987</v>
      </c>
      <c r="B475" t="s">
        <v>4123</v>
      </c>
      <c r="C475" t="s">
        <v>182</v>
      </c>
      <c r="D475" t="s">
        <v>1064</v>
      </c>
      <c r="E475" t="s">
        <v>4124</v>
      </c>
      <c r="F475">
        <v>40245</v>
      </c>
      <c r="G475" s="1">
        <v>37965</v>
      </c>
      <c r="H475" s="1">
        <v>45790</v>
      </c>
      <c r="I475" s="1">
        <v>46204</v>
      </c>
      <c r="J475" t="s">
        <v>45</v>
      </c>
      <c r="K475" t="s">
        <v>45</v>
      </c>
      <c r="L475" t="s">
        <v>429</v>
      </c>
      <c r="M475" s="1">
        <v>41841</v>
      </c>
      <c r="N475" t="s">
        <v>47</v>
      </c>
      <c r="O475" t="s">
        <v>48</v>
      </c>
      <c r="P475" t="s">
        <v>49</v>
      </c>
      <c r="Q475" t="s">
        <v>4125</v>
      </c>
      <c r="R475" t="s">
        <v>4126</v>
      </c>
      <c r="S475">
        <v>3910</v>
      </c>
      <c r="T475" t="s">
        <v>52</v>
      </c>
      <c r="U475">
        <v>5</v>
      </c>
      <c r="V475" t="s">
        <v>2947</v>
      </c>
      <c r="W475" t="s">
        <v>54</v>
      </c>
      <c r="X475" t="s">
        <v>493</v>
      </c>
      <c r="Y475" t="s">
        <v>434</v>
      </c>
      <c r="Z475">
        <v>691</v>
      </c>
      <c r="AA475">
        <v>55</v>
      </c>
      <c r="AB475">
        <v>158</v>
      </c>
      <c r="AC475" t="s">
        <v>2948</v>
      </c>
      <c r="AD475" t="s">
        <v>2949</v>
      </c>
      <c r="AE475" t="s">
        <v>2950</v>
      </c>
      <c r="AF475" t="s">
        <v>2951</v>
      </c>
      <c r="AG475" t="s">
        <v>2951</v>
      </c>
      <c r="AI475" t="s">
        <v>4127</v>
      </c>
      <c r="AJ475" s="2">
        <v>45792.692777777775</v>
      </c>
      <c r="AK475" t="s">
        <v>1472</v>
      </c>
      <c r="AL475" t="s">
        <v>65</v>
      </c>
      <c r="AM475" s="4">
        <v>0.69444444444444442</v>
      </c>
      <c r="AN475" t="s">
        <v>66</v>
      </c>
      <c r="AO475" t="s">
        <v>67</v>
      </c>
    </row>
    <row r="476" spans="1:41" x14ac:dyDescent="0.2">
      <c r="A476">
        <v>363773</v>
      </c>
      <c r="B476" t="s">
        <v>4128</v>
      </c>
      <c r="C476" t="s">
        <v>167</v>
      </c>
      <c r="D476" t="s">
        <v>269</v>
      </c>
      <c r="E476">
        <v>32678308</v>
      </c>
      <c r="F476">
        <v>352919</v>
      </c>
      <c r="G476" s="1">
        <v>33065</v>
      </c>
      <c r="H476" s="1">
        <v>45510</v>
      </c>
      <c r="I476" s="1">
        <v>46218</v>
      </c>
      <c r="J476" t="s">
        <v>45</v>
      </c>
      <c r="K476" t="s">
        <v>45</v>
      </c>
      <c r="L476" t="s">
        <v>429</v>
      </c>
      <c r="M476" s="1">
        <v>44392</v>
      </c>
      <c r="N476" t="s">
        <v>47</v>
      </c>
      <c r="O476" t="s">
        <v>48</v>
      </c>
      <c r="P476" t="s">
        <v>49</v>
      </c>
      <c r="Q476" t="s">
        <v>4129</v>
      </c>
      <c r="R476" t="s">
        <v>4130</v>
      </c>
      <c r="S476">
        <v>3822</v>
      </c>
      <c r="T476" t="s">
        <v>365</v>
      </c>
      <c r="U476" t="s">
        <v>532</v>
      </c>
      <c r="V476" t="s">
        <v>3595</v>
      </c>
      <c r="W476" t="s">
        <v>367</v>
      </c>
      <c r="X476" t="s">
        <v>76</v>
      </c>
      <c r="Y476" t="s">
        <v>434</v>
      </c>
      <c r="Z476">
        <v>312</v>
      </c>
      <c r="AA476">
        <v>66</v>
      </c>
      <c r="AB476">
        <v>158</v>
      </c>
      <c r="AC476" t="s">
        <v>3596</v>
      </c>
      <c r="AD476" t="s">
        <v>3597</v>
      </c>
      <c r="AE476" t="s">
        <v>3598</v>
      </c>
      <c r="AF476" t="s">
        <v>3599</v>
      </c>
      <c r="AG476" t="s">
        <v>3600</v>
      </c>
      <c r="AH476" t="s">
        <v>3601</v>
      </c>
      <c r="AI476" t="s">
        <v>179</v>
      </c>
      <c r="AJ476" s="2">
        <v>45523.786469907405</v>
      </c>
      <c r="AK476" t="s">
        <v>2517</v>
      </c>
      <c r="AL476" t="s">
        <v>65</v>
      </c>
      <c r="AM476" s="3">
        <v>1.7152777777777777</v>
      </c>
      <c r="AN476" t="s">
        <v>66</v>
      </c>
      <c r="AO476" t="s">
        <v>67</v>
      </c>
    </row>
    <row r="477" spans="1:41" x14ac:dyDescent="0.2">
      <c r="A477">
        <v>367671</v>
      </c>
      <c r="B477" t="s">
        <v>4131</v>
      </c>
      <c r="C477" t="s">
        <v>1000</v>
      </c>
      <c r="D477" t="s">
        <v>4132</v>
      </c>
      <c r="E477" t="s">
        <v>4133</v>
      </c>
      <c r="F477">
        <v>404001</v>
      </c>
      <c r="G477" s="1">
        <v>37923</v>
      </c>
      <c r="H477" s="1">
        <v>45615</v>
      </c>
      <c r="J477" t="s">
        <v>45</v>
      </c>
      <c r="K477" t="s">
        <v>45</v>
      </c>
      <c r="L477" t="s">
        <v>72</v>
      </c>
      <c r="M477" s="1">
        <v>45615</v>
      </c>
      <c r="N477" t="s">
        <v>47</v>
      </c>
      <c r="O477" t="s">
        <v>48</v>
      </c>
      <c r="P477" t="s">
        <v>49</v>
      </c>
      <c r="Q477" t="s">
        <v>4134</v>
      </c>
      <c r="R477" t="s">
        <v>4135</v>
      </c>
      <c r="S477">
        <v>512</v>
      </c>
      <c r="T477" t="s">
        <v>92</v>
      </c>
      <c r="U477" t="s">
        <v>1005</v>
      </c>
      <c r="V477" t="s">
        <v>590</v>
      </c>
      <c r="W477" t="s">
        <v>1006</v>
      </c>
      <c r="X477" t="s">
        <v>92</v>
      </c>
      <c r="Y477" t="s">
        <v>770</v>
      </c>
      <c r="Z477">
        <v>2420</v>
      </c>
      <c r="AA477">
        <v>38</v>
      </c>
      <c r="AB477">
        <v>144</v>
      </c>
      <c r="AC477" t="s">
        <v>4136</v>
      </c>
      <c r="AD477" t="s">
        <v>4137</v>
      </c>
      <c r="AE477" t="s">
        <v>4138</v>
      </c>
      <c r="AI477" t="s">
        <v>1010</v>
      </c>
      <c r="AJ477" s="2">
        <v>45686.251261574071</v>
      </c>
      <c r="AK477" t="s">
        <v>1011</v>
      </c>
      <c r="AL477" t="s">
        <v>65</v>
      </c>
      <c r="AM477" s="4">
        <v>0.2986111111111111</v>
      </c>
      <c r="AN477" t="s">
        <v>66</v>
      </c>
      <c r="AO477" t="s">
        <v>67</v>
      </c>
    </row>
    <row r="478" spans="1:41" x14ac:dyDescent="0.2">
      <c r="A478">
        <v>349823</v>
      </c>
      <c r="B478" t="s">
        <v>4139</v>
      </c>
      <c r="C478" t="s">
        <v>1107</v>
      </c>
      <c r="D478" t="s">
        <v>677</v>
      </c>
      <c r="E478" t="s">
        <v>4140</v>
      </c>
      <c r="F478">
        <v>235202</v>
      </c>
      <c r="G478" s="1">
        <v>38089</v>
      </c>
      <c r="H478" s="1">
        <v>45100</v>
      </c>
      <c r="I478" s="1">
        <v>46054</v>
      </c>
      <c r="J478" t="s">
        <v>45</v>
      </c>
      <c r="K478" t="s">
        <v>45</v>
      </c>
      <c r="L478" t="s">
        <v>72</v>
      </c>
      <c r="M478" s="1">
        <v>45100</v>
      </c>
      <c r="N478" t="s">
        <v>47</v>
      </c>
      <c r="O478" t="s">
        <v>48</v>
      </c>
      <c r="P478" t="s">
        <v>49</v>
      </c>
      <c r="Q478" t="s">
        <v>4141</v>
      </c>
      <c r="R478" t="s">
        <v>4142</v>
      </c>
      <c r="S478">
        <v>1062</v>
      </c>
      <c r="T478" t="s">
        <v>92</v>
      </c>
      <c r="U478" t="s">
        <v>1111</v>
      </c>
      <c r="V478" t="s">
        <v>1112</v>
      </c>
      <c r="W478" t="s">
        <v>1113</v>
      </c>
      <c r="X478" t="s">
        <v>52</v>
      </c>
      <c r="Y478" t="s">
        <v>110</v>
      </c>
      <c r="Z478">
        <v>1146</v>
      </c>
      <c r="AA478">
        <v>38</v>
      </c>
      <c r="AB478">
        <v>170</v>
      </c>
      <c r="AC478" t="s">
        <v>1114</v>
      </c>
      <c r="AD478" t="s">
        <v>4143</v>
      </c>
      <c r="AE478" t="s">
        <v>1116</v>
      </c>
      <c r="AJ478" s="2">
        <v>45105.544560185182</v>
      </c>
      <c r="AK478" t="s">
        <v>1114</v>
      </c>
      <c r="AL478" t="s">
        <v>65</v>
      </c>
      <c r="AM478" s="4">
        <v>0.54166666666666663</v>
      </c>
      <c r="AN478" t="s">
        <v>66</v>
      </c>
      <c r="AO478" t="s">
        <v>67</v>
      </c>
    </row>
    <row r="479" spans="1:41" x14ac:dyDescent="0.2">
      <c r="A479">
        <v>368883</v>
      </c>
      <c r="B479" t="s">
        <v>4144</v>
      </c>
      <c r="C479" t="s">
        <v>182</v>
      </c>
      <c r="D479" t="s">
        <v>610</v>
      </c>
      <c r="E479" t="s">
        <v>4145</v>
      </c>
      <c r="F479">
        <v>45704</v>
      </c>
      <c r="G479" s="1">
        <v>34627</v>
      </c>
      <c r="H479" s="1">
        <v>45645</v>
      </c>
      <c r="I479" s="1">
        <v>46096</v>
      </c>
      <c r="J479" t="s">
        <v>45</v>
      </c>
      <c r="K479" t="s">
        <v>45</v>
      </c>
      <c r="L479" t="s">
        <v>429</v>
      </c>
      <c r="M479" s="1">
        <v>45054</v>
      </c>
      <c r="N479" t="s">
        <v>47</v>
      </c>
      <c r="O479" t="s">
        <v>48</v>
      </c>
      <c r="P479" t="s">
        <v>49</v>
      </c>
      <c r="Q479" t="s">
        <v>4146</v>
      </c>
      <c r="R479" t="s">
        <v>4147</v>
      </c>
      <c r="S479">
        <v>3268</v>
      </c>
      <c r="T479" t="s">
        <v>52</v>
      </c>
      <c r="U479">
        <v>5</v>
      </c>
      <c r="V479" t="s">
        <v>614</v>
      </c>
      <c r="W479" t="s">
        <v>54</v>
      </c>
      <c r="X479" t="s">
        <v>493</v>
      </c>
      <c r="Y479" t="s">
        <v>434</v>
      </c>
      <c r="Z479">
        <v>920</v>
      </c>
      <c r="AA479">
        <v>53</v>
      </c>
      <c r="AB479">
        <v>78</v>
      </c>
      <c r="AC479" t="s">
        <v>615</v>
      </c>
      <c r="AD479" t="s">
        <v>616</v>
      </c>
      <c r="AE479" t="s">
        <v>617</v>
      </c>
      <c r="AF479" t="s">
        <v>4148</v>
      </c>
      <c r="AG479" t="s">
        <v>619</v>
      </c>
      <c r="AH479" t="s">
        <v>617</v>
      </c>
      <c r="AI479" t="s">
        <v>620</v>
      </c>
      <c r="AJ479" s="2">
        <v>45722.890335648146</v>
      </c>
      <c r="AK479" t="s">
        <v>501</v>
      </c>
      <c r="AL479" t="s">
        <v>65</v>
      </c>
      <c r="AM479" s="4">
        <v>0.18055555555555555</v>
      </c>
      <c r="AN479" t="s">
        <v>66</v>
      </c>
      <c r="AO479" t="s">
        <v>67</v>
      </c>
    </row>
    <row r="480" spans="1:41" x14ac:dyDescent="0.2">
      <c r="A480">
        <v>368057</v>
      </c>
      <c r="B480" t="s">
        <v>4149</v>
      </c>
      <c r="C480" t="s">
        <v>197</v>
      </c>
      <c r="D480" t="s">
        <v>4150</v>
      </c>
      <c r="E480">
        <v>31010506</v>
      </c>
      <c r="F480">
        <v>98201</v>
      </c>
      <c r="G480" s="1">
        <v>37692</v>
      </c>
      <c r="H480" s="1">
        <v>45580</v>
      </c>
      <c r="I480" s="1">
        <v>45931</v>
      </c>
      <c r="J480" t="s">
        <v>45</v>
      </c>
      <c r="K480" t="s">
        <v>45</v>
      </c>
      <c r="L480" t="s">
        <v>72</v>
      </c>
      <c r="N480" t="s">
        <v>47</v>
      </c>
      <c r="O480" t="s">
        <v>48</v>
      </c>
      <c r="P480" t="s">
        <v>49</v>
      </c>
      <c r="Q480" t="s">
        <v>4151</v>
      </c>
      <c r="R480" t="s">
        <v>4152</v>
      </c>
      <c r="S480">
        <v>160</v>
      </c>
      <c r="T480" t="s">
        <v>92</v>
      </c>
      <c r="U480" t="s">
        <v>202</v>
      </c>
      <c r="V480" t="s">
        <v>203</v>
      </c>
      <c r="W480" t="s">
        <v>204</v>
      </c>
      <c r="X480" t="s">
        <v>52</v>
      </c>
      <c r="Y480" t="s">
        <v>110</v>
      </c>
      <c r="Z480">
        <v>2267</v>
      </c>
      <c r="AA480">
        <v>31</v>
      </c>
      <c r="AB480">
        <v>144</v>
      </c>
      <c r="AC480" t="s">
        <v>205</v>
      </c>
      <c r="AD480" t="s">
        <v>206</v>
      </c>
      <c r="AE480" t="s">
        <v>207</v>
      </c>
      <c r="AF480" t="s">
        <v>208</v>
      </c>
      <c r="AG480" t="s">
        <v>209</v>
      </c>
      <c r="AH480" t="s">
        <v>210</v>
      </c>
      <c r="AI480" t="s">
        <v>211</v>
      </c>
      <c r="AJ480" s="2">
        <v>45699.773449074077</v>
      </c>
      <c r="AK480" t="s">
        <v>149</v>
      </c>
      <c r="AL480" t="s">
        <v>65</v>
      </c>
      <c r="AM480" s="4">
        <v>0.19444444444444445</v>
      </c>
      <c r="AN480" t="s">
        <v>66</v>
      </c>
      <c r="AO480" t="s">
        <v>67</v>
      </c>
    </row>
    <row r="481" spans="1:41" x14ac:dyDescent="0.2">
      <c r="A481">
        <v>372931</v>
      </c>
      <c r="B481" t="s">
        <v>4153</v>
      </c>
      <c r="C481" t="s">
        <v>134</v>
      </c>
      <c r="D481" t="s">
        <v>4154</v>
      </c>
      <c r="E481" t="s">
        <v>4155</v>
      </c>
      <c r="F481">
        <v>452132</v>
      </c>
      <c r="G481" s="1">
        <v>36313</v>
      </c>
      <c r="H481" s="1">
        <v>45490</v>
      </c>
      <c r="I481" s="1">
        <v>46204</v>
      </c>
      <c r="J481" t="s">
        <v>45</v>
      </c>
      <c r="K481" t="s">
        <v>45</v>
      </c>
      <c r="L481" t="s">
        <v>429</v>
      </c>
      <c r="M481" s="1">
        <v>37461</v>
      </c>
      <c r="N481" t="s">
        <v>47</v>
      </c>
      <c r="O481" t="s">
        <v>48</v>
      </c>
      <c r="P481" t="s">
        <v>49</v>
      </c>
      <c r="Q481" t="s">
        <v>4156</v>
      </c>
      <c r="R481" t="s">
        <v>4157</v>
      </c>
      <c r="S481">
        <v>3156</v>
      </c>
      <c r="T481" t="s">
        <v>52</v>
      </c>
      <c r="U481">
        <v>6</v>
      </c>
      <c r="V481" t="s">
        <v>4158</v>
      </c>
      <c r="W481" t="s">
        <v>54</v>
      </c>
      <c r="X481" t="s">
        <v>76</v>
      </c>
      <c r="Y481" t="s">
        <v>434</v>
      </c>
      <c r="Z481">
        <v>858</v>
      </c>
      <c r="AA481">
        <v>66</v>
      </c>
      <c r="AB481">
        <v>30</v>
      </c>
      <c r="AC481" t="s">
        <v>4159</v>
      </c>
      <c r="AD481" t="s">
        <v>4160</v>
      </c>
      <c r="AE481" t="s">
        <v>4161</v>
      </c>
      <c r="AF481" t="s">
        <v>4162</v>
      </c>
      <c r="AG481" t="s">
        <v>4163</v>
      </c>
      <c r="AH481" t="s">
        <v>4164</v>
      </c>
      <c r="AI481" t="s">
        <v>4165</v>
      </c>
      <c r="AJ481" s="2">
        <v>45855.918310185189</v>
      </c>
      <c r="AK481" t="s">
        <v>556</v>
      </c>
      <c r="AL481" t="s">
        <v>65</v>
      </c>
      <c r="AM481" s="3">
        <v>1.0972222222222223</v>
      </c>
      <c r="AN481" t="s">
        <v>66</v>
      </c>
      <c r="AO481" t="s">
        <v>67</v>
      </c>
    </row>
    <row r="482" spans="1:41" x14ac:dyDescent="0.2">
      <c r="A482">
        <v>369258</v>
      </c>
      <c r="B482" t="s">
        <v>4166</v>
      </c>
      <c r="C482" t="s">
        <v>182</v>
      </c>
      <c r="D482" t="s">
        <v>183</v>
      </c>
      <c r="E482" t="s">
        <v>4167</v>
      </c>
      <c r="F482">
        <v>45441</v>
      </c>
      <c r="G482" s="1">
        <v>36118</v>
      </c>
      <c r="H482" s="1">
        <v>45729</v>
      </c>
      <c r="I482" s="1">
        <v>46037</v>
      </c>
      <c r="J482" t="s">
        <v>45</v>
      </c>
      <c r="K482" t="s">
        <v>45</v>
      </c>
      <c r="L482" t="s">
        <v>72</v>
      </c>
      <c r="M482" s="1">
        <v>44384</v>
      </c>
      <c r="N482" t="s">
        <v>47</v>
      </c>
      <c r="O482" t="s">
        <v>48</v>
      </c>
      <c r="P482" t="s">
        <v>49</v>
      </c>
      <c r="Q482" t="s">
        <v>4168</v>
      </c>
      <c r="R482" t="s">
        <v>4169</v>
      </c>
      <c r="S482">
        <v>4000</v>
      </c>
      <c r="T482" t="s">
        <v>92</v>
      </c>
      <c r="U482" t="s">
        <v>187</v>
      </c>
      <c r="V482" t="s">
        <v>188</v>
      </c>
      <c r="W482" t="s">
        <v>189</v>
      </c>
      <c r="X482" t="s">
        <v>92</v>
      </c>
      <c r="Y482" t="s">
        <v>110</v>
      </c>
      <c r="Z482">
        <v>1302</v>
      </c>
      <c r="AA482">
        <v>70</v>
      </c>
      <c r="AB482">
        <v>38</v>
      </c>
      <c r="AC482" t="s">
        <v>190</v>
      </c>
      <c r="AD482" t="s">
        <v>191</v>
      </c>
      <c r="AE482" t="s">
        <v>192</v>
      </c>
      <c r="AF482" t="s">
        <v>4170</v>
      </c>
      <c r="AG482" t="s">
        <v>4171</v>
      </c>
      <c r="AH482" t="s">
        <v>4172</v>
      </c>
      <c r="AJ482" s="2">
        <v>45730.721030092594</v>
      </c>
      <c r="AK482" t="s">
        <v>190</v>
      </c>
      <c r="AL482" t="s">
        <v>65</v>
      </c>
      <c r="AM482" s="3">
        <v>2.2986111111111112</v>
      </c>
      <c r="AN482" t="s">
        <v>66</v>
      </c>
      <c r="AO482" t="s">
        <v>67</v>
      </c>
    </row>
    <row r="483" spans="1:41" x14ac:dyDescent="0.2">
      <c r="A483">
        <v>371344</v>
      </c>
      <c r="B483" t="s">
        <v>4173</v>
      </c>
      <c r="C483" t="s">
        <v>167</v>
      </c>
      <c r="D483" t="s">
        <v>4132</v>
      </c>
      <c r="E483" t="s">
        <v>4174</v>
      </c>
      <c r="F483">
        <v>351815</v>
      </c>
      <c r="G483" s="1">
        <v>45702</v>
      </c>
      <c r="H483" s="1">
        <v>45703</v>
      </c>
      <c r="J483" t="s">
        <v>45</v>
      </c>
      <c r="K483" t="s">
        <v>45</v>
      </c>
      <c r="L483" t="s">
        <v>46</v>
      </c>
      <c r="N483" t="s">
        <v>47</v>
      </c>
      <c r="O483" t="s">
        <v>48</v>
      </c>
      <c r="P483" t="s">
        <v>49</v>
      </c>
      <c r="Q483" t="s">
        <v>4175</v>
      </c>
      <c r="R483" t="s">
        <v>4176</v>
      </c>
      <c r="S483">
        <v>250</v>
      </c>
      <c r="T483" t="s">
        <v>1328</v>
      </c>
      <c r="U483" t="s">
        <v>3114</v>
      </c>
      <c r="V483" t="s">
        <v>4177</v>
      </c>
      <c r="W483" t="s">
        <v>4178</v>
      </c>
      <c r="X483" t="s">
        <v>1328</v>
      </c>
      <c r="Y483" t="s">
        <v>96</v>
      </c>
      <c r="Z483">
        <v>12300</v>
      </c>
      <c r="AA483">
        <v>10</v>
      </c>
      <c r="AB483">
        <v>48</v>
      </c>
      <c r="AC483" t="s">
        <v>4179</v>
      </c>
      <c r="AD483" t="s">
        <v>4180</v>
      </c>
      <c r="AE483" t="s">
        <v>4181</v>
      </c>
      <c r="AF483" t="s">
        <v>4182</v>
      </c>
      <c r="AG483" t="s">
        <v>4183</v>
      </c>
      <c r="AH483" t="s">
        <v>4184</v>
      </c>
      <c r="AJ483" s="2">
        <v>45805.842916666668</v>
      </c>
      <c r="AK483" t="s">
        <v>100</v>
      </c>
      <c r="AL483" t="s">
        <v>65</v>
      </c>
      <c r="AM483" t="s">
        <v>4185</v>
      </c>
      <c r="AN483" t="s">
        <v>66</v>
      </c>
      <c r="AO483" t="s">
        <v>67</v>
      </c>
    </row>
    <row r="484" spans="1:41" x14ac:dyDescent="0.2">
      <c r="A484">
        <v>365888</v>
      </c>
      <c r="B484" t="s">
        <v>4186</v>
      </c>
      <c r="C484" t="s">
        <v>692</v>
      </c>
      <c r="D484" t="s">
        <v>1927</v>
      </c>
      <c r="E484" t="s">
        <v>4187</v>
      </c>
      <c r="F484">
        <v>482010</v>
      </c>
      <c r="G484" s="1">
        <v>35303</v>
      </c>
      <c r="H484" s="1">
        <v>45593</v>
      </c>
      <c r="I484" s="1">
        <v>46296</v>
      </c>
      <c r="J484" t="s">
        <v>45</v>
      </c>
      <c r="K484" t="s">
        <v>45</v>
      </c>
      <c r="L484" t="s">
        <v>72</v>
      </c>
      <c r="M484" s="1">
        <v>43209</v>
      </c>
      <c r="N484" t="s">
        <v>47</v>
      </c>
      <c r="O484" t="s">
        <v>48</v>
      </c>
      <c r="P484" t="s">
        <v>49</v>
      </c>
      <c r="Q484" t="s">
        <v>4188</v>
      </c>
      <c r="R484" t="s">
        <v>4189</v>
      </c>
      <c r="S484">
        <v>7380</v>
      </c>
      <c r="T484" t="s">
        <v>365</v>
      </c>
      <c r="U484" t="s">
        <v>432</v>
      </c>
      <c r="V484" t="s">
        <v>4190</v>
      </c>
      <c r="W484" t="s">
        <v>367</v>
      </c>
      <c r="X484" t="s">
        <v>76</v>
      </c>
      <c r="Y484" t="s">
        <v>434</v>
      </c>
      <c r="Z484">
        <v>381</v>
      </c>
      <c r="AA484">
        <v>62</v>
      </c>
      <c r="AB484">
        <v>158</v>
      </c>
      <c r="AC484" t="s">
        <v>4191</v>
      </c>
      <c r="AD484" t="s">
        <v>4192</v>
      </c>
      <c r="AE484" t="s">
        <v>4193</v>
      </c>
      <c r="AF484" t="s">
        <v>4194</v>
      </c>
      <c r="AG484" t="s">
        <v>4195</v>
      </c>
      <c r="AH484" t="s">
        <v>4196</v>
      </c>
      <c r="AI484" t="s">
        <v>4197</v>
      </c>
      <c r="AJ484" s="2">
        <v>45594.83079861111</v>
      </c>
      <c r="AK484" t="s">
        <v>704</v>
      </c>
      <c r="AL484" t="s">
        <v>65</v>
      </c>
      <c r="AM484" s="3">
        <v>2.0972222222222223</v>
      </c>
      <c r="AN484" t="s">
        <v>66</v>
      </c>
      <c r="AO484" t="s">
        <v>67</v>
      </c>
    </row>
    <row r="485" spans="1:41" x14ac:dyDescent="0.2">
      <c r="A485">
        <v>356581</v>
      </c>
      <c r="B485" t="s">
        <v>4198</v>
      </c>
      <c r="C485" t="s">
        <v>2889</v>
      </c>
      <c r="D485" t="s">
        <v>3897</v>
      </c>
      <c r="E485" t="s">
        <v>4199</v>
      </c>
      <c r="G485" s="1">
        <v>42436</v>
      </c>
      <c r="H485" s="1">
        <v>42622</v>
      </c>
      <c r="J485" t="s">
        <v>326</v>
      </c>
      <c r="K485" t="s">
        <v>45</v>
      </c>
      <c r="L485" t="s">
        <v>72</v>
      </c>
      <c r="N485" t="s">
        <v>89</v>
      </c>
      <c r="O485" t="s">
        <v>121</v>
      </c>
      <c r="P485" t="s">
        <v>49</v>
      </c>
      <c r="Q485" t="s">
        <v>4200</v>
      </c>
      <c r="R485" t="s">
        <v>4201</v>
      </c>
      <c r="S485">
        <v>281</v>
      </c>
      <c r="T485" t="s">
        <v>1328</v>
      </c>
      <c r="U485" t="s">
        <v>3114</v>
      </c>
      <c r="V485" t="s">
        <v>4202</v>
      </c>
      <c r="W485" t="s">
        <v>3116</v>
      </c>
      <c r="X485" t="s">
        <v>1328</v>
      </c>
      <c r="Y485" t="s">
        <v>410</v>
      </c>
      <c r="Z485">
        <v>8446</v>
      </c>
      <c r="AA485">
        <v>11</v>
      </c>
      <c r="AB485">
        <v>38</v>
      </c>
      <c r="AC485" t="s">
        <v>4203</v>
      </c>
      <c r="AD485" t="s">
        <v>4204</v>
      </c>
      <c r="AE485" t="s">
        <v>4205</v>
      </c>
      <c r="AF485" t="s">
        <v>4206</v>
      </c>
      <c r="AG485" t="s">
        <v>4204</v>
      </c>
      <c r="AH485" t="s">
        <v>4207</v>
      </c>
      <c r="AJ485" s="2">
        <v>45313.649733796294</v>
      </c>
      <c r="AK485" t="s">
        <v>149</v>
      </c>
      <c r="AL485" t="s">
        <v>65</v>
      </c>
      <c r="AM485" s="4">
        <v>0.66666666666666663</v>
      </c>
      <c r="AN485" t="s">
        <v>66</v>
      </c>
      <c r="AO485" t="s">
        <v>67</v>
      </c>
    </row>
    <row r="486" spans="1:41" x14ac:dyDescent="0.2">
      <c r="A486">
        <v>365739</v>
      </c>
      <c r="B486" t="s">
        <v>4208</v>
      </c>
      <c r="C486" t="s">
        <v>2889</v>
      </c>
      <c r="D486" t="s">
        <v>3897</v>
      </c>
      <c r="E486" t="s">
        <v>4209</v>
      </c>
      <c r="F486">
        <v>191204</v>
      </c>
      <c r="G486" s="1">
        <v>42690</v>
      </c>
      <c r="H486" s="1">
        <v>45512</v>
      </c>
      <c r="I486" s="1">
        <v>46266</v>
      </c>
      <c r="J486" t="s">
        <v>45</v>
      </c>
      <c r="K486" t="s">
        <v>45</v>
      </c>
      <c r="L486" t="s">
        <v>72</v>
      </c>
      <c r="M486" s="1">
        <v>43552</v>
      </c>
      <c r="N486" t="s">
        <v>47</v>
      </c>
      <c r="O486" t="s">
        <v>48</v>
      </c>
      <c r="P486" t="s">
        <v>49</v>
      </c>
      <c r="Q486" t="s">
        <v>4210</v>
      </c>
      <c r="R486" t="s">
        <v>4211</v>
      </c>
      <c r="S486">
        <v>281</v>
      </c>
      <c r="T486" t="s">
        <v>1328</v>
      </c>
      <c r="U486" t="s">
        <v>3114</v>
      </c>
      <c r="V486" t="s">
        <v>4202</v>
      </c>
      <c r="W486" t="s">
        <v>4212</v>
      </c>
      <c r="X486" t="s">
        <v>1328</v>
      </c>
      <c r="Y486" t="s">
        <v>110</v>
      </c>
      <c r="Z486">
        <v>8766</v>
      </c>
      <c r="AA486">
        <v>20</v>
      </c>
      <c r="AB486">
        <v>38</v>
      </c>
      <c r="AC486" t="s">
        <v>4213</v>
      </c>
      <c r="AD486" t="s">
        <v>4214</v>
      </c>
      <c r="AE486" t="s">
        <v>4215</v>
      </c>
      <c r="AF486" t="s">
        <v>4216</v>
      </c>
      <c r="AG486" t="s">
        <v>4217</v>
      </c>
      <c r="AH486" t="s">
        <v>4218</v>
      </c>
      <c r="AI486" t="s">
        <v>4219</v>
      </c>
      <c r="AJ486" s="2">
        <v>45590.753993055558</v>
      </c>
      <c r="AK486" t="s">
        <v>4213</v>
      </c>
      <c r="AL486" t="s">
        <v>65</v>
      </c>
      <c r="AM486" s="4">
        <v>0.30555555555555558</v>
      </c>
      <c r="AN486" t="s">
        <v>66</v>
      </c>
      <c r="AO486" t="s">
        <v>67</v>
      </c>
    </row>
    <row r="487" spans="1:41" x14ac:dyDescent="0.2">
      <c r="A487">
        <v>368901</v>
      </c>
      <c r="B487" t="s">
        <v>4220</v>
      </c>
      <c r="C487" t="s">
        <v>182</v>
      </c>
      <c r="D487" t="s">
        <v>610</v>
      </c>
      <c r="E487">
        <v>85803260</v>
      </c>
      <c r="F487">
        <v>45741</v>
      </c>
      <c r="G487" s="1">
        <v>38602</v>
      </c>
      <c r="H487" s="1">
        <v>45635</v>
      </c>
      <c r="I487" s="1">
        <v>45915</v>
      </c>
      <c r="J487" t="s">
        <v>45</v>
      </c>
      <c r="K487" t="s">
        <v>45</v>
      </c>
      <c r="L487" t="s">
        <v>429</v>
      </c>
      <c r="M487" s="1">
        <v>44051</v>
      </c>
      <c r="N487" t="s">
        <v>47</v>
      </c>
      <c r="O487" t="s">
        <v>48</v>
      </c>
      <c r="P487" t="s">
        <v>49</v>
      </c>
      <c r="Q487" t="s">
        <v>4221</v>
      </c>
      <c r="R487" t="s">
        <v>4222</v>
      </c>
      <c r="S487">
        <v>539</v>
      </c>
      <c r="T487" t="s">
        <v>1328</v>
      </c>
      <c r="U487" t="s">
        <v>1583</v>
      </c>
      <c r="V487" t="s">
        <v>4223</v>
      </c>
      <c r="W487" t="s">
        <v>1585</v>
      </c>
      <c r="X487" t="s">
        <v>493</v>
      </c>
      <c r="Y487" t="s">
        <v>434</v>
      </c>
      <c r="Z487">
        <v>2729</v>
      </c>
      <c r="AA487">
        <v>22</v>
      </c>
      <c r="AB487">
        <v>158</v>
      </c>
      <c r="AC487" t="s">
        <v>4224</v>
      </c>
      <c r="AD487" t="s">
        <v>4225</v>
      </c>
      <c r="AE487" t="s">
        <v>4226</v>
      </c>
      <c r="AF487" t="s">
        <v>4227</v>
      </c>
      <c r="AG487" t="s">
        <v>4228</v>
      </c>
      <c r="AH487" t="s">
        <v>4229</v>
      </c>
      <c r="AJ487" s="2">
        <v>45722.899004629631</v>
      </c>
      <c r="AK487" t="s">
        <v>501</v>
      </c>
      <c r="AL487" t="s">
        <v>65</v>
      </c>
      <c r="AM487" s="3">
        <v>1</v>
      </c>
      <c r="AN487" t="s">
        <v>66</v>
      </c>
      <c r="AO487" t="s">
        <v>67</v>
      </c>
    </row>
    <row r="488" spans="1:41" x14ac:dyDescent="0.2">
      <c r="A488">
        <v>372983</v>
      </c>
      <c r="B488" t="s">
        <v>4230</v>
      </c>
      <c r="C488" t="s">
        <v>2298</v>
      </c>
      <c r="D488" t="s">
        <v>3919</v>
      </c>
      <c r="E488" t="s">
        <v>4231</v>
      </c>
      <c r="F488">
        <v>228103</v>
      </c>
      <c r="G488" s="1">
        <v>40843</v>
      </c>
      <c r="H488" s="1">
        <v>45674</v>
      </c>
      <c r="I488" s="1">
        <v>46037</v>
      </c>
      <c r="J488" t="s">
        <v>45</v>
      </c>
      <c r="K488" t="s">
        <v>45</v>
      </c>
      <c r="L488" t="s">
        <v>46</v>
      </c>
      <c r="M488" s="1">
        <v>41728</v>
      </c>
      <c r="N488" t="s">
        <v>47</v>
      </c>
      <c r="O488" t="s">
        <v>48</v>
      </c>
      <c r="P488" t="s">
        <v>49</v>
      </c>
      <c r="Q488" t="s">
        <v>4232</v>
      </c>
      <c r="R488" t="s">
        <v>4233</v>
      </c>
      <c r="S488">
        <v>130</v>
      </c>
      <c r="T488" t="s">
        <v>52</v>
      </c>
      <c r="U488">
        <v>8</v>
      </c>
      <c r="V488" t="s">
        <v>2302</v>
      </c>
      <c r="W488" t="s">
        <v>54</v>
      </c>
      <c r="X488" t="s">
        <v>76</v>
      </c>
      <c r="Y488" t="s">
        <v>56</v>
      </c>
      <c r="Z488">
        <v>5046</v>
      </c>
      <c r="AA488">
        <v>31</v>
      </c>
      <c r="AB488">
        <v>45</v>
      </c>
      <c r="AC488" t="s">
        <v>3653</v>
      </c>
      <c r="AD488" t="s">
        <v>2304</v>
      </c>
      <c r="AE488" t="s">
        <v>2305</v>
      </c>
      <c r="AF488" t="s">
        <v>4234</v>
      </c>
      <c r="AG488" t="s">
        <v>4235</v>
      </c>
      <c r="AH488" t="s">
        <v>2634</v>
      </c>
      <c r="AI488" t="s">
        <v>2304</v>
      </c>
      <c r="AJ488" s="2">
        <v>45855.978344907409</v>
      </c>
      <c r="AK488" t="s">
        <v>556</v>
      </c>
      <c r="AL488" t="s">
        <v>65</v>
      </c>
      <c r="AM488" s="4">
        <v>1.3888888888888888E-2</v>
      </c>
      <c r="AN488" t="s">
        <v>66</v>
      </c>
      <c r="AO488" t="s">
        <v>101</v>
      </c>
    </row>
    <row r="489" spans="1:41" x14ac:dyDescent="0.2">
      <c r="A489">
        <v>371574</v>
      </c>
      <c r="B489" t="s">
        <v>4236</v>
      </c>
      <c r="C489" t="s">
        <v>197</v>
      </c>
      <c r="D489" t="s">
        <v>4237</v>
      </c>
      <c r="E489" t="s">
        <v>4238</v>
      </c>
      <c r="F489">
        <v>91201</v>
      </c>
      <c r="G489" s="1">
        <v>37222</v>
      </c>
      <c r="H489" s="1">
        <v>45197</v>
      </c>
      <c r="I489" s="1">
        <v>46023</v>
      </c>
      <c r="J489" t="s">
        <v>45</v>
      </c>
      <c r="K489" t="s">
        <v>45</v>
      </c>
      <c r="L489" t="s">
        <v>72</v>
      </c>
      <c r="M489" s="1">
        <v>43210</v>
      </c>
      <c r="N489" t="s">
        <v>89</v>
      </c>
      <c r="O489" t="s">
        <v>48</v>
      </c>
      <c r="P489" t="s">
        <v>49</v>
      </c>
      <c r="Q489" t="s">
        <v>4239</v>
      </c>
      <c r="R489" t="s">
        <v>4240</v>
      </c>
      <c r="S489">
        <v>2021</v>
      </c>
      <c r="T489" t="s">
        <v>52</v>
      </c>
      <c r="U489">
        <v>8</v>
      </c>
      <c r="V489" t="s">
        <v>993</v>
      </c>
      <c r="W489" t="s">
        <v>54</v>
      </c>
      <c r="X489" t="s">
        <v>76</v>
      </c>
      <c r="Y489" t="s">
        <v>56</v>
      </c>
      <c r="Z489">
        <v>1137</v>
      </c>
      <c r="AA489">
        <v>54</v>
      </c>
      <c r="AB489">
        <v>152</v>
      </c>
      <c r="AC489" t="s">
        <v>2958</v>
      </c>
      <c r="AD489" t="s">
        <v>2959</v>
      </c>
      <c r="AE489" t="s">
        <v>2960</v>
      </c>
      <c r="AF489" t="s">
        <v>3339</v>
      </c>
      <c r="AG489" t="s">
        <v>3340</v>
      </c>
      <c r="AH489" t="s">
        <v>3341</v>
      </c>
      <c r="AI489" t="s">
        <v>4241</v>
      </c>
      <c r="AJ489" s="2">
        <v>45816.84646990741</v>
      </c>
      <c r="AK489" t="s">
        <v>132</v>
      </c>
      <c r="AL489" t="s">
        <v>65</v>
      </c>
      <c r="AM489" s="4">
        <v>0.20833333333333334</v>
      </c>
      <c r="AN489" t="s">
        <v>66</v>
      </c>
      <c r="AO489" t="s">
        <v>67</v>
      </c>
    </row>
    <row r="490" spans="1:41" x14ac:dyDescent="0.2">
      <c r="A490">
        <v>371366</v>
      </c>
      <c r="B490" t="s">
        <v>4242</v>
      </c>
      <c r="C490" t="s">
        <v>167</v>
      </c>
      <c r="D490" t="s">
        <v>4243</v>
      </c>
      <c r="E490" t="s">
        <v>4244</v>
      </c>
      <c r="F490">
        <v>350114</v>
      </c>
      <c r="G490" s="1">
        <v>45747</v>
      </c>
      <c r="H490" s="1">
        <v>45747</v>
      </c>
      <c r="J490" t="s">
        <v>45</v>
      </c>
      <c r="K490" t="s">
        <v>45</v>
      </c>
      <c r="L490" t="s">
        <v>46</v>
      </c>
      <c r="N490" t="s">
        <v>47</v>
      </c>
      <c r="O490" t="s">
        <v>48</v>
      </c>
      <c r="P490" t="s">
        <v>49</v>
      </c>
      <c r="Q490" t="s">
        <v>4245</v>
      </c>
      <c r="R490" t="s">
        <v>4246</v>
      </c>
      <c r="S490">
        <v>55</v>
      </c>
      <c r="T490" t="s">
        <v>1328</v>
      </c>
      <c r="U490" t="s">
        <v>3114</v>
      </c>
      <c r="V490" t="s">
        <v>4177</v>
      </c>
      <c r="W490" t="s">
        <v>4178</v>
      </c>
      <c r="X490" t="s">
        <v>1328</v>
      </c>
      <c r="Y490" t="s">
        <v>96</v>
      </c>
      <c r="Z490">
        <v>12301</v>
      </c>
      <c r="AA490">
        <v>10</v>
      </c>
      <c r="AB490">
        <v>48</v>
      </c>
      <c r="AC490" t="s">
        <v>4179</v>
      </c>
      <c r="AD490" t="s">
        <v>4180</v>
      </c>
      <c r="AE490" t="s">
        <v>4181</v>
      </c>
      <c r="AF490" t="s">
        <v>4182</v>
      </c>
      <c r="AG490" t="s">
        <v>4247</v>
      </c>
      <c r="AH490" t="s">
        <v>4184</v>
      </c>
      <c r="AJ490" s="2">
        <v>45806.811342592591</v>
      </c>
      <c r="AK490" t="s">
        <v>556</v>
      </c>
      <c r="AL490" t="s">
        <v>65</v>
      </c>
      <c r="AM490" t="s">
        <v>4248</v>
      </c>
      <c r="AN490" t="s">
        <v>66</v>
      </c>
      <c r="AO490" t="s">
        <v>67</v>
      </c>
    </row>
    <row r="491" spans="1:41" x14ac:dyDescent="0.2">
      <c r="A491">
        <v>360524</v>
      </c>
      <c r="B491" t="s">
        <v>4249</v>
      </c>
      <c r="C491" t="s">
        <v>3878</v>
      </c>
      <c r="D491" t="s">
        <v>4250</v>
      </c>
      <c r="E491" t="s">
        <v>4251</v>
      </c>
      <c r="F491">
        <v>516301</v>
      </c>
      <c r="G491" s="1">
        <v>38528</v>
      </c>
      <c r="H491" s="1">
        <v>43446</v>
      </c>
      <c r="I491" s="1">
        <v>45992</v>
      </c>
      <c r="J491" t="s">
        <v>45</v>
      </c>
      <c r="K491" t="s">
        <v>45</v>
      </c>
      <c r="L491" t="s">
        <v>46</v>
      </c>
      <c r="M491" s="1">
        <v>43446</v>
      </c>
      <c r="N491" t="s">
        <v>89</v>
      </c>
      <c r="O491" t="s">
        <v>48</v>
      </c>
      <c r="P491" t="s">
        <v>49</v>
      </c>
      <c r="Q491" t="s">
        <v>4252</v>
      </c>
      <c r="R491" t="s">
        <v>4253</v>
      </c>
      <c r="S491">
        <v>279</v>
      </c>
      <c r="T491" t="s">
        <v>52</v>
      </c>
      <c r="U491">
        <v>8</v>
      </c>
      <c r="V491" t="s">
        <v>4254</v>
      </c>
      <c r="W491" t="s">
        <v>54</v>
      </c>
      <c r="X491" t="s">
        <v>76</v>
      </c>
      <c r="Y491" t="s">
        <v>56</v>
      </c>
      <c r="Z491">
        <v>2721</v>
      </c>
      <c r="AA491">
        <v>37</v>
      </c>
      <c r="AB491">
        <v>97</v>
      </c>
      <c r="AC491" t="s">
        <v>4255</v>
      </c>
      <c r="AD491" t="s">
        <v>4256</v>
      </c>
      <c r="AE491" t="s">
        <v>4257</v>
      </c>
      <c r="AF491" t="s">
        <v>4258</v>
      </c>
      <c r="AH491" t="s">
        <v>4259</v>
      </c>
      <c r="AI491" t="s">
        <v>179</v>
      </c>
      <c r="AJ491" s="2">
        <v>45425.72824074074</v>
      </c>
      <c r="AK491" t="s">
        <v>100</v>
      </c>
      <c r="AL491" t="s">
        <v>65</v>
      </c>
      <c r="AM491" s="3">
        <v>1.3923611111111112</v>
      </c>
      <c r="AN491" t="s">
        <v>66</v>
      </c>
      <c r="AO491" t="s">
        <v>101</v>
      </c>
    </row>
    <row r="492" spans="1:41" x14ac:dyDescent="0.2">
      <c r="A492">
        <v>368950</v>
      </c>
      <c r="B492" t="s">
        <v>4260</v>
      </c>
      <c r="C492" t="s">
        <v>182</v>
      </c>
      <c r="D492" t="s">
        <v>4261</v>
      </c>
      <c r="E492" t="s">
        <v>4262</v>
      </c>
      <c r="F492">
        <v>40101</v>
      </c>
      <c r="G492" s="1">
        <v>38181</v>
      </c>
      <c r="H492" s="1">
        <v>45553</v>
      </c>
      <c r="I492" s="1">
        <v>46188</v>
      </c>
      <c r="J492" t="s">
        <v>45</v>
      </c>
      <c r="K492" t="s">
        <v>45</v>
      </c>
      <c r="L492" t="s">
        <v>429</v>
      </c>
      <c r="M492" s="1">
        <v>45183</v>
      </c>
      <c r="N492" t="s">
        <v>47</v>
      </c>
      <c r="O492" t="s">
        <v>48</v>
      </c>
      <c r="P492" t="s">
        <v>49</v>
      </c>
      <c r="Q492" t="s">
        <v>4263</v>
      </c>
      <c r="R492" t="s">
        <v>4264</v>
      </c>
      <c r="S492">
        <v>3698</v>
      </c>
      <c r="T492" t="s">
        <v>52</v>
      </c>
      <c r="U492">
        <v>5</v>
      </c>
      <c r="V492" t="s">
        <v>3513</v>
      </c>
      <c r="W492" t="s">
        <v>54</v>
      </c>
      <c r="X492" t="s">
        <v>493</v>
      </c>
      <c r="Y492" t="s">
        <v>434</v>
      </c>
      <c r="Z492">
        <v>2472</v>
      </c>
      <c r="AA492">
        <v>53</v>
      </c>
      <c r="AB492">
        <v>160</v>
      </c>
      <c r="AC492" t="s">
        <v>4265</v>
      </c>
      <c r="AD492" t="s">
        <v>4266</v>
      </c>
      <c r="AE492" t="s">
        <v>4267</v>
      </c>
      <c r="AF492" t="s">
        <v>3517</v>
      </c>
      <c r="AG492" t="s">
        <v>3518</v>
      </c>
      <c r="AH492" t="s">
        <v>3519</v>
      </c>
      <c r="AI492" t="s">
        <v>4268</v>
      </c>
      <c r="AJ492" s="2">
        <v>45722.922222222223</v>
      </c>
      <c r="AK492" t="s">
        <v>501</v>
      </c>
      <c r="AL492" t="s">
        <v>65</v>
      </c>
      <c r="AM492" s="3">
        <v>2.4652777777777777</v>
      </c>
      <c r="AN492" t="s">
        <v>66</v>
      </c>
      <c r="AO492" t="s">
        <v>67</v>
      </c>
    </row>
    <row r="493" spans="1:41" x14ac:dyDescent="0.2">
      <c r="A493">
        <v>363691</v>
      </c>
      <c r="B493" t="s">
        <v>4269</v>
      </c>
      <c r="C493" t="s">
        <v>542</v>
      </c>
      <c r="D493" t="s">
        <v>4270</v>
      </c>
      <c r="E493" t="s">
        <v>4271</v>
      </c>
      <c r="F493">
        <v>361031</v>
      </c>
      <c r="G493" s="1">
        <v>43755</v>
      </c>
      <c r="H493" s="1">
        <v>45519</v>
      </c>
      <c r="J493" t="s">
        <v>45</v>
      </c>
      <c r="K493" t="s">
        <v>45</v>
      </c>
      <c r="L493" t="s">
        <v>72</v>
      </c>
      <c r="M493" s="1">
        <v>44777</v>
      </c>
      <c r="N493" t="s">
        <v>47</v>
      </c>
      <c r="O493" t="s">
        <v>48</v>
      </c>
      <c r="P493" t="s">
        <v>49</v>
      </c>
      <c r="Q493" t="s">
        <v>4272</v>
      </c>
      <c r="R493" t="s">
        <v>4273</v>
      </c>
      <c r="S493">
        <v>1142</v>
      </c>
      <c r="T493" t="s">
        <v>92</v>
      </c>
      <c r="U493" t="s">
        <v>1133</v>
      </c>
      <c r="V493" t="s">
        <v>1134</v>
      </c>
      <c r="W493" t="s">
        <v>1135</v>
      </c>
      <c r="X493" t="s">
        <v>92</v>
      </c>
      <c r="Y493" t="s">
        <v>770</v>
      </c>
      <c r="Z493">
        <v>10627</v>
      </c>
      <c r="AA493">
        <v>15</v>
      </c>
      <c r="AB493">
        <v>45</v>
      </c>
      <c r="AC493" t="s">
        <v>1136</v>
      </c>
      <c r="AD493" t="s">
        <v>1137</v>
      </c>
      <c r="AE493" t="s">
        <v>1138</v>
      </c>
      <c r="AJ493" s="2">
        <v>45519.993090277778</v>
      </c>
      <c r="AK493" t="s">
        <v>1136</v>
      </c>
      <c r="AL493" t="s">
        <v>65</v>
      </c>
      <c r="AM493" s="3">
        <v>2.1180555555555554</v>
      </c>
      <c r="AN493" t="s">
        <v>66</v>
      </c>
      <c r="AO493" t="s">
        <v>101</v>
      </c>
    </row>
    <row r="494" spans="1:41" x14ac:dyDescent="0.2">
      <c r="A494">
        <v>370875</v>
      </c>
      <c r="B494" t="s">
        <v>4274</v>
      </c>
      <c r="C494" t="s">
        <v>323</v>
      </c>
      <c r="D494" t="s">
        <v>4275</v>
      </c>
      <c r="E494" t="s">
        <v>4276</v>
      </c>
      <c r="F494">
        <v>500972</v>
      </c>
      <c r="G494" s="1">
        <v>39385</v>
      </c>
      <c r="H494" s="1">
        <v>45614</v>
      </c>
      <c r="I494" s="1">
        <v>46037</v>
      </c>
      <c r="J494" t="s">
        <v>45</v>
      </c>
      <c r="K494" t="s">
        <v>45</v>
      </c>
      <c r="L494" t="s">
        <v>72</v>
      </c>
      <c r="M494" s="1">
        <v>45630</v>
      </c>
      <c r="N494" t="s">
        <v>47</v>
      </c>
      <c r="O494" t="s">
        <v>48</v>
      </c>
      <c r="P494" t="s">
        <v>49</v>
      </c>
      <c r="Q494" t="s">
        <v>4277</v>
      </c>
      <c r="R494" t="s">
        <v>4278</v>
      </c>
      <c r="S494">
        <v>157</v>
      </c>
      <c r="T494" t="s">
        <v>92</v>
      </c>
      <c r="U494" t="s">
        <v>329</v>
      </c>
      <c r="V494" t="s">
        <v>722</v>
      </c>
      <c r="W494" t="s">
        <v>723</v>
      </c>
      <c r="X494" t="s">
        <v>257</v>
      </c>
      <c r="Y494" t="s">
        <v>110</v>
      </c>
      <c r="Z494">
        <v>2758</v>
      </c>
      <c r="AA494">
        <v>40</v>
      </c>
      <c r="AB494">
        <v>158</v>
      </c>
      <c r="AC494" t="s">
        <v>368</v>
      </c>
      <c r="AD494" t="s">
        <v>369</v>
      </c>
      <c r="AE494" t="s">
        <v>370</v>
      </c>
      <c r="AF494" t="s">
        <v>4279</v>
      </c>
      <c r="AG494" t="s">
        <v>725</v>
      </c>
      <c r="AH494" t="s">
        <v>726</v>
      </c>
      <c r="AI494" t="s">
        <v>385</v>
      </c>
      <c r="AJ494" s="2">
        <v>45787.000740740739</v>
      </c>
      <c r="AK494" t="s">
        <v>331</v>
      </c>
      <c r="AL494" t="s">
        <v>65</v>
      </c>
      <c r="AM494" s="3">
        <v>2.3472222222222223</v>
      </c>
      <c r="AN494" t="s">
        <v>66</v>
      </c>
      <c r="AO494" t="s">
        <v>67</v>
      </c>
    </row>
    <row r="495" spans="1:41" x14ac:dyDescent="0.2">
      <c r="A495">
        <v>364230</v>
      </c>
      <c r="B495" t="s">
        <v>4280</v>
      </c>
      <c r="C495" t="s">
        <v>182</v>
      </c>
      <c r="D495" t="s">
        <v>1656</v>
      </c>
      <c r="E495" t="s">
        <v>4281</v>
      </c>
      <c r="F495">
        <v>43209</v>
      </c>
      <c r="G495" s="1">
        <v>37399</v>
      </c>
      <c r="H495" s="1">
        <v>44789</v>
      </c>
      <c r="J495" t="s">
        <v>45</v>
      </c>
      <c r="K495" t="s">
        <v>72</v>
      </c>
      <c r="L495" t="s">
        <v>72</v>
      </c>
      <c r="M495" s="1">
        <v>44789</v>
      </c>
      <c r="N495" t="s">
        <v>89</v>
      </c>
      <c r="O495" t="s">
        <v>48</v>
      </c>
      <c r="P495" t="s">
        <v>49</v>
      </c>
      <c r="Q495" t="s">
        <v>4282</v>
      </c>
      <c r="R495" t="s">
        <v>4283</v>
      </c>
      <c r="S495">
        <v>399</v>
      </c>
      <c r="T495" t="s">
        <v>92</v>
      </c>
      <c r="U495" t="s">
        <v>187</v>
      </c>
      <c r="V495" t="s">
        <v>4284</v>
      </c>
      <c r="W495" t="s">
        <v>448</v>
      </c>
      <c r="X495" t="s">
        <v>449</v>
      </c>
      <c r="Y495" t="s">
        <v>642</v>
      </c>
      <c r="Z495">
        <v>2209</v>
      </c>
      <c r="AA495">
        <v>30</v>
      </c>
      <c r="AB495">
        <v>74</v>
      </c>
      <c r="AC495" t="s">
        <v>4285</v>
      </c>
      <c r="AD495" t="s">
        <v>4286</v>
      </c>
      <c r="AE495" t="s">
        <v>4287</v>
      </c>
      <c r="AF495" t="s">
        <v>4288</v>
      </c>
      <c r="AG495" t="s">
        <v>4289</v>
      </c>
      <c r="AH495" t="s">
        <v>4290</v>
      </c>
      <c r="AI495" t="s">
        <v>4291</v>
      </c>
      <c r="AJ495" s="2">
        <v>45538.60900462963</v>
      </c>
      <c r="AK495" t="s">
        <v>100</v>
      </c>
      <c r="AL495" t="s">
        <v>1168</v>
      </c>
      <c r="AM495" s="3">
        <v>2.4583333333333335</v>
      </c>
      <c r="AN495" t="s">
        <v>66</v>
      </c>
      <c r="AO495" t="s">
        <v>67</v>
      </c>
    </row>
    <row r="496" spans="1:41" x14ac:dyDescent="0.2">
      <c r="A496">
        <v>365530</v>
      </c>
      <c r="B496" t="s">
        <v>4292</v>
      </c>
      <c r="C496" t="s">
        <v>118</v>
      </c>
      <c r="D496" t="s">
        <v>4293</v>
      </c>
      <c r="E496" t="s">
        <v>4294</v>
      </c>
      <c r="F496">
        <v>21303</v>
      </c>
      <c r="G496" s="1">
        <v>40367</v>
      </c>
      <c r="H496" s="1">
        <v>45581</v>
      </c>
      <c r="I496" s="1">
        <v>45945</v>
      </c>
      <c r="J496" t="s">
        <v>45</v>
      </c>
      <c r="K496" t="s">
        <v>45</v>
      </c>
      <c r="L496" t="s">
        <v>429</v>
      </c>
      <c r="M496" s="1">
        <v>43061</v>
      </c>
      <c r="N496" t="s">
        <v>47</v>
      </c>
      <c r="O496" t="s">
        <v>48</v>
      </c>
      <c r="P496" t="s">
        <v>49</v>
      </c>
      <c r="Q496" t="s">
        <v>4295</v>
      </c>
      <c r="R496" t="s">
        <v>4296</v>
      </c>
      <c r="S496">
        <v>4629</v>
      </c>
      <c r="T496" t="s">
        <v>52</v>
      </c>
      <c r="U496">
        <v>3</v>
      </c>
      <c r="V496" t="s">
        <v>4297</v>
      </c>
      <c r="W496" t="s">
        <v>54</v>
      </c>
      <c r="X496" t="s">
        <v>55</v>
      </c>
      <c r="Y496" t="s">
        <v>56</v>
      </c>
      <c r="Z496">
        <v>3706</v>
      </c>
      <c r="AA496">
        <v>28</v>
      </c>
      <c r="AB496">
        <v>30</v>
      </c>
      <c r="AC496" t="s">
        <v>4298</v>
      </c>
      <c r="AD496" t="s">
        <v>4299</v>
      </c>
      <c r="AE496" t="s">
        <v>4300</v>
      </c>
      <c r="AF496" t="s">
        <v>4301</v>
      </c>
      <c r="AG496" t="s">
        <v>4302</v>
      </c>
      <c r="AH496" t="s">
        <v>4303</v>
      </c>
      <c r="AI496" t="s">
        <v>1809</v>
      </c>
      <c r="AJ496" s="2">
        <v>45586.760196759256</v>
      </c>
      <c r="AK496" t="s">
        <v>64</v>
      </c>
      <c r="AL496" t="s">
        <v>65</v>
      </c>
      <c r="AM496" s="4">
        <v>0.36805555555555558</v>
      </c>
      <c r="AN496" t="s">
        <v>66</v>
      </c>
      <c r="AO496" t="s">
        <v>67</v>
      </c>
    </row>
    <row r="497" spans="1:41" x14ac:dyDescent="0.2">
      <c r="A497">
        <v>372974</v>
      </c>
      <c r="B497" t="s">
        <v>4304</v>
      </c>
      <c r="C497" t="s">
        <v>1687</v>
      </c>
      <c r="D497" t="s">
        <v>4305</v>
      </c>
      <c r="E497">
        <v>32833036</v>
      </c>
      <c r="F497">
        <v>160401</v>
      </c>
      <c r="G497" s="1">
        <v>37126</v>
      </c>
      <c r="H497" s="1">
        <v>45686</v>
      </c>
      <c r="I497" s="1">
        <v>46054</v>
      </c>
      <c r="J497" t="s">
        <v>45</v>
      </c>
      <c r="K497" t="s">
        <v>45</v>
      </c>
      <c r="L497" t="s">
        <v>4306</v>
      </c>
      <c r="M497" s="1">
        <v>44145</v>
      </c>
      <c r="N497" t="s">
        <v>47</v>
      </c>
      <c r="O497" t="s">
        <v>48</v>
      </c>
      <c r="P497" t="s">
        <v>49</v>
      </c>
      <c r="Q497" t="s">
        <v>4307</v>
      </c>
      <c r="R497" t="s">
        <v>4308</v>
      </c>
      <c r="S497">
        <v>230</v>
      </c>
      <c r="T497" t="s">
        <v>52</v>
      </c>
      <c r="U497">
        <v>8</v>
      </c>
      <c r="V497" t="s">
        <v>4309</v>
      </c>
      <c r="W497" t="s">
        <v>54</v>
      </c>
      <c r="X497" t="s">
        <v>76</v>
      </c>
      <c r="Y497" t="s">
        <v>56</v>
      </c>
      <c r="Z497">
        <v>1130</v>
      </c>
      <c r="AA497">
        <v>35</v>
      </c>
      <c r="AB497">
        <v>166</v>
      </c>
      <c r="AC497" t="s">
        <v>4310</v>
      </c>
      <c r="AD497" t="s">
        <v>4311</v>
      </c>
      <c r="AE497" t="s">
        <v>4312</v>
      </c>
      <c r="AF497" t="s">
        <v>4313</v>
      </c>
      <c r="AG497" t="s">
        <v>4314</v>
      </c>
      <c r="AH497" t="s">
        <v>4315</v>
      </c>
      <c r="AJ497" s="2">
        <v>45855.970416666663</v>
      </c>
      <c r="AK497" t="s">
        <v>556</v>
      </c>
      <c r="AL497" t="s">
        <v>65</v>
      </c>
      <c r="AM497" s="3">
        <v>2.4513888888888888</v>
      </c>
      <c r="AN497" t="s">
        <v>66</v>
      </c>
      <c r="AO497" t="s">
        <v>67</v>
      </c>
    </row>
    <row r="498" spans="1:41" x14ac:dyDescent="0.2">
      <c r="A498">
        <v>370039</v>
      </c>
      <c r="B498" t="s">
        <v>4316</v>
      </c>
      <c r="C498" t="s">
        <v>167</v>
      </c>
      <c r="D498" t="s">
        <v>1849</v>
      </c>
      <c r="E498" t="s">
        <v>4317</v>
      </c>
      <c r="F498">
        <v>351604</v>
      </c>
      <c r="G498" s="1">
        <v>38075</v>
      </c>
      <c r="H498" s="1">
        <v>45513</v>
      </c>
      <c r="I498" s="1">
        <v>46218</v>
      </c>
      <c r="J498" t="s">
        <v>45</v>
      </c>
      <c r="K498" t="s">
        <v>45</v>
      </c>
      <c r="L498" t="s">
        <v>429</v>
      </c>
      <c r="M498" s="1">
        <v>42026</v>
      </c>
      <c r="N498" t="s">
        <v>47</v>
      </c>
      <c r="O498" t="s">
        <v>48</v>
      </c>
      <c r="P498" t="s">
        <v>49</v>
      </c>
      <c r="Q498" t="s">
        <v>4318</v>
      </c>
      <c r="R498" t="s">
        <v>4319</v>
      </c>
      <c r="S498">
        <v>1941</v>
      </c>
      <c r="T498" t="s">
        <v>52</v>
      </c>
      <c r="U498">
        <v>6</v>
      </c>
      <c r="V498" t="s">
        <v>4320</v>
      </c>
      <c r="W498" t="s">
        <v>54</v>
      </c>
      <c r="X498" t="s">
        <v>76</v>
      </c>
      <c r="Y498" t="s">
        <v>56</v>
      </c>
      <c r="Z498">
        <v>839</v>
      </c>
      <c r="AA498">
        <v>68</v>
      </c>
      <c r="AB498">
        <v>158</v>
      </c>
      <c r="AC498" t="s">
        <v>3254</v>
      </c>
      <c r="AD498" t="s">
        <v>3255</v>
      </c>
      <c r="AE498" t="s">
        <v>3256</v>
      </c>
      <c r="AI498" t="s">
        <v>179</v>
      </c>
      <c r="AJ498" s="2">
        <v>45762.644594907404</v>
      </c>
      <c r="AK498" t="s">
        <v>3254</v>
      </c>
      <c r="AL498" t="s">
        <v>65</v>
      </c>
      <c r="AM498" s="4">
        <v>0.125</v>
      </c>
      <c r="AN498" t="s">
        <v>66</v>
      </c>
      <c r="AO498" t="s">
        <v>67</v>
      </c>
    </row>
    <row r="499" spans="1:41" x14ac:dyDescent="0.2">
      <c r="A499">
        <v>372900</v>
      </c>
      <c r="B499" t="s">
        <v>4321</v>
      </c>
      <c r="C499" t="s">
        <v>735</v>
      </c>
      <c r="D499" t="s">
        <v>4322</v>
      </c>
      <c r="E499" t="s">
        <v>4323</v>
      </c>
      <c r="F499">
        <v>244301</v>
      </c>
      <c r="G499" s="1">
        <v>32072</v>
      </c>
      <c r="H499" s="1">
        <v>45835</v>
      </c>
      <c r="I499" s="1">
        <v>46174</v>
      </c>
      <c r="J499" t="s">
        <v>45</v>
      </c>
      <c r="K499" t="s">
        <v>45</v>
      </c>
      <c r="L499" t="s">
        <v>429</v>
      </c>
      <c r="M499" s="1">
        <v>42975</v>
      </c>
      <c r="N499" t="s">
        <v>47</v>
      </c>
      <c r="O499" t="s">
        <v>48</v>
      </c>
      <c r="P499" t="s">
        <v>49</v>
      </c>
      <c r="Q499" t="s">
        <v>4324</v>
      </c>
      <c r="R499" t="s">
        <v>4325</v>
      </c>
      <c r="S499">
        <v>2959</v>
      </c>
      <c r="T499" t="s">
        <v>365</v>
      </c>
      <c r="U499" t="s">
        <v>969</v>
      </c>
      <c r="V499" t="s">
        <v>2473</v>
      </c>
      <c r="W499" t="s">
        <v>367</v>
      </c>
      <c r="X499" t="s">
        <v>76</v>
      </c>
      <c r="Y499" t="s">
        <v>434</v>
      </c>
      <c r="Z499">
        <v>219</v>
      </c>
      <c r="AA499">
        <v>61</v>
      </c>
      <c r="AB499">
        <v>166</v>
      </c>
      <c r="AC499" t="s">
        <v>2474</v>
      </c>
      <c r="AD499" t="s">
        <v>2475</v>
      </c>
      <c r="AE499" t="s">
        <v>2477</v>
      </c>
      <c r="AF499" t="s">
        <v>2474</v>
      </c>
      <c r="AH499" t="s">
        <v>2476</v>
      </c>
      <c r="AI499" t="s">
        <v>179</v>
      </c>
      <c r="AJ499" s="2">
        <v>45855.876574074071</v>
      </c>
      <c r="AK499" t="s">
        <v>556</v>
      </c>
      <c r="AL499" t="s">
        <v>65</v>
      </c>
      <c r="AM499" s="3">
        <v>1.6805555555555556</v>
      </c>
      <c r="AN499" t="s">
        <v>66</v>
      </c>
      <c r="AO499" t="s">
        <v>67</v>
      </c>
    </row>
    <row r="500" spans="1:41" x14ac:dyDescent="0.2">
      <c r="A500">
        <v>372781</v>
      </c>
      <c r="B500" t="s">
        <v>4326</v>
      </c>
      <c r="C500" t="s">
        <v>134</v>
      </c>
      <c r="E500" t="s">
        <v>4327</v>
      </c>
      <c r="F500">
        <v>451921</v>
      </c>
      <c r="G500" s="1">
        <v>32434</v>
      </c>
      <c r="H500" s="1">
        <v>45552</v>
      </c>
      <c r="I500" s="1">
        <v>46266</v>
      </c>
      <c r="J500" t="s">
        <v>45</v>
      </c>
      <c r="K500" t="s">
        <v>45</v>
      </c>
      <c r="L500" t="s">
        <v>72</v>
      </c>
      <c r="M500" s="1">
        <v>42264</v>
      </c>
      <c r="N500" t="s">
        <v>47</v>
      </c>
      <c r="O500" t="s">
        <v>48</v>
      </c>
      <c r="P500" t="s">
        <v>49</v>
      </c>
      <c r="Q500" t="s">
        <v>4328</v>
      </c>
      <c r="R500" t="s">
        <v>4329</v>
      </c>
      <c r="S500">
        <v>2592</v>
      </c>
      <c r="T500" t="s">
        <v>52</v>
      </c>
      <c r="U500">
        <v>6</v>
      </c>
      <c r="V500" t="s">
        <v>3547</v>
      </c>
      <c r="W500" t="s">
        <v>54</v>
      </c>
      <c r="X500" t="s">
        <v>76</v>
      </c>
      <c r="Y500" t="s">
        <v>56</v>
      </c>
      <c r="Z500">
        <v>770</v>
      </c>
      <c r="AA500">
        <v>44</v>
      </c>
      <c r="AB500">
        <v>66</v>
      </c>
      <c r="AC500" t="s">
        <v>3548</v>
      </c>
      <c r="AD500" t="s">
        <v>3549</v>
      </c>
      <c r="AE500" t="s">
        <v>3550</v>
      </c>
      <c r="AF500" t="s">
        <v>4330</v>
      </c>
      <c r="AG500" t="s">
        <v>3552</v>
      </c>
      <c r="AH500" t="s">
        <v>3553</v>
      </c>
      <c r="AI500" t="s">
        <v>179</v>
      </c>
      <c r="AJ500" s="2">
        <v>45853.758645833332</v>
      </c>
      <c r="AK500" t="s">
        <v>3554</v>
      </c>
      <c r="AL500" t="s">
        <v>65</v>
      </c>
      <c r="AM500" s="3">
        <v>2.2013888888888888</v>
      </c>
      <c r="AN500" t="s">
        <v>66</v>
      </c>
      <c r="AO500" t="s">
        <v>67</v>
      </c>
    </row>
    <row r="501" spans="1:41" x14ac:dyDescent="0.2">
      <c r="A501">
        <v>368192</v>
      </c>
      <c r="B501" t="s">
        <v>4331</v>
      </c>
      <c r="C501" t="s">
        <v>42</v>
      </c>
      <c r="D501" t="s">
        <v>1800</v>
      </c>
      <c r="E501" t="s">
        <v>4332</v>
      </c>
      <c r="F501">
        <v>293104</v>
      </c>
      <c r="G501" s="1">
        <v>32951</v>
      </c>
      <c r="H501" s="1">
        <v>45701</v>
      </c>
      <c r="I501" s="1">
        <v>46054</v>
      </c>
      <c r="J501" t="s">
        <v>45</v>
      </c>
      <c r="K501" t="s">
        <v>45</v>
      </c>
      <c r="L501" t="s">
        <v>429</v>
      </c>
      <c r="M501" s="1">
        <v>42082</v>
      </c>
      <c r="N501" t="s">
        <v>47</v>
      </c>
      <c r="O501" t="s">
        <v>48</v>
      </c>
      <c r="P501" t="s">
        <v>49</v>
      </c>
      <c r="Q501" t="s">
        <v>4333</v>
      </c>
      <c r="R501" t="s">
        <v>4334</v>
      </c>
      <c r="S501">
        <v>4167</v>
      </c>
      <c r="T501" t="s">
        <v>365</v>
      </c>
      <c r="U501" t="s">
        <v>432</v>
      </c>
      <c r="V501" t="s">
        <v>4335</v>
      </c>
      <c r="W501" t="s">
        <v>367</v>
      </c>
      <c r="X501" t="s">
        <v>55</v>
      </c>
      <c r="Y501" t="s">
        <v>434</v>
      </c>
      <c r="Z501">
        <v>235</v>
      </c>
      <c r="AA501">
        <v>53</v>
      </c>
      <c r="AB501">
        <v>158</v>
      </c>
      <c r="AC501" t="s">
        <v>4336</v>
      </c>
      <c r="AD501" t="s">
        <v>4337</v>
      </c>
      <c r="AE501" t="s">
        <v>4338</v>
      </c>
      <c r="AF501" t="s">
        <v>4339</v>
      </c>
      <c r="AG501" t="s">
        <v>4340</v>
      </c>
      <c r="AH501" t="s">
        <v>4341</v>
      </c>
      <c r="AI501" t="s">
        <v>4342</v>
      </c>
      <c r="AJ501" s="2">
        <v>45706.626898148148</v>
      </c>
      <c r="AK501" t="s">
        <v>609</v>
      </c>
      <c r="AL501" t="s">
        <v>65</v>
      </c>
      <c r="AM501" s="3">
        <v>1.6944444444444444</v>
      </c>
      <c r="AN501" t="s">
        <v>66</v>
      </c>
      <c r="AO501" t="s">
        <v>67</v>
      </c>
    </row>
    <row r="502" spans="1:41" x14ac:dyDescent="0.2">
      <c r="A502">
        <v>367551</v>
      </c>
      <c r="B502" t="s">
        <v>4331</v>
      </c>
      <c r="C502" t="s">
        <v>662</v>
      </c>
      <c r="D502" t="s">
        <v>4343</v>
      </c>
      <c r="E502" t="s">
        <v>4344</v>
      </c>
      <c r="F502">
        <v>418901</v>
      </c>
      <c r="G502" s="1">
        <v>38016</v>
      </c>
      <c r="H502" s="1">
        <v>45573</v>
      </c>
      <c r="I502" s="1">
        <v>45931</v>
      </c>
      <c r="J502" t="s">
        <v>45</v>
      </c>
      <c r="K502" t="s">
        <v>45</v>
      </c>
      <c r="L502" t="s">
        <v>72</v>
      </c>
      <c r="M502" s="1">
        <v>44006</v>
      </c>
      <c r="N502" t="s">
        <v>47</v>
      </c>
      <c r="O502" t="s">
        <v>48</v>
      </c>
      <c r="P502" t="s">
        <v>49</v>
      </c>
      <c r="Q502" t="s">
        <v>4345</v>
      </c>
      <c r="R502" t="s">
        <v>4346</v>
      </c>
      <c r="S502">
        <v>2561</v>
      </c>
      <c r="T502" t="s">
        <v>92</v>
      </c>
      <c r="U502" t="s">
        <v>1197</v>
      </c>
      <c r="V502" t="s">
        <v>1198</v>
      </c>
      <c r="W502" t="s">
        <v>1199</v>
      </c>
      <c r="X502" t="s">
        <v>52</v>
      </c>
      <c r="Y502" t="s">
        <v>110</v>
      </c>
      <c r="Z502">
        <v>2089</v>
      </c>
      <c r="AA502">
        <v>43</v>
      </c>
      <c r="AB502">
        <v>158</v>
      </c>
      <c r="AC502" t="s">
        <v>1200</v>
      </c>
      <c r="AD502" t="s">
        <v>1201</v>
      </c>
      <c r="AE502" t="s">
        <v>1202</v>
      </c>
      <c r="AF502" t="s">
        <v>1727</v>
      </c>
      <c r="AG502" t="s">
        <v>1728</v>
      </c>
      <c r="AH502" t="s">
        <v>1729</v>
      </c>
      <c r="AJ502" s="2">
        <v>45680.958564814813</v>
      </c>
      <c r="AK502" t="s">
        <v>1727</v>
      </c>
      <c r="AL502" t="s">
        <v>65</v>
      </c>
      <c r="AM502" s="4">
        <v>0.3263888888888889</v>
      </c>
      <c r="AN502" t="s">
        <v>66</v>
      </c>
      <c r="AO502" t="s">
        <v>67</v>
      </c>
    </row>
    <row r="503" spans="1:41" x14ac:dyDescent="0.2">
      <c r="A503">
        <v>362234</v>
      </c>
      <c r="B503" t="s">
        <v>4347</v>
      </c>
      <c r="C503" t="s">
        <v>182</v>
      </c>
      <c r="D503" t="s">
        <v>915</v>
      </c>
      <c r="E503" t="s">
        <v>4348</v>
      </c>
      <c r="G503" s="1">
        <v>44085</v>
      </c>
      <c r="H503" s="1">
        <v>43943</v>
      </c>
      <c r="J503" t="s">
        <v>45</v>
      </c>
      <c r="K503" t="s">
        <v>45</v>
      </c>
      <c r="L503" t="s">
        <v>72</v>
      </c>
      <c r="N503" t="s">
        <v>89</v>
      </c>
      <c r="O503" t="s">
        <v>642</v>
      </c>
      <c r="P503" t="s">
        <v>848</v>
      </c>
      <c r="Q503" t="s">
        <v>4349</v>
      </c>
      <c r="R503" t="s">
        <v>4350</v>
      </c>
      <c r="S503">
        <v>35</v>
      </c>
      <c r="T503" t="s">
        <v>449</v>
      </c>
      <c r="U503" t="s">
        <v>187</v>
      </c>
      <c r="V503" t="s">
        <v>897</v>
      </c>
      <c r="W503" t="s">
        <v>898</v>
      </c>
      <c r="X503" t="s">
        <v>449</v>
      </c>
      <c r="Y503" t="s">
        <v>96</v>
      </c>
      <c r="Z503">
        <v>11006</v>
      </c>
      <c r="AA503">
        <v>12</v>
      </c>
      <c r="AB503">
        <v>78</v>
      </c>
      <c r="AC503" t="s">
        <v>4351</v>
      </c>
      <c r="AD503" t="s">
        <v>4352</v>
      </c>
      <c r="AE503" t="s">
        <v>4353</v>
      </c>
      <c r="AJ503" s="2">
        <v>45481.661053240743</v>
      </c>
      <c r="AK503" t="s">
        <v>100</v>
      </c>
      <c r="AL503" t="s">
        <v>65</v>
      </c>
      <c r="AM503" s="3">
        <v>2.0347222222222223</v>
      </c>
      <c r="AN503" t="s">
        <v>66</v>
      </c>
      <c r="AO503" t="s">
        <v>67</v>
      </c>
    </row>
    <row r="504" spans="1:41" x14ac:dyDescent="0.2">
      <c r="A504">
        <v>362235</v>
      </c>
      <c r="B504" t="s">
        <v>4354</v>
      </c>
      <c r="C504" t="s">
        <v>182</v>
      </c>
      <c r="D504" t="s">
        <v>915</v>
      </c>
      <c r="E504" t="s">
        <v>4355</v>
      </c>
      <c r="G504" s="1">
        <v>44097</v>
      </c>
      <c r="H504" s="1">
        <v>43943</v>
      </c>
      <c r="J504" t="s">
        <v>45</v>
      </c>
      <c r="K504" t="s">
        <v>45</v>
      </c>
      <c r="L504" t="s">
        <v>72</v>
      </c>
      <c r="N504" t="s">
        <v>89</v>
      </c>
      <c r="O504" t="s">
        <v>642</v>
      </c>
      <c r="P504" t="s">
        <v>848</v>
      </c>
      <c r="Q504" t="s">
        <v>4356</v>
      </c>
      <c r="R504" t="s">
        <v>4357</v>
      </c>
      <c r="S504">
        <v>2000</v>
      </c>
      <c r="T504" t="s">
        <v>449</v>
      </c>
      <c r="U504" t="s">
        <v>187</v>
      </c>
      <c r="V504" t="s">
        <v>897</v>
      </c>
      <c r="W504" t="s">
        <v>898</v>
      </c>
      <c r="X504" t="s">
        <v>449</v>
      </c>
      <c r="Y504" t="s">
        <v>96</v>
      </c>
      <c r="Z504">
        <v>11007</v>
      </c>
      <c r="AA504">
        <v>11</v>
      </c>
      <c r="AB504">
        <v>78</v>
      </c>
      <c r="AC504" t="s">
        <v>4351</v>
      </c>
      <c r="AD504" t="s">
        <v>4352</v>
      </c>
      <c r="AE504" t="s">
        <v>4353</v>
      </c>
      <c r="AJ504" s="2">
        <v>45481.661539351851</v>
      </c>
      <c r="AK504" t="s">
        <v>100</v>
      </c>
      <c r="AL504" t="s">
        <v>65</v>
      </c>
      <c r="AM504" s="3">
        <v>2.0416666666666665</v>
      </c>
      <c r="AN504" t="s">
        <v>66</v>
      </c>
      <c r="AO504" t="s">
        <v>67</v>
      </c>
    </row>
    <row r="505" spans="1:41" x14ac:dyDescent="0.2">
      <c r="A505">
        <v>372316</v>
      </c>
      <c r="B505" t="s">
        <v>4358</v>
      </c>
      <c r="C505" t="s">
        <v>323</v>
      </c>
      <c r="D505" t="s">
        <v>324</v>
      </c>
      <c r="E505" s="5" t="s">
        <v>4359</v>
      </c>
      <c r="F505">
        <v>500740</v>
      </c>
      <c r="G505" s="1">
        <v>39234</v>
      </c>
      <c r="H505" s="1">
        <v>45794</v>
      </c>
      <c r="I505" s="1">
        <v>46037</v>
      </c>
      <c r="J505" t="s">
        <v>45</v>
      </c>
      <c r="K505" t="s">
        <v>45</v>
      </c>
      <c r="L505" t="s">
        <v>72</v>
      </c>
      <c r="N505" t="s">
        <v>47</v>
      </c>
      <c r="O505" t="s">
        <v>48</v>
      </c>
      <c r="P505" t="s">
        <v>49</v>
      </c>
      <c r="Q505" t="s">
        <v>4360</v>
      </c>
      <c r="R505" t="s">
        <v>4361</v>
      </c>
      <c r="S505">
        <v>2517</v>
      </c>
      <c r="T505" t="s">
        <v>365</v>
      </c>
      <c r="U505" t="s">
        <v>366</v>
      </c>
      <c r="V505" t="s">
        <v>330</v>
      </c>
      <c r="W505" t="s">
        <v>367</v>
      </c>
      <c r="X505" t="s">
        <v>76</v>
      </c>
      <c r="Y505" t="s">
        <v>110</v>
      </c>
      <c r="Z505">
        <v>888</v>
      </c>
      <c r="AA505">
        <v>47</v>
      </c>
      <c r="AB505">
        <v>152</v>
      </c>
      <c r="AC505" t="s">
        <v>368</v>
      </c>
      <c r="AD505" t="s">
        <v>369</v>
      </c>
      <c r="AE505" t="s">
        <v>370</v>
      </c>
      <c r="AF505" t="s">
        <v>384</v>
      </c>
      <c r="AG505" t="s">
        <v>385</v>
      </c>
      <c r="AH505" t="s">
        <v>386</v>
      </c>
      <c r="AJ505" s="2">
        <v>45838.498611111114</v>
      </c>
      <c r="AK505" t="s">
        <v>132</v>
      </c>
      <c r="AL505" t="s">
        <v>65</v>
      </c>
      <c r="AM505" s="3">
        <v>2.1319444444444446</v>
      </c>
      <c r="AN505" t="s">
        <v>66</v>
      </c>
      <c r="AO505" t="s">
        <v>67</v>
      </c>
    </row>
    <row r="506" spans="1:41" x14ac:dyDescent="0.2">
      <c r="A506">
        <v>366810</v>
      </c>
      <c r="B506" t="s">
        <v>4362</v>
      </c>
      <c r="C506" t="s">
        <v>236</v>
      </c>
      <c r="D506" t="s">
        <v>4363</v>
      </c>
      <c r="E506" t="s">
        <v>4364</v>
      </c>
      <c r="F506">
        <v>214201</v>
      </c>
      <c r="G506" s="1">
        <v>36220</v>
      </c>
      <c r="H506" s="1">
        <v>45610</v>
      </c>
      <c r="J506" t="s">
        <v>45</v>
      </c>
      <c r="K506" t="s">
        <v>45</v>
      </c>
      <c r="L506" t="s">
        <v>72</v>
      </c>
      <c r="M506" s="1">
        <v>41557</v>
      </c>
      <c r="N506" t="s">
        <v>47</v>
      </c>
      <c r="O506" t="s">
        <v>48</v>
      </c>
      <c r="P506" t="s">
        <v>49</v>
      </c>
      <c r="Q506" t="s">
        <v>4365</v>
      </c>
      <c r="R506" t="s">
        <v>4366</v>
      </c>
      <c r="S506">
        <v>900</v>
      </c>
      <c r="T506" t="s">
        <v>92</v>
      </c>
      <c r="U506" t="s">
        <v>1509</v>
      </c>
      <c r="V506" t="s">
        <v>506</v>
      </c>
      <c r="W506" t="s">
        <v>1510</v>
      </c>
      <c r="X506" t="s">
        <v>52</v>
      </c>
      <c r="Y506" t="s">
        <v>410</v>
      </c>
      <c r="Z506">
        <v>1680</v>
      </c>
      <c r="AA506">
        <v>40</v>
      </c>
      <c r="AB506">
        <v>174</v>
      </c>
      <c r="AC506" t="s">
        <v>1511</v>
      </c>
      <c r="AD506" t="s">
        <v>1512</v>
      </c>
      <c r="AE506" t="s">
        <v>1513</v>
      </c>
      <c r="AF506" t="s">
        <v>4367</v>
      </c>
      <c r="AG506" t="s">
        <v>4368</v>
      </c>
      <c r="AH506" t="s">
        <v>4369</v>
      </c>
      <c r="AI506" t="s">
        <v>4370</v>
      </c>
      <c r="AJ506" s="2">
        <v>45791.806805555556</v>
      </c>
      <c r="AK506" t="s">
        <v>100</v>
      </c>
      <c r="AL506" t="s">
        <v>65</v>
      </c>
      <c r="AM506" s="4">
        <v>0.28472222222222221</v>
      </c>
      <c r="AN506" t="s">
        <v>66</v>
      </c>
      <c r="AO506" t="s">
        <v>67</v>
      </c>
    </row>
    <row r="507" spans="1:41" x14ac:dyDescent="0.2">
      <c r="A507">
        <v>371400</v>
      </c>
      <c r="B507" t="s">
        <v>4371</v>
      </c>
      <c r="C507" t="s">
        <v>42</v>
      </c>
      <c r="D507" t="s">
        <v>1800</v>
      </c>
      <c r="E507" t="s">
        <v>4372</v>
      </c>
      <c r="G507" s="1">
        <v>45463</v>
      </c>
      <c r="H507" s="1">
        <v>45464</v>
      </c>
      <c r="I507" s="1">
        <v>46218</v>
      </c>
      <c r="J507" t="s">
        <v>45</v>
      </c>
      <c r="K507" t="s">
        <v>45</v>
      </c>
      <c r="L507" t="s">
        <v>72</v>
      </c>
      <c r="N507" t="s">
        <v>47</v>
      </c>
      <c r="O507" t="s">
        <v>121</v>
      </c>
      <c r="P507" t="s">
        <v>49</v>
      </c>
      <c r="Q507" t="s">
        <v>4373</v>
      </c>
      <c r="R507" t="s">
        <v>4374</v>
      </c>
      <c r="S507">
        <v>4240</v>
      </c>
      <c r="T507" t="s">
        <v>365</v>
      </c>
      <c r="U507" t="s">
        <v>432</v>
      </c>
      <c r="V507" t="s">
        <v>4335</v>
      </c>
      <c r="W507" t="s">
        <v>367</v>
      </c>
      <c r="X507" t="s">
        <v>76</v>
      </c>
      <c r="Y507" t="s">
        <v>125</v>
      </c>
      <c r="Z507">
        <v>2432</v>
      </c>
      <c r="AA507">
        <v>90</v>
      </c>
      <c r="AB507">
        <v>160</v>
      </c>
      <c r="AC507" t="s">
        <v>4375</v>
      </c>
      <c r="AD507" t="s">
        <v>4376</v>
      </c>
      <c r="AE507" t="s">
        <v>4377</v>
      </c>
      <c r="AF507" t="s">
        <v>4378</v>
      </c>
      <c r="AG507" t="s">
        <v>4340</v>
      </c>
      <c r="AH507" t="s">
        <v>4341</v>
      </c>
      <c r="AJ507" s="2">
        <v>45807.745798611111</v>
      </c>
      <c r="AK507" t="s">
        <v>84</v>
      </c>
      <c r="AL507" t="s">
        <v>65</v>
      </c>
      <c r="AM507" s="3">
        <v>1.6944444444444444</v>
      </c>
      <c r="AN507" t="s">
        <v>66</v>
      </c>
      <c r="AO507" t="s">
        <v>67</v>
      </c>
    </row>
    <row r="508" spans="1:41" x14ac:dyDescent="0.2">
      <c r="A508">
        <v>366613</v>
      </c>
      <c r="B508" t="s">
        <v>4379</v>
      </c>
      <c r="C508" t="s">
        <v>42</v>
      </c>
      <c r="D508" t="s">
        <v>4380</v>
      </c>
      <c r="E508" t="s">
        <v>4381</v>
      </c>
      <c r="G508" s="1">
        <v>45483</v>
      </c>
      <c r="H508" s="1">
        <v>45293</v>
      </c>
      <c r="I508" s="1">
        <v>45945</v>
      </c>
      <c r="J508" t="s">
        <v>45</v>
      </c>
      <c r="K508" t="s">
        <v>45</v>
      </c>
      <c r="L508" t="s">
        <v>72</v>
      </c>
      <c r="N508" t="s">
        <v>89</v>
      </c>
      <c r="O508" t="s">
        <v>121</v>
      </c>
      <c r="P508" t="s">
        <v>49</v>
      </c>
      <c r="Q508" t="s">
        <v>4382</v>
      </c>
      <c r="R508" t="s">
        <v>4383</v>
      </c>
      <c r="S508">
        <v>5320</v>
      </c>
      <c r="T508" t="s">
        <v>365</v>
      </c>
      <c r="U508" t="s">
        <v>432</v>
      </c>
      <c r="V508" t="s">
        <v>4335</v>
      </c>
      <c r="W508" t="s">
        <v>367</v>
      </c>
      <c r="X508" t="s">
        <v>76</v>
      </c>
      <c r="Y508" t="s">
        <v>125</v>
      </c>
      <c r="Z508">
        <v>11986</v>
      </c>
      <c r="AA508">
        <v>14</v>
      </c>
      <c r="AB508">
        <v>52</v>
      </c>
      <c r="AC508" t="s">
        <v>4375</v>
      </c>
      <c r="AD508" t="s">
        <v>4376</v>
      </c>
      <c r="AE508" t="s">
        <v>4377</v>
      </c>
      <c r="AJ508" s="2">
        <v>45629.865706018521</v>
      </c>
      <c r="AK508" t="s">
        <v>84</v>
      </c>
      <c r="AL508" t="s">
        <v>65</v>
      </c>
      <c r="AM508" s="3">
        <v>2.2708333333333335</v>
      </c>
      <c r="AN508" t="s">
        <v>66</v>
      </c>
      <c r="AO508" t="s">
        <v>67</v>
      </c>
    </row>
    <row r="509" spans="1:41" x14ac:dyDescent="0.2">
      <c r="A509">
        <v>370797</v>
      </c>
      <c r="B509" t="s">
        <v>4384</v>
      </c>
      <c r="C509" t="s">
        <v>182</v>
      </c>
      <c r="D509" t="s">
        <v>4385</v>
      </c>
      <c r="E509" t="s">
        <v>4386</v>
      </c>
      <c r="F509">
        <v>41312</v>
      </c>
      <c r="G509" s="1">
        <v>44881</v>
      </c>
      <c r="H509" s="1">
        <v>45783</v>
      </c>
      <c r="I509" s="1">
        <v>45915</v>
      </c>
      <c r="J509" t="s">
        <v>45</v>
      </c>
      <c r="K509" t="s">
        <v>45</v>
      </c>
      <c r="L509" t="s">
        <v>46</v>
      </c>
      <c r="M509" s="1">
        <v>45077</v>
      </c>
      <c r="N509" t="s">
        <v>47</v>
      </c>
      <c r="O509" t="s">
        <v>48</v>
      </c>
      <c r="P509" t="s">
        <v>49</v>
      </c>
      <c r="Q509" t="s">
        <v>4387</v>
      </c>
      <c r="R509" t="s">
        <v>4388</v>
      </c>
      <c r="S509">
        <v>6135</v>
      </c>
      <c r="T509" t="s">
        <v>52</v>
      </c>
      <c r="U509">
        <v>5</v>
      </c>
      <c r="V509" t="s">
        <v>4389</v>
      </c>
      <c r="W509" t="s">
        <v>54</v>
      </c>
      <c r="X509" t="s">
        <v>493</v>
      </c>
      <c r="Y509" t="s">
        <v>434</v>
      </c>
      <c r="Z509">
        <v>12148</v>
      </c>
      <c r="AA509">
        <v>15</v>
      </c>
      <c r="AB509">
        <v>44</v>
      </c>
      <c r="AC509" t="s">
        <v>4390</v>
      </c>
      <c r="AD509" t="s">
        <v>4391</v>
      </c>
      <c r="AE509" t="s">
        <v>4392</v>
      </c>
      <c r="AF509" t="s">
        <v>4393</v>
      </c>
      <c r="AG509" t="s">
        <v>4394</v>
      </c>
      <c r="AH509" t="s">
        <v>4395</v>
      </c>
      <c r="AI509" t="s">
        <v>4396</v>
      </c>
      <c r="AJ509" s="2">
        <v>45784.691261574073</v>
      </c>
      <c r="AK509" t="s">
        <v>1472</v>
      </c>
      <c r="AL509" t="s">
        <v>65</v>
      </c>
      <c r="AM509" s="4">
        <v>0.86458333333333337</v>
      </c>
      <c r="AN509" t="s">
        <v>66</v>
      </c>
      <c r="AO509" t="s">
        <v>67</v>
      </c>
    </row>
    <row r="510" spans="1:41" x14ac:dyDescent="0.2">
      <c r="A510">
        <v>367909</v>
      </c>
      <c r="B510" t="s">
        <v>4397</v>
      </c>
      <c r="C510" t="s">
        <v>151</v>
      </c>
      <c r="D510" t="s">
        <v>4398</v>
      </c>
      <c r="E510" t="s">
        <v>4399</v>
      </c>
      <c r="F510">
        <v>381201</v>
      </c>
      <c r="G510" s="1">
        <v>37600</v>
      </c>
      <c r="H510" s="1">
        <v>45685</v>
      </c>
      <c r="J510" t="s">
        <v>45</v>
      </c>
      <c r="K510" t="s">
        <v>72</v>
      </c>
      <c r="L510" t="s">
        <v>72</v>
      </c>
      <c r="N510" t="s">
        <v>47</v>
      </c>
      <c r="O510" t="s">
        <v>48</v>
      </c>
      <c r="P510" t="s">
        <v>49</v>
      </c>
      <c r="Q510" t="s">
        <v>4400</v>
      </c>
      <c r="R510" t="s">
        <v>4401</v>
      </c>
      <c r="S510">
        <v>394</v>
      </c>
      <c r="T510" t="s">
        <v>156</v>
      </c>
      <c r="U510" t="s">
        <v>157</v>
      </c>
      <c r="V510" t="s">
        <v>4397</v>
      </c>
      <c r="W510" t="s">
        <v>159</v>
      </c>
      <c r="X510" t="s">
        <v>156</v>
      </c>
      <c r="Y510" t="s">
        <v>450</v>
      </c>
      <c r="Z510">
        <v>2272</v>
      </c>
      <c r="AA510">
        <v>29</v>
      </c>
      <c r="AB510">
        <v>48</v>
      </c>
      <c r="AC510" t="s">
        <v>4402</v>
      </c>
      <c r="AD510" t="s">
        <v>4403</v>
      </c>
      <c r="AE510" t="s">
        <v>4404</v>
      </c>
      <c r="AF510" t="s">
        <v>4405</v>
      </c>
      <c r="AG510" t="s">
        <v>4403</v>
      </c>
      <c r="AH510" t="s">
        <v>4404</v>
      </c>
      <c r="AI510" t="s">
        <v>4403</v>
      </c>
      <c r="AJ510" s="2">
        <v>45693.79614583333</v>
      </c>
      <c r="AK510" t="s">
        <v>526</v>
      </c>
      <c r="AL510" t="s">
        <v>65</v>
      </c>
      <c r="AM510" s="4">
        <v>0.60416666666666663</v>
      </c>
      <c r="AN510" t="s">
        <v>66</v>
      </c>
      <c r="AO510" t="s">
        <v>67</v>
      </c>
    </row>
    <row r="511" spans="1:41" x14ac:dyDescent="0.2">
      <c r="A511">
        <v>372720</v>
      </c>
      <c r="B511" t="s">
        <v>4406</v>
      </c>
      <c r="C511" t="s">
        <v>345</v>
      </c>
      <c r="D511" t="s">
        <v>1315</v>
      </c>
      <c r="E511" t="s">
        <v>4407</v>
      </c>
      <c r="F511">
        <v>53105</v>
      </c>
      <c r="G511" s="1">
        <v>37455</v>
      </c>
      <c r="H511" s="1">
        <v>45552</v>
      </c>
      <c r="I511" s="1">
        <v>46218</v>
      </c>
      <c r="J511" t="s">
        <v>45</v>
      </c>
      <c r="K511" t="s">
        <v>45</v>
      </c>
      <c r="L511" t="s">
        <v>72</v>
      </c>
      <c r="M511" s="1">
        <v>41522</v>
      </c>
      <c r="N511" t="s">
        <v>47</v>
      </c>
      <c r="O511" t="s">
        <v>48</v>
      </c>
      <c r="P511" t="s">
        <v>49</v>
      </c>
      <c r="Q511" t="s">
        <v>4408</v>
      </c>
      <c r="R511" t="s">
        <v>4409</v>
      </c>
      <c r="S511">
        <v>7067</v>
      </c>
      <c r="T511" t="s">
        <v>52</v>
      </c>
      <c r="U511">
        <v>2</v>
      </c>
      <c r="V511" t="s">
        <v>1522</v>
      </c>
      <c r="W511" t="s">
        <v>54</v>
      </c>
      <c r="X511" t="s">
        <v>55</v>
      </c>
      <c r="Y511" t="s">
        <v>56</v>
      </c>
      <c r="Z511">
        <v>1954</v>
      </c>
      <c r="AA511">
        <v>53</v>
      </c>
      <c r="AB511">
        <v>160</v>
      </c>
      <c r="AC511" t="s">
        <v>1523</v>
      </c>
      <c r="AD511" t="s">
        <v>1524</v>
      </c>
      <c r="AE511" t="s">
        <v>1525</v>
      </c>
      <c r="AF511" t="s">
        <v>1526</v>
      </c>
      <c r="AG511" t="s">
        <v>1527</v>
      </c>
      <c r="AH511" t="s">
        <v>1528</v>
      </c>
      <c r="AI511" t="s">
        <v>1529</v>
      </c>
      <c r="AJ511" s="2">
        <v>45852.473229166666</v>
      </c>
      <c r="AK511" t="s">
        <v>132</v>
      </c>
      <c r="AL511" t="s">
        <v>65</v>
      </c>
      <c r="AM511" s="3">
        <v>2.3958333333333335</v>
      </c>
      <c r="AN511" t="s">
        <v>66</v>
      </c>
      <c r="AO511" t="s">
        <v>67</v>
      </c>
    </row>
    <row r="512" spans="1:41" x14ac:dyDescent="0.2">
      <c r="A512">
        <v>372574</v>
      </c>
      <c r="B512" t="s">
        <v>4410</v>
      </c>
      <c r="C512" t="s">
        <v>345</v>
      </c>
      <c r="E512" t="s">
        <v>4411</v>
      </c>
      <c r="F512">
        <v>53808</v>
      </c>
      <c r="G512" s="1">
        <v>36146</v>
      </c>
      <c r="H512" s="1">
        <v>45448</v>
      </c>
      <c r="I512" s="1">
        <v>46188</v>
      </c>
      <c r="J512" t="s">
        <v>45</v>
      </c>
      <c r="K512" t="s">
        <v>45</v>
      </c>
      <c r="L512" t="s">
        <v>429</v>
      </c>
      <c r="M512" s="1">
        <v>41964</v>
      </c>
      <c r="N512" t="s">
        <v>47</v>
      </c>
      <c r="O512" t="s">
        <v>48</v>
      </c>
      <c r="P512" t="s">
        <v>49</v>
      </c>
      <c r="Q512" t="s">
        <v>4412</v>
      </c>
      <c r="R512" t="s">
        <v>4413</v>
      </c>
      <c r="S512">
        <v>8124</v>
      </c>
      <c r="T512" t="s">
        <v>52</v>
      </c>
      <c r="U512">
        <v>4</v>
      </c>
      <c r="V512" t="s">
        <v>2102</v>
      </c>
      <c r="W512" t="s">
        <v>54</v>
      </c>
      <c r="X512" t="s">
        <v>55</v>
      </c>
      <c r="Y512" t="s">
        <v>56</v>
      </c>
      <c r="Z512">
        <v>1422</v>
      </c>
      <c r="AA512">
        <v>63</v>
      </c>
      <c r="AB512">
        <v>66</v>
      </c>
      <c r="AC512" t="s">
        <v>2103</v>
      </c>
      <c r="AD512" t="s">
        <v>2104</v>
      </c>
      <c r="AE512" t="s">
        <v>2105</v>
      </c>
      <c r="AF512" t="s">
        <v>4414</v>
      </c>
      <c r="AG512" t="s">
        <v>4415</v>
      </c>
      <c r="AH512" t="s">
        <v>4416</v>
      </c>
      <c r="AI512" t="s">
        <v>179</v>
      </c>
      <c r="AJ512" s="2">
        <v>45845.821608796294</v>
      </c>
      <c r="AK512" t="s">
        <v>609</v>
      </c>
      <c r="AL512" t="s">
        <v>65</v>
      </c>
      <c r="AM512" s="4">
        <v>0.39583333333333331</v>
      </c>
      <c r="AN512" t="s">
        <v>66</v>
      </c>
      <c r="AO512" t="s">
        <v>67</v>
      </c>
    </row>
    <row r="513" spans="1:41" x14ac:dyDescent="0.2">
      <c r="A513">
        <v>363187</v>
      </c>
      <c r="B513" t="s">
        <v>4410</v>
      </c>
      <c r="C513" t="s">
        <v>182</v>
      </c>
      <c r="D513" t="s">
        <v>932</v>
      </c>
      <c r="E513" t="s">
        <v>4417</v>
      </c>
      <c r="F513">
        <v>41213</v>
      </c>
      <c r="G513" s="1">
        <v>36678</v>
      </c>
      <c r="H513" s="1">
        <v>45498</v>
      </c>
      <c r="J513" t="s">
        <v>45</v>
      </c>
      <c r="K513" t="s">
        <v>72</v>
      </c>
      <c r="L513" t="s">
        <v>72</v>
      </c>
      <c r="M513" s="1">
        <v>38854</v>
      </c>
      <c r="N513" t="s">
        <v>47</v>
      </c>
      <c r="O513" t="s">
        <v>48</v>
      </c>
      <c r="P513" t="s">
        <v>49</v>
      </c>
      <c r="Q513" t="s">
        <v>4418</v>
      </c>
      <c r="R513" t="s">
        <v>4419</v>
      </c>
      <c r="S513">
        <v>4816</v>
      </c>
      <c r="T513" t="s">
        <v>92</v>
      </c>
      <c r="U513" t="s">
        <v>187</v>
      </c>
      <c r="V513" t="s">
        <v>447</v>
      </c>
      <c r="W513" t="s">
        <v>448</v>
      </c>
      <c r="X513" t="s">
        <v>92</v>
      </c>
      <c r="Y513" t="s">
        <v>450</v>
      </c>
      <c r="Z513">
        <v>1251</v>
      </c>
      <c r="AA513">
        <v>53</v>
      </c>
      <c r="AB513">
        <v>142</v>
      </c>
      <c r="AC513" t="s">
        <v>3354</v>
      </c>
      <c r="AD513" t="s">
        <v>452</v>
      </c>
      <c r="AE513" t="s">
        <v>453</v>
      </c>
      <c r="AF513" t="s">
        <v>454</v>
      </c>
      <c r="AG513" t="s">
        <v>473</v>
      </c>
      <c r="AH513" t="s">
        <v>474</v>
      </c>
      <c r="AJ513" s="2">
        <v>45506.683171296296</v>
      </c>
      <c r="AK513" t="s">
        <v>526</v>
      </c>
      <c r="AL513" t="s">
        <v>475</v>
      </c>
      <c r="AM513" s="3">
        <v>2.28125</v>
      </c>
      <c r="AN513" t="s">
        <v>66</v>
      </c>
      <c r="AO513" t="s">
        <v>67</v>
      </c>
    </row>
    <row r="514" spans="1:41" x14ac:dyDescent="0.2">
      <c r="A514">
        <v>370142</v>
      </c>
      <c r="B514" t="s">
        <v>4420</v>
      </c>
      <c r="C514" t="s">
        <v>182</v>
      </c>
      <c r="D514" t="s">
        <v>4421</v>
      </c>
      <c r="E514" t="s">
        <v>4422</v>
      </c>
      <c r="F514">
        <v>45228</v>
      </c>
      <c r="G514" s="1">
        <v>43580</v>
      </c>
      <c r="H514" s="1">
        <v>45763</v>
      </c>
      <c r="I514" s="1">
        <v>46157</v>
      </c>
      <c r="J514" t="s">
        <v>45</v>
      </c>
      <c r="K514" t="s">
        <v>45</v>
      </c>
      <c r="L514" t="s">
        <v>72</v>
      </c>
      <c r="M514" s="1">
        <v>45089</v>
      </c>
      <c r="N514" t="s">
        <v>47</v>
      </c>
      <c r="O514" t="s">
        <v>48</v>
      </c>
      <c r="P514" t="s">
        <v>49</v>
      </c>
      <c r="Q514" t="s">
        <v>4423</v>
      </c>
      <c r="R514" t="s">
        <v>4424</v>
      </c>
      <c r="S514">
        <v>1770</v>
      </c>
      <c r="T514" t="s">
        <v>92</v>
      </c>
      <c r="U514" t="s">
        <v>187</v>
      </c>
      <c r="V514" t="s">
        <v>4425</v>
      </c>
      <c r="W514" t="s">
        <v>4426</v>
      </c>
      <c r="X514" t="s">
        <v>92</v>
      </c>
      <c r="Y514" t="s">
        <v>110</v>
      </c>
      <c r="Z514">
        <v>9986</v>
      </c>
      <c r="AA514">
        <v>19</v>
      </c>
      <c r="AB514">
        <v>78</v>
      </c>
      <c r="AC514" t="s">
        <v>4427</v>
      </c>
      <c r="AD514" t="s">
        <v>4428</v>
      </c>
      <c r="AE514" t="s">
        <v>4429</v>
      </c>
      <c r="AF514" t="s">
        <v>4430</v>
      </c>
      <c r="AG514" t="s">
        <v>4431</v>
      </c>
      <c r="AH514" t="s">
        <v>4432</v>
      </c>
      <c r="AI514" t="s">
        <v>4433</v>
      </c>
      <c r="AJ514" s="2">
        <v>45847.727812500001</v>
      </c>
      <c r="AK514" t="s">
        <v>4427</v>
      </c>
      <c r="AL514" t="s">
        <v>65</v>
      </c>
      <c r="AM514" s="3">
        <v>1.7569444444444444</v>
      </c>
      <c r="AN514" t="s">
        <v>66</v>
      </c>
      <c r="AO514" t="s">
        <v>67</v>
      </c>
    </row>
    <row r="515" spans="1:41" x14ac:dyDescent="0.2">
      <c r="A515">
        <v>365531</v>
      </c>
      <c r="B515" t="s">
        <v>4434</v>
      </c>
      <c r="C515" t="s">
        <v>118</v>
      </c>
      <c r="D515" t="s">
        <v>4293</v>
      </c>
      <c r="E515" t="s">
        <v>4435</v>
      </c>
      <c r="F515">
        <v>21411</v>
      </c>
      <c r="G515" s="1">
        <v>37189</v>
      </c>
      <c r="H515" s="1">
        <v>45581</v>
      </c>
      <c r="I515" s="1">
        <v>45945</v>
      </c>
      <c r="J515" t="s">
        <v>45</v>
      </c>
      <c r="K515" t="s">
        <v>45</v>
      </c>
      <c r="L515" t="s">
        <v>429</v>
      </c>
      <c r="M515" s="1">
        <v>44894</v>
      </c>
      <c r="N515" t="s">
        <v>47</v>
      </c>
      <c r="O515" t="s">
        <v>48</v>
      </c>
      <c r="P515" t="s">
        <v>49</v>
      </c>
      <c r="Q515" t="s">
        <v>4436</v>
      </c>
      <c r="R515" t="s">
        <v>4437</v>
      </c>
      <c r="S515">
        <v>5400</v>
      </c>
      <c r="T515" t="s">
        <v>52</v>
      </c>
      <c r="U515">
        <v>3</v>
      </c>
      <c r="V515" t="s">
        <v>4297</v>
      </c>
      <c r="W515" t="s">
        <v>54</v>
      </c>
      <c r="X515" t="s">
        <v>55</v>
      </c>
      <c r="Y515" t="s">
        <v>56</v>
      </c>
      <c r="Z515">
        <v>615</v>
      </c>
      <c r="AA515">
        <v>69</v>
      </c>
      <c r="AB515">
        <v>160</v>
      </c>
      <c r="AC515" t="s">
        <v>4438</v>
      </c>
      <c r="AD515" t="s">
        <v>4299</v>
      </c>
      <c r="AE515" t="s">
        <v>4300</v>
      </c>
      <c r="AF515" t="s">
        <v>4301</v>
      </c>
      <c r="AG515" t="s">
        <v>4302</v>
      </c>
      <c r="AH515" t="s">
        <v>4303</v>
      </c>
      <c r="AI515" t="s">
        <v>1809</v>
      </c>
      <c r="AJ515" s="2">
        <v>45586.762187499997</v>
      </c>
      <c r="AK515" t="s">
        <v>64</v>
      </c>
      <c r="AL515" t="s">
        <v>65</v>
      </c>
      <c r="AM515" s="4">
        <v>0.79861111111111116</v>
      </c>
      <c r="AN515" t="s">
        <v>66</v>
      </c>
      <c r="AO515" t="s">
        <v>67</v>
      </c>
    </row>
    <row r="516" spans="1:41" x14ac:dyDescent="0.2">
      <c r="A516">
        <v>356517</v>
      </c>
      <c r="B516" t="s">
        <v>4439</v>
      </c>
      <c r="C516" t="s">
        <v>1107</v>
      </c>
      <c r="E516" s="5" t="s">
        <v>4440</v>
      </c>
      <c r="F516">
        <v>237401</v>
      </c>
      <c r="G516" s="1">
        <v>36161</v>
      </c>
      <c r="H516" s="1">
        <v>42215</v>
      </c>
      <c r="I516" s="1">
        <v>45962</v>
      </c>
      <c r="J516" t="s">
        <v>45</v>
      </c>
      <c r="K516" t="s">
        <v>45</v>
      </c>
      <c r="L516" t="s">
        <v>72</v>
      </c>
      <c r="M516" s="1">
        <v>42215</v>
      </c>
      <c r="N516" t="s">
        <v>89</v>
      </c>
      <c r="O516" t="s">
        <v>48</v>
      </c>
      <c r="P516" t="s">
        <v>1752</v>
      </c>
      <c r="Q516" t="s">
        <v>4441</v>
      </c>
      <c r="R516" t="s">
        <v>4442</v>
      </c>
      <c r="S516">
        <v>1400</v>
      </c>
      <c r="T516" t="s">
        <v>52</v>
      </c>
      <c r="U516">
        <v>9</v>
      </c>
      <c r="V516" t="s">
        <v>1318</v>
      </c>
      <c r="W516" t="s">
        <v>54</v>
      </c>
      <c r="X516" t="s">
        <v>52</v>
      </c>
      <c r="Y516" t="s">
        <v>110</v>
      </c>
      <c r="Z516">
        <v>620</v>
      </c>
      <c r="AA516">
        <v>32</v>
      </c>
      <c r="AB516">
        <v>28</v>
      </c>
      <c r="AC516" t="s">
        <v>4443</v>
      </c>
      <c r="AD516" t="s">
        <v>4444</v>
      </c>
      <c r="AE516" t="s">
        <v>4445</v>
      </c>
      <c r="AJ516" s="2">
        <v>45313.620358796295</v>
      </c>
      <c r="AK516" t="s">
        <v>149</v>
      </c>
      <c r="AL516" t="s">
        <v>475</v>
      </c>
      <c r="AM516" s="3">
        <v>1.4722222222222223</v>
      </c>
      <c r="AN516" t="s">
        <v>66</v>
      </c>
      <c r="AO516" t="s">
        <v>67</v>
      </c>
    </row>
    <row r="517" spans="1:41" x14ac:dyDescent="0.2">
      <c r="A517">
        <v>369628</v>
      </c>
      <c r="B517" t="s">
        <v>4446</v>
      </c>
      <c r="C517" t="s">
        <v>182</v>
      </c>
      <c r="D517" t="s">
        <v>3320</v>
      </c>
      <c r="E517" t="s">
        <v>4447</v>
      </c>
      <c r="F517">
        <v>44916</v>
      </c>
      <c r="G517" s="1">
        <v>33519</v>
      </c>
      <c r="H517" s="1">
        <v>45736</v>
      </c>
      <c r="I517" s="1">
        <v>46113</v>
      </c>
      <c r="J517" t="s">
        <v>45</v>
      </c>
      <c r="K517" t="s">
        <v>45</v>
      </c>
      <c r="L517" t="s">
        <v>429</v>
      </c>
      <c r="M517" s="1">
        <v>41977</v>
      </c>
      <c r="N517" t="s">
        <v>47</v>
      </c>
      <c r="O517" t="s">
        <v>48</v>
      </c>
      <c r="P517" t="s">
        <v>49</v>
      </c>
      <c r="Q517" t="s">
        <v>4448</v>
      </c>
      <c r="R517" t="s">
        <v>4449</v>
      </c>
      <c r="S517">
        <v>2490</v>
      </c>
      <c r="T517" t="s">
        <v>365</v>
      </c>
      <c r="U517" t="s">
        <v>562</v>
      </c>
      <c r="V517" t="s">
        <v>1980</v>
      </c>
      <c r="W517" t="s">
        <v>367</v>
      </c>
      <c r="X517" t="s">
        <v>493</v>
      </c>
      <c r="Y517" t="s">
        <v>434</v>
      </c>
      <c r="Z517">
        <v>78</v>
      </c>
      <c r="AA517">
        <v>54</v>
      </c>
      <c r="AB517">
        <v>176</v>
      </c>
      <c r="AC517" t="s">
        <v>4450</v>
      </c>
      <c r="AD517" t="s">
        <v>4451</v>
      </c>
      <c r="AE517" t="s">
        <v>4452</v>
      </c>
      <c r="AI517" t="s">
        <v>500</v>
      </c>
      <c r="AJ517" s="2">
        <v>45747.732175925928</v>
      </c>
      <c r="AK517" t="s">
        <v>2668</v>
      </c>
      <c r="AL517" t="s">
        <v>65</v>
      </c>
      <c r="AM517" s="4">
        <v>1.3888888888888888E-2</v>
      </c>
      <c r="AN517" t="s">
        <v>66</v>
      </c>
      <c r="AO517" t="s">
        <v>67</v>
      </c>
    </row>
    <row r="518" spans="1:41" x14ac:dyDescent="0.2">
      <c r="A518">
        <v>372665</v>
      </c>
      <c r="B518" t="s">
        <v>4453</v>
      </c>
      <c r="C518" t="s">
        <v>42</v>
      </c>
      <c r="D518" t="s">
        <v>4454</v>
      </c>
      <c r="E518" t="s">
        <v>4455</v>
      </c>
      <c r="G518" s="1">
        <v>45555</v>
      </c>
      <c r="H518" s="1">
        <v>45847</v>
      </c>
      <c r="I518" s="1">
        <v>46143</v>
      </c>
      <c r="J518" t="s">
        <v>45</v>
      </c>
      <c r="K518" t="s">
        <v>45</v>
      </c>
      <c r="L518" t="s">
        <v>72</v>
      </c>
      <c r="N518" t="s">
        <v>89</v>
      </c>
      <c r="O518" t="s">
        <v>121</v>
      </c>
      <c r="P518" t="s">
        <v>49</v>
      </c>
      <c r="Q518" t="s">
        <v>4456</v>
      </c>
      <c r="R518" t="s">
        <v>4457</v>
      </c>
      <c r="S518">
        <v>11048</v>
      </c>
      <c r="T518" t="s">
        <v>52</v>
      </c>
      <c r="U518">
        <v>3</v>
      </c>
      <c r="V518" t="s">
        <v>4458</v>
      </c>
      <c r="W518" t="s">
        <v>54</v>
      </c>
      <c r="X518" t="s">
        <v>76</v>
      </c>
      <c r="Y518" t="s">
        <v>125</v>
      </c>
      <c r="Z518">
        <v>12176</v>
      </c>
      <c r="AA518">
        <v>29</v>
      </c>
      <c r="AB518">
        <v>78</v>
      </c>
      <c r="AC518" t="s">
        <v>4459</v>
      </c>
      <c r="AD518" t="s">
        <v>4460</v>
      </c>
      <c r="AE518" t="s">
        <v>4461</v>
      </c>
      <c r="AF518" t="s">
        <v>4462</v>
      </c>
      <c r="AG518" t="s">
        <v>4463</v>
      </c>
      <c r="AH518" t="s">
        <v>4464</v>
      </c>
      <c r="AI518" t="s">
        <v>4465</v>
      </c>
      <c r="AJ518" s="2">
        <v>45849.524537037039</v>
      </c>
      <c r="AK518" t="s">
        <v>800</v>
      </c>
      <c r="AL518" t="s">
        <v>65</v>
      </c>
      <c r="AM518" s="3">
        <v>1.2986111111111112</v>
      </c>
      <c r="AN518" t="s">
        <v>66</v>
      </c>
      <c r="AO518" t="s">
        <v>67</v>
      </c>
    </row>
    <row r="519" spans="1:41" x14ac:dyDescent="0.2">
      <c r="A519">
        <v>362269</v>
      </c>
      <c r="B519" t="s">
        <v>4466</v>
      </c>
      <c r="C519" t="s">
        <v>278</v>
      </c>
      <c r="D519" t="s">
        <v>1151</v>
      </c>
      <c r="E519" t="s">
        <v>4467</v>
      </c>
      <c r="F519">
        <v>420805</v>
      </c>
      <c r="G519" s="1">
        <v>30878</v>
      </c>
      <c r="H519" s="1">
        <v>45481</v>
      </c>
      <c r="I519" s="1">
        <v>46157</v>
      </c>
      <c r="J519" t="s">
        <v>45</v>
      </c>
      <c r="K519" t="s">
        <v>45</v>
      </c>
      <c r="L519" t="s">
        <v>72</v>
      </c>
      <c r="M519" s="1">
        <v>40352</v>
      </c>
      <c r="N519" t="s">
        <v>47</v>
      </c>
      <c r="O519" t="s">
        <v>48</v>
      </c>
      <c r="P519" t="s">
        <v>49</v>
      </c>
      <c r="Q519" t="s">
        <v>4468</v>
      </c>
      <c r="R519" t="s">
        <v>4469</v>
      </c>
      <c r="S519">
        <v>6975</v>
      </c>
      <c r="T519" t="s">
        <v>52</v>
      </c>
      <c r="U519">
        <v>4</v>
      </c>
      <c r="V519" t="s">
        <v>1143</v>
      </c>
      <c r="W519" t="s">
        <v>54</v>
      </c>
      <c r="X519" t="s">
        <v>55</v>
      </c>
      <c r="Y519" t="s">
        <v>56</v>
      </c>
      <c r="Z519">
        <v>638</v>
      </c>
      <c r="AA519">
        <v>64</v>
      </c>
      <c r="AB519">
        <v>38</v>
      </c>
      <c r="AC519" t="s">
        <v>1144</v>
      </c>
      <c r="AD519" t="s">
        <v>1145</v>
      </c>
      <c r="AE519" t="s">
        <v>1146</v>
      </c>
      <c r="AF519" t="s">
        <v>1147</v>
      </c>
      <c r="AG519" t="s">
        <v>1148</v>
      </c>
      <c r="AH519" t="s">
        <v>1149</v>
      </c>
      <c r="AI519" t="s">
        <v>4470</v>
      </c>
      <c r="AJ519" s="2">
        <v>45482.188287037039</v>
      </c>
      <c r="AK519" t="s">
        <v>4471</v>
      </c>
      <c r="AL519" t="s">
        <v>65</v>
      </c>
      <c r="AM519" s="3">
        <v>1.1666666666666667</v>
      </c>
      <c r="AN519" t="s">
        <v>66</v>
      </c>
      <c r="AO519" t="s">
        <v>67</v>
      </c>
    </row>
    <row r="520" spans="1:41" x14ac:dyDescent="0.2">
      <c r="A520">
        <v>367498</v>
      </c>
      <c r="B520" t="s">
        <v>4472</v>
      </c>
      <c r="C520" t="s">
        <v>118</v>
      </c>
      <c r="D520" t="s">
        <v>4473</v>
      </c>
      <c r="E520" t="s">
        <v>4474</v>
      </c>
      <c r="F520">
        <v>20906</v>
      </c>
      <c r="G520" s="1">
        <v>38420</v>
      </c>
      <c r="H520" s="1">
        <v>45673</v>
      </c>
      <c r="I520" s="1">
        <v>46174</v>
      </c>
      <c r="J520" t="s">
        <v>45</v>
      </c>
      <c r="K520" t="s">
        <v>45</v>
      </c>
      <c r="L520" t="s">
        <v>46</v>
      </c>
      <c r="N520" t="s">
        <v>47</v>
      </c>
      <c r="O520" t="s">
        <v>48</v>
      </c>
      <c r="P520" t="s">
        <v>49</v>
      </c>
      <c r="Q520" t="s">
        <v>4475</v>
      </c>
      <c r="R520" t="s">
        <v>4476</v>
      </c>
      <c r="S520">
        <v>1412</v>
      </c>
      <c r="T520" t="s">
        <v>296</v>
      </c>
      <c r="U520" t="s">
        <v>297</v>
      </c>
      <c r="V520" t="s">
        <v>4477</v>
      </c>
      <c r="W520" t="s">
        <v>299</v>
      </c>
      <c r="X520" t="s">
        <v>55</v>
      </c>
      <c r="Y520" t="s">
        <v>56</v>
      </c>
      <c r="Z520">
        <v>2703</v>
      </c>
      <c r="AA520">
        <v>40</v>
      </c>
      <c r="AB520">
        <v>158</v>
      </c>
      <c r="AC520" t="s">
        <v>4478</v>
      </c>
      <c r="AD520" t="s">
        <v>4479</v>
      </c>
      <c r="AE520" t="s">
        <v>4480</v>
      </c>
      <c r="AF520" t="s">
        <v>303</v>
      </c>
      <c r="AG520" t="s">
        <v>304</v>
      </c>
      <c r="AH520" t="s">
        <v>305</v>
      </c>
      <c r="AI520" t="s">
        <v>306</v>
      </c>
      <c r="AJ520" s="2">
        <v>45678.885138888887</v>
      </c>
      <c r="AK520" t="s">
        <v>609</v>
      </c>
      <c r="AL520" t="s">
        <v>65</v>
      </c>
      <c r="AM520" s="4">
        <v>0.9375</v>
      </c>
      <c r="AN520" t="s">
        <v>66</v>
      </c>
      <c r="AO520" t="s">
        <v>67</v>
      </c>
    </row>
    <row r="521" spans="1:41" x14ac:dyDescent="0.2">
      <c r="A521">
        <v>367544</v>
      </c>
      <c r="B521" t="s">
        <v>4481</v>
      </c>
      <c r="C521" t="s">
        <v>167</v>
      </c>
      <c r="D521" t="s">
        <v>3018</v>
      </c>
      <c r="E521" t="s">
        <v>4482</v>
      </c>
      <c r="F521">
        <v>352329</v>
      </c>
      <c r="G521" s="1">
        <v>29668</v>
      </c>
      <c r="H521" s="1">
        <v>45454</v>
      </c>
      <c r="I521" s="1">
        <v>46266</v>
      </c>
      <c r="J521" t="s">
        <v>45</v>
      </c>
      <c r="K521" t="s">
        <v>45</v>
      </c>
      <c r="L521" t="s">
        <v>72</v>
      </c>
      <c r="M521" s="1">
        <v>38085</v>
      </c>
      <c r="N521" t="s">
        <v>47</v>
      </c>
      <c r="O521" t="s">
        <v>48</v>
      </c>
      <c r="P521" t="s">
        <v>49</v>
      </c>
      <c r="Q521" t="s">
        <v>4483</v>
      </c>
      <c r="R521" t="s">
        <v>4484</v>
      </c>
      <c r="S521">
        <v>3800</v>
      </c>
      <c r="T521" t="s">
        <v>52</v>
      </c>
      <c r="U521">
        <v>6</v>
      </c>
      <c r="V521" t="s">
        <v>480</v>
      </c>
      <c r="W521" t="s">
        <v>54</v>
      </c>
      <c r="X521" t="s">
        <v>76</v>
      </c>
      <c r="Y521" t="s">
        <v>56</v>
      </c>
      <c r="Z521">
        <v>846</v>
      </c>
      <c r="AA521">
        <v>58</v>
      </c>
      <c r="AB521">
        <v>166</v>
      </c>
      <c r="AC521" t="s">
        <v>481</v>
      </c>
      <c r="AD521" t="s">
        <v>482</v>
      </c>
      <c r="AE521" t="s">
        <v>483</v>
      </c>
      <c r="AF521" t="s">
        <v>4485</v>
      </c>
      <c r="AG521" t="s">
        <v>4486</v>
      </c>
      <c r="AH521" t="s">
        <v>4487</v>
      </c>
      <c r="AI521" t="s">
        <v>486</v>
      </c>
      <c r="AJ521" s="2">
        <v>45680.934386574074</v>
      </c>
      <c r="AK521" t="s">
        <v>481</v>
      </c>
      <c r="AL521" t="s">
        <v>65</v>
      </c>
      <c r="AM521" s="4">
        <v>0.54166666666666663</v>
      </c>
      <c r="AN521" t="s">
        <v>66</v>
      </c>
      <c r="AO521" t="s">
        <v>67</v>
      </c>
    </row>
    <row r="522" spans="1:41" x14ac:dyDescent="0.2">
      <c r="A522">
        <v>366278</v>
      </c>
      <c r="B522" t="s">
        <v>4488</v>
      </c>
      <c r="C522" t="s">
        <v>182</v>
      </c>
      <c r="D522" t="s">
        <v>1086</v>
      </c>
      <c r="E522" t="s">
        <v>4489</v>
      </c>
      <c r="F522">
        <v>44733</v>
      </c>
      <c r="G522" s="1">
        <v>37378</v>
      </c>
      <c r="H522" s="1">
        <v>45610</v>
      </c>
      <c r="I522" s="1">
        <v>46143</v>
      </c>
      <c r="J522" t="s">
        <v>45</v>
      </c>
      <c r="K522" t="s">
        <v>45</v>
      </c>
      <c r="L522" t="s">
        <v>429</v>
      </c>
      <c r="M522" s="1">
        <v>44684</v>
      </c>
      <c r="N522" t="s">
        <v>47</v>
      </c>
      <c r="O522" t="s">
        <v>48</v>
      </c>
      <c r="P522" t="s">
        <v>49</v>
      </c>
      <c r="Q522" t="s">
        <v>4490</v>
      </c>
      <c r="R522" t="s">
        <v>4491</v>
      </c>
      <c r="S522">
        <v>6450</v>
      </c>
      <c r="T522" t="s">
        <v>365</v>
      </c>
      <c r="U522" t="s">
        <v>562</v>
      </c>
      <c r="V522" t="s">
        <v>1980</v>
      </c>
      <c r="W522" t="s">
        <v>367</v>
      </c>
      <c r="X522" t="s">
        <v>493</v>
      </c>
      <c r="Y522" t="s">
        <v>434</v>
      </c>
      <c r="Z522">
        <v>2193</v>
      </c>
      <c r="AA522">
        <v>48</v>
      </c>
      <c r="AB522">
        <v>158</v>
      </c>
      <c r="AC522" t="s">
        <v>1981</v>
      </c>
      <c r="AD522" t="s">
        <v>1982</v>
      </c>
      <c r="AE522" t="s">
        <v>4452</v>
      </c>
      <c r="AF522" t="s">
        <v>4492</v>
      </c>
      <c r="AG522" t="s">
        <v>4493</v>
      </c>
      <c r="AH522" t="s">
        <v>4494</v>
      </c>
      <c r="AI522" t="s">
        <v>500</v>
      </c>
      <c r="AJ522" s="2">
        <v>45611.655891203707</v>
      </c>
      <c r="AK522" t="s">
        <v>501</v>
      </c>
      <c r="AL522" t="s">
        <v>65</v>
      </c>
      <c r="AM522" s="3">
        <v>1.4652777777777777</v>
      </c>
      <c r="AN522" t="s">
        <v>66</v>
      </c>
      <c r="AO522" t="s">
        <v>67</v>
      </c>
    </row>
    <row r="523" spans="1:41" x14ac:dyDescent="0.2">
      <c r="A523">
        <v>370216</v>
      </c>
      <c r="B523" t="s">
        <v>4495</v>
      </c>
      <c r="C523" t="s">
        <v>182</v>
      </c>
      <c r="D523" t="s">
        <v>610</v>
      </c>
      <c r="E523">
        <v>92302334</v>
      </c>
      <c r="F523">
        <v>45731</v>
      </c>
      <c r="G523" s="1">
        <v>32339</v>
      </c>
      <c r="H523" s="1">
        <v>45636</v>
      </c>
      <c r="I523" s="1">
        <v>45992</v>
      </c>
      <c r="J523" t="s">
        <v>45</v>
      </c>
      <c r="K523" t="s">
        <v>45</v>
      </c>
      <c r="L523" t="s">
        <v>429</v>
      </c>
      <c r="N523" t="s">
        <v>47</v>
      </c>
      <c r="O523" t="s">
        <v>48</v>
      </c>
      <c r="P523" t="s">
        <v>49</v>
      </c>
      <c r="Q523" t="s">
        <v>4496</v>
      </c>
      <c r="R523" t="s">
        <v>4497</v>
      </c>
      <c r="S523">
        <v>2317</v>
      </c>
      <c r="T523" t="s">
        <v>1328</v>
      </c>
      <c r="U523" t="s">
        <v>1583</v>
      </c>
      <c r="V523" t="s">
        <v>4498</v>
      </c>
      <c r="W523" t="s">
        <v>4499</v>
      </c>
      <c r="X523" t="s">
        <v>493</v>
      </c>
      <c r="Y523" t="s">
        <v>434</v>
      </c>
      <c r="Z523">
        <v>1290</v>
      </c>
      <c r="AA523">
        <v>59</v>
      </c>
      <c r="AB523">
        <v>24</v>
      </c>
      <c r="AC523" t="s">
        <v>4500</v>
      </c>
      <c r="AD523" t="s">
        <v>4501</v>
      </c>
      <c r="AE523" t="s">
        <v>4502</v>
      </c>
      <c r="AF523" t="s">
        <v>4503</v>
      </c>
      <c r="AG523" t="s">
        <v>4504</v>
      </c>
      <c r="AH523" t="s">
        <v>4505</v>
      </c>
      <c r="AJ523" s="2">
        <v>45765.715648148151</v>
      </c>
      <c r="AK523" t="s">
        <v>307</v>
      </c>
      <c r="AL523" t="s">
        <v>65</v>
      </c>
      <c r="AM523" s="4">
        <v>0.9375</v>
      </c>
      <c r="AN523" t="s">
        <v>66</v>
      </c>
      <c r="AO523" t="s">
        <v>67</v>
      </c>
    </row>
    <row r="524" spans="1:41" x14ac:dyDescent="0.2">
      <c r="A524">
        <v>370596</v>
      </c>
      <c r="B524" t="s">
        <v>4506</v>
      </c>
      <c r="C524" t="s">
        <v>182</v>
      </c>
      <c r="D524" t="s">
        <v>4385</v>
      </c>
      <c r="E524">
        <v>32743016</v>
      </c>
      <c r="F524">
        <v>40916</v>
      </c>
      <c r="G524" s="1">
        <v>37148</v>
      </c>
      <c r="H524" s="1">
        <v>45778</v>
      </c>
      <c r="I524" s="1">
        <v>46113</v>
      </c>
      <c r="J524" t="s">
        <v>45</v>
      </c>
      <c r="K524" t="s">
        <v>45</v>
      </c>
      <c r="L524" t="s">
        <v>429</v>
      </c>
      <c r="M524" s="1">
        <v>45056</v>
      </c>
      <c r="N524" t="s">
        <v>47</v>
      </c>
      <c r="O524" t="s">
        <v>48</v>
      </c>
      <c r="P524" t="s">
        <v>49</v>
      </c>
      <c r="Q524" t="s">
        <v>4507</v>
      </c>
      <c r="R524" t="s">
        <v>4508</v>
      </c>
      <c r="S524">
        <v>4478</v>
      </c>
      <c r="T524" t="s">
        <v>52</v>
      </c>
      <c r="U524">
        <v>5</v>
      </c>
      <c r="V524" t="s">
        <v>4509</v>
      </c>
      <c r="W524" t="s">
        <v>54</v>
      </c>
      <c r="X524" t="s">
        <v>493</v>
      </c>
      <c r="Y524" t="s">
        <v>434</v>
      </c>
      <c r="Z524">
        <v>1823</v>
      </c>
      <c r="AA524">
        <v>66</v>
      </c>
      <c r="AB524">
        <v>210</v>
      </c>
      <c r="AC524" t="s">
        <v>4510</v>
      </c>
      <c r="AD524" t="s">
        <v>4511</v>
      </c>
      <c r="AE524" t="s">
        <v>4512</v>
      </c>
      <c r="AF524" t="s">
        <v>4513</v>
      </c>
      <c r="AG524" t="s">
        <v>4514</v>
      </c>
      <c r="AH524" t="s">
        <v>4515</v>
      </c>
      <c r="AI524" t="s">
        <v>500</v>
      </c>
      <c r="AJ524" s="2">
        <v>45779.022048611114</v>
      </c>
      <c r="AK524" t="s">
        <v>1472</v>
      </c>
      <c r="AL524" t="s">
        <v>65</v>
      </c>
      <c r="AM524" s="3">
        <v>1.9722222222222223</v>
      </c>
      <c r="AN524" t="s">
        <v>66</v>
      </c>
      <c r="AO524" t="s">
        <v>67</v>
      </c>
    </row>
    <row r="525" spans="1:41" x14ac:dyDescent="0.2">
      <c r="A525">
        <v>369421</v>
      </c>
      <c r="B525" t="s">
        <v>4516</v>
      </c>
      <c r="C525" t="s">
        <v>182</v>
      </c>
      <c r="D525" t="s">
        <v>4517</v>
      </c>
      <c r="E525">
        <v>33346214</v>
      </c>
      <c r="F525">
        <v>45308</v>
      </c>
      <c r="G525" s="1">
        <v>37973</v>
      </c>
      <c r="H525" s="1">
        <v>45733</v>
      </c>
      <c r="I525" s="1">
        <v>46096</v>
      </c>
      <c r="J525" t="s">
        <v>45</v>
      </c>
      <c r="K525" t="s">
        <v>45</v>
      </c>
      <c r="L525" t="s">
        <v>429</v>
      </c>
      <c r="N525" t="s">
        <v>47</v>
      </c>
      <c r="O525" t="s">
        <v>48</v>
      </c>
      <c r="P525" t="s">
        <v>49</v>
      </c>
      <c r="Q525" t="s">
        <v>4518</v>
      </c>
      <c r="R525" t="s">
        <v>4519</v>
      </c>
      <c r="S525">
        <v>639</v>
      </c>
      <c r="T525" t="s">
        <v>52</v>
      </c>
      <c r="U525">
        <v>5</v>
      </c>
      <c r="V525" t="s">
        <v>1030</v>
      </c>
      <c r="W525" t="s">
        <v>54</v>
      </c>
      <c r="X525" t="s">
        <v>493</v>
      </c>
      <c r="Y525" t="s">
        <v>434</v>
      </c>
      <c r="Z525">
        <v>2427</v>
      </c>
      <c r="AA525">
        <v>49</v>
      </c>
      <c r="AB525">
        <v>160</v>
      </c>
      <c r="AC525" t="s">
        <v>4520</v>
      </c>
      <c r="AD525" t="s">
        <v>4521</v>
      </c>
      <c r="AE525" t="s">
        <v>4522</v>
      </c>
      <c r="AF525" t="s">
        <v>1034</v>
      </c>
      <c r="AG525" t="s">
        <v>1035</v>
      </c>
      <c r="AH525" t="s">
        <v>1036</v>
      </c>
      <c r="AI525" t="s">
        <v>500</v>
      </c>
      <c r="AJ525" s="2">
        <v>45740.706805555557</v>
      </c>
      <c r="AK525" t="s">
        <v>2668</v>
      </c>
      <c r="AL525" t="s">
        <v>65</v>
      </c>
      <c r="AM525" s="4">
        <v>0.40277777777777779</v>
      </c>
      <c r="AN525" t="s">
        <v>66</v>
      </c>
      <c r="AO525" t="s">
        <v>67</v>
      </c>
    </row>
    <row r="526" spans="1:41" x14ac:dyDescent="0.2">
      <c r="A526">
        <v>365711</v>
      </c>
      <c r="B526" t="s">
        <v>4523</v>
      </c>
      <c r="C526" t="s">
        <v>692</v>
      </c>
      <c r="D526" t="s">
        <v>4524</v>
      </c>
      <c r="E526" t="s">
        <v>4525</v>
      </c>
      <c r="F526">
        <v>481502</v>
      </c>
      <c r="G526" s="1">
        <v>33821</v>
      </c>
      <c r="H526" s="1">
        <v>45589</v>
      </c>
      <c r="I526" s="1">
        <v>46296</v>
      </c>
      <c r="J526" t="s">
        <v>45</v>
      </c>
      <c r="K526" t="s">
        <v>45</v>
      </c>
      <c r="L526" t="s">
        <v>72</v>
      </c>
      <c r="M526" s="1">
        <v>45113</v>
      </c>
      <c r="N526" t="s">
        <v>47</v>
      </c>
      <c r="O526" t="s">
        <v>48</v>
      </c>
      <c r="P526" t="s">
        <v>49</v>
      </c>
      <c r="Q526" t="s">
        <v>4526</v>
      </c>
      <c r="R526" t="s">
        <v>4527</v>
      </c>
      <c r="S526">
        <v>7740</v>
      </c>
      <c r="T526" t="s">
        <v>365</v>
      </c>
      <c r="U526" t="s">
        <v>432</v>
      </c>
      <c r="V526" t="s">
        <v>3668</v>
      </c>
      <c r="W526" t="s">
        <v>367</v>
      </c>
      <c r="X526" t="s">
        <v>76</v>
      </c>
      <c r="Y526" t="s">
        <v>434</v>
      </c>
      <c r="Z526">
        <v>378</v>
      </c>
      <c r="AA526">
        <v>59</v>
      </c>
      <c r="AB526">
        <v>138</v>
      </c>
      <c r="AC526" t="s">
        <v>3669</v>
      </c>
      <c r="AD526" t="s">
        <v>3670</v>
      </c>
      <c r="AE526" t="s">
        <v>3671</v>
      </c>
      <c r="AF526" t="s">
        <v>4528</v>
      </c>
      <c r="AG526" t="s">
        <v>4529</v>
      </c>
      <c r="AH526" t="s">
        <v>4530</v>
      </c>
      <c r="AI526" t="s">
        <v>4531</v>
      </c>
      <c r="AJ526" s="2">
        <v>45590.108217592591</v>
      </c>
      <c r="AK526" t="s">
        <v>704</v>
      </c>
      <c r="AL526" t="s">
        <v>65</v>
      </c>
      <c r="AM526" s="3">
        <v>2.1805555555555554</v>
      </c>
      <c r="AN526" t="s">
        <v>66</v>
      </c>
      <c r="AO526" t="s">
        <v>67</v>
      </c>
    </row>
    <row r="527" spans="1:41" x14ac:dyDescent="0.2">
      <c r="A527">
        <v>372724</v>
      </c>
      <c r="B527" t="s">
        <v>4532</v>
      </c>
      <c r="C527" t="s">
        <v>692</v>
      </c>
      <c r="D527" t="s">
        <v>4533</v>
      </c>
      <c r="E527">
        <v>32406320</v>
      </c>
      <c r="G527" s="1">
        <v>45357</v>
      </c>
      <c r="H527" s="1">
        <v>45848</v>
      </c>
      <c r="I527" s="1">
        <v>45962</v>
      </c>
      <c r="J527" t="s">
        <v>45</v>
      </c>
      <c r="K527" t="s">
        <v>45</v>
      </c>
      <c r="L527" t="s">
        <v>72</v>
      </c>
      <c r="N527" t="s">
        <v>89</v>
      </c>
      <c r="O527" t="s">
        <v>121</v>
      </c>
      <c r="P527" t="s">
        <v>49</v>
      </c>
      <c r="Q527" t="s">
        <v>4534</v>
      </c>
      <c r="R527" t="s">
        <v>4535</v>
      </c>
      <c r="S527">
        <v>4200</v>
      </c>
      <c r="T527" t="s">
        <v>365</v>
      </c>
      <c r="U527" t="s">
        <v>432</v>
      </c>
      <c r="V527" t="s">
        <v>3668</v>
      </c>
      <c r="W527" t="s">
        <v>367</v>
      </c>
      <c r="X527" t="s">
        <v>76</v>
      </c>
      <c r="Y527" t="s">
        <v>125</v>
      </c>
      <c r="Z527">
        <v>4106</v>
      </c>
      <c r="AA527">
        <v>63</v>
      </c>
      <c r="AB527">
        <v>28</v>
      </c>
      <c r="AC527" t="s">
        <v>3669</v>
      </c>
      <c r="AD527" t="s">
        <v>3670</v>
      </c>
      <c r="AE527" t="s">
        <v>3671</v>
      </c>
      <c r="AF527" t="s">
        <v>3672</v>
      </c>
      <c r="AG527" t="s">
        <v>3673</v>
      </c>
      <c r="AH527" t="s">
        <v>3674</v>
      </c>
      <c r="AJ527" s="2">
        <v>45852.490636574075</v>
      </c>
      <c r="AK527" t="s">
        <v>800</v>
      </c>
      <c r="AL527" t="s">
        <v>65</v>
      </c>
      <c r="AM527" s="4">
        <v>6.25E-2</v>
      </c>
      <c r="AN527" t="s">
        <v>66</v>
      </c>
      <c r="AO527" t="s">
        <v>67</v>
      </c>
    </row>
    <row r="528" spans="1:41" x14ac:dyDescent="0.2">
      <c r="A528">
        <v>365973</v>
      </c>
      <c r="B528" t="s">
        <v>4536</v>
      </c>
      <c r="C528" t="s">
        <v>236</v>
      </c>
      <c r="D528" t="s">
        <v>4537</v>
      </c>
      <c r="E528" t="s">
        <v>4538</v>
      </c>
      <c r="F528">
        <v>211604</v>
      </c>
      <c r="G528" s="1">
        <v>36754</v>
      </c>
      <c r="H528" s="1">
        <v>45586</v>
      </c>
      <c r="I528" s="1">
        <v>45931</v>
      </c>
      <c r="J528" t="s">
        <v>45</v>
      </c>
      <c r="K528" t="s">
        <v>45</v>
      </c>
      <c r="L528" t="s">
        <v>46</v>
      </c>
      <c r="M528" s="1">
        <v>42949</v>
      </c>
      <c r="N528" t="s">
        <v>47</v>
      </c>
      <c r="O528" t="s">
        <v>48</v>
      </c>
      <c r="P528" t="s">
        <v>49</v>
      </c>
      <c r="Q528" t="s">
        <v>4539</v>
      </c>
      <c r="R528" t="s">
        <v>4540</v>
      </c>
      <c r="S528">
        <v>1300</v>
      </c>
      <c r="T528" t="s">
        <v>52</v>
      </c>
      <c r="U528">
        <v>9</v>
      </c>
      <c r="V528" t="s">
        <v>4541</v>
      </c>
      <c r="W528" t="s">
        <v>54</v>
      </c>
      <c r="X528" t="s">
        <v>76</v>
      </c>
      <c r="Y528" t="s">
        <v>56</v>
      </c>
      <c r="Z528">
        <v>1862</v>
      </c>
      <c r="AA528">
        <v>43</v>
      </c>
      <c r="AB528">
        <v>160</v>
      </c>
      <c r="AC528" t="s">
        <v>4542</v>
      </c>
      <c r="AD528" t="s">
        <v>4543</v>
      </c>
      <c r="AE528" t="s">
        <v>4544</v>
      </c>
      <c r="AF528" t="s">
        <v>4545</v>
      </c>
      <c r="AG528" t="s">
        <v>4546</v>
      </c>
      <c r="AH528" t="s">
        <v>4547</v>
      </c>
      <c r="AI528" t="s">
        <v>4548</v>
      </c>
      <c r="AJ528" s="2">
        <v>45597.922476851854</v>
      </c>
      <c r="AK528" t="s">
        <v>717</v>
      </c>
      <c r="AL528" t="s">
        <v>65</v>
      </c>
      <c r="AM528" s="4">
        <v>5.5555555555555552E-2</v>
      </c>
      <c r="AN528" t="s">
        <v>66</v>
      </c>
      <c r="AO528" t="s">
        <v>67</v>
      </c>
    </row>
    <row r="529" spans="1:41" x14ac:dyDescent="0.2">
      <c r="A529">
        <v>367379</v>
      </c>
      <c r="B529" t="s">
        <v>4549</v>
      </c>
      <c r="C529" t="s">
        <v>1107</v>
      </c>
      <c r="D529" t="s">
        <v>4550</v>
      </c>
      <c r="E529" t="s">
        <v>4551</v>
      </c>
      <c r="F529">
        <v>238201</v>
      </c>
      <c r="G529" s="1">
        <v>42927</v>
      </c>
      <c r="H529" s="1">
        <v>45672</v>
      </c>
      <c r="I529" s="1">
        <v>46037</v>
      </c>
      <c r="J529" t="s">
        <v>45</v>
      </c>
      <c r="K529" t="s">
        <v>45</v>
      </c>
      <c r="L529" t="s">
        <v>72</v>
      </c>
      <c r="N529" t="s">
        <v>47</v>
      </c>
      <c r="O529" t="s">
        <v>48</v>
      </c>
      <c r="P529" t="s">
        <v>49</v>
      </c>
      <c r="Q529" t="s">
        <v>4552</v>
      </c>
      <c r="R529" t="s">
        <v>4553</v>
      </c>
      <c r="S529">
        <v>1487</v>
      </c>
      <c r="T529" t="s">
        <v>52</v>
      </c>
      <c r="U529">
        <v>9</v>
      </c>
      <c r="V529" t="s">
        <v>1318</v>
      </c>
      <c r="W529" t="s">
        <v>54</v>
      </c>
      <c r="X529" t="s">
        <v>76</v>
      </c>
      <c r="Y529" t="s">
        <v>56</v>
      </c>
      <c r="Z529">
        <v>8906</v>
      </c>
      <c r="AA529">
        <v>21</v>
      </c>
      <c r="AB529">
        <v>166</v>
      </c>
      <c r="AC529" t="s">
        <v>1319</v>
      </c>
      <c r="AD529" t="s">
        <v>1320</v>
      </c>
      <c r="AE529" t="s">
        <v>1321</v>
      </c>
      <c r="AI529" t="s">
        <v>1322</v>
      </c>
      <c r="AJ529" s="2">
        <v>45672.882835648146</v>
      </c>
      <c r="AK529" t="s">
        <v>132</v>
      </c>
      <c r="AL529" t="s">
        <v>65</v>
      </c>
      <c r="AM529" s="3">
        <v>1.9583333333333333</v>
      </c>
      <c r="AN529" t="s">
        <v>66</v>
      </c>
      <c r="AO529" t="s">
        <v>67</v>
      </c>
    </row>
    <row r="530" spans="1:41" x14ac:dyDescent="0.2">
      <c r="A530">
        <v>367159</v>
      </c>
      <c r="B530" t="s">
        <v>4554</v>
      </c>
      <c r="C530" t="s">
        <v>134</v>
      </c>
      <c r="D530" t="s">
        <v>135</v>
      </c>
      <c r="E530" t="s">
        <v>4555</v>
      </c>
      <c r="F530">
        <v>451207</v>
      </c>
      <c r="G530" s="1">
        <v>37769</v>
      </c>
      <c r="H530" s="1">
        <v>45594</v>
      </c>
      <c r="I530" s="1">
        <v>45962</v>
      </c>
      <c r="J530" t="s">
        <v>45</v>
      </c>
      <c r="K530" t="s">
        <v>45</v>
      </c>
      <c r="L530" t="s">
        <v>72</v>
      </c>
      <c r="M530" s="1">
        <v>42779</v>
      </c>
      <c r="N530" t="s">
        <v>47</v>
      </c>
      <c r="O530" t="s">
        <v>48</v>
      </c>
      <c r="P530" t="s">
        <v>49</v>
      </c>
      <c r="Q530" t="s">
        <v>4556</v>
      </c>
      <c r="R530" t="s">
        <v>4557</v>
      </c>
      <c r="S530">
        <v>213</v>
      </c>
      <c r="T530" t="s">
        <v>92</v>
      </c>
      <c r="U530" t="s">
        <v>139</v>
      </c>
      <c r="V530" t="s">
        <v>140</v>
      </c>
      <c r="W530" t="s">
        <v>141</v>
      </c>
      <c r="X530" t="s">
        <v>92</v>
      </c>
      <c r="Y530" t="s">
        <v>110</v>
      </c>
      <c r="Z530">
        <v>2389</v>
      </c>
      <c r="AA530">
        <v>48</v>
      </c>
      <c r="AB530">
        <v>174</v>
      </c>
      <c r="AC530" t="s">
        <v>142</v>
      </c>
      <c r="AD530" t="s">
        <v>143</v>
      </c>
      <c r="AE530" t="s">
        <v>144</v>
      </c>
      <c r="AF530" t="s">
        <v>145</v>
      </c>
      <c r="AG530" t="s">
        <v>146</v>
      </c>
      <c r="AH530" t="s">
        <v>147</v>
      </c>
      <c r="AI530" t="s">
        <v>148</v>
      </c>
      <c r="AJ530" s="2">
        <v>45664.700682870367</v>
      </c>
      <c r="AK530" t="s">
        <v>149</v>
      </c>
      <c r="AL530" t="s">
        <v>65</v>
      </c>
      <c r="AM530" s="4">
        <v>0.38194444444444442</v>
      </c>
      <c r="AN530" t="s">
        <v>66</v>
      </c>
      <c r="AO530" t="s">
        <v>67</v>
      </c>
    </row>
    <row r="531" spans="1:41" x14ac:dyDescent="0.2">
      <c r="A531">
        <v>371080</v>
      </c>
      <c r="B531" t="s">
        <v>4558</v>
      </c>
      <c r="C531" t="s">
        <v>103</v>
      </c>
      <c r="D531" t="s">
        <v>4559</v>
      </c>
      <c r="E531" t="s">
        <v>4560</v>
      </c>
      <c r="F531">
        <v>310801</v>
      </c>
      <c r="G531" s="1">
        <v>37473</v>
      </c>
      <c r="H531" s="1">
        <v>45280</v>
      </c>
      <c r="I531" s="1">
        <v>46310</v>
      </c>
      <c r="J531" t="s">
        <v>45</v>
      </c>
      <c r="K531" t="s">
        <v>45</v>
      </c>
      <c r="L531" t="s">
        <v>72</v>
      </c>
      <c r="M531" s="1">
        <v>41557</v>
      </c>
      <c r="N531" t="s">
        <v>47</v>
      </c>
      <c r="O531" t="s">
        <v>48</v>
      </c>
      <c r="P531" t="s">
        <v>49</v>
      </c>
      <c r="Q531" t="s">
        <v>4561</v>
      </c>
      <c r="R531" t="s">
        <v>4562</v>
      </c>
      <c r="S531">
        <v>580</v>
      </c>
      <c r="T531" t="s">
        <v>92</v>
      </c>
      <c r="U531" t="s">
        <v>107</v>
      </c>
      <c r="V531" t="s">
        <v>108</v>
      </c>
      <c r="W531" t="s">
        <v>109</v>
      </c>
      <c r="X531" t="s">
        <v>52</v>
      </c>
      <c r="Y531" t="s">
        <v>110</v>
      </c>
      <c r="Z531">
        <v>2262</v>
      </c>
      <c r="AA531">
        <v>39</v>
      </c>
      <c r="AB531">
        <v>160</v>
      </c>
      <c r="AC531" t="s">
        <v>4563</v>
      </c>
      <c r="AD531" t="s">
        <v>4564</v>
      </c>
      <c r="AE531" t="s">
        <v>4565</v>
      </c>
      <c r="AF531" t="s">
        <v>1464</v>
      </c>
      <c r="AG531" t="s">
        <v>4566</v>
      </c>
      <c r="AH531" t="s">
        <v>1465</v>
      </c>
      <c r="AI531" t="s">
        <v>4564</v>
      </c>
      <c r="AJ531" s="2">
        <v>45818.719525462962</v>
      </c>
      <c r="AK531" t="s">
        <v>100</v>
      </c>
      <c r="AL531" t="s">
        <v>65</v>
      </c>
      <c r="AM531" s="4">
        <v>0.69444444444444442</v>
      </c>
      <c r="AN531" t="s">
        <v>66</v>
      </c>
      <c r="AO531" t="s">
        <v>67</v>
      </c>
    </row>
    <row r="532" spans="1:41" x14ac:dyDescent="0.2">
      <c r="A532">
        <v>372971</v>
      </c>
      <c r="B532" t="s">
        <v>4567</v>
      </c>
      <c r="C532" t="s">
        <v>1687</v>
      </c>
      <c r="D532" t="s">
        <v>3018</v>
      </c>
      <c r="E532" t="s">
        <v>4568</v>
      </c>
      <c r="F532">
        <v>162502</v>
      </c>
      <c r="G532" s="1">
        <v>36241</v>
      </c>
      <c r="H532" s="1">
        <v>45687</v>
      </c>
      <c r="I532" s="1">
        <v>46054</v>
      </c>
      <c r="J532" t="s">
        <v>45</v>
      </c>
      <c r="K532" t="s">
        <v>45</v>
      </c>
      <c r="L532" t="s">
        <v>429</v>
      </c>
      <c r="M532" s="1">
        <v>43803</v>
      </c>
      <c r="N532" t="s">
        <v>47</v>
      </c>
      <c r="O532" t="s">
        <v>48</v>
      </c>
      <c r="P532" t="s">
        <v>49</v>
      </c>
      <c r="Q532" t="s">
        <v>4569</v>
      </c>
      <c r="R532" t="s">
        <v>4570</v>
      </c>
      <c r="S532">
        <v>230</v>
      </c>
      <c r="T532" t="s">
        <v>52</v>
      </c>
      <c r="U532">
        <v>8</v>
      </c>
      <c r="V532" t="s">
        <v>4309</v>
      </c>
      <c r="W532" t="s">
        <v>54</v>
      </c>
      <c r="X532" t="s">
        <v>76</v>
      </c>
      <c r="Y532" t="s">
        <v>56</v>
      </c>
      <c r="Z532">
        <v>1078</v>
      </c>
      <c r="AA532">
        <v>44</v>
      </c>
      <c r="AB532">
        <v>45</v>
      </c>
      <c r="AC532" t="s">
        <v>4310</v>
      </c>
      <c r="AD532" t="s">
        <v>4311</v>
      </c>
      <c r="AE532" t="s">
        <v>4312</v>
      </c>
      <c r="AF532" t="s">
        <v>4313</v>
      </c>
      <c r="AG532" t="s">
        <v>4314</v>
      </c>
      <c r="AH532" t="s">
        <v>4315</v>
      </c>
      <c r="AJ532" s="2">
        <v>45855.967395833337</v>
      </c>
      <c r="AK532" t="s">
        <v>556</v>
      </c>
      <c r="AL532" t="s">
        <v>65</v>
      </c>
      <c r="AM532" s="3">
        <v>1.7916666666666667</v>
      </c>
      <c r="AN532" t="s">
        <v>66</v>
      </c>
      <c r="AO532" t="s">
        <v>67</v>
      </c>
    </row>
    <row r="533" spans="1:41" x14ac:dyDescent="0.2">
      <c r="A533">
        <v>364898</v>
      </c>
      <c r="B533" t="s">
        <v>4571</v>
      </c>
      <c r="C533" t="s">
        <v>3878</v>
      </c>
      <c r="D533" t="s">
        <v>4572</v>
      </c>
      <c r="E533" t="s">
        <v>4573</v>
      </c>
      <c r="J533" t="s">
        <v>45</v>
      </c>
      <c r="K533" t="s">
        <v>45</v>
      </c>
      <c r="L533" t="s">
        <v>72</v>
      </c>
      <c r="N533" t="s">
        <v>89</v>
      </c>
      <c r="O533" t="s">
        <v>48</v>
      </c>
      <c r="P533" t="s">
        <v>49</v>
      </c>
      <c r="Q533" t="s">
        <v>4574</v>
      </c>
      <c r="R533" t="s">
        <v>4575</v>
      </c>
      <c r="S533">
        <v>1193</v>
      </c>
      <c r="T533" t="s">
        <v>52</v>
      </c>
      <c r="U533">
        <v>8</v>
      </c>
      <c r="V533" t="s">
        <v>4254</v>
      </c>
      <c r="W533" t="s">
        <v>54</v>
      </c>
      <c r="X533" t="s">
        <v>76</v>
      </c>
      <c r="Y533" t="s">
        <v>56</v>
      </c>
      <c r="Z533">
        <v>12289</v>
      </c>
      <c r="AA533">
        <v>2</v>
      </c>
      <c r="AB533">
        <v>15</v>
      </c>
      <c r="AC533" t="s">
        <v>4576</v>
      </c>
      <c r="AD533" t="s">
        <v>4577</v>
      </c>
      <c r="AE533" t="s">
        <v>4578</v>
      </c>
      <c r="AF533" t="s">
        <v>4579</v>
      </c>
      <c r="AG533" t="s">
        <v>4580</v>
      </c>
      <c r="AH533" t="s">
        <v>4581</v>
      </c>
      <c r="AI533" t="s">
        <v>179</v>
      </c>
      <c r="AJ533" s="2">
        <v>45562.860208333332</v>
      </c>
      <c r="AK533" t="s">
        <v>100</v>
      </c>
      <c r="AL533" t="s">
        <v>65</v>
      </c>
      <c r="AM533" s="4">
        <v>0.74652777777777779</v>
      </c>
      <c r="AN533" t="s">
        <v>66</v>
      </c>
      <c r="AO533" t="s">
        <v>101</v>
      </c>
    </row>
    <row r="534" spans="1:41" x14ac:dyDescent="0.2">
      <c r="A534">
        <v>361680</v>
      </c>
      <c r="B534" t="s">
        <v>4582</v>
      </c>
      <c r="C534" t="s">
        <v>182</v>
      </c>
      <c r="D534" t="s">
        <v>183</v>
      </c>
      <c r="E534" t="s">
        <v>4583</v>
      </c>
      <c r="F534">
        <v>45457</v>
      </c>
      <c r="G534" s="1">
        <v>42507</v>
      </c>
      <c r="H534" s="1">
        <v>45455</v>
      </c>
      <c r="I534" s="1">
        <v>46068</v>
      </c>
      <c r="J534" t="s">
        <v>45</v>
      </c>
      <c r="K534" t="s">
        <v>45</v>
      </c>
      <c r="L534" t="s">
        <v>72</v>
      </c>
      <c r="M534" s="1">
        <v>42741</v>
      </c>
      <c r="N534" t="s">
        <v>47</v>
      </c>
      <c r="O534" t="s">
        <v>48</v>
      </c>
      <c r="P534" t="s">
        <v>49</v>
      </c>
      <c r="Q534" t="s">
        <v>4584</v>
      </c>
      <c r="R534" t="s">
        <v>4585</v>
      </c>
      <c r="S534">
        <v>1570</v>
      </c>
      <c r="T534" t="s">
        <v>92</v>
      </c>
      <c r="U534" t="s">
        <v>187</v>
      </c>
      <c r="V534" t="s">
        <v>188</v>
      </c>
      <c r="W534" t="s">
        <v>189</v>
      </c>
      <c r="X534" t="s">
        <v>92</v>
      </c>
      <c r="Y534" t="s">
        <v>110</v>
      </c>
      <c r="Z534">
        <v>8366</v>
      </c>
      <c r="AA534">
        <v>20</v>
      </c>
      <c r="AB534">
        <v>78</v>
      </c>
      <c r="AC534" t="s">
        <v>190</v>
      </c>
      <c r="AD534" t="s">
        <v>191</v>
      </c>
      <c r="AE534" t="s">
        <v>192</v>
      </c>
      <c r="AF534" t="s">
        <v>4170</v>
      </c>
      <c r="AG534" t="s">
        <v>4171</v>
      </c>
      <c r="AH534" t="s">
        <v>4172</v>
      </c>
      <c r="AJ534" s="2">
        <v>45461.60460648148</v>
      </c>
      <c r="AK534" t="s">
        <v>190</v>
      </c>
      <c r="AL534" t="s">
        <v>65</v>
      </c>
      <c r="AM534" s="4">
        <v>0.9375</v>
      </c>
      <c r="AN534" t="s">
        <v>66</v>
      </c>
      <c r="AO534" t="s">
        <v>67</v>
      </c>
    </row>
    <row r="535" spans="1:41" x14ac:dyDescent="0.2">
      <c r="A535">
        <v>370361</v>
      </c>
      <c r="B535" t="s">
        <v>4586</v>
      </c>
      <c r="C535" t="s">
        <v>69</v>
      </c>
      <c r="D535" t="s">
        <v>134</v>
      </c>
      <c r="E535" t="s">
        <v>4587</v>
      </c>
      <c r="F535">
        <v>101402</v>
      </c>
      <c r="G535" s="1">
        <v>33031</v>
      </c>
      <c r="H535" s="1">
        <v>45771</v>
      </c>
      <c r="I535" s="1">
        <v>46218</v>
      </c>
      <c r="J535" t="s">
        <v>45</v>
      </c>
      <c r="K535" t="s">
        <v>45</v>
      </c>
      <c r="L535" t="s">
        <v>545</v>
      </c>
      <c r="M535" s="1">
        <v>42783</v>
      </c>
      <c r="N535" t="s">
        <v>47</v>
      </c>
      <c r="O535" t="s">
        <v>48</v>
      </c>
      <c r="P535" t="s">
        <v>49</v>
      </c>
      <c r="Q535" t="s">
        <v>4588</v>
      </c>
      <c r="R535" t="s">
        <v>4589</v>
      </c>
      <c r="S535">
        <v>3570</v>
      </c>
      <c r="T535" t="s">
        <v>365</v>
      </c>
      <c r="U535" t="s">
        <v>532</v>
      </c>
      <c r="V535" t="s">
        <v>3282</v>
      </c>
      <c r="W535" t="s">
        <v>367</v>
      </c>
      <c r="X535" t="s">
        <v>76</v>
      </c>
      <c r="Y535" t="s">
        <v>434</v>
      </c>
      <c r="Z535">
        <v>154</v>
      </c>
      <c r="AA535">
        <v>53</v>
      </c>
      <c r="AB535">
        <v>158</v>
      </c>
      <c r="AC535" t="s">
        <v>3283</v>
      </c>
      <c r="AD535" t="s">
        <v>3284</v>
      </c>
      <c r="AE535" t="s">
        <v>3285</v>
      </c>
      <c r="AF535" t="s">
        <v>4590</v>
      </c>
      <c r="AG535" t="s">
        <v>4591</v>
      </c>
      <c r="AH535" t="s">
        <v>4592</v>
      </c>
      <c r="AI535" t="s">
        <v>179</v>
      </c>
      <c r="AJ535" s="2">
        <v>45771.754560185182</v>
      </c>
      <c r="AK535" t="s">
        <v>2068</v>
      </c>
      <c r="AL535" t="s">
        <v>65</v>
      </c>
      <c r="AM535" s="3">
        <v>2.1666666666666665</v>
      </c>
      <c r="AN535" t="s">
        <v>66</v>
      </c>
      <c r="AO535" t="s">
        <v>67</v>
      </c>
    </row>
    <row r="536" spans="1:41" x14ac:dyDescent="0.2">
      <c r="A536">
        <v>372526</v>
      </c>
      <c r="B536" t="s">
        <v>4593</v>
      </c>
      <c r="C536" t="s">
        <v>323</v>
      </c>
      <c r="D536" t="s">
        <v>339</v>
      </c>
      <c r="E536" s="5">
        <v>33905400</v>
      </c>
      <c r="F536">
        <v>500723</v>
      </c>
      <c r="G536" s="1">
        <v>45539</v>
      </c>
      <c r="H536" s="1">
        <v>45772</v>
      </c>
      <c r="I536" s="1">
        <v>46037</v>
      </c>
      <c r="J536" t="s">
        <v>45</v>
      </c>
      <c r="K536" t="s">
        <v>45</v>
      </c>
      <c r="L536" t="s">
        <v>46</v>
      </c>
      <c r="M536" s="1">
        <v>45841</v>
      </c>
      <c r="N536" t="s">
        <v>47</v>
      </c>
      <c r="O536" t="s">
        <v>48</v>
      </c>
      <c r="P536" t="s">
        <v>49</v>
      </c>
      <c r="Q536" t="s">
        <v>4594</v>
      </c>
      <c r="R536" t="s">
        <v>4595</v>
      </c>
      <c r="S536">
        <v>1498</v>
      </c>
      <c r="T536" t="s">
        <v>92</v>
      </c>
      <c r="U536" t="s">
        <v>329</v>
      </c>
      <c r="V536" t="s">
        <v>722</v>
      </c>
      <c r="W536" t="s">
        <v>723</v>
      </c>
      <c r="X536" t="s">
        <v>76</v>
      </c>
      <c r="Y536" t="s">
        <v>110</v>
      </c>
      <c r="Z536">
        <v>537</v>
      </c>
      <c r="AA536">
        <v>46</v>
      </c>
      <c r="AB536">
        <v>152</v>
      </c>
      <c r="AC536" t="s">
        <v>368</v>
      </c>
      <c r="AD536" t="s">
        <v>369</v>
      </c>
      <c r="AE536" t="s">
        <v>370</v>
      </c>
      <c r="AF536" t="s">
        <v>724</v>
      </c>
      <c r="AG536" t="s">
        <v>725</v>
      </c>
      <c r="AH536" t="s">
        <v>726</v>
      </c>
      <c r="AI536" t="s">
        <v>385</v>
      </c>
      <c r="AJ536" s="2">
        <v>45841.85528935185</v>
      </c>
      <c r="AK536" t="s">
        <v>384</v>
      </c>
      <c r="AL536" t="s">
        <v>65</v>
      </c>
      <c r="AM536" s="3">
        <v>2.2013888888888888</v>
      </c>
      <c r="AN536" t="s">
        <v>66</v>
      </c>
      <c r="AO536" t="s">
        <v>67</v>
      </c>
    </row>
    <row r="537" spans="1:41" x14ac:dyDescent="0.2">
      <c r="A537">
        <v>368869</v>
      </c>
      <c r="B537" t="s">
        <v>4596</v>
      </c>
      <c r="C537" t="s">
        <v>182</v>
      </c>
      <c r="D537" t="s">
        <v>779</v>
      </c>
      <c r="E537" t="s">
        <v>4597</v>
      </c>
      <c r="F537">
        <v>45629</v>
      </c>
      <c r="G537" s="1">
        <v>40442</v>
      </c>
      <c r="H537" s="1">
        <v>45713</v>
      </c>
      <c r="I537" s="1">
        <v>46068</v>
      </c>
      <c r="J537" t="s">
        <v>45</v>
      </c>
      <c r="K537" t="s">
        <v>45</v>
      </c>
      <c r="L537" t="s">
        <v>429</v>
      </c>
      <c r="M537" s="1">
        <v>45644</v>
      </c>
      <c r="N537" t="s">
        <v>47</v>
      </c>
      <c r="O537" t="s">
        <v>48</v>
      </c>
      <c r="P537" t="s">
        <v>49</v>
      </c>
      <c r="Q537" t="s">
        <v>4598</v>
      </c>
      <c r="R537" t="s">
        <v>4599</v>
      </c>
      <c r="S537">
        <v>605</v>
      </c>
      <c r="T537" t="s">
        <v>365</v>
      </c>
      <c r="U537" t="s">
        <v>815</v>
      </c>
      <c r="V537" t="s">
        <v>816</v>
      </c>
      <c r="W537" t="s">
        <v>367</v>
      </c>
      <c r="X537" t="s">
        <v>493</v>
      </c>
      <c r="Y537" t="s">
        <v>434</v>
      </c>
      <c r="Z537">
        <v>177</v>
      </c>
      <c r="AA537">
        <v>87</v>
      </c>
      <c r="AB537">
        <v>160</v>
      </c>
      <c r="AC537" t="s">
        <v>4600</v>
      </c>
      <c r="AD537" t="s">
        <v>818</v>
      </c>
      <c r="AE537" t="s">
        <v>819</v>
      </c>
      <c r="AI537" t="s">
        <v>179</v>
      </c>
      <c r="AJ537" s="2">
        <v>45722.883645833332</v>
      </c>
      <c r="AK537" t="s">
        <v>1472</v>
      </c>
      <c r="AL537" t="s">
        <v>65</v>
      </c>
      <c r="AM537" s="3">
        <v>2.1875</v>
      </c>
      <c r="AN537" t="s">
        <v>66</v>
      </c>
      <c r="AO537" t="s">
        <v>67</v>
      </c>
    </row>
    <row r="538" spans="1:41" x14ac:dyDescent="0.2">
      <c r="A538">
        <v>369529</v>
      </c>
      <c r="B538" t="s">
        <v>4601</v>
      </c>
      <c r="C538" t="s">
        <v>182</v>
      </c>
      <c r="D538" t="s">
        <v>4083</v>
      </c>
      <c r="E538" t="s">
        <v>4602</v>
      </c>
      <c r="F538">
        <v>44114</v>
      </c>
      <c r="G538" s="1">
        <v>36158</v>
      </c>
      <c r="H538" s="1">
        <v>45737</v>
      </c>
      <c r="J538" t="s">
        <v>45</v>
      </c>
      <c r="K538" t="s">
        <v>72</v>
      </c>
      <c r="L538" t="s">
        <v>72</v>
      </c>
      <c r="M538" s="1">
        <v>37538</v>
      </c>
      <c r="N538" t="s">
        <v>47</v>
      </c>
      <c r="O538" t="s">
        <v>48</v>
      </c>
      <c r="P538" t="s">
        <v>49</v>
      </c>
      <c r="Q538" t="s">
        <v>4603</v>
      </c>
      <c r="R538" t="s">
        <v>4604</v>
      </c>
      <c r="S538">
        <v>1234</v>
      </c>
      <c r="T538" t="s">
        <v>92</v>
      </c>
      <c r="U538" t="s">
        <v>187</v>
      </c>
      <c r="V538" t="s">
        <v>447</v>
      </c>
      <c r="W538" t="s">
        <v>448</v>
      </c>
      <c r="X538" t="s">
        <v>92</v>
      </c>
      <c r="Y538" t="s">
        <v>450</v>
      </c>
      <c r="Z538">
        <v>1514</v>
      </c>
      <c r="AA538">
        <v>45</v>
      </c>
      <c r="AB538">
        <v>66</v>
      </c>
      <c r="AC538" t="s">
        <v>451</v>
      </c>
      <c r="AD538" t="s">
        <v>452</v>
      </c>
      <c r="AE538" t="s">
        <v>453</v>
      </c>
      <c r="AF538" t="s">
        <v>454</v>
      </c>
      <c r="AG538" t="s">
        <v>473</v>
      </c>
      <c r="AH538" t="s">
        <v>474</v>
      </c>
      <c r="AI538" t="s">
        <v>452</v>
      </c>
      <c r="AJ538" s="2">
        <v>45743.633958333332</v>
      </c>
      <c r="AK538" t="s">
        <v>526</v>
      </c>
      <c r="AL538" t="s">
        <v>65</v>
      </c>
      <c r="AM538" s="3">
        <v>1.1319444444444444</v>
      </c>
      <c r="AN538" t="s">
        <v>66</v>
      </c>
      <c r="AO538" t="s">
        <v>67</v>
      </c>
    </row>
    <row r="539" spans="1:41" x14ac:dyDescent="0.2">
      <c r="A539">
        <v>371466</v>
      </c>
      <c r="B539" t="s">
        <v>4605</v>
      </c>
      <c r="C539" t="s">
        <v>558</v>
      </c>
      <c r="D539" t="s">
        <v>1743</v>
      </c>
      <c r="E539" s="5">
        <v>32650000000000</v>
      </c>
      <c r="F539">
        <v>260109</v>
      </c>
      <c r="G539" s="1">
        <v>31267</v>
      </c>
      <c r="H539" s="1">
        <v>45804</v>
      </c>
      <c r="I539" s="1">
        <v>46174</v>
      </c>
      <c r="J539" t="s">
        <v>45</v>
      </c>
      <c r="K539" t="s">
        <v>45</v>
      </c>
      <c r="L539" t="s">
        <v>72</v>
      </c>
      <c r="M539" s="1">
        <v>42048</v>
      </c>
      <c r="N539" t="s">
        <v>47</v>
      </c>
      <c r="O539" t="s">
        <v>48</v>
      </c>
      <c r="P539" t="s">
        <v>49</v>
      </c>
      <c r="Q539" t="s">
        <v>4606</v>
      </c>
      <c r="R539" t="s">
        <v>4607</v>
      </c>
      <c r="S539">
        <v>5750</v>
      </c>
      <c r="T539" t="s">
        <v>156</v>
      </c>
      <c r="U539" t="s">
        <v>4608</v>
      </c>
      <c r="V539" t="s">
        <v>4609</v>
      </c>
      <c r="W539" t="s">
        <v>159</v>
      </c>
      <c r="X539" t="s">
        <v>156</v>
      </c>
      <c r="Y539" t="s">
        <v>110</v>
      </c>
      <c r="Z539">
        <v>478</v>
      </c>
      <c r="AA539">
        <v>54</v>
      </c>
      <c r="AB539">
        <v>30</v>
      </c>
      <c r="AC539" t="s">
        <v>4610</v>
      </c>
      <c r="AD539" t="s">
        <v>4611</v>
      </c>
      <c r="AE539" t="s">
        <v>4612</v>
      </c>
      <c r="AF539" t="s">
        <v>4613</v>
      </c>
      <c r="AG539" t="s">
        <v>4614</v>
      </c>
      <c r="AH539" t="s">
        <v>4615</v>
      </c>
      <c r="AJ539" s="2">
        <v>45812.620972222219</v>
      </c>
      <c r="AK539" t="s">
        <v>4610</v>
      </c>
      <c r="AL539" t="s">
        <v>65</v>
      </c>
      <c r="AM539" s="3">
        <v>1.1458333333333333</v>
      </c>
      <c r="AN539" t="s">
        <v>66</v>
      </c>
      <c r="AO539" t="s">
        <v>67</v>
      </c>
    </row>
    <row r="540" spans="1:41" x14ac:dyDescent="0.2">
      <c r="A540">
        <v>370212</v>
      </c>
      <c r="B540" t="s">
        <v>4616</v>
      </c>
      <c r="C540" t="s">
        <v>754</v>
      </c>
      <c r="E540" t="s">
        <v>4617</v>
      </c>
      <c r="F540">
        <v>180302</v>
      </c>
      <c r="G540" s="1">
        <v>38418</v>
      </c>
      <c r="H540" s="1">
        <v>45764</v>
      </c>
      <c r="I540" s="1">
        <v>46096</v>
      </c>
      <c r="J540" t="s">
        <v>45</v>
      </c>
      <c r="K540" t="s">
        <v>326</v>
      </c>
      <c r="L540" t="s">
        <v>72</v>
      </c>
      <c r="N540" t="s">
        <v>47</v>
      </c>
      <c r="O540" t="s">
        <v>48</v>
      </c>
      <c r="P540" t="s">
        <v>49</v>
      </c>
      <c r="Q540" t="s">
        <v>4618</v>
      </c>
      <c r="R540" t="s">
        <v>4619</v>
      </c>
      <c r="S540">
        <v>1485</v>
      </c>
      <c r="T540" t="s">
        <v>257</v>
      </c>
      <c r="U540" t="s">
        <v>758</v>
      </c>
      <c r="V540" t="s">
        <v>4620</v>
      </c>
      <c r="W540" t="s">
        <v>260</v>
      </c>
      <c r="X540" t="s">
        <v>257</v>
      </c>
      <c r="Y540" t="s">
        <v>110</v>
      </c>
      <c r="Z540">
        <v>1574</v>
      </c>
      <c r="AA540">
        <v>35</v>
      </c>
      <c r="AB540">
        <v>160</v>
      </c>
      <c r="AC540" t="s">
        <v>4621</v>
      </c>
      <c r="AD540" t="s">
        <v>4622</v>
      </c>
      <c r="AE540" t="s">
        <v>4623</v>
      </c>
      <c r="AF540" t="s">
        <v>4624</v>
      </c>
      <c r="AG540" t="s">
        <v>4625</v>
      </c>
      <c r="AH540" t="s">
        <v>4626</v>
      </c>
      <c r="AI540" t="s">
        <v>4622</v>
      </c>
      <c r="AJ540" s="2">
        <v>45765.584247685183</v>
      </c>
      <c r="AK540" t="s">
        <v>4621</v>
      </c>
      <c r="AL540" t="s">
        <v>65</v>
      </c>
      <c r="AM540" s="4">
        <v>0.52777777777777779</v>
      </c>
      <c r="AN540" t="s">
        <v>66</v>
      </c>
      <c r="AO540" t="s">
        <v>67</v>
      </c>
    </row>
    <row r="541" spans="1:41" x14ac:dyDescent="0.2">
      <c r="A541">
        <v>364023</v>
      </c>
      <c r="B541" t="s">
        <v>4627</v>
      </c>
      <c r="C541" t="s">
        <v>412</v>
      </c>
      <c r="D541" t="s">
        <v>4628</v>
      </c>
      <c r="E541" t="s">
        <v>4629</v>
      </c>
      <c r="F541">
        <v>301111</v>
      </c>
      <c r="G541" s="1">
        <v>38594</v>
      </c>
      <c r="H541" s="1">
        <v>45482</v>
      </c>
      <c r="J541" t="s">
        <v>45</v>
      </c>
      <c r="K541" t="s">
        <v>326</v>
      </c>
      <c r="L541" t="s">
        <v>72</v>
      </c>
      <c r="M541" s="1">
        <v>43089</v>
      </c>
      <c r="N541" t="s">
        <v>47</v>
      </c>
      <c r="O541" t="s">
        <v>48</v>
      </c>
      <c r="P541" t="s">
        <v>49</v>
      </c>
      <c r="Q541" t="s">
        <v>4630</v>
      </c>
      <c r="R541" t="s">
        <v>4631</v>
      </c>
      <c r="S541">
        <v>670</v>
      </c>
      <c r="T541" t="s">
        <v>92</v>
      </c>
      <c r="U541" t="s">
        <v>417</v>
      </c>
      <c r="V541" t="s">
        <v>418</v>
      </c>
      <c r="W541" t="s">
        <v>419</v>
      </c>
      <c r="X541" t="s">
        <v>92</v>
      </c>
      <c r="Y541" t="s">
        <v>410</v>
      </c>
      <c r="Z541">
        <v>2666</v>
      </c>
      <c r="AA541">
        <v>39</v>
      </c>
      <c r="AB541">
        <v>39</v>
      </c>
      <c r="AC541" t="s">
        <v>420</v>
      </c>
      <c r="AD541" t="s">
        <v>421</v>
      </c>
      <c r="AE541" t="s">
        <v>422</v>
      </c>
      <c r="AF541" t="s">
        <v>4632</v>
      </c>
      <c r="AG541" t="s">
        <v>4633</v>
      </c>
      <c r="AH541" t="s">
        <v>4634</v>
      </c>
      <c r="AI541" t="s">
        <v>4635</v>
      </c>
      <c r="AJ541" s="2">
        <v>45848.64607638889</v>
      </c>
      <c r="AK541" t="s">
        <v>100</v>
      </c>
      <c r="AL541" t="s">
        <v>65</v>
      </c>
      <c r="AM541" s="3">
        <v>2.0034722222222223</v>
      </c>
      <c r="AN541" t="s">
        <v>66</v>
      </c>
      <c r="AO541" t="s">
        <v>101</v>
      </c>
    </row>
    <row r="542" spans="1:41" x14ac:dyDescent="0.2">
      <c r="A542">
        <v>370384</v>
      </c>
      <c r="B542" t="s">
        <v>4636</v>
      </c>
      <c r="C542" t="s">
        <v>558</v>
      </c>
      <c r="D542" t="s">
        <v>559</v>
      </c>
      <c r="E542" t="s">
        <v>4637</v>
      </c>
      <c r="F542">
        <v>260807</v>
      </c>
      <c r="G542" s="1">
        <v>34380</v>
      </c>
      <c r="H542" s="1">
        <v>45770</v>
      </c>
      <c r="I542" s="1">
        <v>46113</v>
      </c>
      <c r="J542" t="s">
        <v>45</v>
      </c>
      <c r="K542" t="s">
        <v>45</v>
      </c>
      <c r="L542" t="s">
        <v>429</v>
      </c>
      <c r="N542" t="s">
        <v>47</v>
      </c>
      <c r="O542" t="s">
        <v>48</v>
      </c>
      <c r="P542" t="s">
        <v>49</v>
      </c>
      <c r="Q542" t="s">
        <v>4638</v>
      </c>
      <c r="R542" t="s">
        <v>4639</v>
      </c>
      <c r="S542">
        <v>7025</v>
      </c>
      <c r="T542" t="s">
        <v>365</v>
      </c>
      <c r="U542" t="s">
        <v>562</v>
      </c>
      <c r="V542" t="s">
        <v>563</v>
      </c>
      <c r="W542" t="s">
        <v>367</v>
      </c>
      <c r="X542" t="s">
        <v>76</v>
      </c>
      <c r="Y542" t="s">
        <v>434</v>
      </c>
      <c r="Z542">
        <v>265</v>
      </c>
      <c r="AA542">
        <v>48</v>
      </c>
      <c r="AB542">
        <v>138</v>
      </c>
      <c r="AC542" t="s">
        <v>564</v>
      </c>
      <c r="AD542" t="s">
        <v>565</v>
      </c>
      <c r="AE542" t="s">
        <v>566</v>
      </c>
      <c r="AI542" t="s">
        <v>567</v>
      </c>
      <c r="AJ542" s="2">
        <v>45772.856666666667</v>
      </c>
      <c r="AK542" t="s">
        <v>568</v>
      </c>
      <c r="AL542" t="s">
        <v>65</v>
      </c>
      <c r="AM542" s="3">
        <v>1.1319444444444444</v>
      </c>
      <c r="AN542" t="s">
        <v>66</v>
      </c>
      <c r="AO542" t="s">
        <v>67</v>
      </c>
    </row>
    <row r="543" spans="1:41" x14ac:dyDescent="0.2">
      <c r="A543">
        <v>367530</v>
      </c>
      <c r="B543" t="s">
        <v>4640</v>
      </c>
      <c r="C543" t="s">
        <v>118</v>
      </c>
      <c r="D543" t="s">
        <v>1363</v>
      </c>
      <c r="E543" t="s">
        <v>4641</v>
      </c>
      <c r="G543" s="1">
        <v>44951</v>
      </c>
      <c r="H543" s="1">
        <v>45670</v>
      </c>
      <c r="J543" t="s">
        <v>45</v>
      </c>
      <c r="K543" t="s">
        <v>45</v>
      </c>
      <c r="L543" t="s">
        <v>46</v>
      </c>
      <c r="N543" t="s">
        <v>47</v>
      </c>
      <c r="O543" t="s">
        <v>48</v>
      </c>
      <c r="P543" t="s">
        <v>49</v>
      </c>
      <c r="Q543" t="s">
        <v>4642</v>
      </c>
      <c r="R543" t="s">
        <v>4643</v>
      </c>
      <c r="S543">
        <v>3477</v>
      </c>
      <c r="T543" t="s">
        <v>52</v>
      </c>
      <c r="U543">
        <v>3</v>
      </c>
      <c r="V543" t="s">
        <v>4644</v>
      </c>
      <c r="W543" t="s">
        <v>54</v>
      </c>
      <c r="X543" t="s">
        <v>55</v>
      </c>
      <c r="Y543" t="s">
        <v>56</v>
      </c>
      <c r="Z543">
        <v>12147</v>
      </c>
      <c r="AA543">
        <v>10</v>
      </c>
      <c r="AB543">
        <v>44</v>
      </c>
      <c r="AC543" t="s">
        <v>4645</v>
      </c>
      <c r="AD543" t="s">
        <v>4646</v>
      </c>
      <c r="AE543" t="s">
        <v>4647</v>
      </c>
      <c r="AJ543" s="2">
        <v>45680.597129629627</v>
      </c>
      <c r="AK543" t="s">
        <v>568</v>
      </c>
      <c r="AL543" t="s">
        <v>65</v>
      </c>
      <c r="AM543" s="4">
        <v>0.85763888888888884</v>
      </c>
      <c r="AN543" t="s">
        <v>66</v>
      </c>
      <c r="AO543" t="s">
        <v>67</v>
      </c>
    </row>
    <row r="544" spans="1:41" x14ac:dyDescent="0.2">
      <c r="A544">
        <v>369871</v>
      </c>
      <c r="B544" t="s">
        <v>4648</v>
      </c>
      <c r="C544" t="s">
        <v>345</v>
      </c>
      <c r="D544" t="s">
        <v>1927</v>
      </c>
      <c r="E544">
        <v>32788204</v>
      </c>
      <c r="G544" s="1">
        <v>45247</v>
      </c>
      <c r="H544" s="1">
        <v>45728</v>
      </c>
      <c r="I544" s="1">
        <v>46113</v>
      </c>
      <c r="J544" t="s">
        <v>45</v>
      </c>
      <c r="K544" t="s">
        <v>45</v>
      </c>
      <c r="L544" t="s">
        <v>72</v>
      </c>
      <c r="N544" t="s">
        <v>47</v>
      </c>
      <c r="O544" t="s">
        <v>121</v>
      </c>
      <c r="P544" t="s">
        <v>49</v>
      </c>
      <c r="Q544" t="s">
        <v>4649</v>
      </c>
      <c r="R544" t="s">
        <v>4650</v>
      </c>
      <c r="S544">
        <v>7933</v>
      </c>
      <c r="T544" t="s">
        <v>365</v>
      </c>
      <c r="U544" t="s">
        <v>432</v>
      </c>
      <c r="V544" t="s">
        <v>4651</v>
      </c>
      <c r="W544" t="s">
        <v>367</v>
      </c>
      <c r="X544" t="s">
        <v>76</v>
      </c>
      <c r="Y544" t="s">
        <v>125</v>
      </c>
      <c r="Z544">
        <v>2161</v>
      </c>
      <c r="AA544">
        <v>97</v>
      </c>
      <c r="AB544">
        <v>160</v>
      </c>
      <c r="AC544" t="s">
        <v>4652</v>
      </c>
      <c r="AD544" t="s">
        <v>4653</v>
      </c>
      <c r="AE544" t="s">
        <v>4654</v>
      </c>
      <c r="AI544" t="s">
        <v>4655</v>
      </c>
      <c r="AJ544" s="2">
        <v>45756.630543981482</v>
      </c>
      <c r="AK544" t="s">
        <v>84</v>
      </c>
      <c r="AL544" t="s">
        <v>65</v>
      </c>
      <c r="AM544" s="4">
        <v>0.34027777777777779</v>
      </c>
      <c r="AN544" t="s">
        <v>66</v>
      </c>
      <c r="AO544" t="s">
        <v>67</v>
      </c>
    </row>
    <row r="545" spans="1:41" x14ac:dyDescent="0.2">
      <c r="A545">
        <v>369267</v>
      </c>
      <c r="B545" t="s">
        <v>4656</v>
      </c>
      <c r="C545" t="s">
        <v>345</v>
      </c>
      <c r="D545" t="s">
        <v>1927</v>
      </c>
      <c r="E545">
        <v>32644118</v>
      </c>
      <c r="G545" s="1">
        <v>45541</v>
      </c>
      <c r="H545" s="1">
        <v>45729</v>
      </c>
      <c r="I545" s="1">
        <v>46113</v>
      </c>
      <c r="J545" t="s">
        <v>45</v>
      </c>
      <c r="K545" t="s">
        <v>45</v>
      </c>
      <c r="L545" t="s">
        <v>72</v>
      </c>
      <c r="M545" s="1">
        <v>37904</v>
      </c>
      <c r="N545" t="s">
        <v>89</v>
      </c>
      <c r="O545" t="s">
        <v>121</v>
      </c>
      <c r="P545" t="s">
        <v>49</v>
      </c>
      <c r="Q545" t="s">
        <v>4657</v>
      </c>
      <c r="R545" t="s">
        <v>4658</v>
      </c>
      <c r="S545">
        <v>9840</v>
      </c>
      <c r="T545" t="s">
        <v>365</v>
      </c>
      <c r="U545" t="s">
        <v>432</v>
      </c>
      <c r="V545" t="s">
        <v>4651</v>
      </c>
      <c r="W545" t="s">
        <v>367</v>
      </c>
      <c r="X545" t="s">
        <v>76</v>
      </c>
      <c r="Y545" t="s">
        <v>125</v>
      </c>
      <c r="Z545">
        <v>2353</v>
      </c>
      <c r="AA545">
        <v>88</v>
      </c>
      <c r="AB545">
        <v>160</v>
      </c>
      <c r="AC545" t="s">
        <v>4652</v>
      </c>
      <c r="AD545" t="s">
        <v>4653</v>
      </c>
      <c r="AE545" t="s">
        <v>4654</v>
      </c>
      <c r="AI545" t="s">
        <v>4655</v>
      </c>
      <c r="AJ545" s="2">
        <v>45733.432604166665</v>
      </c>
      <c r="AK545" t="s">
        <v>800</v>
      </c>
      <c r="AL545" t="s">
        <v>65</v>
      </c>
      <c r="AM545" s="4">
        <v>0.33333333333333331</v>
      </c>
      <c r="AN545" t="s">
        <v>66</v>
      </c>
      <c r="AO545" t="s">
        <v>67</v>
      </c>
    </row>
    <row r="546" spans="1:41" x14ac:dyDescent="0.2">
      <c r="A546">
        <v>372486</v>
      </c>
      <c r="B546" t="s">
        <v>4659</v>
      </c>
      <c r="C546" t="s">
        <v>69</v>
      </c>
      <c r="D546" t="s">
        <v>4660</v>
      </c>
      <c r="E546">
        <v>32756290</v>
      </c>
      <c r="G546" s="1">
        <v>45840</v>
      </c>
      <c r="H546" s="1">
        <v>45692</v>
      </c>
      <c r="I546" s="1">
        <v>46068</v>
      </c>
      <c r="J546" t="s">
        <v>45</v>
      </c>
      <c r="K546" t="s">
        <v>45</v>
      </c>
      <c r="L546" t="s">
        <v>72</v>
      </c>
      <c r="M546" s="1">
        <v>40388</v>
      </c>
      <c r="N546" t="s">
        <v>47</v>
      </c>
      <c r="O546" t="s">
        <v>121</v>
      </c>
      <c r="P546" t="s">
        <v>49</v>
      </c>
      <c r="Q546" t="s">
        <v>4661</v>
      </c>
      <c r="R546" t="s">
        <v>4662</v>
      </c>
      <c r="S546">
        <v>6429</v>
      </c>
      <c r="T546" t="s">
        <v>365</v>
      </c>
      <c r="U546" t="s">
        <v>532</v>
      </c>
      <c r="V546" t="s">
        <v>4663</v>
      </c>
      <c r="W546" t="s">
        <v>367</v>
      </c>
      <c r="X546" t="s">
        <v>76</v>
      </c>
      <c r="Y546" t="s">
        <v>125</v>
      </c>
      <c r="Z546">
        <v>3002</v>
      </c>
      <c r="AA546">
        <v>124</v>
      </c>
      <c r="AB546">
        <v>176</v>
      </c>
      <c r="AC546" t="s">
        <v>4664</v>
      </c>
      <c r="AD546" t="s">
        <v>4665</v>
      </c>
      <c r="AE546" t="s">
        <v>3151</v>
      </c>
      <c r="AF546" t="s">
        <v>4666</v>
      </c>
      <c r="AG546" t="s">
        <v>4667</v>
      </c>
      <c r="AH546" t="s">
        <v>4668</v>
      </c>
      <c r="AJ546" s="2">
        <v>45840.84474537037</v>
      </c>
      <c r="AK546" t="s">
        <v>276</v>
      </c>
      <c r="AL546" t="s">
        <v>65</v>
      </c>
      <c r="AM546" s="4">
        <v>6.25E-2</v>
      </c>
      <c r="AN546" t="s">
        <v>66</v>
      </c>
      <c r="AO546" t="s">
        <v>67</v>
      </c>
    </row>
    <row r="547" spans="1:41" x14ac:dyDescent="0.2">
      <c r="A547">
        <v>371255</v>
      </c>
      <c r="B547" t="s">
        <v>4669</v>
      </c>
      <c r="C547" t="s">
        <v>69</v>
      </c>
      <c r="E547" t="s">
        <v>4670</v>
      </c>
      <c r="F547">
        <v>40992</v>
      </c>
      <c r="G547" s="1">
        <v>45688</v>
      </c>
      <c r="H547" s="1">
        <v>45691</v>
      </c>
      <c r="I547" s="1">
        <v>46068</v>
      </c>
      <c r="J547" t="s">
        <v>45</v>
      </c>
      <c r="K547" t="s">
        <v>45</v>
      </c>
      <c r="L547" t="s">
        <v>72</v>
      </c>
      <c r="N547" t="s">
        <v>47</v>
      </c>
      <c r="O547" t="s">
        <v>121</v>
      </c>
      <c r="P547" t="s">
        <v>49</v>
      </c>
      <c r="Q547" t="s">
        <v>4671</v>
      </c>
      <c r="R547" t="s">
        <v>4672</v>
      </c>
      <c r="S547">
        <v>5400</v>
      </c>
      <c r="T547" t="s">
        <v>365</v>
      </c>
      <c r="U547" t="s">
        <v>532</v>
      </c>
      <c r="V547" t="s">
        <v>4663</v>
      </c>
      <c r="W547" t="s">
        <v>367</v>
      </c>
      <c r="X547" t="s">
        <v>76</v>
      </c>
      <c r="Y547" t="s">
        <v>125</v>
      </c>
      <c r="Z547">
        <v>8086</v>
      </c>
      <c r="AA547">
        <v>65</v>
      </c>
      <c r="AB547">
        <v>144</v>
      </c>
      <c r="AC547" t="s">
        <v>4664</v>
      </c>
      <c r="AD547" t="s">
        <v>4673</v>
      </c>
      <c r="AE547" t="s">
        <v>3151</v>
      </c>
      <c r="AJ547" s="2">
        <v>45800.826562499999</v>
      </c>
      <c r="AK547" t="s">
        <v>1167</v>
      </c>
      <c r="AL547" t="s">
        <v>65</v>
      </c>
      <c r="AM547" s="3">
        <v>1.9097222222222223</v>
      </c>
      <c r="AN547" t="s">
        <v>66</v>
      </c>
      <c r="AO547" t="s">
        <v>67</v>
      </c>
    </row>
    <row r="548" spans="1:41" x14ac:dyDescent="0.2">
      <c r="A548">
        <v>346122</v>
      </c>
      <c r="B548" t="s">
        <v>4674</v>
      </c>
      <c r="C548" t="s">
        <v>182</v>
      </c>
      <c r="D548" t="s">
        <v>779</v>
      </c>
      <c r="E548" t="s">
        <v>4675</v>
      </c>
      <c r="G548" s="1">
        <v>44959</v>
      </c>
      <c r="H548" s="1">
        <v>44960</v>
      </c>
      <c r="I548" s="1">
        <v>46006</v>
      </c>
      <c r="J548" t="s">
        <v>45</v>
      </c>
      <c r="K548" t="s">
        <v>45</v>
      </c>
      <c r="L548" t="s">
        <v>72</v>
      </c>
      <c r="N548" t="s">
        <v>89</v>
      </c>
      <c r="O548" t="s">
        <v>121</v>
      </c>
      <c r="P548" t="s">
        <v>49</v>
      </c>
      <c r="Q548" t="s">
        <v>4676</v>
      </c>
      <c r="R548" t="s">
        <v>4677</v>
      </c>
      <c r="S548">
        <v>830</v>
      </c>
      <c r="T548" t="s">
        <v>365</v>
      </c>
      <c r="U548" t="s">
        <v>815</v>
      </c>
      <c r="V548" t="s">
        <v>816</v>
      </c>
      <c r="W548" t="s">
        <v>367</v>
      </c>
      <c r="X548" t="s">
        <v>76</v>
      </c>
      <c r="Y548" t="s">
        <v>125</v>
      </c>
      <c r="Z548">
        <v>8107</v>
      </c>
      <c r="AA548">
        <v>12</v>
      </c>
      <c r="AB548">
        <v>78</v>
      </c>
      <c r="AC548" t="s">
        <v>4678</v>
      </c>
      <c r="AD548" t="s">
        <v>818</v>
      </c>
      <c r="AE548" t="s">
        <v>819</v>
      </c>
      <c r="AF548" t="s">
        <v>4679</v>
      </c>
      <c r="AG548" t="s">
        <v>4680</v>
      </c>
      <c r="AH548" t="s">
        <v>4681</v>
      </c>
      <c r="AI548" t="s">
        <v>818</v>
      </c>
      <c r="AJ548" s="2">
        <v>44960.538680555554</v>
      </c>
      <c r="AK548" t="s">
        <v>132</v>
      </c>
      <c r="AL548" t="s">
        <v>65</v>
      </c>
      <c r="AM548" s="4">
        <v>0.74305555555555558</v>
      </c>
      <c r="AN548" t="s">
        <v>66</v>
      </c>
      <c r="AO548" t="s">
        <v>67</v>
      </c>
    </row>
    <row r="549" spans="1:41" x14ac:dyDescent="0.2">
      <c r="A549">
        <v>355797</v>
      </c>
      <c r="B549" t="s">
        <v>4682</v>
      </c>
      <c r="C549" t="s">
        <v>182</v>
      </c>
      <c r="E549" t="s">
        <v>4683</v>
      </c>
      <c r="J549" t="s">
        <v>45</v>
      </c>
      <c r="K549" t="s">
        <v>45</v>
      </c>
      <c r="L549" t="s">
        <v>72</v>
      </c>
      <c r="N549" t="s">
        <v>89</v>
      </c>
      <c r="O549" t="s">
        <v>48</v>
      </c>
      <c r="P549" t="s">
        <v>49</v>
      </c>
      <c r="T549" t="s">
        <v>92</v>
      </c>
      <c r="U549" t="s">
        <v>187</v>
      </c>
      <c r="V549" t="s">
        <v>4684</v>
      </c>
      <c r="W549" t="s">
        <v>4685</v>
      </c>
      <c r="X549" t="s">
        <v>92</v>
      </c>
      <c r="Y549" t="s">
        <v>96</v>
      </c>
      <c r="Z549">
        <v>12217</v>
      </c>
      <c r="AA549">
        <v>3</v>
      </c>
      <c r="AB549">
        <v>20</v>
      </c>
      <c r="AC549" t="s">
        <v>4686</v>
      </c>
      <c r="AD549" t="s">
        <v>4687</v>
      </c>
      <c r="AE549" t="s">
        <v>4688</v>
      </c>
      <c r="AF549" t="s">
        <v>4689</v>
      </c>
      <c r="AG549" t="s">
        <v>4690</v>
      </c>
      <c r="AH549" t="s">
        <v>4691</v>
      </c>
      <c r="AJ549" s="2">
        <v>45274.884502314817</v>
      </c>
      <c r="AK549" t="s">
        <v>100</v>
      </c>
      <c r="AL549" t="s">
        <v>65</v>
      </c>
      <c r="AM549" s="4">
        <v>0.73333333333333328</v>
      </c>
      <c r="AN549" t="s">
        <v>66</v>
      </c>
      <c r="AO549" t="s">
        <v>67</v>
      </c>
    </row>
    <row r="550" spans="1:41" x14ac:dyDescent="0.2">
      <c r="A550">
        <v>355799</v>
      </c>
      <c r="B550" t="s">
        <v>4692</v>
      </c>
      <c r="C550" t="s">
        <v>182</v>
      </c>
      <c r="E550" t="s">
        <v>4693</v>
      </c>
      <c r="J550" t="s">
        <v>45</v>
      </c>
      <c r="K550" t="s">
        <v>45</v>
      </c>
      <c r="L550" t="s">
        <v>72</v>
      </c>
      <c r="N550" t="s">
        <v>89</v>
      </c>
      <c r="O550" t="s">
        <v>48</v>
      </c>
      <c r="P550" t="s">
        <v>49</v>
      </c>
      <c r="T550" t="s">
        <v>92</v>
      </c>
      <c r="U550" t="s">
        <v>187</v>
      </c>
      <c r="V550" t="s">
        <v>4684</v>
      </c>
      <c r="W550" t="s">
        <v>4685</v>
      </c>
      <c r="X550" t="s">
        <v>92</v>
      </c>
      <c r="Y550" t="s">
        <v>96</v>
      </c>
      <c r="Z550">
        <v>12218</v>
      </c>
      <c r="AA550">
        <v>2</v>
      </c>
      <c r="AB550">
        <v>20</v>
      </c>
      <c r="AC550" t="s">
        <v>4686</v>
      </c>
      <c r="AD550" t="s">
        <v>4687</v>
      </c>
      <c r="AE550" t="s">
        <v>4688</v>
      </c>
      <c r="AF550" t="s">
        <v>4689</v>
      </c>
      <c r="AG550" t="s">
        <v>4690</v>
      </c>
      <c r="AH550" t="s">
        <v>4691</v>
      </c>
      <c r="AJ550" s="2">
        <v>45274.893182870372</v>
      </c>
      <c r="AK550" t="s">
        <v>100</v>
      </c>
      <c r="AL550" t="s">
        <v>65</v>
      </c>
      <c r="AM550" s="4">
        <v>0.73750000000000004</v>
      </c>
      <c r="AN550" t="s">
        <v>66</v>
      </c>
      <c r="AO550" t="s">
        <v>67</v>
      </c>
    </row>
    <row r="551" spans="1:41" x14ac:dyDescent="0.2">
      <c r="A551">
        <v>373077</v>
      </c>
      <c r="B551" t="s">
        <v>4694</v>
      </c>
      <c r="C551" t="s">
        <v>69</v>
      </c>
      <c r="D551" t="s">
        <v>69</v>
      </c>
      <c r="E551" t="s">
        <v>4695</v>
      </c>
      <c r="F551">
        <v>21099</v>
      </c>
      <c r="G551" s="1">
        <v>45856</v>
      </c>
      <c r="H551" s="1">
        <v>45792</v>
      </c>
      <c r="I551" s="1">
        <v>46174</v>
      </c>
      <c r="J551" t="s">
        <v>45</v>
      </c>
      <c r="K551" t="s">
        <v>45</v>
      </c>
      <c r="L551" t="s">
        <v>72</v>
      </c>
      <c r="N551" t="s">
        <v>89</v>
      </c>
      <c r="O551" t="s">
        <v>121</v>
      </c>
      <c r="P551" t="s">
        <v>49</v>
      </c>
      <c r="Q551" t="s">
        <v>4696</v>
      </c>
      <c r="R551" t="s">
        <v>4697</v>
      </c>
      <c r="S551">
        <v>5280</v>
      </c>
      <c r="T551" t="s">
        <v>52</v>
      </c>
      <c r="U551">
        <v>1</v>
      </c>
      <c r="V551" t="s">
        <v>4698</v>
      </c>
      <c r="W551" t="s">
        <v>54</v>
      </c>
      <c r="X551" t="s">
        <v>52</v>
      </c>
      <c r="Y551" t="s">
        <v>125</v>
      </c>
      <c r="Z551">
        <v>2596</v>
      </c>
      <c r="AA551">
        <v>91</v>
      </c>
      <c r="AB551">
        <v>160</v>
      </c>
      <c r="AC551" t="s">
        <v>4699</v>
      </c>
      <c r="AD551" t="s">
        <v>4700</v>
      </c>
      <c r="AE551" t="s">
        <v>4701</v>
      </c>
      <c r="AF551" t="s">
        <v>4702</v>
      </c>
      <c r="AG551" t="s">
        <v>4703</v>
      </c>
      <c r="AH551" t="s">
        <v>4704</v>
      </c>
      <c r="AI551" t="s">
        <v>4705</v>
      </c>
      <c r="AJ551" s="2">
        <v>45856.838182870371</v>
      </c>
      <c r="AK551" t="s">
        <v>132</v>
      </c>
      <c r="AL551" t="s">
        <v>65</v>
      </c>
      <c r="AM551" s="3">
        <v>1.4652777777777777</v>
      </c>
      <c r="AN551" t="s">
        <v>66</v>
      </c>
      <c r="AO551" t="s">
        <v>67</v>
      </c>
    </row>
    <row r="552" spans="1:41" x14ac:dyDescent="0.2">
      <c r="A552">
        <v>373041</v>
      </c>
      <c r="B552" t="s">
        <v>4706</v>
      </c>
      <c r="C552" t="s">
        <v>167</v>
      </c>
      <c r="D552" t="s">
        <v>4707</v>
      </c>
      <c r="E552" t="s">
        <v>4708</v>
      </c>
      <c r="F552">
        <v>350215</v>
      </c>
      <c r="G552" s="1">
        <v>37778</v>
      </c>
      <c r="H552" s="1">
        <v>45512</v>
      </c>
      <c r="I552" s="1">
        <v>46218</v>
      </c>
      <c r="J552" t="s">
        <v>45</v>
      </c>
      <c r="K552" t="s">
        <v>45</v>
      </c>
      <c r="L552" t="s">
        <v>429</v>
      </c>
      <c r="M552" s="1">
        <v>43287</v>
      </c>
      <c r="N552" t="s">
        <v>47</v>
      </c>
      <c r="O552" t="s">
        <v>48</v>
      </c>
      <c r="P552" t="s">
        <v>49</v>
      </c>
      <c r="Q552" t="s">
        <v>4709</v>
      </c>
      <c r="R552" t="s">
        <v>4710</v>
      </c>
      <c r="S552">
        <v>2157</v>
      </c>
      <c r="T552" t="s">
        <v>52</v>
      </c>
      <c r="U552">
        <v>6</v>
      </c>
      <c r="V552" t="s">
        <v>4320</v>
      </c>
      <c r="W552" t="s">
        <v>54</v>
      </c>
      <c r="X552" t="s">
        <v>76</v>
      </c>
      <c r="Y552" t="s">
        <v>56</v>
      </c>
      <c r="Z552">
        <v>840</v>
      </c>
      <c r="AA552">
        <v>68</v>
      </c>
      <c r="AB552">
        <v>166</v>
      </c>
      <c r="AC552" t="s">
        <v>3254</v>
      </c>
      <c r="AD552" t="s">
        <v>3255</v>
      </c>
      <c r="AE552" t="s">
        <v>3256</v>
      </c>
      <c r="AI552" t="s">
        <v>179</v>
      </c>
      <c r="AJ552" s="2">
        <v>45856.052025462966</v>
      </c>
      <c r="AK552" t="s">
        <v>556</v>
      </c>
      <c r="AL552" t="s">
        <v>65</v>
      </c>
      <c r="AM552" s="4">
        <v>0.4513888888888889</v>
      </c>
      <c r="AN552" t="s">
        <v>66</v>
      </c>
      <c r="AO552" t="s">
        <v>67</v>
      </c>
    </row>
    <row r="553" spans="1:41" x14ac:dyDescent="0.2">
      <c r="A553">
        <v>364631</v>
      </c>
      <c r="B553" t="s">
        <v>4706</v>
      </c>
      <c r="C553" t="s">
        <v>662</v>
      </c>
      <c r="D553" t="s">
        <v>4711</v>
      </c>
      <c r="E553" t="s">
        <v>4712</v>
      </c>
      <c r="F553">
        <v>418701</v>
      </c>
      <c r="G553" s="1">
        <v>38925</v>
      </c>
      <c r="H553" s="1">
        <v>45553</v>
      </c>
      <c r="I553" s="1">
        <v>45931</v>
      </c>
      <c r="J553" t="s">
        <v>45</v>
      </c>
      <c r="K553" t="s">
        <v>45</v>
      </c>
      <c r="L553" t="s">
        <v>72</v>
      </c>
      <c r="M553" s="1">
        <v>45553</v>
      </c>
      <c r="N553" t="s">
        <v>47</v>
      </c>
      <c r="O553" t="s">
        <v>48</v>
      </c>
      <c r="P553" t="s">
        <v>49</v>
      </c>
      <c r="Q553" t="s">
        <v>4713</v>
      </c>
      <c r="R553" t="s">
        <v>4714</v>
      </c>
      <c r="S553">
        <v>3052</v>
      </c>
      <c r="T553" t="s">
        <v>257</v>
      </c>
      <c r="U553" t="s">
        <v>283</v>
      </c>
      <c r="V553" t="s">
        <v>4715</v>
      </c>
      <c r="W553" t="s">
        <v>260</v>
      </c>
      <c r="X553" t="s">
        <v>257</v>
      </c>
      <c r="Y553" t="s">
        <v>110</v>
      </c>
      <c r="Z553">
        <v>1381</v>
      </c>
      <c r="AA553">
        <v>46</v>
      </c>
      <c r="AB553">
        <v>166</v>
      </c>
      <c r="AC553" t="s">
        <v>4716</v>
      </c>
      <c r="AD553" t="s">
        <v>4717</v>
      </c>
      <c r="AE553" t="s">
        <v>4718</v>
      </c>
      <c r="AF553" t="s">
        <v>4719</v>
      </c>
      <c r="AG553" t="s">
        <v>4720</v>
      </c>
      <c r="AH553" t="s">
        <v>4721</v>
      </c>
      <c r="AI553" t="s">
        <v>4717</v>
      </c>
      <c r="AJ553" s="2">
        <v>45553.811215277776</v>
      </c>
      <c r="AK553" t="s">
        <v>4719</v>
      </c>
      <c r="AL553" t="s">
        <v>65</v>
      </c>
      <c r="AM553" s="3">
        <v>1.4791666666666667</v>
      </c>
      <c r="AN553" t="s">
        <v>66</v>
      </c>
      <c r="AO553" t="s">
        <v>67</v>
      </c>
    </row>
    <row r="554" spans="1:41" x14ac:dyDescent="0.2">
      <c r="A554">
        <v>372691</v>
      </c>
      <c r="B554" t="s">
        <v>4722</v>
      </c>
      <c r="C554" t="s">
        <v>134</v>
      </c>
      <c r="D554" t="s">
        <v>2341</v>
      </c>
      <c r="E554">
        <v>32318784</v>
      </c>
      <c r="F554">
        <v>452917</v>
      </c>
      <c r="G554" s="1">
        <v>34983</v>
      </c>
      <c r="H554" s="1">
        <v>45814</v>
      </c>
      <c r="I554" s="1">
        <v>46174</v>
      </c>
      <c r="J554" t="s">
        <v>45</v>
      </c>
      <c r="K554" t="s">
        <v>45</v>
      </c>
      <c r="L554" t="s">
        <v>429</v>
      </c>
      <c r="M554" s="1">
        <v>41838</v>
      </c>
      <c r="N554" t="s">
        <v>47</v>
      </c>
      <c r="O554" t="s">
        <v>48</v>
      </c>
      <c r="P554" t="s">
        <v>49</v>
      </c>
      <c r="Q554" t="s">
        <v>4723</v>
      </c>
      <c r="R554" t="s">
        <v>4724</v>
      </c>
      <c r="S554">
        <v>4300</v>
      </c>
      <c r="T554" t="s">
        <v>52</v>
      </c>
      <c r="U554">
        <v>6</v>
      </c>
      <c r="V554" t="s">
        <v>3463</v>
      </c>
      <c r="W554" t="s">
        <v>54</v>
      </c>
      <c r="X554" t="s">
        <v>76</v>
      </c>
      <c r="Y554" t="s">
        <v>56</v>
      </c>
      <c r="Z554">
        <v>1018</v>
      </c>
      <c r="AA554">
        <v>58</v>
      </c>
      <c r="AB554">
        <v>160</v>
      </c>
      <c r="AC554" t="s">
        <v>4725</v>
      </c>
      <c r="AD554" t="s">
        <v>4726</v>
      </c>
      <c r="AE554" t="s">
        <v>4727</v>
      </c>
      <c r="AF554" t="s">
        <v>4728</v>
      </c>
      <c r="AG554" t="s">
        <v>4729</v>
      </c>
      <c r="AI554" t="s">
        <v>4730</v>
      </c>
      <c r="AJ554" s="2">
        <v>45849.953287037039</v>
      </c>
      <c r="AK554" t="s">
        <v>4725</v>
      </c>
      <c r="AL554" t="s">
        <v>65</v>
      </c>
      <c r="AM554" s="3">
        <v>1.0694444444444444</v>
      </c>
      <c r="AN554" t="s">
        <v>66</v>
      </c>
      <c r="AO554" t="s">
        <v>67</v>
      </c>
    </row>
    <row r="555" spans="1:41" x14ac:dyDescent="0.2">
      <c r="A555">
        <v>372632</v>
      </c>
      <c r="B555" t="s">
        <v>4731</v>
      </c>
      <c r="C555" t="s">
        <v>182</v>
      </c>
      <c r="D555" t="s">
        <v>1086</v>
      </c>
      <c r="E555" t="s">
        <v>4732</v>
      </c>
      <c r="F555">
        <v>44719</v>
      </c>
      <c r="G555" s="1">
        <v>36405</v>
      </c>
      <c r="H555" s="1">
        <v>45827</v>
      </c>
      <c r="I555" s="1">
        <v>46188</v>
      </c>
      <c r="J555" t="s">
        <v>45</v>
      </c>
      <c r="K555" t="s">
        <v>45</v>
      </c>
      <c r="L555" t="s">
        <v>72</v>
      </c>
      <c r="M555" s="1">
        <v>44351</v>
      </c>
      <c r="N555" t="s">
        <v>47</v>
      </c>
      <c r="O555" t="s">
        <v>48</v>
      </c>
      <c r="P555" t="s">
        <v>49</v>
      </c>
      <c r="Q555" t="s">
        <v>4733</v>
      </c>
      <c r="R555" t="s">
        <v>4734</v>
      </c>
      <c r="S555">
        <v>4720</v>
      </c>
      <c r="T555" t="s">
        <v>257</v>
      </c>
      <c r="U555" t="s">
        <v>640</v>
      </c>
      <c r="V555" t="s">
        <v>1090</v>
      </c>
      <c r="W555" t="s">
        <v>260</v>
      </c>
      <c r="X555" t="s">
        <v>257</v>
      </c>
      <c r="Y555" t="s">
        <v>110</v>
      </c>
      <c r="Z555">
        <v>1313</v>
      </c>
      <c r="AA555">
        <v>65</v>
      </c>
      <c r="AB555">
        <v>34</v>
      </c>
      <c r="AC555" t="s">
        <v>1091</v>
      </c>
      <c r="AD555" t="s">
        <v>1092</v>
      </c>
      <c r="AE555" t="s">
        <v>1093</v>
      </c>
      <c r="AF555" t="s">
        <v>1094</v>
      </c>
      <c r="AG555" t="s">
        <v>1095</v>
      </c>
      <c r="AH555" t="s">
        <v>1096</v>
      </c>
      <c r="AI555" t="s">
        <v>1092</v>
      </c>
      <c r="AJ555" s="2">
        <v>45847.955451388887</v>
      </c>
      <c r="AK555" t="s">
        <v>1097</v>
      </c>
      <c r="AL555" t="s">
        <v>65</v>
      </c>
      <c r="AM555" s="4">
        <v>1.3888888888888888E-2</v>
      </c>
      <c r="AN555" t="s">
        <v>66</v>
      </c>
      <c r="AO555" t="s">
        <v>67</v>
      </c>
    </row>
    <row r="556" spans="1:41" x14ac:dyDescent="0.2">
      <c r="A556">
        <v>372596</v>
      </c>
      <c r="B556" t="s">
        <v>4735</v>
      </c>
      <c r="C556" t="s">
        <v>662</v>
      </c>
      <c r="D556" t="s">
        <v>4736</v>
      </c>
      <c r="E556" t="s">
        <v>4737</v>
      </c>
      <c r="F556">
        <v>419701</v>
      </c>
      <c r="G556" s="1">
        <v>45824</v>
      </c>
      <c r="H556" s="1">
        <v>45559</v>
      </c>
      <c r="I556" s="1">
        <v>45931</v>
      </c>
      <c r="J556" t="s">
        <v>45</v>
      </c>
      <c r="K556" t="s">
        <v>45</v>
      </c>
      <c r="L556" t="s">
        <v>72</v>
      </c>
      <c r="M556" s="1">
        <v>45846</v>
      </c>
      <c r="N556" t="s">
        <v>47</v>
      </c>
      <c r="O556" t="s">
        <v>48</v>
      </c>
      <c r="P556" t="s">
        <v>49</v>
      </c>
      <c r="Q556" t="s">
        <v>4738</v>
      </c>
      <c r="R556" t="s">
        <v>4739</v>
      </c>
      <c r="S556">
        <v>520</v>
      </c>
      <c r="T556" t="s">
        <v>92</v>
      </c>
      <c r="U556" t="s">
        <v>1197</v>
      </c>
      <c r="V556" t="s">
        <v>1198</v>
      </c>
      <c r="W556" t="s">
        <v>1199</v>
      </c>
      <c r="X556" t="s">
        <v>52</v>
      </c>
      <c r="Y556" t="s">
        <v>110</v>
      </c>
      <c r="Z556">
        <v>2523</v>
      </c>
      <c r="AA556">
        <v>35</v>
      </c>
      <c r="AB556">
        <v>158</v>
      </c>
      <c r="AC556" t="s">
        <v>1200</v>
      </c>
      <c r="AD556" t="s">
        <v>1201</v>
      </c>
      <c r="AE556" t="s">
        <v>1202</v>
      </c>
      <c r="AF556" t="s">
        <v>4740</v>
      </c>
      <c r="AG556" t="s">
        <v>4741</v>
      </c>
      <c r="AH556" t="s">
        <v>4742</v>
      </c>
      <c r="AJ556" s="2">
        <v>45846.836018518516</v>
      </c>
      <c r="AK556" t="s">
        <v>4740</v>
      </c>
      <c r="AL556" t="s">
        <v>65</v>
      </c>
      <c r="AM556" s="4">
        <v>0.31944444444444442</v>
      </c>
      <c r="AN556" t="s">
        <v>66</v>
      </c>
      <c r="AO556" t="s">
        <v>67</v>
      </c>
    </row>
    <row r="557" spans="1:41" x14ac:dyDescent="0.2">
      <c r="A557">
        <v>362109</v>
      </c>
      <c r="B557" t="s">
        <v>4743</v>
      </c>
      <c r="C557" t="s">
        <v>103</v>
      </c>
      <c r="D557" t="s">
        <v>4744</v>
      </c>
      <c r="E557" s="5">
        <v>323112000000</v>
      </c>
      <c r="F557">
        <v>319604</v>
      </c>
      <c r="G557" s="1">
        <v>36892</v>
      </c>
      <c r="H557" s="1">
        <v>44516</v>
      </c>
      <c r="J557" t="s">
        <v>45</v>
      </c>
      <c r="K557" t="s">
        <v>72</v>
      </c>
      <c r="L557" t="s">
        <v>72</v>
      </c>
      <c r="M557" s="1">
        <v>39937</v>
      </c>
      <c r="N557" t="s">
        <v>89</v>
      </c>
      <c r="O557" t="s">
        <v>48</v>
      </c>
      <c r="P557" t="s">
        <v>49</v>
      </c>
      <c r="Q557" t="s">
        <v>4745</v>
      </c>
      <c r="R557" t="s">
        <v>4746</v>
      </c>
      <c r="S557">
        <v>3</v>
      </c>
      <c r="T557" t="s">
        <v>156</v>
      </c>
      <c r="U557" t="s">
        <v>157</v>
      </c>
      <c r="V557" t="s">
        <v>4747</v>
      </c>
      <c r="W557" t="s">
        <v>159</v>
      </c>
      <c r="X557" t="s">
        <v>156</v>
      </c>
      <c r="Y557" t="s">
        <v>450</v>
      </c>
      <c r="Z557">
        <v>2814</v>
      </c>
      <c r="AA557">
        <v>22</v>
      </c>
      <c r="AB557">
        <v>166</v>
      </c>
      <c r="AC557" t="s">
        <v>4748</v>
      </c>
      <c r="AD557" t="s">
        <v>4749</v>
      </c>
      <c r="AE557" t="s">
        <v>4750</v>
      </c>
      <c r="AF557" t="s">
        <v>4751</v>
      </c>
      <c r="AG557" t="s">
        <v>4752</v>
      </c>
      <c r="AH557" t="s">
        <v>4753</v>
      </c>
      <c r="AI557" t="s">
        <v>4754</v>
      </c>
      <c r="AJ557" s="2">
        <v>45474.641412037039</v>
      </c>
      <c r="AK557" t="s">
        <v>660</v>
      </c>
      <c r="AL557" t="s">
        <v>65</v>
      </c>
      <c r="AM557" s="3">
        <v>1.0763888888888888</v>
      </c>
      <c r="AN557" t="s">
        <v>66</v>
      </c>
      <c r="AO557" t="s">
        <v>67</v>
      </c>
    </row>
    <row r="558" spans="1:41" x14ac:dyDescent="0.2">
      <c r="A558">
        <v>372928</v>
      </c>
      <c r="B558" t="s">
        <v>4755</v>
      </c>
      <c r="C558" t="s">
        <v>278</v>
      </c>
      <c r="D558" t="s">
        <v>870</v>
      </c>
      <c r="E558" s="5" t="s">
        <v>4756</v>
      </c>
      <c r="F558">
        <v>420901</v>
      </c>
      <c r="G558" s="1">
        <v>36606</v>
      </c>
      <c r="H558" s="1">
        <v>45583</v>
      </c>
      <c r="I558" s="1">
        <v>45945</v>
      </c>
      <c r="J558" t="s">
        <v>45</v>
      </c>
      <c r="K558" t="s">
        <v>45</v>
      </c>
      <c r="L558" t="s">
        <v>429</v>
      </c>
      <c r="M558" s="1">
        <v>43682</v>
      </c>
      <c r="N558" t="s">
        <v>47</v>
      </c>
      <c r="O558" t="s">
        <v>48</v>
      </c>
      <c r="P558" t="s">
        <v>49</v>
      </c>
      <c r="Q558" t="s">
        <v>4757</v>
      </c>
      <c r="R558" t="s">
        <v>4758</v>
      </c>
      <c r="S558">
        <v>4650</v>
      </c>
      <c r="T558" t="s">
        <v>365</v>
      </c>
      <c r="U558" t="s">
        <v>432</v>
      </c>
      <c r="V558" t="s">
        <v>874</v>
      </c>
      <c r="W558" t="s">
        <v>367</v>
      </c>
      <c r="X558" t="s">
        <v>76</v>
      </c>
      <c r="Y558" t="s">
        <v>434</v>
      </c>
      <c r="Z558">
        <v>1745</v>
      </c>
      <c r="AA558">
        <v>50</v>
      </c>
      <c r="AB558">
        <v>166</v>
      </c>
      <c r="AC558" t="s">
        <v>875</v>
      </c>
      <c r="AD558" t="s">
        <v>876</v>
      </c>
      <c r="AE558" t="s">
        <v>4759</v>
      </c>
      <c r="AF558" t="s">
        <v>3172</v>
      </c>
      <c r="AG558" t="s">
        <v>879</v>
      </c>
      <c r="AH558" t="s">
        <v>880</v>
      </c>
      <c r="AI558" t="s">
        <v>179</v>
      </c>
      <c r="AJ558" s="2">
        <v>45855.915277777778</v>
      </c>
      <c r="AK558" t="s">
        <v>556</v>
      </c>
      <c r="AL558" t="s">
        <v>65</v>
      </c>
      <c r="AM558" s="3">
        <v>2.2986111111111112</v>
      </c>
      <c r="AN558" t="s">
        <v>66</v>
      </c>
      <c r="AO558" t="s">
        <v>67</v>
      </c>
    </row>
    <row r="559" spans="1:41" x14ac:dyDescent="0.2">
      <c r="A559">
        <v>370387</v>
      </c>
      <c r="B559" t="s">
        <v>4760</v>
      </c>
      <c r="C559" t="s">
        <v>558</v>
      </c>
      <c r="D559" t="s">
        <v>559</v>
      </c>
      <c r="E559" t="s">
        <v>4761</v>
      </c>
      <c r="F559">
        <v>260805</v>
      </c>
      <c r="G559" s="1">
        <v>32710</v>
      </c>
      <c r="H559" s="1">
        <v>45770</v>
      </c>
      <c r="I559" s="1">
        <v>46113</v>
      </c>
      <c r="J559" t="s">
        <v>45</v>
      </c>
      <c r="K559" t="s">
        <v>45</v>
      </c>
      <c r="L559" t="s">
        <v>429</v>
      </c>
      <c r="M559" s="1">
        <v>36301</v>
      </c>
      <c r="N559" t="s">
        <v>47</v>
      </c>
      <c r="O559" t="s">
        <v>48</v>
      </c>
      <c r="P559" t="s">
        <v>49</v>
      </c>
      <c r="Q559" t="s">
        <v>4762</v>
      </c>
      <c r="R559" t="s">
        <v>4763</v>
      </c>
      <c r="S559">
        <v>7314</v>
      </c>
      <c r="T559" t="s">
        <v>365</v>
      </c>
      <c r="U559" t="s">
        <v>562</v>
      </c>
      <c r="V559" t="s">
        <v>563</v>
      </c>
      <c r="W559" t="s">
        <v>367</v>
      </c>
      <c r="X559" t="s">
        <v>76</v>
      </c>
      <c r="Y559" t="s">
        <v>434</v>
      </c>
      <c r="Z559">
        <v>268</v>
      </c>
      <c r="AA559">
        <v>54</v>
      </c>
      <c r="AB559">
        <v>158</v>
      </c>
      <c r="AC559" t="s">
        <v>564</v>
      </c>
      <c r="AD559" t="s">
        <v>565</v>
      </c>
      <c r="AE559" t="s">
        <v>566</v>
      </c>
      <c r="AI559" t="s">
        <v>567</v>
      </c>
      <c r="AJ559" s="2">
        <v>45772.862673611111</v>
      </c>
      <c r="AK559" t="s">
        <v>568</v>
      </c>
      <c r="AL559" t="s">
        <v>65</v>
      </c>
      <c r="AM559" s="3">
        <v>1.2916666666666667</v>
      </c>
      <c r="AN559" t="s">
        <v>66</v>
      </c>
      <c r="AO559" t="s">
        <v>67</v>
      </c>
    </row>
    <row r="560" spans="1:41" x14ac:dyDescent="0.2">
      <c r="A560">
        <v>368025</v>
      </c>
      <c r="B560" t="s">
        <v>4764</v>
      </c>
      <c r="C560" t="s">
        <v>118</v>
      </c>
      <c r="D560" t="s">
        <v>4473</v>
      </c>
      <c r="E560" t="s">
        <v>4765</v>
      </c>
      <c r="G560" s="1">
        <v>45693</v>
      </c>
      <c r="H560" s="1">
        <v>45693</v>
      </c>
      <c r="I560" s="1">
        <v>46068</v>
      </c>
      <c r="J560" t="s">
        <v>45</v>
      </c>
      <c r="K560" t="s">
        <v>45</v>
      </c>
      <c r="L560" t="s">
        <v>46</v>
      </c>
      <c r="N560" t="s">
        <v>47</v>
      </c>
      <c r="O560" t="s">
        <v>48</v>
      </c>
      <c r="P560" t="s">
        <v>49</v>
      </c>
      <c r="Q560" t="s">
        <v>4766</v>
      </c>
      <c r="R560" t="s">
        <v>4767</v>
      </c>
      <c r="S560">
        <v>4735</v>
      </c>
      <c r="T560" t="s">
        <v>52</v>
      </c>
      <c r="U560">
        <v>3</v>
      </c>
      <c r="V560" t="s">
        <v>4297</v>
      </c>
      <c r="W560" t="s">
        <v>54</v>
      </c>
      <c r="X560" t="s">
        <v>55</v>
      </c>
      <c r="Y560" t="s">
        <v>56</v>
      </c>
      <c r="Z560">
        <v>12235</v>
      </c>
      <c r="AA560">
        <v>6</v>
      </c>
      <c r="AB560">
        <v>44</v>
      </c>
      <c r="AC560" t="s">
        <v>4438</v>
      </c>
      <c r="AD560" t="s">
        <v>4299</v>
      </c>
      <c r="AE560" t="s">
        <v>4768</v>
      </c>
      <c r="AJ560" s="2">
        <v>45698.825856481482</v>
      </c>
      <c r="AK560" t="s">
        <v>307</v>
      </c>
      <c r="AL560" t="s">
        <v>65</v>
      </c>
      <c r="AM560" s="3">
        <v>1.5520833333333333</v>
      </c>
      <c r="AN560" t="s">
        <v>66</v>
      </c>
      <c r="AO560" t="s">
        <v>67</v>
      </c>
    </row>
    <row r="561" spans="1:41" x14ac:dyDescent="0.2">
      <c r="A561">
        <v>368546</v>
      </c>
      <c r="B561" t="s">
        <v>4769</v>
      </c>
      <c r="C561" t="s">
        <v>4770</v>
      </c>
      <c r="D561" t="s">
        <v>4771</v>
      </c>
      <c r="E561" t="s">
        <v>4772</v>
      </c>
      <c r="F561">
        <v>137801</v>
      </c>
      <c r="G561" s="1">
        <v>43768</v>
      </c>
      <c r="H561" s="1">
        <v>45714</v>
      </c>
      <c r="J561" t="s">
        <v>45</v>
      </c>
      <c r="K561" t="s">
        <v>45</v>
      </c>
      <c r="L561" t="s">
        <v>72</v>
      </c>
      <c r="N561" t="s">
        <v>47</v>
      </c>
      <c r="O561" t="s">
        <v>48</v>
      </c>
      <c r="P561" t="s">
        <v>49</v>
      </c>
      <c r="Q561" t="s">
        <v>4773</v>
      </c>
      <c r="R561" t="s">
        <v>4774</v>
      </c>
      <c r="S561">
        <v>667</v>
      </c>
      <c r="T561" t="s">
        <v>156</v>
      </c>
      <c r="U561" t="s">
        <v>241</v>
      </c>
      <c r="W561" t="s">
        <v>159</v>
      </c>
      <c r="X561" t="s">
        <v>156</v>
      </c>
      <c r="Y561" t="s">
        <v>770</v>
      </c>
      <c r="Z561">
        <v>10546</v>
      </c>
      <c r="AA561">
        <v>14</v>
      </c>
      <c r="AB561">
        <v>78</v>
      </c>
      <c r="AC561" t="s">
        <v>4775</v>
      </c>
      <c r="AD561" t="s">
        <v>4776</v>
      </c>
      <c r="AE561" t="s">
        <v>4777</v>
      </c>
      <c r="AF561" t="s">
        <v>4778</v>
      </c>
      <c r="AG561" t="s">
        <v>4779</v>
      </c>
      <c r="AH561" t="s">
        <v>4777</v>
      </c>
      <c r="AJ561" s="2">
        <v>45714.81077546296</v>
      </c>
      <c r="AK561" t="s">
        <v>4775</v>
      </c>
      <c r="AL561" t="s">
        <v>65</v>
      </c>
      <c r="AM561" s="3">
        <v>1.9236111111111112</v>
      </c>
      <c r="AN561" t="s">
        <v>66</v>
      </c>
      <c r="AO561" t="s">
        <v>67</v>
      </c>
    </row>
    <row r="562" spans="1:41" x14ac:dyDescent="0.2">
      <c r="A562">
        <v>366365</v>
      </c>
      <c r="B562" t="s">
        <v>4780</v>
      </c>
      <c r="C562" t="s">
        <v>754</v>
      </c>
      <c r="D562" t="s">
        <v>4781</v>
      </c>
      <c r="E562" t="s">
        <v>4782</v>
      </c>
      <c r="F562">
        <v>181510</v>
      </c>
      <c r="G562" s="1">
        <v>35886</v>
      </c>
      <c r="H562" s="1">
        <v>45604</v>
      </c>
      <c r="J562" t="s">
        <v>45</v>
      </c>
      <c r="K562" t="s">
        <v>72</v>
      </c>
      <c r="L562" t="s">
        <v>72</v>
      </c>
      <c r="N562" t="s">
        <v>47</v>
      </c>
      <c r="O562" t="s">
        <v>48</v>
      </c>
      <c r="P562" t="s">
        <v>49</v>
      </c>
      <c r="Q562" t="s">
        <v>4783</v>
      </c>
      <c r="R562" t="s">
        <v>4784</v>
      </c>
      <c r="S562">
        <v>209</v>
      </c>
      <c r="T562" t="s">
        <v>92</v>
      </c>
      <c r="U562" t="s">
        <v>4785</v>
      </c>
      <c r="V562" t="s">
        <v>768</v>
      </c>
      <c r="W562" t="s">
        <v>4786</v>
      </c>
      <c r="X562" t="s">
        <v>52</v>
      </c>
      <c r="Y562" t="s">
        <v>770</v>
      </c>
      <c r="Z562">
        <v>2652</v>
      </c>
      <c r="AA562">
        <v>36</v>
      </c>
      <c r="AB562">
        <v>160</v>
      </c>
      <c r="AC562" t="s">
        <v>4787</v>
      </c>
      <c r="AD562" t="s">
        <v>4788</v>
      </c>
      <c r="AE562" t="s">
        <v>4789</v>
      </c>
      <c r="AF562" t="s">
        <v>4790</v>
      </c>
      <c r="AG562" t="s">
        <v>4791</v>
      </c>
      <c r="AH562" t="s">
        <v>4792</v>
      </c>
      <c r="AJ562" s="2">
        <v>45615.974212962959</v>
      </c>
      <c r="AK562" t="s">
        <v>4793</v>
      </c>
      <c r="AL562" t="s">
        <v>475</v>
      </c>
      <c r="AM562" s="4">
        <v>0.8125</v>
      </c>
      <c r="AN562" t="s">
        <v>66</v>
      </c>
      <c r="AO562" t="s">
        <v>67</v>
      </c>
    </row>
    <row r="563" spans="1:41" x14ac:dyDescent="0.2">
      <c r="A563">
        <v>372997</v>
      </c>
      <c r="B563" t="s">
        <v>4794</v>
      </c>
      <c r="C563" t="s">
        <v>788</v>
      </c>
      <c r="D563" t="s">
        <v>1628</v>
      </c>
      <c r="E563" t="s">
        <v>4795</v>
      </c>
      <c r="F563">
        <v>83501</v>
      </c>
      <c r="G563" s="1">
        <v>34821</v>
      </c>
      <c r="H563" s="1">
        <v>45629</v>
      </c>
      <c r="I563" s="1">
        <v>45992</v>
      </c>
      <c r="J563" t="s">
        <v>45</v>
      </c>
      <c r="K563" t="s">
        <v>45</v>
      </c>
      <c r="L563" t="s">
        <v>545</v>
      </c>
      <c r="M563" s="1">
        <v>45533</v>
      </c>
      <c r="N563" t="s">
        <v>47</v>
      </c>
      <c r="O563" t="s">
        <v>48</v>
      </c>
      <c r="P563" t="s">
        <v>49</v>
      </c>
      <c r="Q563" t="s">
        <v>4796</v>
      </c>
      <c r="R563" t="s">
        <v>4797</v>
      </c>
      <c r="S563">
        <v>74</v>
      </c>
      <c r="T563" t="s">
        <v>52</v>
      </c>
      <c r="U563">
        <v>8</v>
      </c>
      <c r="V563" t="s">
        <v>793</v>
      </c>
      <c r="W563" t="s">
        <v>54</v>
      </c>
      <c r="X563" t="s">
        <v>76</v>
      </c>
      <c r="Y563" t="s">
        <v>56</v>
      </c>
      <c r="Z563">
        <v>1053</v>
      </c>
      <c r="AA563">
        <v>58</v>
      </c>
      <c r="AB563">
        <v>45</v>
      </c>
      <c r="AC563" t="s">
        <v>797</v>
      </c>
      <c r="AD563" t="s">
        <v>2864</v>
      </c>
      <c r="AE563" t="s">
        <v>2865</v>
      </c>
      <c r="AF563" t="s">
        <v>4798</v>
      </c>
      <c r="AG563" t="s">
        <v>4799</v>
      </c>
      <c r="AH563" t="s">
        <v>4800</v>
      </c>
      <c r="AJ563" s="2">
        <v>45855.992106481484</v>
      </c>
      <c r="AK563" t="s">
        <v>556</v>
      </c>
      <c r="AL563" t="s">
        <v>65</v>
      </c>
      <c r="AM563" s="3">
        <v>2.4027777777777777</v>
      </c>
      <c r="AN563" t="s">
        <v>66</v>
      </c>
      <c r="AO563" t="s">
        <v>101</v>
      </c>
    </row>
    <row r="564" spans="1:41" x14ac:dyDescent="0.2">
      <c r="A564">
        <v>370794</v>
      </c>
      <c r="B564" t="s">
        <v>4801</v>
      </c>
      <c r="C564" t="s">
        <v>831</v>
      </c>
      <c r="D564" t="s">
        <v>4802</v>
      </c>
      <c r="E564" t="s">
        <v>4803</v>
      </c>
      <c r="F564">
        <v>440458</v>
      </c>
      <c r="G564" s="1">
        <v>45687</v>
      </c>
      <c r="H564" s="1">
        <v>45688</v>
      </c>
      <c r="I564" s="1">
        <v>46054</v>
      </c>
      <c r="J564" t="s">
        <v>45</v>
      </c>
      <c r="K564" t="s">
        <v>45</v>
      </c>
      <c r="L564" t="s">
        <v>72</v>
      </c>
      <c r="M564" s="1">
        <v>44581</v>
      </c>
      <c r="N564" t="s">
        <v>89</v>
      </c>
      <c r="O564" t="s">
        <v>121</v>
      </c>
      <c r="P564" t="s">
        <v>49</v>
      </c>
      <c r="Q564" t="s">
        <v>4804</v>
      </c>
      <c r="R564" t="s">
        <v>4805</v>
      </c>
      <c r="S564">
        <v>3288</v>
      </c>
      <c r="T564" t="s">
        <v>52</v>
      </c>
      <c r="U564">
        <v>8</v>
      </c>
      <c r="V564" t="s">
        <v>4806</v>
      </c>
      <c r="W564" t="s">
        <v>54</v>
      </c>
      <c r="X564" t="s">
        <v>52</v>
      </c>
      <c r="Y564" t="s">
        <v>125</v>
      </c>
      <c r="Z564">
        <v>5386</v>
      </c>
      <c r="AA564">
        <v>118</v>
      </c>
      <c r="AB564">
        <v>39</v>
      </c>
      <c r="AC564" t="s">
        <v>4807</v>
      </c>
      <c r="AD564" t="s">
        <v>4808</v>
      </c>
      <c r="AE564" t="s">
        <v>4809</v>
      </c>
      <c r="AF564" t="s">
        <v>4810</v>
      </c>
      <c r="AG564" t="s">
        <v>4811</v>
      </c>
      <c r="AH564" t="s">
        <v>4812</v>
      </c>
      <c r="AJ564" s="2">
        <v>45784.689780092594</v>
      </c>
      <c r="AK564" t="s">
        <v>2068</v>
      </c>
      <c r="AL564" t="s">
        <v>65</v>
      </c>
      <c r="AM564" s="3">
        <v>2.0173611111111112</v>
      </c>
      <c r="AN564" t="s">
        <v>66</v>
      </c>
      <c r="AO564" t="s">
        <v>101</v>
      </c>
    </row>
    <row r="565" spans="1:41" x14ac:dyDescent="0.2">
      <c r="A565">
        <v>372481</v>
      </c>
      <c r="B565" t="s">
        <v>4813</v>
      </c>
      <c r="C565" t="s">
        <v>182</v>
      </c>
      <c r="D565" t="s">
        <v>2034</v>
      </c>
      <c r="E565" t="s">
        <v>4814</v>
      </c>
      <c r="F565">
        <v>42704</v>
      </c>
      <c r="G565" s="1">
        <v>41194</v>
      </c>
      <c r="H565" s="1">
        <v>45735</v>
      </c>
      <c r="J565" t="s">
        <v>45</v>
      </c>
      <c r="K565" t="s">
        <v>72</v>
      </c>
      <c r="L565" t="s">
        <v>72</v>
      </c>
      <c r="M565" s="1">
        <v>39273</v>
      </c>
      <c r="N565" t="s">
        <v>47</v>
      </c>
      <c r="O565" t="s">
        <v>48</v>
      </c>
      <c r="P565" t="s">
        <v>49</v>
      </c>
      <c r="Q565" t="s">
        <v>4815</v>
      </c>
      <c r="R565" t="s">
        <v>4816</v>
      </c>
      <c r="S565">
        <v>660</v>
      </c>
      <c r="T565" t="s">
        <v>92</v>
      </c>
      <c r="U565" t="s">
        <v>187</v>
      </c>
      <c r="V565" t="s">
        <v>447</v>
      </c>
      <c r="W565" t="s">
        <v>448</v>
      </c>
      <c r="X565" t="s">
        <v>92</v>
      </c>
      <c r="Y565" t="s">
        <v>450</v>
      </c>
      <c r="Z565">
        <v>1752</v>
      </c>
      <c r="AA565">
        <v>60</v>
      </c>
      <c r="AB565">
        <v>74</v>
      </c>
      <c r="AC565" t="s">
        <v>451</v>
      </c>
      <c r="AD565" t="s">
        <v>452</v>
      </c>
      <c r="AE565" t="s">
        <v>453</v>
      </c>
      <c r="AF565" t="s">
        <v>454</v>
      </c>
      <c r="AG565" t="s">
        <v>455</v>
      </c>
      <c r="AH565" t="s">
        <v>474</v>
      </c>
      <c r="AI565" t="s">
        <v>452</v>
      </c>
      <c r="AJ565" s="2">
        <v>45840.814016203702</v>
      </c>
      <c r="AK565" t="s">
        <v>276</v>
      </c>
      <c r="AL565" t="s">
        <v>65</v>
      </c>
      <c r="AM565" s="4">
        <v>0.20833333333333334</v>
      </c>
      <c r="AN565" t="s">
        <v>66</v>
      </c>
      <c r="AO565" t="s">
        <v>67</v>
      </c>
    </row>
    <row r="566" spans="1:41" x14ac:dyDescent="0.2">
      <c r="A566">
        <v>371773</v>
      </c>
      <c r="B566" t="s">
        <v>4817</v>
      </c>
      <c r="C566" t="s">
        <v>323</v>
      </c>
      <c r="D566" t="s">
        <v>372</v>
      </c>
      <c r="E566">
        <v>83700022</v>
      </c>
      <c r="F566">
        <v>500421</v>
      </c>
      <c r="G566" s="1">
        <v>35600</v>
      </c>
      <c r="H566" s="1">
        <v>45777</v>
      </c>
      <c r="I566" s="1">
        <v>46037</v>
      </c>
      <c r="J566" t="s">
        <v>45</v>
      </c>
      <c r="K566" t="s">
        <v>45</v>
      </c>
      <c r="L566" t="s">
        <v>72</v>
      </c>
      <c r="M566" s="1">
        <v>45047</v>
      </c>
      <c r="N566" t="s">
        <v>47</v>
      </c>
      <c r="O566" t="s">
        <v>48</v>
      </c>
      <c r="P566" t="s">
        <v>49</v>
      </c>
      <c r="Q566" t="s">
        <v>4818</v>
      </c>
      <c r="R566" t="s">
        <v>4819</v>
      </c>
      <c r="S566">
        <v>450</v>
      </c>
      <c r="T566" t="s">
        <v>156</v>
      </c>
      <c r="U566" t="s">
        <v>460</v>
      </c>
      <c r="V566" t="s">
        <v>330</v>
      </c>
      <c r="W566" t="s">
        <v>159</v>
      </c>
      <c r="X566" t="s">
        <v>76</v>
      </c>
      <c r="Y566" t="s">
        <v>110</v>
      </c>
      <c r="Z566">
        <v>1309</v>
      </c>
      <c r="AA566">
        <v>45</v>
      </c>
      <c r="AB566">
        <v>158</v>
      </c>
      <c r="AC566" t="s">
        <v>368</v>
      </c>
      <c r="AD566" t="s">
        <v>369</v>
      </c>
      <c r="AE566" t="s">
        <v>370</v>
      </c>
      <c r="AF566" t="s">
        <v>463</v>
      </c>
      <c r="AG566" t="s">
        <v>464</v>
      </c>
      <c r="AH566" t="s">
        <v>465</v>
      </c>
      <c r="AI566" t="s">
        <v>385</v>
      </c>
      <c r="AJ566" s="2">
        <v>45818.942199074074</v>
      </c>
      <c r="AK566" t="s">
        <v>727</v>
      </c>
      <c r="AL566" t="s">
        <v>65</v>
      </c>
      <c r="AM566" s="4">
        <v>0.85416666666666663</v>
      </c>
      <c r="AN566" t="s">
        <v>66</v>
      </c>
      <c r="AO566" t="s">
        <v>67</v>
      </c>
    </row>
    <row r="567" spans="1:41" x14ac:dyDescent="0.2">
      <c r="A567">
        <v>364177</v>
      </c>
      <c r="B567" t="s">
        <v>4820</v>
      </c>
      <c r="C567" t="s">
        <v>69</v>
      </c>
      <c r="D567" t="s">
        <v>3131</v>
      </c>
      <c r="E567" t="s">
        <v>4821</v>
      </c>
      <c r="F567">
        <v>101817</v>
      </c>
      <c r="G567" s="1">
        <v>35445</v>
      </c>
      <c r="H567" s="1">
        <v>45533</v>
      </c>
      <c r="I567" s="1">
        <v>46249</v>
      </c>
      <c r="J567" t="s">
        <v>45</v>
      </c>
      <c r="K567" t="s">
        <v>45</v>
      </c>
      <c r="L567" t="s">
        <v>72</v>
      </c>
      <c r="M567" s="1">
        <v>35591</v>
      </c>
      <c r="N567" t="s">
        <v>47</v>
      </c>
      <c r="O567" t="s">
        <v>48</v>
      </c>
      <c r="P567" t="s">
        <v>49</v>
      </c>
      <c r="Q567" t="s">
        <v>4822</v>
      </c>
      <c r="R567" t="s">
        <v>4823</v>
      </c>
      <c r="S567">
        <v>5226</v>
      </c>
      <c r="T567" t="s">
        <v>52</v>
      </c>
      <c r="U567">
        <v>4</v>
      </c>
      <c r="V567" t="s">
        <v>3135</v>
      </c>
      <c r="W567" t="s">
        <v>54</v>
      </c>
      <c r="X567" t="s">
        <v>76</v>
      </c>
      <c r="Y567" t="s">
        <v>56</v>
      </c>
      <c r="Z567">
        <v>1014</v>
      </c>
      <c r="AA567">
        <v>57</v>
      </c>
      <c r="AB567">
        <v>152</v>
      </c>
      <c r="AC567" t="s">
        <v>3136</v>
      </c>
      <c r="AD567" t="s">
        <v>3137</v>
      </c>
      <c r="AE567" t="s">
        <v>3138</v>
      </c>
      <c r="AF567" t="s">
        <v>3139</v>
      </c>
      <c r="AG567" t="s">
        <v>3140</v>
      </c>
      <c r="AH567" t="s">
        <v>3141</v>
      </c>
      <c r="AI567" t="s">
        <v>3142</v>
      </c>
      <c r="AJ567" s="2">
        <v>45534.711157407408</v>
      </c>
      <c r="AK567" t="s">
        <v>2517</v>
      </c>
      <c r="AL567" t="s">
        <v>65</v>
      </c>
      <c r="AM567" s="4">
        <v>0.1388888888888889</v>
      </c>
      <c r="AN567" t="s">
        <v>66</v>
      </c>
      <c r="AO567" t="s">
        <v>67</v>
      </c>
    </row>
    <row r="568" spans="1:41" x14ac:dyDescent="0.2">
      <c r="A568">
        <v>370895</v>
      </c>
      <c r="B568" t="s">
        <v>4824</v>
      </c>
      <c r="C568" t="s">
        <v>167</v>
      </c>
      <c r="D568" t="s">
        <v>1336</v>
      </c>
      <c r="E568" t="s">
        <v>4825</v>
      </c>
      <c r="F568">
        <v>351711</v>
      </c>
      <c r="G568" s="1">
        <v>44452</v>
      </c>
      <c r="H568" s="1">
        <v>45770</v>
      </c>
      <c r="I568" s="1">
        <v>46113</v>
      </c>
      <c r="J568" t="s">
        <v>45</v>
      </c>
      <c r="K568" t="s">
        <v>45</v>
      </c>
      <c r="L568" t="s">
        <v>72</v>
      </c>
      <c r="N568" t="s">
        <v>47</v>
      </c>
      <c r="O568" t="s">
        <v>48</v>
      </c>
      <c r="P568" t="s">
        <v>49</v>
      </c>
      <c r="Q568" t="s">
        <v>4826</v>
      </c>
      <c r="R568" t="s">
        <v>4827</v>
      </c>
      <c r="S568">
        <v>1673</v>
      </c>
      <c r="T568" t="s">
        <v>92</v>
      </c>
      <c r="U568" t="s">
        <v>3030</v>
      </c>
      <c r="V568" t="s">
        <v>3031</v>
      </c>
      <c r="W568" t="s">
        <v>3032</v>
      </c>
      <c r="X568" t="s">
        <v>92</v>
      </c>
      <c r="Y568" t="s">
        <v>110</v>
      </c>
      <c r="Z568">
        <v>11826</v>
      </c>
      <c r="AA568">
        <v>11</v>
      </c>
      <c r="AB568">
        <v>210</v>
      </c>
      <c r="AC568" t="s">
        <v>4828</v>
      </c>
      <c r="AD568" t="s">
        <v>4829</v>
      </c>
      <c r="AE568" t="s">
        <v>4830</v>
      </c>
      <c r="AF568" t="s">
        <v>4831</v>
      </c>
      <c r="AG568" t="s">
        <v>4832</v>
      </c>
      <c r="AH568" t="s">
        <v>4833</v>
      </c>
      <c r="AI568" t="s">
        <v>4829</v>
      </c>
      <c r="AJ568" s="2">
        <v>45789.777303240742</v>
      </c>
      <c r="AK568" t="s">
        <v>4828</v>
      </c>
      <c r="AL568" t="s">
        <v>65</v>
      </c>
      <c r="AM568" s="4">
        <v>0.47222222222222221</v>
      </c>
      <c r="AN568" t="s">
        <v>66</v>
      </c>
      <c r="AO568" t="s">
        <v>67</v>
      </c>
    </row>
    <row r="569" spans="1:41" x14ac:dyDescent="0.2">
      <c r="A569">
        <v>369836</v>
      </c>
      <c r="B569" t="s">
        <v>4834</v>
      </c>
      <c r="C569" t="s">
        <v>345</v>
      </c>
      <c r="D569" t="s">
        <v>4835</v>
      </c>
      <c r="E569" t="s">
        <v>4836</v>
      </c>
      <c r="F569">
        <v>55704</v>
      </c>
      <c r="G569" s="1">
        <v>36410</v>
      </c>
      <c r="H569" s="1">
        <v>45496</v>
      </c>
      <c r="I569" s="1">
        <v>46157</v>
      </c>
      <c r="J569" t="s">
        <v>45</v>
      </c>
      <c r="K569" t="s">
        <v>45</v>
      </c>
      <c r="L569" t="s">
        <v>72</v>
      </c>
      <c r="M569" s="1">
        <v>43770</v>
      </c>
      <c r="N569" t="s">
        <v>47</v>
      </c>
      <c r="O569" t="s">
        <v>48</v>
      </c>
      <c r="P569" t="s">
        <v>49</v>
      </c>
      <c r="Q569" t="s">
        <v>4837</v>
      </c>
      <c r="R569" t="s">
        <v>4838</v>
      </c>
      <c r="S569">
        <v>7126</v>
      </c>
      <c r="T569" t="s">
        <v>257</v>
      </c>
      <c r="U569" t="s">
        <v>283</v>
      </c>
      <c r="V569" t="s">
        <v>4839</v>
      </c>
      <c r="W569" t="s">
        <v>260</v>
      </c>
      <c r="X569" t="s">
        <v>257</v>
      </c>
      <c r="Y569" t="s">
        <v>110</v>
      </c>
      <c r="Z569">
        <v>1209</v>
      </c>
      <c r="AA569">
        <v>54</v>
      </c>
      <c r="AB569">
        <v>38</v>
      </c>
      <c r="AC569" t="s">
        <v>4840</v>
      </c>
      <c r="AD569" t="s">
        <v>4841</v>
      </c>
      <c r="AE569" t="s">
        <v>4842</v>
      </c>
      <c r="AI569" t="s">
        <v>4841</v>
      </c>
      <c r="AJ569" s="2">
        <v>45755.65452546296</v>
      </c>
      <c r="AK569" t="s">
        <v>4843</v>
      </c>
      <c r="AL569" t="s">
        <v>65</v>
      </c>
      <c r="AM569" s="3">
        <v>1.2569444444444444</v>
      </c>
      <c r="AN569" t="s">
        <v>66</v>
      </c>
      <c r="AO569" t="s">
        <v>67</v>
      </c>
    </row>
    <row r="570" spans="1:41" x14ac:dyDescent="0.2">
      <c r="A570">
        <v>369748</v>
      </c>
      <c r="B570" t="s">
        <v>4844</v>
      </c>
      <c r="C570" t="s">
        <v>167</v>
      </c>
      <c r="D570" t="s">
        <v>1315</v>
      </c>
      <c r="E570">
        <v>60001118</v>
      </c>
      <c r="F570">
        <v>353046</v>
      </c>
      <c r="G570" s="1">
        <v>37932</v>
      </c>
      <c r="H570" s="1">
        <v>45740</v>
      </c>
      <c r="I570" s="1">
        <v>46127</v>
      </c>
      <c r="J570" t="s">
        <v>45</v>
      </c>
      <c r="K570" t="s">
        <v>45</v>
      </c>
      <c r="L570" t="s">
        <v>72</v>
      </c>
      <c r="M570" s="1">
        <v>44532</v>
      </c>
      <c r="N570" t="s">
        <v>47</v>
      </c>
      <c r="O570" t="s">
        <v>48</v>
      </c>
      <c r="P570" t="s">
        <v>49</v>
      </c>
      <c r="Q570" t="s">
        <v>4845</v>
      </c>
      <c r="R570" t="s">
        <v>4846</v>
      </c>
      <c r="S570">
        <v>1204</v>
      </c>
      <c r="T570" t="s">
        <v>92</v>
      </c>
      <c r="U570" t="s">
        <v>3030</v>
      </c>
      <c r="V570" t="s">
        <v>3031</v>
      </c>
      <c r="W570" t="s">
        <v>3032</v>
      </c>
      <c r="X570" t="s">
        <v>52</v>
      </c>
      <c r="Y570" t="s">
        <v>110</v>
      </c>
      <c r="Z570">
        <v>2513</v>
      </c>
      <c r="AA570">
        <v>40</v>
      </c>
      <c r="AB570">
        <v>144</v>
      </c>
      <c r="AC570" t="s">
        <v>4847</v>
      </c>
      <c r="AD570" t="s">
        <v>4848</v>
      </c>
      <c r="AE570" t="s">
        <v>4849</v>
      </c>
      <c r="AF570" t="s">
        <v>4850</v>
      </c>
      <c r="AG570" t="s">
        <v>4851</v>
      </c>
      <c r="AH570" t="s">
        <v>4852</v>
      </c>
      <c r="AI570" t="s">
        <v>4851</v>
      </c>
      <c r="AJ570" s="2">
        <v>45750.831805555557</v>
      </c>
      <c r="AK570" t="s">
        <v>4847</v>
      </c>
      <c r="AL570" t="s">
        <v>65</v>
      </c>
      <c r="AM570" s="4">
        <v>0.34722222222222221</v>
      </c>
      <c r="AN570" t="s">
        <v>66</v>
      </c>
      <c r="AO570" t="s">
        <v>67</v>
      </c>
    </row>
    <row r="571" spans="1:41" x14ac:dyDescent="0.2">
      <c r="A571">
        <v>371555</v>
      </c>
      <c r="B571" t="s">
        <v>4853</v>
      </c>
      <c r="C571" t="s">
        <v>323</v>
      </c>
      <c r="D571" t="s">
        <v>324</v>
      </c>
      <c r="E571" t="s">
        <v>4854</v>
      </c>
      <c r="F571">
        <v>500721</v>
      </c>
      <c r="G571" s="1">
        <v>31499</v>
      </c>
      <c r="H571" s="1">
        <v>45784</v>
      </c>
      <c r="I571" s="1">
        <v>46037</v>
      </c>
      <c r="J571" t="s">
        <v>45</v>
      </c>
      <c r="K571" t="s">
        <v>45</v>
      </c>
      <c r="L571" t="s">
        <v>72</v>
      </c>
      <c r="N571" t="s">
        <v>47</v>
      </c>
      <c r="O571" t="s">
        <v>48</v>
      </c>
      <c r="P571" t="s">
        <v>49</v>
      </c>
      <c r="Q571" t="s">
        <v>4855</v>
      </c>
      <c r="R571" t="s">
        <v>4856</v>
      </c>
      <c r="S571">
        <v>1626</v>
      </c>
      <c r="T571" t="s">
        <v>92</v>
      </c>
      <c r="U571" t="s">
        <v>329</v>
      </c>
      <c r="V571" t="s">
        <v>722</v>
      </c>
      <c r="W571" t="s">
        <v>723</v>
      </c>
      <c r="X571" t="s">
        <v>76</v>
      </c>
      <c r="Y571" t="s">
        <v>110</v>
      </c>
      <c r="Z571">
        <v>889</v>
      </c>
      <c r="AA571">
        <v>46</v>
      </c>
      <c r="AB571">
        <v>152</v>
      </c>
      <c r="AC571" t="s">
        <v>368</v>
      </c>
      <c r="AD571" t="s">
        <v>4857</v>
      </c>
      <c r="AE571" t="s">
        <v>370</v>
      </c>
      <c r="AF571" t="s">
        <v>4858</v>
      </c>
      <c r="AG571" t="s">
        <v>4859</v>
      </c>
      <c r="AH571" t="s">
        <v>726</v>
      </c>
      <c r="AI571" t="s">
        <v>385</v>
      </c>
      <c r="AJ571" s="2">
        <v>45814.902002314811</v>
      </c>
      <c r="AK571" t="s">
        <v>727</v>
      </c>
      <c r="AL571" t="s">
        <v>65</v>
      </c>
      <c r="AM571" s="3">
        <v>2.1458333333333335</v>
      </c>
      <c r="AN571" t="s">
        <v>66</v>
      </c>
      <c r="AO571" t="s">
        <v>67</v>
      </c>
    </row>
    <row r="572" spans="1:41" x14ac:dyDescent="0.2">
      <c r="A572">
        <v>368058</v>
      </c>
      <c r="B572" t="s">
        <v>4860</v>
      </c>
      <c r="C572" t="s">
        <v>197</v>
      </c>
      <c r="D572" t="s">
        <v>4861</v>
      </c>
      <c r="E572" t="s">
        <v>4862</v>
      </c>
      <c r="F572">
        <v>90401</v>
      </c>
      <c r="G572" s="1">
        <v>37722</v>
      </c>
      <c r="H572" s="1">
        <v>45561</v>
      </c>
      <c r="I572" s="1">
        <v>45945</v>
      </c>
      <c r="J572" t="s">
        <v>45</v>
      </c>
      <c r="K572" t="s">
        <v>45</v>
      </c>
      <c r="L572" t="s">
        <v>72</v>
      </c>
      <c r="N572" t="s">
        <v>47</v>
      </c>
      <c r="O572" t="s">
        <v>48</v>
      </c>
      <c r="P572" t="s">
        <v>49</v>
      </c>
      <c r="Q572" t="s">
        <v>4863</v>
      </c>
      <c r="R572" t="s">
        <v>4864</v>
      </c>
      <c r="S572">
        <v>765</v>
      </c>
      <c r="T572" t="s">
        <v>92</v>
      </c>
      <c r="U572" t="s">
        <v>202</v>
      </c>
      <c r="V572" t="s">
        <v>203</v>
      </c>
      <c r="W572" t="s">
        <v>204</v>
      </c>
      <c r="X572" t="s">
        <v>52</v>
      </c>
      <c r="Y572" t="s">
        <v>110</v>
      </c>
      <c r="Z572">
        <v>2137</v>
      </c>
      <c r="AA572">
        <v>35</v>
      </c>
      <c r="AB572">
        <v>144</v>
      </c>
      <c r="AC572" t="s">
        <v>205</v>
      </c>
      <c r="AD572" t="s">
        <v>206</v>
      </c>
      <c r="AE572" t="s">
        <v>1547</v>
      </c>
      <c r="AF572" t="s">
        <v>3373</v>
      </c>
      <c r="AG572" t="s">
        <v>3374</v>
      </c>
      <c r="AH572" t="s">
        <v>3375</v>
      </c>
      <c r="AI572" t="s">
        <v>211</v>
      </c>
      <c r="AJ572" s="2">
        <v>45699.773761574077</v>
      </c>
      <c r="AK572" t="s">
        <v>149</v>
      </c>
      <c r="AL572" t="s">
        <v>65</v>
      </c>
      <c r="AM572" s="4">
        <v>8.3333333333333329E-2</v>
      </c>
      <c r="AN572" t="s">
        <v>66</v>
      </c>
      <c r="AO572" t="s">
        <v>67</v>
      </c>
    </row>
    <row r="573" spans="1:41" x14ac:dyDescent="0.2">
      <c r="A573">
        <v>370800</v>
      </c>
      <c r="B573" t="s">
        <v>4865</v>
      </c>
      <c r="C573" t="s">
        <v>197</v>
      </c>
      <c r="D573" t="s">
        <v>4866</v>
      </c>
      <c r="E573">
        <v>32737128</v>
      </c>
      <c r="F573">
        <v>91301</v>
      </c>
      <c r="G573" s="1">
        <v>37127</v>
      </c>
      <c r="H573" s="1">
        <v>45686</v>
      </c>
      <c r="I573" s="1">
        <v>46023</v>
      </c>
      <c r="J573" t="s">
        <v>45</v>
      </c>
      <c r="K573" t="s">
        <v>45</v>
      </c>
      <c r="L573" t="s">
        <v>46</v>
      </c>
      <c r="M573" s="1">
        <v>40961</v>
      </c>
      <c r="N573" t="s">
        <v>47</v>
      </c>
      <c r="O573" t="s">
        <v>48</v>
      </c>
      <c r="P573" t="s">
        <v>49</v>
      </c>
      <c r="Q573" t="s">
        <v>4867</v>
      </c>
      <c r="R573" t="s">
        <v>4868</v>
      </c>
      <c r="S573">
        <v>1500</v>
      </c>
      <c r="T573" t="s">
        <v>52</v>
      </c>
      <c r="U573">
        <v>8</v>
      </c>
      <c r="V573" t="s">
        <v>993</v>
      </c>
      <c r="W573" t="s">
        <v>54</v>
      </c>
      <c r="X573" t="s">
        <v>76</v>
      </c>
      <c r="Y573" t="s">
        <v>56</v>
      </c>
      <c r="Z573">
        <v>1812</v>
      </c>
      <c r="AA573">
        <v>44</v>
      </c>
      <c r="AB573">
        <v>152</v>
      </c>
      <c r="AC573" t="s">
        <v>4869</v>
      </c>
      <c r="AD573" t="s">
        <v>4870</v>
      </c>
      <c r="AE573" t="s">
        <v>4871</v>
      </c>
      <c r="AF573" t="s">
        <v>4872</v>
      </c>
      <c r="AG573" t="s">
        <v>4873</v>
      </c>
      <c r="AH573" t="s">
        <v>4874</v>
      </c>
      <c r="AI573" t="s">
        <v>4875</v>
      </c>
      <c r="AJ573" s="2">
        <v>45784.71601851852</v>
      </c>
      <c r="AK573" t="s">
        <v>4876</v>
      </c>
      <c r="AL573" t="s">
        <v>65</v>
      </c>
      <c r="AM573" s="4">
        <v>0.27083333333333331</v>
      </c>
      <c r="AN573" t="s">
        <v>66</v>
      </c>
      <c r="AO573" t="s">
        <v>67</v>
      </c>
    </row>
    <row r="574" spans="1:41" x14ac:dyDescent="0.2">
      <c r="A574">
        <v>368599</v>
      </c>
      <c r="B574" t="s">
        <v>4877</v>
      </c>
      <c r="C574" t="s">
        <v>182</v>
      </c>
      <c r="E574" t="s">
        <v>4878</v>
      </c>
      <c r="F574">
        <v>45313</v>
      </c>
      <c r="G574" s="1">
        <v>34858</v>
      </c>
      <c r="H574" s="1">
        <v>45475</v>
      </c>
      <c r="I574" s="1">
        <v>46204</v>
      </c>
      <c r="J574" t="s">
        <v>45</v>
      </c>
      <c r="K574" t="s">
        <v>45</v>
      </c>
      <c r="L574" t="s">
        <v>72</v>
      </c>
      <c r="M574" s="1">
        <v>45715</v>
      </c>
      <c r="N574" t="s">
        <v>47</v>
      </c>
      <c r="O574" t="s">
        <v>48</v>
      </c>
      <c r="P574" t="s">
        <v>49</v>
      </c>
      <c r="Q574" t="s">
        <v>4879</v>
      </c>
      <c r="R574" t="s">
        <v>4880</v>
      </c>
      <c r="S574">
        <v>1707</v>
      </c>
      <c r="T574" t="s">
        <v>257</v>
      </c>
      <c r="U574" t="s">
        <v>640</v>
      </c>
      <c r="V574" t="s">
        <v>4881</v>
      </c>
      <c r="W574" t="s">
        <v>260</v>
      </c>
      <c r="X574" t="s">
        <v>257</v>
      </c>
      <c r="Y574" t="s">
        <v>110</v>
      </c>
      <c r="Z574">
        <v>981</v>
      </c>
      <c r="AA574">
        <v>52</v>
      </c>
      <c r="AB574">
        <v>158</v>
      </c>
      <c r="AC574" t="s">
        <v>4882</v>
      </c>
      <c r="AD574" t="s">
        <v>4883</v>
      </c>
      <c r="AE574" t="s">
        <v>4884</v>
      </c>
      <c r="AF574" t="s">
        <v>657</v>
      </c>
      <c r="AG574" t="s">
        <v>658</v>
      </c>
      <c r="AH574" t="s">
        <v>659</v>
      </c>
      <c r="AI574" t="s">
        <v>4883</v>
      </c>
      <c r="AJ574" s="2">
        <v>45715.944861111115</v>
      </c>
      <c r="AK574" t="s">
        <v>657</v>
      </c>
      <c r="AL574" t="s">
        <v>65</v>
      </c>
      <c r="AM574" s="3">
        <v>1.5833333333333333</v>
      </c>
      <c r="AN574" t="s">
        <v>66</v>
      </c>
      <c r="AO574" t="s">
        <v>67</v>
      </c>
    </row>
    <row r="575" spans="1:41" x14ac:dyDescent="0.2">
      <c r="A575">
        <v>364754</v>
      </c>
      <c r="B575" t="s">
        <v>4885</v>
      </c>
      <c r="C575" t="s">
        <v>345</v>
      </c>
      <c r="D575" t="s">
        <v>1315</v>
      </c>
      <c r="E575" t="s">
        <v>4886</v>
      </c>
      <c r="F575">
        <v>53102</v>
      </c>
      <c r="G575" s="1">
        <v>31818</v>
      </c>
      <c r="H575" s="1">
        <v>45551</v>
      </c>
      <c r="I575" s="1">
        <v>46218</v>
      </c>
      <c r="J575" t="s">
        <v>45</v>
      </c>
      <c r="K575" t="s">
        <v>45</v>
      </c>
      <c r="L575" t="s">
        <v>72</v>
      </c>
      <c r="M575" s="1">
        <v>42642</v>
      </c>
      <c r="N575" t="s">
        <v>47</v>
      </c>
      <c r="O575" t="s">
        <v>48</v>
      </c>
      <c r="P575" t="s">
        <v>49</v>
      </c>
      <c r="Q575" t="s">
        <v>4887</v>
      </c>
      <c r="R575" t="s">
        <v>4888</v>
      </c>
      <c r="S575">
        <v>7546</v>
      </c>
      <c r="T575" t="s">
        <v>52</v>
      </c>
      <c r="U575">
        <v>2</v>
      </c>
      <c r="V575" t="s">
        <v>1522</v>
      </c>
      <c r="W575" t="s">
        <v>54</v>
      </c>
      <c r="X575" t="s">
        <v>55</v>
      </c>
      <c r="Y575" t="s">
        <v>56</v>
      </c>
      <c r="Z575">
        <v>583</v>
      </c>
      <c r="AA575">
        <v>52</v>
      </c>
      <c r="AB575">
        <v>30</v>
      </c>
      <c r="AC575" t="s">
        <v>1523</v>
      </c>
      <c r="AD575" t="s">
        <v>1524</v>
      </c>
      <c r="AE575" t="s">
        <v>1525</v>
      </c>
      <c r="AF575" t="s">
        <v>1526</v>
      </c>
      <c r="AG575" t="s">
        <v>1527</v>
      </c>
      <c r="AH575" t="s">
        <v>1528</v>
      </c>
      <c r="AI575" t="s">
        <v>4889</v>
      </c>
      <c r="AJ575" s="2">
        <v>45558.897858796299</v>
      </c>
      <c r="AK575" t="s">
        <v>540</v>
      </c>
      <c r="AL575" t="s">
        <v>65</v>
      </c>
      <c r="AM575" s="4">
        <v>0.96527777777777779</v>
      </c>
      <c r="AN575" t="s">
        <v>66</v>
      </c>
      <c r="AO575" t="s">
        <v>67</v>
      </c>
    </row>
    <row r="576" spans="1:41" x14ac:dyDescent="0.2">
      <c r="A576">
        <v>367160</v>
      </c>
      <c r="B576" t="s">
        <v>4890</v>
      </c>
      <c r="C576" t="s">
        <v>134</v>
      </c>
      <c r="D576" t="s">
        <v>4891</v>
      </c>
      <c r="E576">
        <v>30075416</v>
      </c>
      <c r="F576">
        <v>451103</v>
      </c>
      <c r="G576" s="1">
        <v>38124</v>
      </c>
      <c r="H576" s="1">
        <v>45593</v>
      </c>
      <c r="I576" s="1">
        <v>45962</v>
      </c>
      <c r="J576" t="s">
        <v>45</v>
      </c>
      <c r="K576" t="s">
        <v>45</v>
      </c>
      <c r="L576" t="s">
        <v>72</v>
      </c>
      <c r="N576" t="s">
        <v>47</v>
      </c>
      <c r="O576" t="s">
        <v>48</v>
      </c>
      <c r="P576" t="s">
        <v>49</v>
      </c>
      <c r="Q576" t="s">
        <v>4892</v>
      </c>
      <c r="R576" t="s">
        <v>4893</v>
      </c>
      <c r="S576">
        <v>262</v>
      </c>
      <c r="T576" t="s">
        <v>92</v>
      </c>
      <c r="U576" t="s">
        <v>139</v>
      </c>
      <c r="V576" t="s">
        <v>140</v>
      </c>
      <c r="W576" t="s">
        <v>141</v>
      </c>
      <c r="X576" t="s">
        <v>92</v>
      </c>
      <c r="Y576" t="s">
        <v>110</v>
      </c>
      <c r="Z576">
        <v>2226</v>
      </c>
      <c r="AA576">
        <v>44</v>
      </c>
      <c r="AB576">
        <v>158</v>
      </c>
      <c r="AC576" t="s">
        <v>142</v>
      </c>
      <c r="AD576" t="s">
        <v>143</v>
      </c>
      <c r="AE576" t="s">
        <v>144</v>
      </c>
      <c r="AF576" t="s">
        <v>145</v>
      </c>
      <c r="AG576" t="s">
        <v>146</v>
      </c>
      <c r="AH576" t="s">
        <v>147</v>
      </c>
      <c r="AI576" t="s">
        <v>148</v>
      </c>
      <c r="AJ576" s="2">
        <v>45664.700891203705</v>
      </c>
      <c r="AK576" t="s">
        <v>149</v>
      </c>
      <c r="AL576" t="s">
        <v>65</v>
      </c>
      <c r="AM576" s="4">
        <v>0.375</v>
      </c>
      <c r="AN576" t="s">
        <v>66</v>
      </c>
      <c r="AO576" t="s">
        <v>67</v>
      </c>
    </row>
    <row r="577" spans="1:41" x14ac:dyDescent="0.2">
      <c r="A577">
        <v>368250</v>
      </c>
      <c r="B577" t="s">
        <v>4894</v>
      </c>
      <c r="C577" t="s">
        <v>788</v>
      </c>
      <c r="E577" t="s">
        <v>4895</v>
      </c>
      <c r="F577">
        <v>86704</v>
      </c>
      <c r="G577" s="1">
        <v>37531</v>
      </c>
      <c r="H577" s="1">
        <v>45706</v>
      </c>
      <c r="I577" s="1">
        <v>46068</v>
      </c>
      <c r="J577" t="s">
        <v>45</v>
      </c>
      <c r="K577" t="s">
        <v>45</v>
      </c>
      <c r="L577" t="s">
        <v>72</v>
      </c>
      <c r="N577" t="s">
        <v>47</v>
      </c>
      <c r="O577" t="s">
        <v>48</v>
      </c>
      <c r="P577" t="s">
        <v>49</v>
      </c>
      <c r="Q577" t="s">
        <v>4896</v>
      </c>
      <c r="R577" t="s">
        <v>4897</v>
      </c>
      <c r="S577">
        <v>5</v>
      </c>
      <c r="T577" t="s">
        <v>257</v>
      </c>
      <c r="U577" t="s">
        <v>1691</v>
      </c>
      <c r="V577" t="s">
        <v>3890</v>
      </c>
      <c r="W577" t="s">
        <v>260</v>
      </c>
      <c r="X577" t="s">
        <v>257</v>
      </c>
      <c r="Y577" t="s">
        <v>110</v>
      </c>
      <c r="Z577">
        <v>1212</v>
      </c>
      <c r="AA577">
        <v>53</v>
      </c>
      <c r="AB577">
        <v>37</v>
      </c>
      <c r="AC577" t="s">
        <v>4898</v>
      </c>
      <c r="AD577" t="s">
        <v>3892</v>
      </c>
      <c r="AE577" t="s">
        <v>4899</v>
      </c>
      <c r="AI577" t="s">
        <v>3894</v>
      </c>
      <c r="AJ577" s="2">
        <v>45706.910162037035</v>
      </c>
      <c r="AK577" t="s">
        <v>3895</v>
      </c>
      <c r="AL577" t="s">
        <v>65</v>
      </c>
      <c r="AM577" s="3">
        <v>1.2881944444444444</v>
      </c>
      <c r="AN577" t="s">
        <v>66</v>
      </c>
      <c r="AO577" t="s">
        <v>101</v>
      </c>
    </row>
    <row r="578" spans="1:41" x14ac:dyDescent="0.2">
      <c r="A578">
        <v>371360</v>
      </c>
      <c r="B578" t="s">
        <v>4900</v>
      </c>
      <c r="C578" t="s">
        <v>167</v>
      </c>
      <c r="D578" t="s">
        <v>2702</v>
      </c>
      <c r="E578" t="s">
        <v>4901</v>
      </c>
      <c r="G578" s="1">
        <v>45590</v>
      </c>
      <c r="H578" s="1">
        <v>45593</v>
      </c>
      <c r="I578" s="1">
        <v>45962</v>
      </c>
      <c r="J578" t="s">
        <v>45</v>
      </c>
      <c r="K578" t="s">
        <v>45</v>
      </c>
      <c r="L578" t="s">
        <v>72</v>
      </c>
      <c r="M578" s="1">
        <v>44327</v>
      </c>
      <c r="N578" t="s">
        <v>89</v>
      </c>
      <c r="O578" t="s">
        <v>121</v>
      </c>
      <c r="P578" t="s">
        <v>49</v>
      </c>
      <c r="Q578" t="s">
        <v>4902</v>
      </c>
      <c r="R578" t="s">
        <v>4903</v>
      </c>
      <c r="S578">
        <v>4485</v>
      </c>
      <c r="T578" t="s">
        <v>52</v>
      </c>
      <c r="U578">
        <v>6</v>
      </c>
      <c r="V578" t="s">
        <v>3013</v>
      </c>
      <c r="W578" t="s">
        <v>54</v>
      </c>
      <c r="X578" t="s">
        <v>52</v>
      </c>
      <c r="Y578" t="s">
        <v>125</v>
      </c>
      <c r="Z578">
        <v>3077</v>
      </c>
      <c r="AA578">
        <v>98</v>
      </c>
      <c r="AB578">
        <v>38</v>
      </c>
      <c r="AC578" t="s">
        <v>4904</v>
      </c>
      <c r="AD578" t="s">
        <v>4905</v>
      </c>
      <c r="AE578" t="s">
        <v>4906</v>
      </c>
      <c r="AJ578" s="2">
        <v>45806.635740740741</v>
      </c>
      <c r="AK578" t="s">
        <v>556</v>
      </c>
      <c r="AL578" t="s">
        <v>65</v>
      </c>
      <c r="AM578" s="3">
        <v>1.7569444444444444</v>
      </c>
      <c r="AN578" t="s">
        <v>66</v>
      </c>
      <c r="AO578" t="s">
        <v>67</v>
      </c>
    </row>
    <row r="579" spans="1:41" x14ac:dyDescent="0.2">
      <c r="A579">
        <v>369817</v>
      </c>
      <c r="B579" t="s">
        <v>4907</v>
      </c>
      <c r="C579" t="s">
        <v>134</v>
      </c>
      <c r="D579" t="s">
        <v>927</v>
      </c>
      <c r="E579" t="s">
        <v>4908</v>
      </c>
      <c r="F579">
        <v>453506</v>
      </c>
      <c r="G579" s="1">
        <v>37411</v>
      </c>
      <c r="H579" s="1">
        <v>45754</v>
      </c>
      <c r="I579" s="1">
        <v>46096</v>
      </c>
      <c r="J579" t="s">
        <v>45</v>
      </c>
      <c r="K579" t="s">
        <v>45</v>
      </c>
      <c r="L579" t="s">
        <v>72</v>
      </c>
      <c r="M579" s="1">
        <v>43537</v>
      </c>
      <c r="N579" t="s">
        <v>47</v>
      </c>
      <c r="O579" t="s">
        <v>48</v>
      </c>
      <c r="P579" t="s">
        <v>49</v>
      </c>
      <c r="Q579" t="s">
        <v>4909</v>
      </c>
      <c r="R579" t="s">
        <v>4910</v>
      </c>
      <c r="S579">
        <v>2230</v>
      </c>
      <c r="T579" t="s">
        <v>156</v>
      </c>
      <c r="U579" t="s">
        <v>4608</v>
      </c>
      <c r="V579" t="s">
        <v>4911</v>
      </c>
      <c r="W579" t="s">
        <v>159</v>
      </c>
      <c r="X579" t="s">
        <v>156</v>
      </c>
      <c r="Y579" t="s">
        <v>110</v>
      </c>
      <c r="Z579">
        <v>2212</v>
      </c>
      <c r="AA579">
        <v>43</v>
      </c>
      <c r="AB579">
        <v>158</v>
      </c>
      <c r="AC579" t="s">
        <v>4912</v>
      </c>
      <c r="AD579" t="s">
        <v>4913</v>
      </c>
      <c r="AE579" t="s">
        <v>4914</v>
      </c>
      <c r="AF579" t="s">
        <v>4613</v>
      </c>
      <c r="AG579" t="s">
        <v>4614</v>
      </c>
      <c r="AH579" t="s">
        <v>4615</v>
      </c>
      <c r="AI579" t="s">
        <v>4915</v>
      </c>
      <c r="AJ579" s="2">
        <v>45754.892268518517</v>
      </c>
      <c r="AK579" t="s">
        <v>4916</v>
      </c>
      <c r="AL579" t="s">
        <v>65</v>
      </c>
      <c r="AM579" s="3">
        <v>1.1875</v>
      </c>
      <c r="AN579" t="s">
        <v>66</v>
      </c>
      <c r="AO579" t="s">
        <v>67</v>
      </c>
    </row>
    <row r="580" spans="1:41" x14ac:dyDescent="0.2">
      <c r="A580">
        <v>367822</v>
      </c>
      <c r="B580" t="s">
        <v>4917</v>
      </c>
      <c r="C580" t="s">
        <v>103</v>
      </c>
      <c r="D580" t="s">
        <v>2645</v>
      </c>
      <c r="E580" t="s">
        <v>4918</v>
      </c>
      <c r="F580">
        <v>315501</v>
      </c>
      <c r="G580" s="1">
        <v>33635</v>
      </c>
      <c r="H580" s="1">
        <v>45685</v>
      </c>
      <c r="I580" s="1">
        <v>46023</v>
      </c>
      <c r="J580" t="s">
        <v>45</v>
      </c>
      <c r="K580" t="s">
        <v>45</v>
      </c>
      <c r="L580" t="s">
        <v>3920</v>
      </c>
      <c r="M580" s="1">
        <v>44206</v>
      </c>
      <c r="N580" t="s">
        <v>47</v>
      </c>
      <c r="O580" t="s">
        <v>48</v>
      </c>
      <c r="P580" t="s">
        <v>49</v>
      </c>
      <c r="Q580" t="s">
        <v>4919</v>
      </c>
      <c r="R580" t="s">
        <v>4920</v>
      </c>
      <c r="S580">
        <v>2000</v>
      </c>
      <c r="T580" t="s">
        <v>52</v>
      </c>
      <c r="U580">
        <v>8</v>
      </c>
      <c r="V580" t="s">
        <v>3759</v>
      </c>
      <c r="W580" t="s">
        <v>54</v>
      </c>
      <c r="X580" t="s">
        <v>76</v>
      </c>
      <c r="Y580" t="s">
        <v>56</v>
      </c>
      <c r="Z580">
        <v>1083</v>
      </c>
      <c r="AA580">
        <v>36</v>
      </c>
      <c r="AB580">
        <v>160</v>
      </c>
      <c r="AC580" t="s">
        <v>4921</v>
      </c>
      <c r="AD580" t="s">
        <v>3761</v>
      </c>
      <c r="AE580" t="s">
        <v>3762</v>
      </c>
      <c r="AI580" t="s">
        <v>3761</v>
      </c>
      <c r="AJ580" s="2">
        <v>45691.973506944443</v>
      </c>
      <c r="AK580" t="s">
        <v>556</v>
      </c>
      <c r="AL580" t="s">
        <v>65</v>
      </c>
      <c r="AM580" s="4">
        <v>0.20833333333333334</v>
      </c>
      <c r="AN580" t="s">
        <v>66</v>
      </c>
      <c r="AO580" t="s">
        <v>67</v>
      </c>
    </row>
    <row r="581" spans="1:41" x14ac:dyDescent="0.2">
      <c r="A581">
        <v>364674</v>
      </c>
      <c r="B581" t="s">
        <v>4922</v>
      </c>
      <c r="C581" t="s">
        <v>278</v>
      </c>
      <c r="D581" t="s">
        <v>1140</v>
      </c>
      <c r="E581" t="s">
        <v>4923</v>
      </c>
      <c r="F581">
        <v>423106</v>
      </c>
      <c r="G581" s="1">
        <v>36061</v>
      </c>
      <c r="H581" s="1">
        <v>45553</v>
      </c>
      <c r="I581" s="1">
        <v>46249</v>
      </c>
      <c r="J581" t="s">
        <v>326</v>
      </c>
      <c r="K581" t="s">
        <v>45</v>
      </c>
      <c r="L581" t="s">
        <v>72</v>
      </c>
      <c r="M581" s="1">
        <v>45553</v>
      </c>
      <c r="N581" t="s">
        <v>47</v>
      </c>
      <c r="O581" t="s">
        <v>48</v>
      </c>
      <c r="P581" t="s">
        <v>907</v>
      </c>
      <c r="Q581" t="s">
        <v>4924</v>
      </c>
      <c r="R581" t="s">
        <v>4925</v>
      </c>
      <c r="S581">
        <v>12120</v>
      </c>
      <c r="T581" t="s">
        <v>52</v>
      </c>
      <c r="U581">
        <v>4</v>
      </c>
      <c r="V581" t="s">
        <v>1143</v>
      </c>
      <c r="W581" t="s">
        <v>54</v>
      </c>
      <c r="X581" t="s">
        <v>52</v>
      </c>
      <c r="Y581" t="s">
        <v>110</v>
      </c>
      <c r="Z581">
        <v>1367</v>
      </c>
      <c r="AA581">
        <v>67</v>
      </c>
      <c r="AB581">
        <v>66</v>
      </c>
      <c r="AC581" t="s">
        <v>1144</v>
      </c>
      <c r="AD581" t="s">
        <v>1145</v>
      </c>
      <c r="AE581" t="s">
        <v>1146</v>
      </c>
      <c r="AF581" t="s">
        <v>1147</v>
      </c>
      <c r="AG581" t="s">
        <v>1148</v>
      </c>
      <c r="AH581" t="s">
        <v>1149</v>
      </c>
      <c r="AI581" t="s">
        <v>1145</v>
      </c>
      <c r="AJ581" s="2">
        <v>45554.810381944444</v>
      </c>
      <c r="AK581" t="s">
        <v>1144</v>
      </c>
      <c r="AL581" t="s">
        <v>65</v>
      </c>
      <c r="AM581" s="3">
        <v>2.4305555555555554</v>
      </c>
      <c r="AN581" t="s">
        <v>66</v>
      </c>
      <c r="AO581" t="s">
        <v>67</v>
      </c>
    </row>
    <row r="582" spans="1:41" x14ac:dyDescent="0.2">
      <c r="A582">
        <v>369815</v>
      </c>
      <c r="B582" t="s">
        <v>4926</v>
      </c>
      <c r="C582" t="s">
        <v>103</v>
      </c>
      <c r="E582" t="s">
        <v>4927</v>
      </c>
      <c r="F582">
        <v>313902</v>
      </c>
      <c r="G582" s="1">
        <v>37302</v>
      </c>
      <c r="H582" s="1">
        <v>45706</v>
      </c>
      <c r="I582" s="1">
        <v>46054</v>
      </c>
      <c r="J582" t="s">
        <v>45</v>
      </c>
      <c r="K582" t="s">
        <v>45</v>
      </c>
      <c r="L582" t="s">
        <v>72</v>
      </c>
      <c r="M582" s="1">
        <v>44126</v>
      </c>
      <c r="N582" t="s">
        <v>47</v>
      </c>
      <c r="O582" t="s">
        <v>48</v>
      </c>
      <c r="P582" t="s">
        <v>49</v>
      </c>
      <c r="Q582" t="s">
        <v>4928</v>
      </c>
      <c r="R582" t="s">
        <v>4929</v>
      </c>
      <c r="S582">
        <v>3400</v>
      </c>
      <c r="T582" t="s">
        <v>257</v>
      </c>
      <c r="U582" t="s">
        <v>1691</v>
      </c>
      <c r="V582" t="s">
        <v>3791</v>
      </c>
      <c r="W582" t="s">
        <v>260</v>
      </c>
      <c r="X582" t="s">
        <v>257</v>
      </c>
      <c r="Y582" t="s">
        <v>110</v>
      </c>
      <c r="Z582">
        <v>1344</v>
      </c>
      <c r="AA582">
        <v>46</v>
      </c>
      <c r="AB582">
        <v>166</v>
      </c>
      <c r="AC582" t="s">
        <v>3792</v>
      </c>
      <c r="AD582" t="s">
        <v>3793</v>
      </c>
      <c r="AE582" t="s">
        <v>3794</v>
      </c>
      <c r="AF582" t="s">
        <v>3795</v>
      </c>
      <c r="AG582" t="s">
        <v>3796</v>
      </c>
      <c r="AH582" t="s">
        <v>3797</v>
      </c>
      <c r="AI582" t="s">
        <v>3796</v>
      </c>
      <c r="AJ582" s="2">
        <v>45754.867615740739</v>
      </c>
      <c r="AK582" t="s">
        <v>3795</v>
      </c>
      <c r="AL582" t="s">
        <v>65</v>
      </c>
      <c r="AM582" s="3">
        <v>2.4027777777777777</v>
      </c>
      <c r="AN582" t="s">
        <v>66</v>
      </c>
      <c r="AO582" t="s">
        <v>67</v>
      </c>
    </row>
    <row r="583" spans="1:41" x14ac:dyDescent="0.2">
      <c r="A583">
        <v>371045</v>
      </c>
      <c r="B583" t="s">
        <v>4930</v>
      </c>
      <c r="C583" t="s">
        <v>118</v>
      </c>
      <c r="D583" t="s">
        <v>4931</v>
      </c>
      <c r="E583" t="s">
        <v>4932</v>
      </c>
      <c r="F583">
        <v>20511</v>
      </c>
      <c r="G583" s="1">
        <v>35839</v>
      </c>
      <c r="H583" s="1">
        <v>45541</v>
      </c>
      <c r="I583" s="1">
        <v>46235</v>
      </c>
      <c r="J583" t="s">
        <v>45</v>
      </c>
      <c r="K583" t="s">
        <v>45</v>
      </c>
      <c r="L583" t="s">
        <v>429</v>
      </c>
      <c r="M583" s="1">
        <v>44244</v>
      </c>
      <c r="N583" t="s">
        <v>47</v>
      </c>
      <c r="O583" t="s">
        <v>48</v>
      </c>
      <c r="P583" t="s">
        <v>49</v>
      </c>
      <c r="Q583" t="s">
        <v>4933</v>
      </c>
      <c r="R583" t="s">
        <v>4934</v>
      </c>
      <c r="S583">
        <v>5147</v>
      </c>
      <c r="T583" t="s">
        <v>52</v>
      </c>
      <c r="U583">
        <v>3</v>
      </c>
      <c r="V583" t="s">
        <v>4935</v>
      </c>
      <c r="W583" t="s">
        <v>54</v>
      </c>
      <c r="X583" t="s">
        <v>55</v>
      </c>
      <c r="Y583" t="s">
        <v>56</v>
      </c>
      <c r="Z583">
        <v>629</v>
      </c>
      <c r="AA583">
        <v>58</v>
      </c>
      <c r="AB583">
        <v>176</v>
      </c>
      <c r="AC583" t="s">
        <v>4936</v>
      </c>
      <c r="AD583" t="s">
        <v>4937</v>
      </c>
      <c r="AE583" t="s">
        <v>4938</v>
      </c>
      <c r="AI583" t="s">
        <v>1809</v>
      </c>
      <c r="AJ583" s="2">
        <v>45793.64162037037</v>
      </c>
      <c r="AK583" t="s">
        <v>100</v>
      </c>
      <c r="AL583" t="s">
        <v>65</v>
      </c>
      <c r="AM583" s="4">
        <v>0.49305555555555558</v>
      </c>
      <c r="AN583" t="s">
        <v>66</v>
      </c>
      <c r="AO583" t="s">
        <v>67</v>
      </c>
    </row>
    <row r="584" spans="1:41" x14ac:dyDescent="0.2">
      <c r="A584">
        <v>366122</v>
      </c>
      <c r="B584" t="s">
        <v>4939</v>
      </c>
      <c r="C584" t="s">
        <v>558</v>
      </c>
      <c r="D584" t="s">
        <v>4940</v>
      </c>
      <c r="E584" t="s">
        <v>4941</v>
      </c>
      <c r="F584">
        <v>261301</v>
      </c>
      <c r="G584" s="1">
        <v>41432</v>
      </c>
      <c r="H584" s="1">
        <v>45602</v>
      </c>
      <c r="I584" s="1">
        <v>46174</v>
      </c>
      <c r="J584" t="s">
        <v>45</v>
      </c>
      <c r="K584" t="s">
        <v>45</v>
      </c>
      <c r="L584" t="s">
        <v>429</v>
      </c>
      <c r="M584" s="1">
        <v>41822</v>
      </c>
      <c r="N584" t="s">
        <v>47</v>
      </c>
      <c r="O584" t="s">
        <v>48</v>
      </c>
      <c r="P584" t="s">
        <v>49</v>
      </c>
      <c r="Q584" t="s">
        <v>4942</v>
      </c>
      <c r="R584" t="s">
        <v>4943</v>
      </c>
      <c r="S584">
        <v>7622</v>
      </c>
      <c r="T584" t="s">
        <v>365</v>
      </c>
      <c r="U584" t="s">
        <v>562</v>
      </c>
      <c r="V584" t="s">
        <v>4944</v>
      </c>
      <c r="W584" t="s">
        <v>367</v>
      </c>
      <c r="X584" t="s">
        <v>493</v>
      </c>
      <c r="Y584" t="s">
        <v>434</v>
      </c>
      <c r="Z584">
        <v>249</v>
      </c>
      <c r="AA584">
        <v>51</v>
      </c>
      <c r="AB584">
        <v>166</v>
      </c>
      <c r="AC584" t="s">
        <v>4945</v>
      </c>
      <c r="AD584" t="s">
        <v>4946</v>
      </c>
      <c r="AE584" t="s">
        <v>4947</v>
      </c>
      <c r="AI584" t="s">
        <v>500</v>
      </c>
      <c r="AJ584" s="2">
        <v>45603.840185185189</v>
      </c>
      <c r="AK584" t="s">
        <v>501</v>
      </c>
      <c r="AL584" t="s">
        <v>65</v>
      </c>
      <c r="AM584" s="3">
        <v>1.9791666666666667</v>
      </c>
      <c r="AN584" t="s">
        <v>66</v>
      </c>
      <c r="AO584" t="s">
        <v>67</v>
      </c>
    </row>
    <row r="585" spans="1:41" x14ac:dyDescent="0.2">
      <c r="A585">
        <v>372418</v>
      </c>
      <c r="B585" t="s">
        <v>4948</v>
      </c>
      <c r="C585" t="s">
        <v>182</v>
      </c>
      <c r="D585" t="s">
        <v>4385</v>
      </c>
      <c r="E585">
        <v>32806744</v>
      </c>
      <c r="F585">
        <v>40904</v>
      </c>
      <c r="G585" s="1">
        <v>32794</v>
      </c>
      <c r="H585" s="1">
        <v>45833</v>
      </c>
      <c r="I585" s="1">
        <v>45962</v>
      </c>
      <c r="J585" t="s">
        <v>45</v>
      </c>
      <c r="K585" t="s">
        <v>45</v>
      </c>
      <c r="L585" t="s">
        <v>429</v>
      </c>
      <c r="M585" s="1">
        <v>45187</v>
      </c>
      <c r="N585" t="s">
        <v>47</v>
      </c>
      <c r="O585" t="s">
        <v>48</v>
      </c>
      <c r="P585" t="s">
        <v>49</v>
      </c>
      <c r="Q585" t="s">
        <v>4949</v>
      </c>
      <c r="R585" t="s">
        <v>4950</v>
      </c>
      <c r="S585">
        <v>4547</v>
      </c>
      <c r="T585" t="s">
        <v>52</v>
      </c>
      <c r="U585">
        <v>5</v>
      </c>
      <c r="V585" t="s">
        <v>2771</v>
      </c>
      <c r="W585" t="s">
        <v>54</v>
      </c>
      <c r="X585" t="s">
        <v>493</v>
      </c>
      <c r="Y585" t="s">
        <v>434</v>
      </c>
      <c r="Z585">
        <v>708</v>
      </c>
      <c r="AA585">
        <v>89</v>
      </c>
      <c r="AB585">
        <v>166</v>
      </c>
      <c r="AC585" t="s">
        <v>4951</v>
      </c>
      <c r="AD585" t="s">
        <v>4952</v>
      </c>
      <c r="AE585" t="s">
        <v>4953</v>
      </c>
      <c r="AF585" t="s">
        <v>4954</v>
      </c>
      <c r="AG585" t="s">
        <v>4955</v>
      </c>
      <c r="AH585" t="s">
        <v>4956</v>
      </c>
      <c r="AI585" t="s">
        <v>4957</v>
      </c>
      <c r="AJ585" s="2">
        <v>45839.603067129632</v>
      </c>
      <c r="AK585" t="s">
        <v>501</v>
      </c>
      <c r="AL585" t="s">
        <v>65</v>
      </c>
      <c r="AM585" s="4">
        <v>9.0277777777777776E-2</v>
      </c>
      <c r="AN585" t="s">
        <v>66</v>
      </c>
      <c r="AO585" t="s">
        <v>67</v>
      </c>
    </row>
    <row r="586" spans="1:41" x14ac:dyDescent="0.2">
      <c r="A586">
        <v>365496</v>
      </c>
      <c r="B586" t="s">
        <v>4958</v>
      </c>
      <c r="C586" t="s">
        <v>542</v>
      </c>
      <c r="D586" t="s">
        <v>4959</v>
      </c>
      <c r="E586" t="s">
        <v>4960</v>
      </c>
      <c r="F586">
        <v>360871</v>
      </c>
      <c r="G586" s="1">
        <v>43882</v>
      </c>
      <c r="H586" s="1">
        <v>45583</v>
      </c>
      <c r="J586" t="s">
        <v>45</v>
      </c>
      <c r="K586" t="s">
        <v>45</v>
      </c>
      <c r="L586" t="s">
        <v>72</v>
      </c>
      <c r="M586" s="1">
        <v>44343</v>
      </c>
      <c r="N586" t="s">
        <v>47</v>
      </c>
      <c r="O586" t="s">
        <v>48</v>
      </c>
      <c r="P586" t="s">
        <v>49</v>
      </c>
      <c r="Q586" t="s">
        <v>4961</v>
      </c>
      <c r="R586" t="s">
        <v>4962</v>
      </c>
      <c r="S586">
        <v>1704</v>
      </c>
      <c r="T586" t="s">
        <v>92</v>
      </c>
      <c r="U586" t="s">
        <v>1133</v>
      </c>
      <c r="V586" t="s">
        <v>1134</v>
      </c>
      <c r="W586" t="s">
        <v>1135</v>
      </c>
      <c r="X586" t="s">
        <v>92</v>
      </c>
      <c r="Y586" t="s">
        <v>770</v>
      </c>
      <c r="Z586">
        <v>10646</v>
      </c>
      <c r="AA586">
        <v>15</v>
      </c>
      <c r="AB586">
        <v>45</v>
      </c>
      <c r="AC586" t="s">
        <v>1136</v>
      </c>
      <c r="AD586" t="s">
        <v>1137</v>
      </c>
      <c r="AE586" t="s">
        <v>1138</v>
      </c>
      <c r="AF586" t="s">
        <v>1136</v>
      </c>
      <c r="AG586" t="s">
        <v>1137</v>
      </c>
      <c r="AH586" t="s">
        <v>1138</v>
      </c>
      <c r="AI586" t="s">
        <v>1137</v>
      </c>
      <c r="AJ586" s="2">
        <v>45583.891840277778</v>
      </c>
      <c r="AK586" t="s">
        <v>1136</v>
      </c>
      <c r="AL586" t="s">
        <v>65</v>
      </c>
      <c r="AM586" s="3">
        <v>2.125</v>
      </c>
      <c r="AN586" t="s">
        <v>66</v>
      </c>
      <c r="AO586" t="s">
        <v>101</v>
      </c>
    </row>
    <row r="587" spans="1:41" x14ac:dyDescent="0.2">
      <c r="A587">
        <v>372952</v>
      </c>
      <c r="B587" t="s">
        <v>4963</v>
      </c>
      <c r="C587" t="s">
        <v>3441</v>
      </c>
      <c r="D587" t="s">
        <v>4964</v>
      </c>
      <c r="E587" t="s">
        <v>4965</v>
      </c>
      <c r="F587">
        <v>343301</v>
      </c>
      <c r="G587" s="1">
        <v>39343</v>
      </c>
      <c r="H587" s="1">
        <v>45729</v>
      </c>
      <c r="I587" s="1">
        <v>46113</v>
      </c>
      <c r="J587" t="s">
        <v>45</v>
      </c>
      <c r="K587" t="s">
        <v>45</v>
      </c>
      <c r="L587" t="s">
        <v>46</v>
      </c>
      <c r="M587" s="1">
        <v>45007</v>
      </c>
      <c r="N587" t="s">
        <v>47</v>
      </c>
      <c r="O587" t="s">
        <v>48</v>
      </c>
      <c r="P587" t="s">
        <v>49</v>
      </c>
      <c r="Q587" t="s">
        <v>4966</v>
      </c>
      <c r="R587" t="s">
        <v>4967</v>
      </c>
      <c r="S587">
        <v>2352</v>
      </c>
      <c r="T587" t="s">
        <v>52</v>
      </c>
      <c r="U587">
        <v>3</v>
      </c>
      <c r="V587" t="s">
        <v>53</v>
      </c>
      <c r="W587" t="s">
        <v>54</v>
      </c>
      <c r="X587" t="s">
        <v>76</v>
      </c>
      <c r="Y587" t="s">
        <v>56</v>
      </c>
      <c r="Z587">
        <v>2686</v>
      </c>
      <c r="AA587">
        <v>41</v>
      </c>
      <c r="AB587">
        <v>158</v>
      </c>
      <c r="AC587" t="s">
        <v>57</v>
      </c>
      <c r="AD587" t="s">
        <v>58</v>
      </c>
      <c r="AE587" t="s">
        <v>4968</v>
      </c>
      <c r="AF587" t="s">
        <v>60</v>
      </c>
      <c r="AG587" t="s">
        <v>61</v>
      </c>
      <c r="AH587" t="s">
        <v>62</v>
      </c>
      <c r="AI587" t="s">
        <v>1809</v>
      </c>
      <c r="AJ587" s="2">
        <v>45855.950902777775</v>
      </c>
      <c r="AK587" t="s">
        <v>556</v>
      </c>
      <c r="AL587" t="s">
        <v>65</v>
      </c>
      <c r="AM587" s="3">
        <v>2.4444444444444446</v>
      </c>
      <c r="AN587" t="s">
        <v>809</v>
      </c>
      <c r="AO587" t="s">
        <v>67</v>
      </c>
    </row>
    <row r="588" spans="1:41" x14ac:dyDescent="0.2">
      <c r="A588">
        <v>367674</v>
      </c>
      <c r="B588" t="s">
        <v>4969</v>
      </c>
      <c r="C588" t="s">
        <v>1000</v>
      </c>
      <c r="D588" t="s">
        <v>4970</v>
      </c>
      <c r="E588" t="s">
        <v>4971</v>
      </c>
      <c r="F588">
        <v>408001</v>
      </c>
      <c r="G588" s="1">
        <v>38064</v>
      </c>
      <c r="H588" s="1">
        <v>45614</v>
      </c>
      <c r="J588" t="s">
        <v>45</v>
      </c>
      <c r="K588" t="s">
        <v>45</v>
      </c>
      <c r="L588" t="s">
        <v>72</v>
      </c>
      <c r="M588" s="1">
        <v>45614</v>
      </c>
      <c r="N588" t="s">
        <v>47</v>
      </c>
      <c r="O588" t="s">
        <v>48</v>
      </c>
      <c r="P588" t="s">
        <v>49</v>
      </c>
      <c r="Q588" t="s">
        <v>4972</v>
      </c>
      <c r="R588" t="s">
        <v>4973</v>
      </c>
      <c r="S588">
        <v>439</v>
      </c>
      <c r="T588" t="s">
        <v>92</v>
      </c>
      <c r="U588" t="s">
        <v>1005</v>
      </c>
      <c r="V588" t="s">
        <v>590</v>
      </c>
      <c r="W588" t="s">
        <v>1006</v>
      </c>
      <c r="X588" t="s">
        <v>92</v>
      </c>
      <c r="Y588" t="s">
        <v>770</v>
      </c>
      <c r="Z588">
        <v>2419</v>
      </c>
      <c r="AA588">
        <v>43</v>
      </c>
      <c r="AB588">
        <v>144</v>
      </c>
      <c r="AC588" t="s">
        <v>4974</v>
      </c>
      <c r="AD588" t="s">
        <v>4137</v>
      </c>
      <c r="AE588" t="s">
        <v>4138</v>
      </c>
      <c r="AI588" t="s">
        <v>1010</v>
      </c>
      <c r="AJ588" s="2">
        <v>45686.255289351851</v>
      </c>
      <c r="AK588" t="s">
        <v>1011</v>
      </c>
      <c r="AL588" t="s">
        <v>65</v>
      </c>
      <c r="AM588" s="4">
        <v>0.29166666666666669</v>
      </c>
      <c r="AN588" t="s">
        <v>66</v>
      </c>
      <c r="AO588" t="s">
        <v>67</v>
      </c>
    </row>
    <row r="589" spans="1:41" x14ac:dyDescent="0.2">
      <c r="A589">
        <v>372317</v>
      </c>
      <c r="B589" t="s">
        <v>4975</v>
      </c>
      <c r="C589" t="s">
        <v>323</v>
      </c>
      <c r="D589" t="s">
        <v>339</v>
      </c>
      <c r="E589" t="s">
        <v>4976</v>
      </c>
      <c r="F589">
        <v>500747</v>
      </c>
      <c r="G589" s="1">
        <v>36048</v>
      </c>
      <c r="H589" s="1">
        <v>45810</v>
      </c>
      <c r="I589" s="1">
        <v>46037</v>
      </c>
      <c r="J589" t="s">
        <v>45</v>
      </c>
      <c r="K589" t="s">
        <v>45</v>
      </c>
      <c r="L589" t="s">
        <v>72</v>
      </c>
      <c r="M589" s="1">
        <v>45438</v>
      </c>
      <c r="N589" t="s">
        <v>47</v>
      </c>
      <c r="O589" t="s">
        <v>48</v>
      </c>
      <c r="P589" t="s">
        <v>49</v>
      </c>
      <c r="Q589" t="s">
        <v>4977</v>
      </c>
      <c r="R589" t="s">
        <v>4978</v>
      </c>
      <c r="S589">
        <v>2060</v>
      </c>
      <c r="T589" t="s">
        <v>365</v>
      </c>
      <c r="U589" t="s">
        <v>366</v>
      </c>
      <c r="V589" t="s">
        <v>330</v>
      </c>
      <c r="W589" t="s">
        <v>367</v>
      </c>
      <c r="X589" t="s">
        <v>76</v>
      </c>
      <c r="Y589" t="s">
        <v>110</v>
      </c>
      <c r="Z589">
        <v>40</v>
      </c>
      <c r="AA589">
        <v>35</v>
      </c>
      <c r="AB589">
        <v>158</v>
      </c>
      <c r="AC589" t="s">
        <v>368</v>
      </c>
      <c r="AD589" t="s">
        <v>369</v>
      </c>
      <c r="AE589" t="s">
        <v>370</v>
      </c>
      <c r="AF589" t="s">
        <v>384</v>
      </c>
      <c r="AG589" t="s">
        <v>385</v>
      </c>
      <c r="AH589" t="s">
        <v>386</v>
      </c>
      <c r="AJ589" s="2">
        <v>45838.499421296299</v>
      </c>
      <c r="AK589" t="s">
        <v>132</v>
      </c>
      <c r="AL589" t="s">
        <v>65</v>
      </c>
      <c r="AM589" s="4">
        <v>0.86111111111111116</v>
      </c>
      <c r="AN589" t="s">
        <v>66</v>
      </c>
      <c r="AO589" t="s">
        <v>67</v>
      </c>
    </row>
    <row r="590" spans="1:41" x14ac:dyDescent="0.2">
      <c r="A590">
        <v>372625</v>
      </c>
      <c r="B590" t="s">
        <v>4979</v>
      </c>
      <c r="C590" t="s">
        <v>323</v>
      </c>
      <c r="E590">
        <v>39603396</v>
      </c>
      <c r="G590" s="1">
        <v>38220</v>
      </c>
      <c r="H590" s="1">
        <v>45836</v>
      </c>
      <c r="J590" t="s">
        <v>72</v>
      </c>
      <c r="K590" t="s">
        <v>72</v>
      </c>
      <c r="L590" t="s">
        <v>72</v>
      </c>
      <c r="N590" t="s">
        <v>47</v>
      </c>
      <c r="O590" t="s">
        <v>48</v>
      </c>
      <c r="P590" t="s">
        <v>406</v>
      </c>
      <c r="Q590" t="s">
        <v>4980</v>
      </c>
      <c r="R590" t="s">
        <v>4981</v>
      </c>
      <c r="S590">
        <v>5240</v>
      </c>
      <c r="T590" t="s">
        <v>257</v>
      </c>
      <c r="U590" t="s">
        <v>329</v>
      </c>
      <c r="V590" t="s">
        <v>4982</v>
      </c>
      <c r="W590" t="s">
        <v>3303</v>
      </c>
      <c r="X590" t="s">
        <v>257</v>
      </c>
      <c r="Y590" t="s">
        <v>642</v>
      </c>
      <c r="Z590">
        <v>2613</v>
      </c>
      <c r="AA590">
        <v>36</v>
      </c>
      <c r="AB590">
        <v>172</v>
      </c>
      <c r="AC590" t="s">
        <v>1164</v>
      </c>
      <c r="AD590" t="s">
        <v>1165</v>
      </c>
      <c r="AE590" t="s">
        <v>1166</v>
      </c>
      <c r="AF590" t="s">
        <v>4983</v>
      </c>
      <c r="AG590" t="s">
        <v>4984</v>
      </c>
      <c r="AH590" t="s">
        <v>4985</v>
      </c>
      <c r="AI590" t="s">
        <v>1165</v>
      </c>
      <c r="AJ590" s="2">
        <v>45847.914606481485</v>
      </c>
      <c r="AK590" t="s">
        <v>1164</v>
      </c>
      <c r="AL590" t="s">
        <v>1168</v>
      </c>
      <c r="AM590" s="3">
        <v>1.375</v>
      </c>
      <c r="AN590" t="s">
        <v>66</v>
      </c>
      <c r="AO590" t="s">
        <v>67</v>
      </c>
    </row>
    <row r="591" spans="1:41" x14ac:dyDescent="0.2">
      <c r="A591">
        <v>371777</v>
      </c>
      <c r="B591" t="s">
        <v>4986</v>
      </c>
      <c r="C591" t="s">
        <v>323</v>
      </c>
      <c r="E591" t="s">
        <v>4987</v>
      </c>
      <c r="G591" s="1">
        <v>39545</v>
      </c>
      <c r="H591" s="1">
        <v>45818</v>
      </c>
      <c r="I591" s="1">
        <v>46037</v>
      </c>
      <c r="J591" t="s">
        <v>45</v>
      </c>
      <c r="K591" t="s">
        <v>45</v>
      </c>
      <c r="L591" t="s">
        <v>72</v>
      </c>
      <c r="M591" s="1">
        <v>45818</v>
      </c>
      <c r="N591" t="s">
        <v>47</v>
      </c>
      <c r="O591" t="s">
        <v>48</v>
      </c>
      <c r="P591" t="s">
        <v>406</v>
      </c>
      <c r="Q591" t="s">
        <v>4988</v>
      </c>
      <c r="R591" t="s">
        <v>4989</v>
      </c>
      <c r="S591">
        <v>4658</v>
      </c>
      <c r="T591" t="s">
        <v>257</v>
      </c>
      <c r="U591" t="s">
        <v>329</v>
      </c>
      <c r="V591" t="s">
        <v>4990</v>
      </c>
      <c r="W591" t="s">
        <v>260</v>
      </c>
      <c r="X591" t="s">
        <v>257</v>
      </c>
      <c r="Y591" t="s">
        <v>110</v>
      </c>
      <c r="Z591">
        <v>2988</v>
      </c>
      <c r="AA591">
        <v>40</v>
      </c>
      <c r="AB591">
        <v>160</v>
      </c>
      <c r="AC591" t="s">
        <v>4991</v>
      </c>
      <c r="AD591" t="s">
        <v>4992</v>
      </c>
      <c r="AE591" t="s">
        <v>4993</v>
      </c>
      <c r="AF591" t="s">
        <v>4994</v>
      </c>
      <c r="AG591" t="s">
        <v>4995</v>
      </c>
      <c r="AH591" t="s">
        <v>4996</v>
      </c>
      <c r="AI591" t="s">
        <v>4997</v>
      </c>
      <c r="AJ591" s="2">
        <v>45819.181550925925</v>
      </c>
      <c r="AK591" t="s">
        <v>331</v>
      </c>
      <c r="AL591" t="s">
        <v>65</v>
      </c>
      <c r="AM591" s="3">
        <v>1.7986111111111112</v>
      </c>
      <c r="AN591" t="s">
        <v>66</v>
      </c>
      <c r="AO591" t="s">
        <v>67</v>
      </c>
    </row>
    <row r="592" spans="1:41" x14ac:dyDescent="0.2">
      <c r="A592">
        <v>366711</v>
      </c>
      <c r="B592" t="s">
        <v>4998</v>
      </c>
      <c r="C592" t="s">
        <v>182</v>
      </c>
      <c r="D592" t="s">
        <v>183</v>
      </c>
      <c r="E592">
        <v>32486786</v>
      </c>
      <c r="F592">
        <v>45436</v>
      </c>
      <c r="G592" s="1">
        <v>35620</v>
      </c>
      <c r="H592" s="1">
        <v>45630</v>
      </c>
      <c r="I592" s="1">
        <v>46143</v>
      </c>
      <c r="J592" t="s">
        <v>45</v>
      </c>
      <c r="K592" t="s">
        <v>45</v>
      </c>
      <c r="L592" t="s">
        <v>429</v>
      </c>
      <c r="M592" s="1">
        <v>42649</v>
      </c>
      <c r="N592" t="s">
        <v>47</v>
      </c>
      <c r="O592" t="s">
        <v>48</v>
      </c>
      <c r="P592" t="s">
        <v>49</v>
      </c>
      <c r="Q592" t="s">
        <v>4999</v>
      </c>
      <c r="R592" t="s">
        <v>5000</v>
      </c>
      <c r="S592">
        <v>5450</v>
      </c>
      <c r="T592" t="s">
        <v>52</v>
      </c>
      <c r="U592">
        <v>5</v>
      </c>
      <c r="V592" t="s">
        <v>2432</v>
      </c>
      <c r="W592" t="s">
        <v>54</v>
      </c>
      <c r="X592" t="s">
        <v>493</v>
      </c>
      <c r="Y592" t="s">
        <v>434</v>
      </c>
      <c r="Z592">
        <v>680</v>
      </c>
      <c r="AA592">
        <v>60</v>
      </c>
      <c r="AB592">
        <v>144</v>
      </c>
      <c r="AC592" t="s">
        <v>5001</v>
      </c>
      <c r="AD592" t="s">
        <v>5002</v>
      </c>
      <c r="AE592" t="s">
        <v>2435</v>
      </c>
      <c r="AF592" t="s">
        <v>5003</v>
      </c>
      <c r="AG592" t="s">
        <v>5004</v>
      </c>
      <c r="AH592" t="s">
        <v>5005</v>
      </c>
      <c r="AI592" t="s">
        <v>500</v>
      </c>
      <c r="AJ592" s="2">
        <v>45635.672592592593</v>
      </c>
      <c r="AK592" t="s">
        <v>717</v>
      </c>
      <c r="AL592" t="s">
        <v>65</v>
      </c>
      <c r="AM592" s="3">
        <v>2.2152777777777777</v>
      </c>
      <c r="AN592" t="s">
        <v>66</v>
      </c>
      <c r="AO592" t="s">
        <v>67</v>
      </c>
    </row>
    <row r="593" spans="1:41" x14ac:dyDescent="0.2">
      <c r="A593">
        <v>370681</v>
      </c>
      <c r="B593" t="s">
        <v>5006</v>
      </c>
      <c r="C593" t="s">
        <v>323</v>
      </c>
      <c r="D593" t="s">
        <v>5007</v>
      </c>
      <c r="E593" t="s">
        <v>5008</v>
      </c>
      <c r="G593" s="1">
        <v>39955</v>
      </c>
      <c r="H593" s="1">
        <v>45156</v>
      </c>
      <c r="J593" t="s">
        <v>326</v>
      </c>
      <c r="K593" t="s">
        <v>72</v>
      </c>
      <c r="L593" t="s">
        <v>72</v>
      </c>
      <c r="N593" t="s">
        <v>47</v>
      </c>
      <c r="O593" t="s">
        <v>48</v>
      </c>
      <c r="P593" t="s">
        <v>1752</v>
      </c>
      <c r="Q593" t="s">
        <v>5009</v>
      </c>
      <c r="R593" t="s">
        <v>5010</v>
      </c>
      <c r="S593">
        <v>4200</v>
      </c>
      <c r="T593" t="s">
        <v>257</v>
      </c>
      <c r="U593" t="s">
        <v>329</v>
      </c>
      <c r="V593" t="s">
        <v>3302</v>
      </c>
      <c r="W593" t="s">
        <v>260</v>
      </c>
      <c r="X593" t="s">
        <v>257</v>
      </c>
      <c r="Y593" t="s">
        <v>410</v>
      </c>
      <c r="Z593">
        <v>3072</v>
      </c>
      <c r="AA593">
        <v>49</v>
      </c>
      <c r="AB593">
        <v>108</v>
      </c>
      <c r="AC593" t="s">
        <v>3304</v>
      </c>
      <c r="AD593" t="s">
        <v>3305</v>
      </c>
      <c r="AE593" t="s">
        <v>5011</v>
      </c>
      <c r="AF593" t="s">
        <v>3307</v>
      </c>
      <c r="AG593" t="s">
        <v>3308</v>
      </c>
      <c r="AH593" t="s">
        <v>3309</v>
      </c>
      <c r="AI593" t="s">
        <v>5012</v>
      </c>
      <c r="AJ593" s="2">
        <v>45782.957314814812</v>
      </c>
      <c r="AK593" t="s">
        <v>375</v>
      </c>
      <c r="AL593" t="s">
        <v>1168</v>
      </c>
      <c r="AM593" s="3">
        <v>1.0138888888888888</v>
      </c>
      <c r="AN593" t="s">
        <v>66</v>
      </c>
      <c r="AO593" t="s">
        <v>67</v>
      </c>
    </row>
    <row r="594" spans="1:41" x14ac:dyDescent="0.2">
      <c r="A594">
        <v>373010</v>
      </c>
      <c r="B594" t="s">
        <v>5013</v>
      </c>
      <c r="C594" t="s">
        <v>2962</v>
      </c>
      <c r="D594" t="s">
        <v>5014</v>
      </c>
      <c r="E594">
        <v>61400010</v>
      </c>
      <c r="F594">
        <v>337301</v>
      </c>
      <c r="G594" s="1">
        <v>37523</v>
      </c>
      <c r="H594" s="1">
        <v>45593</v>
      </c>
      <c r="I594" s="1">
        <v>45931</v>
      </c>
      <c r="J594" t="s">
        <v>45</v>
      </c>
      <c r="K594" t="s">
        <v>45</v>
      </c>
      <c r="L594" t="s">
        <v>46</v>
      </c>
      <c r="M594" s="1">
        <v>42977</v>
      </c>
      <c r="N594" t="s">
        <v>47</v>
      </c>
      <c r="O594" t="s">
        <v>48</v>
      </c>
      <c r="P594" t="s">
        <v>49</v>
      </c>
      <c r="Q594" t="s">
        <v>5015</v>
      </c>
      <c r="R594" t="s">
        <v>5016</v>
      </c>
      <c r="S594">
        <v>630</v>
      </c>
      <c r="T594" t="s">
        <v>92</v>
      </c>
      <c r="U594" t="s">
        <v>2967</v>
      </c>
      <c r="V594" t="s">
        <v>2968</v>
      </c>
      <c r="W594" t="s">
        <v>2969</v>
      </c>
      <c r="X594" t="s">
        <v>76</v>
      </c>
      <c r="Y594" t="s">
        <v>56</v>
      </c>
      <c r="Z594">
        <v>2300</v>
      </c>
      <c r="AA594">
        <v>35</v>
      </c>
      <c r="AB594">
        <v>45</v>
      </c>
      <c r="AC594" t="s">
        <v>2970</v>
      </c>
      <c r="AD594" t="s">
        <v>2971</v>
      </c>
      <c r="AE594" t="s">
        <v>2972</v>
      </c>
      <c r="AF594" t="s">
        <v>2973</v>
      </c>
      <c r="AG594" t="s">
        <v>2974</v>
      </c>
      <c r="AH594" t="s">
        <v>2975</v>
      </c>
      <c r="AI594" t="s">
        <v>2976</v>
      </c>
      <c r="AJ594" s="2">
        <v>45856.003680555557</v>
      </c>
      <c r="AK594" t="s">
        <v>556</v>
      </c>
      <c r="AL594" t="s">
        <v>65</v>
      </c>
      <c r="AM594" s="3">
        <v>1.8402777777777777</v>
      </c>
      <c r="AN594" t="s">
        <v>66</v>
      </c>
      <c r="AO594" t="s">
        <v>101</v>
      </c>
    </row>
    <row r="595" spans="1:41" x14ac:dyDescent="0.2">
      <c r="A595">
        <v>363424</v>
      </c>
      <c r="B595" t="s">
        <v>5013</v>
      </c>
      <c r="C595" t="s">
        <v>1107</v>
      </c>
      <c r="D595" t="s">
        <v>5017</v>
      </c>
      <c r="E595" t="s">
        <v>5018</v>
      </c>
      <c r="F595">
        <v>231301</v>
      </c>
      <c r="G595" s="1">
        <v>38089</v>
      </c>
      <c r="H595" s="1">
        <v>45510</v>
      </c>
      <c r="I595" s="1">
        <v>46113</v>
      </c>
      <c r="J595" t="s">
        <v>45</v>
      </c>
      <c r="K595" t="s">
        <v>45</v>
      </c>
      <c r="L595" t="s">
        <v>72</v>
      </c>
      <c r="M595" s="1">
        <v>45510</v>
      </c>
      <c r="N595" t="s">
        <v>47</v>
      </c>
      <c r="O595" t="s">
        <v>48</v>
      </c>
      <c r="P595" t="s">
        <v>49</v>
      </c>
      <c r="Q595" t="s">
        <v>5019</v>
      </c>
      <c r="R595" t="s">
        <v>5020</v>
      </c>
      <c r="S595">
        <v>780</v>
      </c>
      <c r="T595" t="s">
        <v>92</v>
      </c>
      <c r="U595" t="s">
        <v>1111</v>
      </c>
      <c r="V595" t="s">
        <v>1112</v>
      </c>
      <c r="W595" t="s">
        <v>1113</v>
      </c>
      <c r="X595" t="s">
        <v>52</v>
      </c>
      <c r="Y595" t="s">
        <v>110</v>
      </c>
      <c r="Z595">
        <v>1630</v>
      </c>
      <c r="AA595">
        <v>35</v>
      </c>
      <c r="AB595">
        <v>170</v>
      </c>
      <c r="AC595" t="s">
        <v>1114</v>
      </c>
      <c r="AD595" t="s">
        <v>4143</v>
      </c>
      <c r="AE595" t="s">
        <v>1116</v>
      </c>
      <c r="AJ595" s="2">
        <v>45511.828425925924</v>
      </c>
      <c r="AK595" t="s">
        <v>1114</v>
      </c>
      <c r="AL595" t="s">
        <v>65</v>
      </c>
      <c r="AM595" s="4">
        <v>0.55555555555555558</v>
      </c>
      <c r="AN595" t="s">
        <v>66</v>
      </c>
      <c r="AO595" t="s">
        <v>67</v>
      </c>
    </row>
    <row r="596" spans="1:41" x14ac:dyDescent="0.2">
      <c r="A596">
        <v>371528</v>
      </c>
      <c r="B596" t="s">
        <v>5021</v>
      </c>
      <c r="C596" t="s">
        <v>167</v>
      </c>
      <c r="D596" t="s">
        <v>2702</v>
      </c>
      <c r="E596" t="s">
        <v>5022</v>
      </c>
      <c r="F596">
        <v>353310</v>
      </c>
      <c r="G596" s="1">
        <v>36478</v>
      </c>
      <c r="H596" s="1">
        <v>45810</v>
      </c>
      <c r="I596" s="1">
        <v>46143</v>
      </c>
      <c r="J596" t="s">
        <v>45</v>
      </c>
      <c r="K596" t="s">
        <v>45</v>
      </c>
      <c r="L596" t="s">
        <v>72</v>
      </c>
      <c r="M596" s="1">
        <v>42661</v>
      </c>
      <c r="N596" t="s">
        <v>47</v>
      </c>
      <c r="O596" t="s">
        <v>48</v>
      </c>
      <c r="P596" t="s">
        <v>49</v>
      </c>
      <c r="Q596" t="s">
        <v>5023</v>
      </c>
      <c r="R596" t="s">
        <v>5024</v>
      </c>
      <c r="S596">
        <v>4420</v>
      </c>
      <c r="T596" t="s">
        <v>52</v>
      </c>
      <c r="U596">
        <v>6</v>
      </c>
      <c r="V596" t="s">
        <v>3013</v>
      </c>
      <c r="W596" t="s">
        <v>54</v>
      </c>
      <c r="X596" t="s">
        <v>76</v>
      </c>
      <c r="Y596" t="s">
        <v>56</v>
      </c>
      <c r="Z596">
        <v>873</v>
      </c>
      <c r="AA596">
        <v>66</v>
      </c>
      <c r="AB596">
        <v>66</v>
      </c>
      <c r="AC596" t="s">
        <v>4117</v>
      </c>
      <c r="AD596" t="s">
        <v>4118</v>
      </c>
      <c r="AE596" t="s">
        <v>4119</v>
      </c>
      <c r="AF596" t="s">
        <v>4120</v>
      </c>
      <c r="AG596" t="s">
        <v>4121</v>
      </c>
      <c r="AH596" t="s">
        <v>4122</v>
      </c>
      <c r="AI596" t="s">
        <v>179</v>
      </c>
      <c r="AJ596" s="2">
        <v>45814.611724537041</v>
      </c>
      <c r="AK596" t="s">
        <v>1999</v>
      </c>
      <c r="AL596" t="s">
        <v>65</v>
      </c>
      <c r="AM596" s="3">
        <v>2.3333333333333335</v>
      </c>
      <c r="AN596" t="s">
        <v>66</v>
      </c>
      <c r="AO596" t="s">
        <v>67</v>
      </c>
    </row>
    <row r="597" spans="1:41" x14ac:dyDescent="0.2">
      <c r="A597">
        <v>373061</v>
      </c>
      <c r="B597" t="s">
        <v>5025</v>
      </c>
      <c r="C597" t="s">
        <v>167</v>
      </c>
      <c r="D597" t="s">
        <v>2702</v>
      </c>
      <c r="E597">
        <v>32923552</v>
      </c>
      <c r="G597" s="1">
        <v>45581</v>
      </c>
      <c r="H597" s="1">
        <v>45855</v>
      </c>
      <c r="I597" s="1">
        <v>46096</v>
      </c>
      <c r="J597" t="s">
        <v>45</v>
      </c>
      <c r="K597" t="s">
        <v>45</v>
      </c>
      <c r="L597" t="s">
        <v>72</v>
      </c>
      <c r="N597" t="s">
        <v>89</v>
      </c>
      <c r="O597" t="s">
        <v>121</v>
      </c>
      <c r="P597" t="s">
        <v>49</v>
      </c>
      <c r="Q597" t="s">
        <v>5026</v>
      </c>
      <c r="R597" t="s">
        <v>5027</v>
      </c>
      <c r="S597">
        <v>4258</v>
      </c>
      <c r="T597" t="s">
        <v>52</v>
      </c>
      <c r="U597">
        <v>6</v>
      </c>
      <c r="V597" t="s">
        <v>3013</v>
      </c>
      <c r="W597" t="s">
        <v>54</v>
      </c>
      <c r="X597" t="s">
        <v>52</v>
      </c>
      <c r="Y597" t="s">
        <v>125</v>
      </c>
      <c r="Z597">
        <v>2946</v>
      </c>
      <c r="AA597">
        <v>66</v>
      </c>
      <c r="AB597">
        <v>66</v>
      </c>
      <c r="AC597" t="s">
        <v>4904</v>
      </c>
      <c r="AD597" t="s">
        <v>4905</v>
      </c>
      <c r="AE597" t="s">
        <v>4906</v>
      </c>
      <c r="AJ597" s="2">
        <v>45856.589768518519</v>
      </c>
      <c r="AK597" t="s">
        <v>800</v>
      </c>
      <c r="AL597" t="s">
        <v>65</v>
      </c>
      <c r="AM597" s="3">
        <v>2.25</v>
      </c>
      <c r="AN597" t="s">
        <v>66</v>
      </c>
      <c r="AO597" t="s">
        <v>67</v>
      </c>
    </row>
    <row r="598" spans="1:41" x14ac:dyDescent="0.2">
      <c r="A598">
        <v>371501</v>
      </c>
      <c r="B598" t="s">
        <v>5028</v>
      </c>
      <c r="C598" t="s">
        <v>323</v>
      </c>
      <c r="E598" t="s">
        <v>5029</v>
      </c>
      <c r="G598" s="1">
        <v>41129</v>
      </c>
      <c r="H598" s="1">
        <v>45809</v>
      </c>
      <c r="J598" t="s">
        <v>72</v>
      </c>
      <c r="K598" t="s">
        <v>72</v>
      </c>
      <c r="L598" t="s">
        <v>72</v>
      </c>
      <c r="M598" s="1">
        <v>41367</v>
      </c>
      <c r="N598" t="s">
        <v>47</v>
      </c>
      <c r="O598" t="s">
        <v>48</v>
      </c>
      <c r="P598" t="s">
        <v>406</v>
      </c>
      <c r="Q598" t="s">
        <v>5030</v>
      </c>
      <c r="R598" t="s">
        <v>5031</v>
      </c>
      <c r="S598">
        <v>3692</v>
      </c>
      <c r="T598" t="s">
        <v>257</v>
      </c>
      <c r="U598" t="s">
        <v>329</v>
      </c>
      <c r="V598" t="s">
        <v>5032</v>
      </c>
      <c r="W598" t="s">
        <v>260</v>
      </c>
      <c r="X598" t="s">
        <v>257</v>
      </c>
      <c r="Y598" t="s">
        <v>642</v>
      </c>
      <c r="Z598">
        <v>5828</v>
      </c>
      <c r="AA598">
        <v>23</v>
      </c>
      <c r="AB598">
        <v>108</v>
      </c>
      <c r="AC598" t="s">
        <v>1164</v>
      </c>
      <c r="AD598" t="s">
        <v>1165</v>
      </c>
      <c r="AE598" t="s">
        <v>1166</v>
      </c>
      <c r="AI598" t="s">
        <v>1165</v>
      </c>
      <c r="AJ598" s="2">
        <v>45813.785115740742</v>
      </c>
      <c r="AK598" t="s">
        <v>1164</v>
      </c>
      <c r="AL598" t="s">
        <v>1168</v>
      </c>
      <c r="AM598" s="4">
        <v>0.96527777777777779</v>
      </c>
      <c r="AN598" t="s">
        <v>66</v>
      </c>
      <c r="AO598" t="s">
        <v>67</v>
      </c>
    </row>
    <row r="599" spans="1:41" x14ac:dyDescent="0.2">
      <c r="A599">
        <v>369597</v>
      </c>
      <c r="B599" t="s">
        <v>5033</v>
      </c>
      <c r="C599" t="s">
        <v>182</v>
      </c>
      <c r="D599" t="s">
        <v>516</v>
      </c>
      <c r="E599" t="s">
        <v>5034</v>
      </c>
      <c r="F599">
        <v>45510</v>
      </c>
      <c r="G599" s="1">
        <v>44159</v>
      </c>
      <c r="H599" s="1">
        <v>45740</v>
      </c>
      <c r="I599" s="1">
        <v>46113</v>
      </c>
      <c r="J599" t="s">
        <v>45</v>
      </c>
      <c r="K599" t="s">
        <v>45</v>
      </c>
      <c r="L599" t="s">
        <v>46</v>
      </c>
      <c r="N599" t="s">
        <v>47</v>
      </c>
      <c r="O599" t="s">
        <v>48</v>
      </c>
      <c r="P599" t="s">
        <v>49</v>
      </c>
      <c r="Q599" t="s">
        <v>5035</v>
      </c>
      <c r="R599" t="s">
        <v>5036</v>
      </c>
      <c r="S599">
        <v>1776</v>
      </c>
      <c r="T599" t="s">
        <v>92</v>
      </c>
      <c r="U599" t="s">
        <v>187</v>
      </c>
      <c r="V599" t="s">
        <v>2113</v>
      </c>
      <c r="W599" t="s">
        <v>448</v>
      </c>
      <c r="X599" t="s">
        <v>493</v>
      </c>
      <c r="Y599" t="s">
        <v>434</v>
      </c>
      <c r="Z599">
        <v>11466</v>
      </c>
      <c r="AA599">
        <v>16</v>
      </c>
      <c r="AB599">
        <v>210</v>
      </c>
      <c r="AC599" t="s">
        <v>2114</v>
      </c>
      <c r="AD599" t="s">
        <v>2115</v>
      </c>
      <c r="AE599" t="s">
        <v>2116</v>
      </c>
      <c r="AF599" t="s">
        <v>2117</v>
      </c>
      <c r="AG599" t="s">
        <v>2118</v>
      </c>
      <c r="AH599" t="s">
        <v>5037</v>
      </c>
      <c r="AI599" t="s">
        <v>179</v>
      </c>
      <c r="AJ599" s="2">
        <v>45747.591620370367</v>
      </c>
      <c r="AK599" t="s">
        <v>540</v>
      </c>
      <c r="AL599" t="s">
        <v>65</v>
      </c>
      <c r="AM599" s="4">
        <v>0.35416666666666669</v>
      </c>
      <c r="AN599" t="s">
        <v>66</v>
      </c>
      <c r="AO599" t="s">
        <v>67</v>
      </c>
    </row>
    <row r="600" spans="1:41" x14ac:dyDescent="0.2">
      <c r="A600">
        <v>372894</v>
      </c>
      <c r="B600" t="s">
        <v>5038</v>
      </c>
      <c r="C600" t="s">
        <v>236</v>
      </c>
      <c r="D600" t="s">
        <v>4537</v>
      </c>
      <c r="E600" t="s">
        <v>5039</v>
      </c>
      <c r="F600">
        <v>90301</v>
      </c>
      <c r="G600" s="1">
        <v>45765</v>
      </c>
      <c r="H600" s="1">
        <v>45688</v>
      </c>
      <c r="I600" s="1">
        <v>46054</v>
      </c>
      <c r="J600" t="s">
        <v>45</v>
      </c>
      <c r="K600" t="s">
        <v>45</v>
      </c>
      <c r="L600" t="s">
        <v>72</v>
      </c>
      <c r="N600" t="s">
        <v>89</v>
      </c>
      <c r="O600" t="s">
        <v>121</v>
      </c>
      <c r="P600" t="s">
        <v>49</v>
      </c>
      <c r="Q600" t="s">
        <v>5040</v>
      </c>
      <c r="R600" t="s">
        <v>5041</v>
      </c>
      <c r="S600">
        <v>1250</v>
      </c>
      <c r="T600" t="s">
        <v>52</v>
      </c>
      <c r="U600">
        <v>9</v>
      </c>
      <c r="V600" t="s">
        <v>4541</v>
      </c>
      <c r="W600" t="s">
        <v>54</v>
      </c>
      <c r="X600" t="s">
        <v>52</v>
      </c>
      <c r="Y600" t="s">
        <v>125</v>
      </c>
      <c r="Z600">
        <v>2502</v>
      </c>
      <c r="AA600">
        <v>126</v>
      </c>
      <c r="AB600">
        <v>174</v>
      </c>
      <c r="AC600" t="s">
        <v>5042</v>
      </c>
      <c r="AD600" t="s">
        <v>5043</v>
      </c>
      <c r="AE600" t="s">
        <v>4544</v>
      </c>
      <c r="AF600" t="s">
        <v>5044</v>
      </c>
      <c r="AG600" t="s">
        <v>5045</v>
      </c>
      <c r="AH600" t="s">
        <v>5046</v>
      </c>
      <c r="AI600" t="s">
        <v>5047</v>
      </c>
      <c r="AJ600" s="2">
        <v>45855.829513888886</v>
      </c>
      <c r="AK600" t="s">
        <v>84</v>
      </c>
      <c r="AL600" t="s">
        <v>65</v>
      </c>
      <c r="AM600" s="3">
        <v>2.4791666666666665</v>
      </c>
      <c r="AN600" t="s">
        <v>66</v>
      </c>
      <c r="AO600" t="s">
        <v>67</v>
      </c>
    </row>
    <row r="601" spans="1:41" x14ac:dyDescent="0.2">
      <c r="A601">
        <v>370134</v>
      </c>
      <c r="B601" t="s">
        <v>5048</v>
      </c>
      <c r="C601" t="s">
        <v>236</v>
      </c>
      <c r="D601" t="s">
        <v>4537</v>
      </c>
      <c r="E601">
        <v>32885678</v>
      </c>
      <c r="F601">
        <v>90303</v>
      </c>
      <c r="G601" s="1">
        <v>45688</v>
      </c>
      <c r="H601" s="1">
        <v>45691</v>
      </c>
      <c r="I601" s="1">
        <v>46054</v>
      </c>
      <c r="J601" t="s">
        <v>45</v>
      </c>
      <c r="K601" t="s">
        <v>45</v>
      </c>
      <c r="L601" t="s">
        <v>72</v>
      </c>
      <c r="M601" s="1">
        <v>40634</v>
      </c>
      <c r="N601" t="s">
        <v>47</v>
      </c>
      <c r="O601" t="s">
        <v>121</v>
      </c>
      <c r="P601" t="s">
        <v>49</v>
      </c>
      <c r="Q601" t="s">
        <v>5049</v>
      </c>
      <c r="R601" t="s">
        <v>5050</v>
      </c>
      <c r="S601">
        <v>1250</v>
      </c>
      <c r="T601" t="s">
        <v>52</v>
      </c>
      <c r="U601">
        <v>9</v>
      </c>
      <c r="V601" t="s">
        <v>4541</v>
      </c>
      <c r="W601" t="s">
        <v>54</v>
      </c>
      <c r="X601" t="s">
        <v>52</v>
      </c>
      <c r="Y601" t="s">
        <v>125</v>
      </c>
      <c r="Z601">
        <v>2503</v>
      </c>
      <c r="AA601">
        <v>128</v>
      </c>
      <c r="AB601">
        <v>174</v>
      </c>
      <c r="AC601" t="s">
        <v>5042</v>
      </c>
      <c r="AD601" t="s">
        <v>5043</v>
      </c>
      <c r="AE601" t="s">
        <v>4544</v>
      </c>
      <c r="AF601" t="s">
        <v>5044</v>
      </c>
      <c r="AG601" t="s">
        <v>5045</v>
      </c>
      <c r="AH601" t="s">
        <v>5046</v>
      </c>
      <c r="AI601" t="s">
        <v>5047</v>
      </c>
      <c r="AJ601" s="2">
        <v>45763.872245370374</v>
      </c>
      <c r="AK601" t="s">
        <v>1167</v>
      </c>
      <c r="AL601" t="s">
        <v>65</v>
      </c>
      <c r="AM601" s="3">
        <v>2.4861111111111112</v>
      </c>
      <c r="AN601" t="s">
        <v>66</v>
      </c>
      <c r="AO601" t="s">
        <v>67</v>
      </c>
    </row>
    <row r="602" spans="1:41" x14ac:dyDescent="0.2">
      <c r="A602">
        <v>372895</v>
      </c>
      <c r="B602" t="s">
        <v>5051</v>
      </c>
      <c r="C602" t="s">
        <v>236</v>
      </c>
      <c r="D602" t="s">
        <v>4537</v>
      </c>
      <c r="E602" t="s">
        <v>5052</v>
      </c>
      <c r="F602">
        <v>90305</v>
      </c>
      <c r="G602" s="1">
        <v>45688</v>
      </c>
      <c r="H602" s="1">
        <v>45691</v>
      </c>
      <c r="I602" s="1">
        <v>46054</v>
      </c>
      <c r="J602" t="s">
        <v>45</v>
      </c>
      <c r="K602" t="s">
        <v>45</v>
      </c>
      <c r="L602" t="s">
        <v>72</v>
      </c>
      <c r="N602" t="s">
        <v>89</v>
      </c>
      <c r="O602" t="s">
        <v>121</v>
      </c>
      <c r="P602" t="s">
        <v>49</v>
      </c>
      <c r="Q602" t="s">
        <v>5053</v>
      </c>
      <c r="R602" t="s">
        <v>5054</v>
      </c>
      <c r="S602">
        <v>1300</v>
      </c>
      <c r="T602" t="s">
        <v>52</v>
      </c>
      <c r="U602">
        <v>9</v>
      </c>
      <c r="V602" t="s">
        <v>4541</v>
      </c>
      <c r="W602" t="s">
        <v>54</v>
      </c>
      <c r="X602" t="s">
        <v>52</v>
      </c>
      <c r="Y602" t="s">
        <v>125</v>
      </c>
      <c r="Z602">
        <v>2172</v>
      </c>
      <c r="AA602">
        <v>137</v>
      </c>
      <c r="AB602">
        <v>174</v>
      </c>
      <c r="AC602" t="s">
        <v>5042</v>
      </c>
      <c r="AD602" t="s">
        <v>5043</v>
      </c>
      <c r="AE602" t="s">
        <v>5055</v>
      </c>
      <c r="AF602" t="s">
        <v>5044</v>
      </c>
      <c r="AG602" t="s">
        <v>5045</v>
      </c>
      <c r="AH602" t="s">
        <v>5046</v>
      </c>
      <c r="AI602" t="s">
        <v>5056</v>
      </c>
      <c r="AJ602" s="2">
        <v>45855.829814814817</v>
      </c>
      <c r="AK602" t="s">
        <v>84</v>
      </c>
      <c r="AL602" t="s">
        <v>65</v>
      </c>
      <c r="AM602" s="4">
        <v>0.65277777777777779</v>
      </c>
      <c r="AN602" t="s">
        <v>66</v>
      </c>
      <c r="AO602" t="s">
        <v>67</v>
      </c>
    </row>
    <row r="603" spans="1:41" x14ac:dyDescent="0.2">
      <c r="A603">
        <v>371381</v>
      </c>
      <c r="B603" t="s">
        <v>5057</v>
      </c>
      <c r="C603" t="s">
        <v>323</v>
      </c>
      <c r="D603" t="s">
        <v>5058</v>
      </c>
      <c r="E603" t="s">
        <v>5059</v>
      </c>
      <c r="F603">
        <v>500933</v>
      </c>
      <c r="G603" s="1">
        <v>31902</v>
      </c>
      <c r="H603" s="1">
        <v>45791</v>
      </c>
      <c r="I603" s="1">
        <v>46037</v>
      </c>
      <c r="J603" t="s">
        <v>45</v>
      </c>
      <c r="K603" t="s">
        <v>45</v>
      </c>
      <c r="L603" t="s">
        <v>72</v>
      </c>
      <c r="M603" s="1">
        <v>40020</v>
      </c>
      <c r="N603" t="s">
        <v>47</v>
      </c>
      <c r="O603" t="s">
        <v>48</v>
      </c>
      <c r="P603" t="s">
        <v>49</v>
      </c>
      <c r="Q603" t="s">
        <v>5060</v>
      </c>
      <c r="R603" t="s">
        <v>5061</v>
      </c>
      <c r="S603">
        <v>3318</v>
      </c>
      <c r="T603" t="s">
        <v>257</v>
      </c>
      <c r="U603" t="s">
        <v>329</v>
      </c>
      <c r="V603" t="s">
        <v>4982</v>
      </c>
      <c r="W603" t="s">
        <v>260</v>
      </c>
      <c r="X603" t="s">
        <v>257</v>
      </c>
      <c r="Y603" t="s">
        <v>110</v>
      </c>
      <c r="Z603">
        <v>498</v>
      </c>
      <c r="AA603">
        <v>49</v>
      </c>
      <c r="AB603">
        <v>166</v>
      </c>
      <c r="AC603" t="s">
        <v>331</v>
      </c>
      <c r="AD603" t="s">
        <v>332</v>
      </c>
      <c r="AE603" t="s">
        <v>333</v>
      </c>
      <c r="AF603" t="s">
        <v>334</v>
      </c>
      <c r="AG603" t="s">
        <v>335</v>
      </c>
      <c r="AH603" t="s">
        <v>336</v>
      </c>
      <c r="AI603" t="s">
        <v>337</v>
      </c>
      <c r="AJ603" s="2">
        <v>45807.040312500001</v>
      </c>
      <c r="AK603" t="s">
        <v>331</v>
      </c>
      <c r="AL603" t="s">
        <v>65</v>
      </c>
      <c r="AM603" s="3">
        <v>2.3819444444444446</v>
      </c>
      <c r="AN603" t="s">
        <v>66</v>
      </c>
      <c r="AO603" t="s">
        <v>67</v>
      </c>
    </row>
    <row r="604" spans="1:41" x14ac:dyDescent="0.2">
      <c r="A604">
        <v>369485</v>
      </c>
      <c r="B604" t="s">
        <v>5062</v>
      </c>
      <c r="C604" t="s">
        <v>662</v>
      </c>
      <c r="E604" t="s">
        <v>5063</v>
      </c>
      <c r="F604">
        <v>417403</v>
      </c>
      <c r="G604" s="1">
        <v>35685</v>
      </c>
      <c r="H604" s="1">
        <v>45730</v>
      </c>
      <c r="I604" s="1">
        <v>46113</v>
      </c>
      <c r="J604" t="s">
        <v>45</v>
      </c>
      <c r="K604" t="s">
        <v>45</v>
      </c>
      <c r="L604" t="s">
        <v>72</v>
      </c>
      <c r="M604" s="1">
        <v>43379</v>
      </c>
      <c r="N604" t="s">
        <v>47</v>
      </c>
      <c r="O604" t="s">
        <v>48</v>
      </c>
      <c r="P604" t="s">
        <v>49</v>
      </c>
      <c r="Q604" t="s">
        <v>5064</v>
      </c>
      <c r="R604" t="s">
        <v>5065</v>
      </c>
      <c r="S604">
        <v>5400</v>
      </c>
      <c r="T604" t="s">
        <v>257</v>
      </c>
      <c r="U604" t="s">
        <v>283</v>
      </c>
      <c r="V604" t="s">
        <v>2279</v>
      </c>
      <c r="W604" t="s">
        <v>260</v>
      </c>
      <c r="X604" t="s">
        <v>257</v>
      </c>
      <c r="Y604" t="s">
        <v>110</v>
      </c>
      <c r="Z604">
        <v>1355</v>
      </c>
      <c r="AA604">
        <v>47</v>
      </c>
      <c r="AB604">
        <v>210</v>
      </c>
      <c r="AC604" t="s">
        <v>1805</v>
      </c>
      <c r="AD604" t="s">
        <v>1806</v>
      </c>
      <c r="AE604" t="s">
        <v>1807</v>
      </c>
      <c r="AI604" t="s">
        <v>2280</v>
      </c>
      <c r="AJ604" s="2">
        <v>45742.605555555558</v>
      </c>
      <c r="AK604" t="s">
        <v>1811</v>
      </c>
      <c r="AL604" t="s">
        <v>65</v>
      </c>
      <c r="AM604" s="3">
        <v>2.2152777777777777</v>
      </c>
      <c r="AN604" t="s">
        <v>66</v>
      </c>
      <c r="AO604" t="s">
        <v>67</v>
      </c>
    </row>
    <row r="605" spans="1:41" x14ac:dyDescent="0.2">
      <c r="A605">
        <v>360462</v>
      </c>
      <c r="B605" t="s">
        <v>5066</v>
      </c>
      <c r="C605" t="s">
        <v>323</v>
      </c>
      <c r="D605" t="s">
        <v>5058</v>
      </c>
      <c r="E605" t="s">
        <v>5067</v>
      </c>
      <c r="F605">
        <v>500949</v>
      </c>
      <c r="G605" s="1">
        <v>37046</v>
      </c>
      <c r="H605" s="1">
        <v>45418</v>
      </c>
      <c r="I605" s="1">
        <v>46037</v>
      </c>
      <c r="J605" t="s">
        <v>45</v>
      </c>
      <c r="K605" t="s">
        <v>45</v>
      </c>
      <c r="L605" t="s">
        <v>72</v>
      </c>
      <c r="M605" s="1">
        <v>43220</v>
      </c>
      <c r="N605" t="s">
        <v>47</v>
      </c>
      <c r="O605" t="s">
        <v>48</v>
      </c>
      <c r="P605" t="s">
        <v>49</v>
      </c>
      <c r="Q605" t="s">
        <v>5068</v>
      </c>
      <c r="R605" t="s">
        <v>5069</v>
      </c>
      <c r="S605">
        <v>2300</v>
      </c>
      <c r="T605" t="s">
        <v>92</v>
      </c>
      <c r="U605" t="s">
        <v>329</v>
      </c>
      <c r="V605" t="s">
        <v>722</v>
      </c>
      <c r="W605" t="s">
        <v>723</v>
      </c>
      <c r="X605" t="s">
        <v>156</v>
      </c>
      <c r="Y605" t="s">
        <v>110</v>
      </c>
      <c r="Z605">
        <v>1903</v>
      </c>
      <c r="AA605">
        <v>35</v>
      </c>
      <c r="AB605">
        <v>166</v>
      </c>
      <c r="AC605" t="s">
        <v>5070</v>
      </c>
      <c r="AD605" t="s">
        <v>5071</v>
      </c>
      <c r="AE605" t="s">
        <v>462</v>
      </c>
      <c r="AF605" t="s">
        <v>368</v>
      </c>
      <c r="AG605" t="s">
        <v>369</v>
      </c>
      <c r="AH605" t="s">
        <v>370</v>
      </c>
      <c r="AI605" t="s">
        <v>2409</v>
      </c>
      <c r="AJ605" s="2">
        <v>45422.797881944447</v>
      </c>
      <c r="AK605" t="s">
        <v>461</v>
      </c>
      <c r="AL605" t="s">
        <v>65</v>
      </c>
      <c r="AM605" s="3">
        <v>1.4722222222222223</v>
      </c>
      <c r="AN605" t="s">
        <v>66</v>
      </c>
      <c r="AO605" t="s">
        <v>67</v>
      </c>
    </row>
    <row r="606" spans="1:41" x14ac:dyDescent="0.2">
      <c r="A606">
        <v>371380</v>
      </c>
      <c r="B606" t="s">
        <v>5072</v>
      </c>
      <c r="C606" t="s">
        <v>323</v>
      </c>
      <c r="D606" t="s">
        <v>5058</v>
      </c>
      <c r="E606" t="s">
        <v>5073</v>
      </c>
      <c r="F606">
        <v>500945</v>
      </c>
      <c r="G606" s="1">
        <v>36091</v>
      </c>
      <c r="H606" s="1">
        <v>45792</v>
      </c>
      <c r="I606" s="1">
        <v>46037</v>
      </c>
      <c r="J606" t="s">
        <v>45</v>
      </c>
      <c r="K606" t="s">
        <v>45</v>
      </c>
      <c r="L606" t="s">
        <v>72</v>
      </c>
      <c r="M606" s="1">
        <v>44706</v>
      </c>
      <c r="N606" t="s">
        <v>47</v>
      </c>
      <c r="O606" t="s">
        <v>48</v>
      </c>
      <c r="P606" t="s">
        <v>49</v>
      </c>
      <c r="Q606" t="s">
        <v>5074</v>
      </c>
      <c r="R606" t="s">
        <v>5075</v>
      </c>
      <c r="S606">
        <v>1232</v>
      </c>
      <c r="T606" t="s">
        <v>92</v>
      </c>
      <c r="U606" t="s">
        <v>329</v>
      </c>
      <c r="V606" t="s">
        <v>722</v>
      </c>
      <c r="W606" t="s">
        <v>723</v>
      </c>
      <c r="Y606" t="s">
        <v>110</v>
      </c>
      <c r="Z606">
        <v>1504</v>
      </c>
      <c r="AA606">
        <v>44</v>
      </c>
      <c r="AB606">
        <v>152</v>
      </c>
      <c r="AC606" t="s">
        <v>368</v>
      </c>
      <c r="AD606" t="s">
        <v>369</v>
      </c>
      <c r="AE606" t="s">
        <v>370</v>
      </c>
      <c r="AF606" t="s">
        <v>2406</v>
      </c>
      <c r="AG606" t="s">
        <v>332</v>
      </c>
      <c r="AH606" t="s">
        <v>333</v>
      </c>
      <c r="AJ606" s="2">
        <v>45807.038807870369</v>
      </c>
      <c r="AK606" t="s">
        <v>331</v>
      </c>
      <c r="AL606" t="s">
        <v>65</v>
      </c>
      <c r="AM606" s="3">
        <v>2.1527777777777777</v>
      </c>
      <c r="AN606" t="s">
        <v>66</v>
      </c>
      <c r="AO606" t="s">
        <v>67</v>
      </c>
    </row>
    <row r="607" spans="1:41" x14ac:dyDescent="0.2">
      <c r="A607">
        <v>372626</v>
      </c>
      <c r="B607" t="s">
        <v>5076</v>
      </c>
      <c r="C607" t="s">
        <v>323</v>
      </c>
      <c r="E607" s="5">
        <v>396020</v>
      </c>
      <c r="G607" s="1">
        <v>38219</v>
      </c>
      <c r="H607" s="1">
        <v>45836</v>
      </c>
      <c r="J607" t="s">
        <v>45</v>
      </c>
      <c r="K607" t="s">
        <v>72</v>
      </c>
      <c r="L607" t="s">
        <v>72</v>
      </c>
      <c r="N607" t="s">
        <v>47</v>
      </c>
      <c r="O607" t="s">
        <v>48</v>
      </c>
      <c r="P607" t="s">
        <v>406</v>
      </c>
      <c r="Q607" t="s">
        <v>5077</v>
      </c>
      <c r="R607" t="s">
        <v>5078</v>
      </c>
      <c r="S607">
        <v>4544</v>
      </c>
      <c r="T607" t="s">
        <v>257</v>
      </c>
      <c r="U607" t="s">
        <v>329</v>
      </c>
      <c r="V607" t="s">
        <v>4982</v>
      </c>
      <c r="W607" t="s">
        <v>3303</v>
      </c>
      <c r="X607" t="s">
        <v>257</v>
      </c>
      <c r="Y607" t="s">
        <v>642</v>
      </c>
      <c r="Z607">
        <v>2612</v>
      </c>
      <c r="AA607">
        <v>34</v>
      </c>
      <c r="AB607">
        <v>172</v>
      </c>
      <c r="AC607" t="s">
        <v>5079</v>
      </c>
      <c r="AD607" t="s">
        <v>1165</v>
      </c>
      <c r="AE607" t="s">
        <v>1166</v>
      </c>
      <c r="AF607" t="s">
        <v>4983</v>
      </c>
      <c r="AG607" t="s">
        <v>4984</v>
      </c>
      <c r="AH607" t="s">
        <v>4985</v>
      </c>
      <c r="AI607" t="s">
        <v>1165</v>
      </c>
      <c r="AJ607" s="2">
        <v>45847.916134259256</v>
      </c>
      <c r="AK607" t="s">
        <v>1164</v>
      </c>
      <c r="AL607" t="s">
        <v>1168</v>
      </c>
      <c r="AM607" s="3">
        <v>1.3680555555555556</v>
      </c>
      <c r="AN607" t="s">
        <v>66</v>
      </c>
      <c r="AO607" t="s">
        <v>67</v>
      </c>
    </row>
    <row r="608" spans="1:41" x14ac:dyDescent="0.2">
      <c r="A608">
        <v>372432</v>
      </c>
      <c r="B608" t="s">
        <v>5080</v>
      </c>
      <c r="C608" t="s">
        <v>182</v>
      </c>
      <c r="D608" t="s">
        <v>4517</v>
      </c>
      <c r="E608" t="s">
        <v>5081</v>
      </c>
      <c r="F608">
        <v>45302</v>
      </c>
      <c r="G608" s="1">
        <v>36203</v>
      </c>
      <c r="H608" s="1">
        <v>45736</v>
      </c>
      <c r="I608" s="1">
        <v>46143</v>
      </c>
      <c r="J608" t="s">
        <v>45</v>
      </c>
      <c r="K608" t="s">
        <v>45</v>
      </c>
      <c r="L608" t="s">
        <v>429</v>
      </c>
      <c r="M608" s="1">
        <v>41379</v>
      </c>
      <c r="N608" t="s">
        <v>47</v>
      </c>
      <c r="O608" t="s">
        <v>48</v>
      </c>
      <c r="P608" t="s">
        <v>49</v>
      </c>
      <c r="Q608" t="s">
        <v>5082</v>
      </c>
      <c r="R608" t="s">
        <v>5083</v>
      </c>
      <c r="S608">
        <v>5280</v>
      </c>
      <c r="T608" t="s">
        <v>52</v>
      </c>
      <c r="U608">
        <v>5</v>
      </c>
      <c r="V608" t="s">
        <v>1030</v>
      </c>
      <c r="W608" t="s">
        <v>54</v>
      </c>
      <c r="X608" t="s">
        <v>493</v>
      </c>
      <c r="Y608" t="s">
        <v>434</v>
      </c>
      <c r="Z608">
        <v>817</v>
      </c>
      <c r="AA608">
        <v>64</v>
      </c>
      <c r="AB608">
        <v>28</v>
      </c>
      <c r="AC608" t="s">
        <v>1034</v>
      </c>
      <c r="AD608" t="s">
        <v>1035</v>
      </c>
      <c r="AE608" t="s">
        <v>1036</v>
      </c>
      <c r="AI608" t="s">
        <v>500</v>
      </c>
      <c r="AJ608" s="2">
        <v>45839.672881944447</v>
      </c>
      <c r="AK608" t="s">
        <v>501</v>
      </c>
      <c r="AL608" t="s">
        <v>65</v>
      </c>
      <c r="AM608" s="4">
        <v>0.94444444444444442</v>
      </c>
      <c r="AN608" t="s">
        <v>66</v>
      </c>
      <c r="AO608" t="s">
        <v>67</v>
      </c>
    </row>
    <row r="609" spans="1:41" x14ac:dyDescent="0.2">
      <c r="A609">
        <v>367683</v>
      </c>
      <c r="B609" t="s">
        <v>5084</v>
      </c>
      <c r="C609" t="s">
        <v>1000</v>
      </c>
      <c r="D609" t="s">
        <v>3344</v>
      </c>
      <c r="E609" t="s">
        <v>5085</v>
      </c>
      <c r="F609">
        <v>403101</v>
      </c>
      <c r="G609" s="1">
        <v>37918</v>
      </c>
      <c r="H609" s="1">
        <v>45628</v>
      </c>
      <c r="J609" t="s">
        <v>45</v>
      </c>
      <c r="K609" t="s">
        <v>326</v>
      </c>
      <c r="L609" t="s">
        <v>72</v>
      </c>
      <c r="M609" s="1">
        <v>45628</v>
      </c>
      <c r="N609" t="s">
        <v>47</v>
      </c>
      <c r="O609" t="s">
        <v>48</v>
      </c>
      <c r="P609" t="s">
        <v>49</v>
      </c>
      <c r="Q609" t="s">
        <v>5086</v>
      </c>
      <c r="R609" t="s">
        <v>5087</v>
      </c>
      <c r="S609">
        <v>1657</v>
      </c>
      <c r="T609" t="s">
        <v>92</v>
      </c>
      <c r="U609" t="s">
        <v>1005</v>
      </c>
      <c r="V609" t="s">
        <v>590</v>
      </c>
      <c r="W609" t="s">
        <v>1006</v>
      </c>
      <c r="X609" t="s">
        <v>92</v>
      </c>
      <c r="Y609" t="s">
        <v>770</v>
      </c>
      <c r="Z609">
        <v>2410</v>
      </c>
      <c r="AA609">
        <v>39</v>
      </c>
      <c r="AB609">
        <v>144</v>
      </c>
      <c r="AC609" t="s">
        <v>5088</v>
      </c>
      <c r="AD609" t="s">
        <v>5089</v>
      </c>
      <c r="AE609" t="s">
        <v>5090</v>
      </c>
      <c r="AI609" t="s">
        <v>1010</v>
      </c>
      <c r="AJ609" s="2">
        <v>45686.271550925929</v>
      </c>
      <c r="AK609" t="s">
        <v>1011</v>
      </c>
      <c r="AL609" t="s">
        <v>475</v>
      </c>
      <c r="AM609" s="4">
        <v>0.22916666666666666</v>
      </c>
      <c r="AN609" t="s">
        <v>66</v>
      </c>
      <c r="AO609" t="s">
        <v>67</v>
      </c>
    </row>
    <row r="610" spans="1:41" x14ac:dyDescent="0.2">
      <c r="A610">
        <v>366624</v>
      </c>
      <c r="B610" t="s">
        <v>5091</v>
      </c>
      <c r="C610" t="s">
        <v>323</v>
      </c>
      <c r="D610" t="s">
        <v>3429</v>
      </c>
      <c r="E610" t="s">
        <v>5092</v>
      </c>
      <c r="G610" s="1">
        <v>45390</v>
      </c>
      <c r="H610" s="1">
        <v>45391</v>
      </c>
      <c r="I610" s="1">
        <v>45976</v>
      </c>
      <c r="J610" t="s">
        <v>45</v>
      </c>
      <c r="K610" t="s">
        <v>45</v>
      </c>
      <c r="L610" t="s">
        <v>72</v>
      </c>
      <c r="N610" t="s">
        <v>89</v>
      </c>
      <c r="O610" t="s">
        <v>121</v>
      </c>
      <c r="P610" t="s">
        <v>49</v>
      </c>
      <c r="Q610" t="s">
        <v>5093</v>
      </c>
      <c r="R610" t="s">
        <v>5094</v>
      </c>
      <c r="S610">
        <v>1350</v>
      </c>
      <c r="T610" t="s">
        <v>52</v>
      </c>
      <c r="U610">
        <v>10</v>
      </c>
      <c r="V610" t="s">
        <v>3432</v>
      </c>
      <c r="W610" t="s">
        <v>54</v>
      </c>
      <c r="X610" t="s">
        <v>52</v>
      </c>
      <c r="Y610" t="s">
        <v>125</v>
      </c>
      <c r="Z610">
        <v>1830</v>
      </c>
      <c r="AA610">
        <v>45</v>
      </c>
      <c r="AB610">
        <v>160</v>
      </c>
      <c r="AC610" t="s">
        <v>5095</v>
      </c>
      <c r="AD610" t="s">
        <v>5096</v>
      </c>
      <c r="AE610" t="s">
        <v>5097</v>
      </c>
      <c r="AI610" t="s">
        <v>5096</v>
      </c>
      <c r="AJ610" s="2">
        <v>45630.769537037035</v>
      </c>
      <c r="AK610" t="s">
        <v>5098</v>
      </c>
      <c r="AL610" t="s">
        <v>65</v>
      </c>
      <c r="AM610" s="3">
        <v>1.5902777777777777</v>
      </c>
      <c r="AN610" t="s">
        <v>66</v>
      </c>
      <c r="AO610" t="s">
        <v>67</v>
      </c>
    </row>
    <row r="611" spans="1:41" x14ac:dyDescent="0.2">
      <c r="A611">
        <v>366623</v>
      </c>
      <c r="B611" t="s">
        <v>5099</v>
      </c>
      <c r="C611" t="s">
        <v>323</v>
      </c>
      <c r="D611" t="s">
        <v>3429</v>
      </c>
      <c r="E611" t="s">
        <v>5100</v>
      </c>
      <c r="G611" s="1">
        <v>45390</v>
      </c>
      <c r="H611" s="1">
        <v>45391</v>
      </c>
      <c r="I611" s="1">
        <v>45976</v>
      </c>
      <c r="J611" t="s">
        <v>45</v>
      </c>
      <c r="K611" t="s">
        <v>45</v>
      </c>
      <c r="L611" t="s">
        <v>72</v>
      </c>
      <c r="N611" t="s">
        <v>89</v>
      </c>
      <c r="O611" t="s">
        <v>121</v>
      </c>
      <c r="P611" t="s">
        <v>49</v>
      </c>
      <c r="Q611" t="s">
        <v>5101</v>
      </c>
      <c r="R611" t="s">
        <v>5102</v>
      </c>
      <c r="S611">
        <v>467</v>
      </c>
      <c r="T611" t="s">
        <v>52</v>
      </c>
      <c r="U611">
        <v>10</v>
      </c>
      <c r="V611" t="s">
        <v>3432</v>
      </c>
      <c r="W611" t="s">
        <v>54</v>
      </c>
      <c r="X611" t="s">
        <v>52</v>
      </c>
      <c r="Y611" t="s">
        <v>125</v>
      </c>
      <c r="Z611">
        <v>819</v>
      </c>
      <c r="AA611">
        <v>55</v>
      </c>
      <c r="AB611">
        <v>144</v>
      </c>
      <c r="AC611" t="s">
        <v>5095</v>
      </c>
      <c r="AD611" t="s">
        <v>5096</v>
      </c>
      <c r="AE611" t="s">
        <v>5097</v>
      </c>
      <c r="AI611" t="s">
        <v>5096</v>
      </c>
      <c r="AJ611" s="2">
        <v>45630.768865740742</v>
      </c>
      <c r="AK611" t="s">
        <v>5098</v>
      </c>
      <c r="AL611" t="s">
        <v>65</v>
      </c>
      <c r="AM611" s="3">
        <v>1.9375</v>
      </c>
      <c r="AN611" t="s">
        <v>66</v>
      </c>
      <c r="AO611" t="s">
        <v>67</v>
      </c>
    </row>
    <row r="612" spans="1:41" x14ac:dyDescent="0.2">
      <c r="A612">
        <v>366625</v>
      </c>
      <c r="B612" t="s">
        <v>5103</v>
      </c>
      <c r="C612" t="s">
        <v>323</v>
      </c>
      <c r="D612" t="s">
        <v>3429</v>
      </c>
      <c r="E612" t="s">
        <v>5104</v>
      </c>
      <c r="G612" s="1">
        <v>45390</v>
      </c>
      <c r="H612" s="1">
        <v>45391</v>
      </c>
      <c r="I612" s="1">
        <v>45976</v>
      </c>
      <c r="J612" t="s">
        <v>45</v>
      </c>
      <c r="K612" t="s">
        <v>45</v>
      </c>
      <c r="L612" t="s">
        <v>72</v>
      </c>
      <c r="N612" t="s">
        <v>89</v>
      </c>
      <c r="O612" t="s">
        <v>121</v>
      </c>
      <c r="P612" t="s">
        <v>49</v>
      </c>
      <c r="Q612" t="s">
        <v>5105</v>
      </c>
      <c r="R612" t="s">
        <v>5106</v>
      </c>
      <c r="S612">
        <v>473</v>
      </c>
      <c r="T612" t="s">
        <v>52</v>
      </c>
      <c r="U612">
        <v>10</v>
      </c>
      <c r="V612" t="s">
        <v>3432</v>
      </c>
      <c r="W612" t="s">
        <v>54</v>
      </c>
      <c r="X612" t="s">
        <v>52</v>
      </c>
      <c r="Y612" t="s">
        <v>125</v>
      </c>
      <c r="Z612">
        <v>8666</v>
      </c>
      <c r="AA612">
        <v>16</v>
      </c>
      <c r="AB612">
        <v>78</v>
      </c>
      <c r="AC612" t="s">
        <v>5095</v>
      </c>
      <c r="AD612" t="s">
        <v>5096</v>
      </c>
      <c r="AE612" t="s">
        <v>5097</v>
      </c>
      <c r="AI612" t="s">
        <v>5096</v>
      </c>
      <c r="AJ612" s="2">
        <v>45630.770740740743</v>
      </c>
      <c r="AK612" t="s">
        <v>5098</v>
      </c>
      <c r="AL612" t="s">
        <v>65</v>
      </c>
      <c r="AM612" s="3">
        <v>1.4583333333333333</v>
      </c>
      <c r="AN612" t="s">
        <v>66</v>
      </c>
      <c r="AO612" t="s">
        <v>67</v>
      </c>
    </row>
    <row r="613" spans="1:41" x14ac:dyDescent="0.2">
      <c r="A613">
        <v>370425</v>
      </c>
      <c r="B613" t="s">
        <v>5107</v>
      </c>
      <c r="C613" t="s">
        <v>42</v>
      </c>
      <c r="D613" t="s">
        <v>3219</v>
      </c>
      <c r="E613" t="s">
        <v>5108</v>
      </c>
      <c r="F613">
        <v>292102</v>
      </c>
      <c r="G613" s="1">
        <v>32952</v>
      </c>
      <c r="H613" s="1">
        <v>45769</v>
      </c>
      <c r="I613" s="1">
        <v>46204</v>
      </c>
      <c r="J613" t="s">
        <v>45</v>
      </c>
      <c r="K613" t="s">
        <v>45</v>
      </c>
      <c r="L613" t="s">
        <v>429</v>
      </c>
      <c r="M613" s="1">
        <v>38037</v>
      </c>
      <c r="N613" t="s">
        <v>47</v>
      </c>
      <c r="O613" t="s">
        <v>48</v>
      </c>
      <c r="P613" t="s">
        <v>49</v>
      </c>
      <c r="Q613" t="s">
        <v>5109</v>
      </c>
      <c r="R613" t="s">
        <v>5110</v>
      </c>
      <c r="S613">
        <v>5541</v>
      </c>
      <c r="T613" t="s">
        <v>365</v>
      </c>
      <c r="U613" t="s">
        <v>432</v>
      </c>
      <c r="V613" t="s">
        <v>5111</v>
      </c>
      <c r="W613" t="s">
        <v>367</v>
      </c>
      <c r="X613" t="s">
        <v>55</v>
      </c>
      <c r="Y613" t="s">
        <v>434</v>
      </c>
      <c r="Z613">
        <v>228</v>
      </c>
      <c r="AA613">
        <v>54</v>
      </c>
      <c r="AB613">
        <v>158</v>
      </c>
      <c r="AC613" t="s">
        <v>5112</v>
      </c>
      <c r="AD613" t="s">
        <v>5113</v>
      </c>
      <c r="AE613" t="s">
        <v>5114</v>
      </c>
      <c r="AF613" t="s">
        <v>5115</v>
      </c>
      <c r="AG613" t="s">
        <v>5116</v>
      </c>
      <c r="AH613" t="s">
        <v>5117</v>
      </c>
      <c r="AI613" t="s">
        <v>4342</v>
      </c>
      <c r="AJ613" s="2">
        <v>45775.741388888891</v>
      </c>
      <c r="AK613" t="s">
        <v>64</v>
      </c>
      <c r="AL613" t="s">
        <v>65</v>
      </c>
      <c r="AM613" s="3">
        <v>1.6527777777777777</v>
      </c>
      <c r="AN613" t="s">
        <v>66</v>
      </c>
      <c r="AO613" t="s">
        <v>67</v>
      </c>
    </row>
    <row r="614" spans="1:41" x14ac:dyDescent="0.2">
      <c r="A614">
        <v>369215</v>
      </c>
      <c r="B614" t="s">
        <v>5118</v>
      </c>
      <c r="C614" t="s">
        <v>118</v>
      </c>
      <c r="D614" t="s">
        <v>292</v>
      </c>
      <c r="E614" t="s">
        <v>5119</v>
      </c>
      <c r="F614">
        <v>20121</v>
      </c>
      <c r="G614" s="1">
        <v>38364</v>
      </c>
      <c r="H614" s="1">
        <v>45726</v>
      </c>
      <c r="I614" s="1">
        <v>46068</v>
      </c>
      <c r="J614" t="s">
        <v>45</v>
      </c>
      <c r="K614" t="s">
        <v>45</v>
      </c>
      <c r="L614" t="s">
        <v>46</v>
      </c>
      <c r="M614" s="1">
        <v>42592</v>
      </c>
      <c r="N614" t="s">
        <v>47</v>
      </c>
      <c r="O614" t="s">
        <v>48</v>
      </c>
      <c r="P614" t="s">
        <v>49</v>
      </c>
      <c r="Q614" t="s">
        <v>5120</v>
      </c>
      <c r="R614" t="s">
        <v>5121</v>
      </c>
      <c r="S614">
        <v>230</v>
      </c>
      <c r="T614" t="s">
        <v>156</v>
      </c>
      <c r="U614" t="s">
        <v>667</v>
      </c>
      <c r="V614" t="s">
        <v>5122</v>
      </c>
      <c r="W614" t="s">
        <v>159</v>
      </c>
      <c r="X614" t="s">
        <v>55</v>
      </c>
      <c r="Y614" t="s">
        <v>56</v>
      </c>
      <c r="Z614">
        <v>2672</v>
      </c>
      <c r="AA614">
        <v>34</v>
      </c>
      <c r="AB614">
        <v>160</v>
      </c>
      <c r="AC614" t="s">
        <v>5123</v>
      </c>
      <c r="AD614" t="s">
        <v>5124</v>
      </c>
      <c r="AE614" t="s">
        <v>5125</v>
      </c>
      <c r="AF614" t="s">
        <v>5126</v>
      </c>
      <c r="AG614" t="s">
        <v>5127</v>
      </c>
      <c r="AH614" t="s">
        <v>5128</v>
      </c>
      <c r="AI614" t="s">
        <v>5129</v>
      </c>
      <c r="AJ614" s="2">
        <v>45729.637696759259</v>
      </c>
      <c r="AK614" t="s">
        <v>307</v>
      </c>
      <c r="AL614" t="s">
        <v>65</v>
      </c>
      <c r="AM614" s="3">
        <v>2.0347222222222223</v>
      </c>
      <c r="AN614" t="s">
        <v>66</v>
      </c>
      <c r="AO614" t="s">
        <v>67</v>
      </c>
    </row>
    <row r="615" spans="1:41" x14ac:dyDescent="0.2">
      <c r="A615">
        <v>372719</v>
      </c>
      <c r="B615" t="s">
        <v>5130</v>
      </c>
      <c r="C615" t="s">
        <v>42</v>
      </c>
      <c r="D615" t="s">
        <v>5131</v>
      </c>
      <c r="E615" t="s">
        <v>5132</v>
      </c>
      <c r="F615">
        <v>291490</v>
      </c>
      <c r="G615" s="1">
        <v>45777</v>
      </c>
      <c r="H615" s="1">
        <v>45852</v>
      </c>
      <c r="I615" s="1">
        <v>46235</v>
      </c>
      <c r="J615" t="s">
        <v>45</v>
      </c>
      <c r="K615" t="s">
        <v>45</v>
      </c>
      <c r="L615" t="s">
        <v>72</v>
      </c>
      <c r="N615" t="s">
        <v>89</v>
      </c>
      <c r="O615" t="s">
        <v>121</v>
      </c>
      <c r="P615" t="s">
        <v>49</v>
      </c>
      <c r="Q615" t="s">
        <v>5133</v>
      </c>
      <c r="R615" t="s">
        <v>5134</v>
      </c>
      <c r="S615">
        <v>7280</v>
      </c>
      <c r="T615" t="s">
        <v>52</v>
      </c>
      <c r="U615">
        <v>3</v>
      </c>
      <c r="V615" t="s">
        <v>53</v>
      </c>
      <c r="W615" t="s">
        <v>54</v>
      </c>
      <c r="X615" t="s">
        <v>52</v>
      </c>
      <c r="Y615" t="s">
        <v>125</v>
      </c>
      <c r="Z615">
        <v>2117</v>
      </c>
      <c r="AA615">
        <v>90</v>
      </c>
      <c r="AB615">
        <v>174</v>
      </c>
      <c r="AC615" t="s">
        <v>57</v>
      </c>
      <c r="AD615" t="s">
        <v>58</v>
      </c>
      <c r="AE615" t="s">
        <v>4968</v>
      </c>
      <c r="AF615" t="s">
        <v>60</v>
      </c>
      <c r="AG615" t="s">
        <v>61</v>
      </c>
      <c r="AH615" t="s">
        <v>62</v>
      </c>
      <c r="AI615" t="s">
        <v>1809</v>
      </c>
      <c r="AJ615" s="2">
        <v>45852.467037037037</v>
      </c>
      <c r="AK615" t="s">
        <v>800</v>
      </c>
      <c r="AL615" t="s">
        <v>65</v>
      </c>
      <c r="AM615" s="4">
        <v>0.74305555555555558</v>
      </c>
      <c r="AN615" t="s">
        <v>66</v>
      </c>
      <c r="AO615" t="s">
        <v>67</v>
      </c>
    </row>
    <row r="616" spans="1:41" x14ac:dyDescent="0.2">
      <c r="A616">
        <v>372265</v>
      </c>
      <c r="B616" t="s">
        <v>5135</v>
      </c>
      <c r="C616" t="s">
        <v>42</v>
      </c>
      <c r="D616" t="s">
        <v>1849</v>
      </c>
      <c r="E616" t="s">
        <v>5136</v>
      </c>
      <c r="G616" s="1">
        <v>45824</v>
      </c>
      <c r="H616" s="1">
        <v>45807</v>
      </c>
      <c r="I616" s="1">
        <v>46188</v>
      </c>
      <c r="J616" t="s">
        <v>45</v>
      </c>
      <c r="K616" t="s">
        <v>45</v>
      </c>
      <c r="L616" t="s">
        <v>72</v>
      </c>
      <c r="N616" t="s">
        <v>47</v>
      </c>
      <c r="O616" t="s">
        <v>121</v>
      </c>
      <c r="P616" t="s">
        <v>49</v>
      </c>
      <c r="Q616" t="s">
        <v>5133</v>
      </c>
      <c r="R616" t="s">
        <v>5134</v>
      </c>
      <c r="S616">
        <v>6500</v>
      </c>
      <c r="T616" t="s">
        <v>52</v>
      </c>
      <c r="U616">
        <v>3</v>
      </c>
      <c r="V616" t="s">
        <v>53</v>
      </c>
      <c r="W616" t="s">
        <v>54</v>
      </c>
      <c r="X616" t="s">
        <v>76</v>
      </c>
      <c r="Y616" t="s">
        <v>125</v>
      </c>
      <c r="Z616">
        <v>12248</v>
      </c>
      <c r="AA616">
        <v>24</v>
      </c>
      <c r="AB616">
        <v>44</v>
      </c>
      <c r="AC616" t="s">
        <v>57</v>
      </c>
      <c r="AD616" t="s">
        <v>58</v>
      </c>
      <c r="AE616" t="s">
        <v>59</v>
      </c>
      <c r="AF616" t="s">
        <v>60</v>
      </c>
      <c r="AG616" t="s">
        <v>61</v>
      </c>
      <c r="AH616" t="s">
        <v>62</v>
      </c>
      <c r="AJ616" s="2">
        <v>45835.658680555556</v>
      </c>
      <c r="AK616" t="s">
        <v>800</v>
      </c>
      <c r="AL616" t="s">
        <v>65</v>
      </c>
      <c r="AM616" s="3">
        <v>1.6423611111111112</v>
      </c>
      <c r="AN616" t="s">
        <v>66</v>
      </c>
      <c r="AO616" t="s">
        <v>67</v>
      </c>
    </row>
    <row r="617" spans="1:41" x14ac:dyDescent="0.2">
      <c r="A617">
        <v>369062</v>
      </c>
      <c r="B617" t="s">
        <v>5137</v>
      </c>
      <c r="C617" t="s">
        <v>5138</v>
      </c>
      <c r="D617" t="s">
        <v>5139</v>
      </c>
      <c r="E617">
        <v>33337356</v>
      </c>
      <c r="F617">
        <v>148601</v>
      </c>
      <c r="G617" s="1">
        <v>37471</v>
      </c>
      <c r="H617" s="1">
        <v>45721</v>
      </c>
      <c r="I617" s="1">
        <v>45931</v>
      </c>
      <c r="J617" t="s">
        <v>45</v>
      </c>
      <c r="K617" t="s">
        <v>45</v>
      </c>
      <c r="L617" t="s">
        <v>429</v>
      </c>
      <c r="M617" s="1">
        <v>43322</v>
      </c>
      <c r="N617" t="s">
        <v>47</v>
      </c>
      <c r="O617" t="s">
        <v>48</v>
      </c>
      <c r="P617" t="s">
        <v>49</v>
      </c>
      <c r="Q617" t="s">
        <v>5140</v>
      </c>
      <c r="R617" t="s">
        <v>5141</v>
      </c>
      <c r="S617">
        <v>3538</v>
      </c>
      <c r="T617" t="s">
        <v>52</v>
      </c>
      <c r="U617">
        <v>2</v>
      </c>
      <c r="V617" t="s">
        <v>1522</v>
      </c>
      <c r="W617" t="s">
        <v>54</v>
      </c>
      <c r="X617" t="s">
        <v>55</v>
      </c>
      <c r="Y617" t="s">
        <v>56</v>
      </c>
      <c r="Z617">
        <v>2256</v>
      </c>
      <c r="AA617">
        <v>50</v>
      </c>
      <c r="AB617">
        <v>30</v>
      </c>
      <c r="AC617" t="s">
        <v>1526</v>
      </c>
      <c r="AD617" t="s">
        <v>1527</v>
      </c>
      <c r="AE617" t="s">
        <v>1528</v>
      </c>
      <c r="AF617" t="s">
        <v>5142</v>
      </c>
      <c r="AG617" t="s">
        <v>5143</v>
      </c>
      <c r="AH617" t="s">
        <v>5144</v>
      </c>
      <c r="AI617" t="s">
        <v>179</v>
      </c>
      <c r="AJ617" s="2">
        <v>45726.762604166666</v>
      </c>
      <c r="AK617" t="s">
        <v>64</v>
      </c>
      <c r="AL617" t="s">
        <v>65</v>
      </c>
      <c r="AM617" s="4">
        <v>0.97222222222222221</v>
      </c>
      <c r="AN617" t="s">
        <v>66</v>
      </c>
      <c r="AO617" t="s">
        <v>67</v>
      </c>
    </row>
    <row r="618" spans="1:41" x14ac:dyDescent="0.2">
      <c r="A618">
        <v>371660</v>
      </c>
      <c r="B618" t="s">
        <v>5137</v>
      </c>
      <c r="C618" t="s">
        <v>42</v>
      </c>
      <c r="D618" t="s">
        <v>5145</v>
      </c>
      <c r="E618" t="s">
        <v>5146</v>
      </c>
      <c r="F618">
        <v>290401</v>
      </c>
      <c r="G618" s="1">
        <v>37790</v>
      </c>
      <c r="H618" s="1">
        <v>45814</v>
      </c>
      <c r="I618" s="1">
        <v>46143</v>
      </c>
      <c r="J618" t="s">
        <v>45</v>
      </c>
      <c r="K618" t="s">
        <v>45</v>
      </c>
      <c r="L618" t="s">
        <v>46</v>
      </c>
      <c r="N618" t="s">
        <v>47</v>
      </c>
      <c r="O618" t="s">
        <v>48</v>
      </c>
      <c r="P618" t="s">
        <v>49</v>
      </c>
      <c r="Q618" t="s">
        <v>5147</v>
      </c>
      <c r="R618" t="s">
        <v>5148</v>
      </c>
      <c r="S618">
        <v>8806</v>
      </c>
      <c r="T618" t="s">
        <v>52</v>
      </c>
      <c r="U618">
        <v>3</v>
      </c>
      <c r="V618" t="s">
        <v>4458</v>
      </c>
      <c r="W618" t="s">
        <v>54</v>
      </c>
      <c r="X618" t="s">
        <v>55</v>
      </c>
      <c r="Y618" t="s">
        <v>56</v>
      </c>
      <c r="Z618">
        <v>2356</v>
      </c>
      <c r="AA618">
        <v>39</v>
      </c>
      <c r="AB618">
        <v>160</v>
      </c>
      <c r="AC618" t="s">
        <v>5149</v>
      </c>
      <c r="AD618" t="s">
        <v>5150</v>
      </c>
      <c r="AE618" t="s">
        <v>5151</v>
      </c>
      <c r="AF618" t="s">
        <v>1763</v>
      </c>
      <c r="AG618" t="s">
        <v>1764</v>
      </c>
      <c r="AH618" t="s">
        <v>1765</v>
      </c>
      <c r="AI618" t="s">
        <v>1809</v>
      </c>
      <c r="AJ618" s="2">
        <v>45817.850810185184</v>
      </c>
      <c r="AK618" t="s">
        <v>609</v>
      </c>
      <c r="AL618" t="s">
        <v>65</v>
      </c>
      <c r="AM618" s="4">
        <v>0.40972222222222221</v>
      </c>
      <c r="AN618" t="s">
        <v>66</v>
      </c>
      <c r="AO618" t="s">
        <v>67</v>
      </c>
    </row>
    <row r="619" spans="1:41" x14ac:dyDescent="0.2">
      <c r="A619">
        <v>372477</v>
      </c>
      <c r="B619" t="s">
        <v>5152</v>
      </c>
      <c r="C619" t="s">
        <v>167</v>
      </c>
      <c r="D619" t="s">
        <v>1315</v>
      </c>
      <c r="E619" t="s">
        <v>5153</v>
      </c>
      <c r="F619">
        <v>353031</v>
      </c>
      <c r="G619" s="1">
        <v>31990</v>
      </c>
      <c r="H619" s="1">
        <v>45509</v>
      </c>
      <c r="I619" s="1">
        <v>46218</v>
      </c>
      <c r="J619" t="s">
        <v>45</v>
      </c>
      <c r="K619" t="s">
        <v>326</v>
      </c>
      <c r="L619" t="s">
        <v>429</v>
      </c>
      <c r="M619" s="1">
        <v>45496</v>
      </c>
      <c r="N619" t="s">
        <v>47</v>
      </c>
      <c r="O619" t="s">
        <v>48</v>
      </c>
      <c r="P619" t="s">
        <v>49</v>
      </c>
      <c r="Q619" t="s">
        <v>5154</v>
      </c>
      <c r="R619" t="s">
        <v>5155</v>
      </c>
      <c r="S619">
        <v>4834</v>
      </c>
      <c r="T619" t="s">
        <v>52</v>
      </c>
      <c r="U619">
        <v>6</v>
      </c>
      <c r="V619" t="s">
        <v>3571</v>
      </c>
      <c r="W619" t="s">
        <v>54</v>
      </c>
      <c r="X619" t="s">
        <v>76</v>
      </c>
      <c r="Y619" t="s">
        <v>56</v>
      </c>
      <c r="Z619">
        <v>852</v>
      </c>
      <c r="AA619">
        <v>85</v>
      </c>
      <c r="AB619">
        <v>28</v>
      </c>
      <c r="AC619" t="s">
        <v>3572</v>
      </c>
      <c r="AD619" t="s">
        <v>3573</v>
      </c>
      <c r="AE619" t="s">
        <v>3574</v>
      </c>
      <c r="AF619" t="s">
        <v>3575</v>
      </c>
      <c r="AG619" t="s">
        <v>3576</v>
      </c>
      <c r="AH619" t="s">
        <v>3577</v>
      </c>
      <c r="AI619" t="s">
        <v>5156</v>
      </c>
      <c r="AJ619" s="2">
        <v>45840.776712962965</v>
      </c>
      <c r="AK619" t="s">
        <v>556</v>
      </c>
      <c r="AL619" t="s">
        <v>65</v>
      </c>
      <c r="AM619" s="3">
        <v>1.3611111111111112</v>
      </c>
      <c r="AN619" t="s">
        <v>66</v>
      </c>
      <c r="AO619" t="s">
        <v>67</v>
      </c>
    </row>
    <row r="620" spans="1:41" x14ac:dyDescent="0.2">
      <c r="A620">
        <v>369217</v>
      </c>
      <c r="B620" t="s">
        <v>5157</v>
      </c>
      <c r="C620" t="s">
        <v>118</v>
      </c>
      <c r="D620" t="s">
        <v>1579</v>
      </c>
      <c r="E620" t="s">
        <v>5158</v>
      </c>
      <c r="G620" s="1">
        <v>45356</v>
      </c>
      <c r="H620" s="1">
        <v>45727</v>
      </c>
      <c r="I620" s="1">
        <v>46082</v>
      </c>
      <c r="J620" t="s">
        <v>45</v>
      </c>
      <c r="K620" t="s">
        <v>45</v>
      </c>
      <c r="L620" t="s">
        <v>46</v>
      </c>
      <c r="N620" t="s">
        <v>47</v>
      </c>
      <c r="O620" t="s">
        <v>48</v>
      </c>
      <c r="P620" t="s">
        <v>49</v>
      </c>
      <c r="Q620" t="s">
        <v>5159</v>
      </c>
      <c r="R620" t="s">
        <v>5160</v>
      </c>
      <c r="S620">
        <v>1042</v>
      </c>
      <c r="T620" t="s">
        <v>1328</v>
      </c>
      <c r="U620" t="s">
        <v>1583</v>
      </c>
      <c r="V620" t="s">
        <v>1584</v>
      </c>
      <c r="W620" t="s">
        <v>1585</v>
      </c>
      <c r="X620" t="s">
        <v>55</v>
      </c>
      <c r="Y620" t="s">
        <v>434</v>
      </c>
      <c r="Z620">
        <v>12212</v>
      </c>
      <c r="AA620">
        <v>13</v>
      </c>
      <c r="AB620">
        <v>146</v>
      </c>
      <c r="AC620" t="s">
        <v>1586</v>
      </c>
      <c r="AD620" t="s">
        <v>1587</v>
      </c>
      <c r="AE620" t="s">
        <v>1588</v>
      </c>
      <c r="AI620" t="s">
        <v>179</v>
      </c>
      <c r="AJ620" s="2">
        <v>45729.639699074076</v>
      </c>
      <c r="AK620" t="s">
        <v>307</v>
      </c>
      <c r="AL620" t="s">
        <v>65</v>
      </c>
      <c r="AM620" s="3">
        <v>2.4611111111111112</v>
      </c>
      <c r="AN620" t="s">
        <v>66</v>
      </c>
      <c r="AO620" t="s">
        <v>67</v>
      </c>
    </row>
    <row r="621" spans="1:41" x14ac:dyDescent="0.2">
      <c r="A621">
        <v>370379</v>
      </c>
      <c r="B621" t="s">
        <v>5161</v>
      </c>
      <c r="C621" t="s">
        <v>278</v>
      </c>
      <c r="D621" t="s">
        <v>279</v>
      </c>
      <c r="E621" t="s">
        <v>5162</v>
      </c>
      <c r="G621" s="1">
        <v>36060</v>
      </c>
      <c r="H621" s="1">
        <v>43395</v>
      </c>
      <c r="J621" t="s">
        <v>326</v>
      </c>
      <c r="K621" t="s">
        <v>45</v>
      </c>
      <c r="L621" t="s">
        <v>72</v>
      </c>
      <c r="M621" s="1">
        <v>43030</v>
      </c>
      <c r="N621" t="s">
        <v>89</v>
      </c>
      <c r="O621" t="s">
        <v>48</v>
      </c>
      <c r="P621" t="s">
        <v>1752</v>
      </c>
      <c r="Q621" t="s">
        <v>5163</v>
      </c>
      <c r="R621" t="s">
        <v>5164</v>
      </c>
      <c r="S621">
        <v>6554</v>
      </c>
      <c r="T621" t="s">
        <v>365</v>
      </c>
      <c r="U621" t="s">
        <v>432</v>
      </c>
      <c r="V621" t="s">
        <v>2214</v>
      </c>
      <c r="W621" t="s">
        <v>409</v>
      </c>
      <c r="X621" t="s">
        <v>76</v>
      </c>
      <c r="Y621" t="s">
        <v>642</v>
      </c>
      <c r="Z621">
        <v>8887</v>
      </c>
      <c r="AA621">
        <v>15</v>
      </c>
      <c r="AB621">
        <v>78</v>
      </c>
      <c r="AC621" t="s">
        <v>2215</v>
      </c>
      <c r="AD621" t="s">
        <v>2216</v>
      </c>
      <c r="AE621" t="s">
        <v>2217</v>
      </c>
      <c r="AJ621" s="2">
        <v>45772.757337962961</v>
      </c>
      <c r="AK621" t="s">
        <v>100</v>
      </c>
      <c r="AL621" t="s">
        <v>1168</v>
      </c>
      <c r="AM621" s="3">
        <v>1.5347222222222223</v>
      </c>
      <c r="AN621" t="s">
        <v>66</v>
      </c>
      <c r="AO621" t="s">
        <v>67</v>
      </c>
    </row>
    <row r="622" spans="1:41" x14ac:dyDescent="0.2">
      <c r="A622">
        <v>366944</v>
      </c>
      <c r="B622" t="s">
        <v>5165</v>
      </c>
      <c r="C622" t="s">
        <v>69</v>
      </c>
      <c r="D622" t="s">
        <v>5166</v>
      </c>
      <c r="E622" t="s">
        <v>5167</v>
      </c>
      <c r="F622">
        <v>104106</v>
      </c>
      <c r="G622" s="1">
        <v>40528</v>
      </c>
      <c r="H622" s="1">
        <v>45646</v>
      </c>
      <c r="I622" s="1">
        <v>46006</v>
      </c>
      <c r="J622" t="s">
        <v>45</v>
      </c>
      <c r="K622" t="s">
        <v>326</v>
      </c>
      <c r="L622" t="s">
        <v>72</v>
      </c>
      <c r="M622" s="1">
        <v>45646</v>
      </c>
      <c r="N622" t="s">
        <v>47</v>
      </c>
      <c r="O622" t="s">
        <v>48</v>
      </c>
      <c r="P622" t="s">
        <v>49</v>
      </c>
      <c r="Q622" t="s">
        <v>5168</v>
      </c>
      <c r="R622" t="s">
        <v>5169</v>
      </c>
      <c r="S622">
        <v>5325</v>
      </c>
      <c r="T622" t="s">
        <v>257</v>
      </c>
      <c r="U622" t="s">
        <v>640</v>
      </c>
      <c r="W622" t="s">
        <v>260</v>
      </c>
      <c r="X622" t="s">
        <v>257</v>
      </c>
      <c r="Y622" t="s">
        <v>110</v>
      </c>
      <c r="Z622">
        <v>4066</v>
      </c>
      <c r="AA622">
        <v>27</v>
      </c>
      <c r="AB622">
        <v>52</v>
      </c>
      <c r="AC622" t="s">
        <v>5170</v>
      </c>
      <c r="AD622" t="s">
        <v>5171</v>
      </c>
      <c r="AE622" t="s">
        <v>5172</v>
      </c>
      <c r="AF622" t="s">
        <v>5173</v>
      </c>
      <c r="AG622" t="s">
        <v>5174</v>
      </c>
      <c r="AH622" t="s">
        <v>5175</v>
      </c>
      <c r="AI622" t="s">
        <v>5176</v>
      </c>
      <c r="AJ622" s="2">
        <v>45646.751250000001</v>
      </c>
      <c r="AK622" t="s">
        <v>5170</v>
      </c>
      <c r="AL622" t="s">
        <v>65</v>
      </c>
      <c r="AM622" s="3">
        <v>2.4236111111111112</v>
      </c>
      <c r="AN622" t="s">
        <v>66</v>
      </c>
      <c r="AO622" t="s">
        <v>67</v>
      </c>
    </row>
    <row r="623" spans="1:41" x14ac:dyDescent="0.2">
      <c r="A623">
        <v>370022</v>
      </c>
      <c r="B623" t="s">
        <v>5177</v>
      </c>
      <c r="C623" t="s">
        <v>763</v>
      </c>
      <c r="D623" t="s">
        <v>5178</v>
      </c>
      <c r="E623" t="s">
        <v>5179</v>
      </c>
      <c r="F623">
        <v>470304</v>
      </c>
      <c r="G623" s="1">
        <v>38101</v>
      </c>
      <c r="H623" s="1">
        <v>45755</v>
      </c>
      <c r="I623" s="1">
        <v>46127</v>
      </c>
      <c r="J623" t="s">
        <v>45</v>
      </c>
      <c r="K623" t="s">
        <v>326</v>
      </c>
      <c r="L623" t="s">
        <v>545</v>
      </c>
      <c r="M623" s="1">
        <v>45310</v>
      </c>
      <c r="N623" t="s">
        <v>47</v>
      </c>
      <c r="O623" t="s">
        <v>48</v>
      </c>
      <c r="P623" t="s">
        <v>49</v>
      </c>
      <c r="Q623" t="s">
        <v>5180</v>
      </c>
      <c r="R623" t="s">
        <v>5181</v>
      </c>
      <c r="S623">
        <v>1396</v>
      </c>
      <c r="T623" t="s">
        <v>52</v>
      </c>
      <c r="U623">
        <v>9</v>
      </c>
      <c r="V623" t="s">
        <v>5182</v>
      </c>
      <c r="W623" t="s">
        <v>54</v>
      </c>
      <c r="X623" t="s">
        <v>76</v>
      </c>
      <c r="Y623" t="s">
        <v>56</v>
      </c>
      <c r="Z623">
        <v>2166</v>
      </c>
      <c r="AA623">
        <v>42</v>
      </c>
      <c r="AB623">
        <v>97</v>
      </c>
      <c r="AC623" t="s">
        <v>5183</v>
      </c>
      <c r="AD623" t="s">
        <v>5184</v>
      </c>
      <c r="AE623" t="s">
        <v>5185</v>
      </c>
      <c r="AF623" t="s">
        <v>5186</v>
      </c>
      <c r="AG623" t="s">
        <v>5187</v>
      </c>
      <c r="AH623" t="s">
        <v>5188</v>
      </c>
      <c r="AI623" t="s">
        <v>5184</v>
      </c>
      <c r="AJ623" s="2">
        <v>45761.817233796297</v>
      </c>
      <c r="AK623" t="s">
        <v>540</v>
      </c>
      <c r="AL623" t="s">
        <v>65</v>
      </c>
      <c r="AM623" s="3">
        <v>1.2673611111111112</v>
      </c>
      <c r="AN623" t="s">
        <v>66</v>
      </c>
      <c r="AO623" t="s">
        <v>101</v>
      </c>
    </row>
    <row r="624" spans="1:41" x14ac:dyDescent="0.2">
      <c r="A624">
        <v>370779</v>
      </c>
      <c r="B624" t="s">
        <v>5189</v>
      </c>
      <c r="C624" t="s">
        <v>182</v>
      </c>
      <c r="D624" t="s">
        <v>183</v>
      </c>
      <c r="E624" t="s">
        <v>5190</v>
      </c>
      <c r="F624">
        <v>45443</v>
      </c>
      <c r="G624" s="1">
        <v>36005</v>
      </c>
      <c r="H624" s="1">
        <v>45779</v>
      </c>
      <c r="I624" s="1">
        <v>46068</v>
      </c>
      <c r="J624" t="s">
        <v>45</v>
      </c>
      <c r="K624" t="s">
        <v>45</v>
      </c>
      <c r="L624" t="s">
        <v>72</v>
      </c>
      <c r="M624" s="1">
        <v>42782</v>
      </c>
      <c r="N624" t="s">
        <v>47</v>
      </c>
      <c r="O624" t="s">
        <v>48</v>
      </c>
      <c r="P624" t="s">
        <v>49</v>
      </c>
      <c r="Q624" t="s">
        <v>5191</v>
      </c>
      <c r="R624" t="s">
        <v>5192</v>
      </c>
      <c r="S624">
        <v>1645</v>
      </c>
      <c r="T624" t="s">
        <v>92</v>
      </c>
      <c r="U624" t="s">
        <v>187</v>
      </c>
      <c r="V624" t="s">
        <v>188</v>
      </c>
      <c r="W624" t="s">
        <v>189</v>
      </c>
      <c r="X624" t="s">
        <v>92</v>
      </c>
      <c r="Y624" t="s">
        <v>110</v>
      </c>
      <c r="Z624">
        <v>1458</v>
      </c>
      <c r="AA624">
        <v>58</v>
      </c>
      <c r="AB624">
        <v>38</v>
      </c>
      <c r="AC624" t="s">
        <v>190</v>
      </c>
      <c r="AD624" t="s">
        <v>191</v>
      </c>
      <c r="AE624" t="s">
        <v>192</v>
      </c>
      <c r="AF624" t="s">
        <v>4170</v>
      </c>
      <c r="AG624" t="s">
        <v>4171</v>
      </c>
      <c r="AH624" t="s">
        <v>4172</v>
      </c>
      <c r="AJ624" s="2">
        <v>45784.660358796296</v>
      </c>
      <c r="AK624" t="s">
        <v>190</v>
      </c>
      <c r="AL624" t="s">
        <v>65</v>
      </c>
      <c r="AM624" s="3">
        <v>2.3055555555555554</v>
      </c>
      <c r="AN624" t="s">
        <v>66</v>
      </c>
      <c r="AO624" t="s">
        <v>67</v>
      </c>
    </row>
    <row r="625" spans="1:41" x14ac:dyDescent="0.2">
      <c r="A625">
        <v>366454</v>
      </c>
      <c r="B625" t="s">
        <v>5193</v>
      </c>
      <c r="C625" t="s">
        <v>182</v>
      </c>
      <c r="D625" t="s">
        <v>779</v>
      </c>
      <c r="E625" t="s">
        <v>5194</v>
      </c>
      <c r="F625">
        <v>45624</v>
      </c>
      <c r="G625" s="1">
        <v>36655</v>
      </c>
      <c r="H625" s="1">
        <v>45617</v>
      </c>
      <c r="J625" t="s">
        <v>45</v>
      </c>
      <c r="K625" t="s">
        <v>45</v>
      </c>
      <c r="L625" t="s">
        <v>72</v>
      </c>
      <c r="N625" t="s">
        <v>47</v>
      </c>
      <c r="O625" t="s">
        <v>48</v>
      </c>
      <c r="P625" t="s">
        <v>49</v>
      </c>
      <c r="Q625" t="s">
        <v>5195</v>
      </c>
      <c r="R625" t="s">
        <v>5196</v>
      </c>
      <c r="S625">
        <v>1722</v>
      </c>
      <c r="T625" t="s">
        <v>92</v>
      </c>
      <c r="U625" t="s">
        <v>187</v>
      </c>
      <c r="V625" t="s">
        <v>447</v>
      </c>
      <c r="W625" t="s">
        <v>448</v>
      </c>
      <c r="X625" t="s">
        <v>92</v>
      </c>
      <c r="Y625" t="s">
        <v>450</v>
      </c>
      <c r="Z625">
        <v>1243</v>
      </c>
      <c r="AA625">
        <v>47</v>
      </c>
      <c r="AB625">
        <v>144</v>
      </c>
      <c r="AC625" t="s">
        <v>451</v>
      </c>
      <c r="AD625" t="s">
        <v>452</v>
      </c>
      <c r="AE625" t="s">
        <v>453</v>
      </c>
      <c r="AF625" t="s">
        <v>783</v>
      </c>
      <c r="AG625" t="s">
        <v>784</v>
      </c>
      <c r="AH625" t="s">
        <v>785</v>
      </c>
      <c r="AI625" t="s">
        <v>452</v>
      </c>
      <c r="AJ625" s="2">
        <v>45622.632395833331</v>
      </c>
      <c r="AK625" t="s">
        <v>456</v>
      </c>
      <c r="AL625" t="s">
        <v>65</v>
      </c>
      <c r="AM625" s="3">
        <v>2.2638888888888888</v>
      </c>
      <c r="AN625" t="s">
        <v>66</v>
      </c>
      <c r="AO625" t="s">
        <v>67</v>
      </c>
    </row>
    <row r="626" spans="1:41" x14ac:dyDescent="0.2">
      <c r="A626">
        <v>371457</v>
      </c>
      <c r="B626" t="s">
        <v>5197</v>
      </c>
      <c r="C626" t="s">
        <v>662</v>
      </c>
      <c r="D626" t="s">
        <v>5198</v>
      </c>
      <c r="E626" s="5" t="s">
        <v>5199</v>
      </c>
      <c r="F626">
        <v>410401</v>
      </c>
      <c r="G626" s="1">
        <v>37649</v>
      </c>
      <c r="H626" s="1">
        <v>45544</v>
      </c>
      <c r="I626" s="1">
        <v>46266</v>
      </c>
      <c r="J626" t="s">
        <v>45</v>
      </c>
      <c r="K626" t="s">
        <v>45</v>
      </c>
      <c r="L626" t="s">
        <v>72</v>
      </c>
      <c r="M626" s="1">
        <v>43784</v>
      </c>
      <c r="N626" t="s">
        <v>47</v>
      </c>
      <c r="O626" t="s">
        <v>48</v>
      </c>
      <c r="P626" t="s">
        <v>49</v>
      </c>
      <c r="Q626" t="s">
        <v>5200</v>
      </c>
      <c r="R626" t="s">
        <v>5201</v>
      </c>
      <c r="S626">
        <v>399</v>
      </c>
      <c r="T626" t="s">
        <v>92</v>
      </c>
      <c r="U626" t="s">
        <v>1197</v>
      </c>
      <c r="V626" t="s">
        <v>1198</v>
      </c>
      <c r="W626" t="s">
        <v>1199</v>
      </c>
      <c r="X626" t="s">
        <v>52</v>
      </c>
      <c r="Y626" t="s">
        <v>110</v>
      </c>
      <c r="Z626">
        <v>2087</v>
      </c>
      <c r="AA626">
        <v>40</v>
      </c>
      <c r="AB626">
        <v>158</v>
      </c>
      <c r="AC626" t="s">
        <v>1200</v>
      </c>
      <c r="AD626" t="s">
        <v>1201</v>
      </c>
      <c r="AE626" t="s">
        <v>1202</v>
      </c>
      <c r="AF626" t="s">
        <v>1203</v>
      </c>
      <c r="AG626" t="s">
        <v>1204</v>
      </c>
      <c r="AH626" t="s">
        <v>1205</v>
      </c>
      <c r="AJ626" s="2">
        <v>45811.828020833331</v>
      </c>
      <c r="AK626" t="s">
        <v>2068</v>
      </c>
      <c r="AL626" t="s">
        <v>65</v>
      </c>
      <c r="AM626" s="4">
        <v>0.3125</v>
      </c>
      <c r="AN626" t="s">
        <v>66</v>
      </c>
      <c r="AO626" t="s">
        <v>67</v>
      </c>
    </row>
    <row r="627" spans="1:41" x14ac:dyDescent="0.2">
      <c r="A627">
        <v>366714</v>
      </c>
      <c r="B627" t="s">
        <v>5202</v>
      </c>
      <c r="C627" t="s">
        <v>182</v>
      </c>
      <c r="D627" t="s">
        <v>183</v>
      </c>
      <c r="E627" t="s">
        <v>5203</v>
      </c>
      <c r="F627">
        <v>45405</v>
      </c>
      <c r="G627" s="1">
        <v>37581</v>
      </c>
      <c r="H627" s="1">
        <v>45630</v>
      </c>
      <c r="I627" s="1">
        <v>46143</v>
      </c>
      <c r="J627" t="s">
        <v>45</v>
      </c>
      <c r="K627" t="s">
        <v>45</v>
      </c>
      <c r="L627" t="s">
        <v>545</v>
      </c>
      <c r="M627" s="1">
        <v>41515</v>
      </c>
      <c r="N627" t="s">
        <v>47</v>
      </c>
      <c r="O627" t="s">
        <v>48</v>
      </c>
      <c r="P627" t="s">
        <v>49</v>
      </c>
      <c r="Q627" t="s">
        <v>5204</v>
      </c>
      <c r="R627" t="s">
        <v>5205</v>
      </c>
      <c r="S627">
        <v>3000</v>
      </c>
      <c r="T627" t="s">
        <v>52</v>
      </c>
      <c r="U627">
        <v>5</v>
      </c>
      <c r="V627" t="s">
        <v>2432</v>
      </c>
      <c r="W627" t="s">
        <v>54</v>
      </c>
      <c r="X627" t="s">
        <v>493</v>
      </c>
      <c r="Y627" t="s">
        <v>434</v>
      </c>
      <c r="Z627">
        <v>2185</v>
      </c>
      <c r="AA627">
        <v>47</v>
      </c>
      <c r="AB627">
        <v>160</v>
      </c>
      <c r="AC627" t="s">
        <v>5001</v>
      </c>
      <c r="AD627" t="s">
        <v>2434</v>
      </c>
      <c r="AE627" t="s">
        <v>2435</v>
      </c>
      <c r="AF627" t="s">
        <v>5206</v>
      </c>
      <c r="AG627" t="s">
        <v>5207</v>
      </c>
      <c r="AH627" t="s">
        <v>5005</v>
      </c>
      <c r="AI627" t="s">
        <v>500</v>
      </c>
      <c r="AJ627" s="2">
        <v>45635.686203703706</v>
      </c>
      <c r="AK627" t="s">
        <v>717</v>
      </c>
      <c r="AL627" t="s">
        <v>65</v>
      </c>
      <c r="AM627" s="3">
        <v>2.2708333333333335</v>
      </c>
      <c r="AN627" t="s">
        <v>66</v>
      </c>
      <c r="AO627" t="s">
        <v>67</v>
      </c>
    </row>
    <row r="628" spans="1:41" x14ac:dyDescent="0.2">
      <c r="A628">
        <v>372955</v>
      </c>
      <c r="B628" t="s">
        <v>5208</v>
      </c>
      <c r="C628" t="s">
        <v>3441</v>
      </c>
      <c r="D628" t="s">
        <v>5209</v>
      </c>
      <c r="E628" t="s">
        <v>5210</v>
      </c>
      <c r="F628">
        <v>344001</v>
      </c>
      <c r="G628" s="1">
        <v>41197</v>
      </c>
      <c r="H628" s="1">
        <v>45728</v>
      </c>
      <c r="I628" s="1">
        <v>46113</v>
      </c>
      <c r="J628" t="s">
        <v>45</v>
      </c>
      <c r="K628" t="s">
        <v>45</v>
      </c>
      <c r="L628" t="s">
        <v>429</v>
      </c>
      <c r="M628" s="1">
        <v>45006</v>
      </c>
      <c r="N628" t="s">
        <v>47</v>
      </c>
      <c r="O628" t="s">
        <v>48</v>
      </c>
      <c r="P628" t="s">
        <v>49</v>
      </c>
      <c r="Q628" t="s">
        <v>5211</v>
      </c>
      <c r="R628" t="s">
        <v>5212</v>
      </c>
      <c r="S628">
        <v>980</v>
      </c>
      <c r="T628" t="s">
        <v>296</v>
      </c>
      <c r="U628" t="s">
        <v>5213</v>
      </c>
      <c r="V628" t="s">
        <v>5214</v>
      </c>
      <c r="W628" t="s">
        <v>299</v>
      </c>
      <c r="X628" t="s">
        <v>76</v>
      </c>
      <c r="Y628" t="s">
        <v>56</v>
      </c>
      <c r="Z628">
        <v>5686</v>
      </c>
      <c r="AA628">
        <v>24</v>
      </c>
      <c r="AB628">
        <v>28</v>
      </c>
      <c r="AC628" t="s">
        <v>5215</v>
      </c>
      <c r="AD628" t="s">
        <v>5216</v>
      </c>
      <c r="AE628" t="s">
        <v>5217</v>
      </c>
      <c r="AF628" t="s">
        <v>5218</v>
      </c>
      <c r="AG628" t="s">
        <v>5219</v>
      </c>
      <c r="AH628" t="s">
        <v>5220</v>
      </c>
      <c r="AI628" t="s">
        <v>5221</v>
      </c>
      <c r="AJ628" s="2">
        <v>45855.95380787037</v>
      </c>
      <c r="AK628" t="s">
        <v>556</v>
      </c>
      <c r="AL628" t="s">
        <v>65</v>
      </c>
      <c r="AM628" s="4">
        <v>0.72222222222222221</v>
      </c>
      <c r="AN628" t="s">
        <v>66</v>
      </c>
      <c r="AO628" t="s">
        <v>67</v>
      </c>
    </row>
    <row r="629" spans="1:41" x14ac:dyDescent="0.2">
      <c r="A629">
        <v>367186</v>
      </c>
      <c r="B629" t="s">
        <v>5222</v>
      </c>
      <c r="C629" t="s">
        <v>735</v>
      </c>
      <c r="D629" t="s">
        <v>2922</v>
      </c>
      <c r="E629">
        <v>22003704</v>
      </c>
      <c r="F629">
        <v>241520</v>
      </c>
      <c r="G629" s="1">
        <v>39953</v>
      </c>
      <c r="H629" s="1">
        <v>45573</v>
      </c>
      <c r="I629" s="1">
        <v>45945</v>
      </c>
      <c r="J629" t="s">
        <v>45</v>
      </c>
      <c r="K629" t="s">
        <v>45</v>
      </c>
      <c r="L629" t="s">
        <v>72</v>
      </c>
      <c r="M629" s="1">
        <v>41816</v>
      </c>
      <c r="N629" t="s">
        <v>47</v>
      </c>
      <c r="O629" t="s">
        <v>48</v>
      </c>
      <c r="P629" t="s">
        <v>49</v>
      </c>
      <c r="Q629" t="s">
        <v>5223</v>
      </c>
      <c r="R629" t="s">
        <v>5224</v>
      </c>
      <c r="S629">
        <v>3839</v>
      </c>
      <c r="T629" t="s">
        <v>92</v>
      </c>
      <c r="U629" t="s">
        <v>3192</v>
      </c>
      <c r="V629" t="s">
        <v>3193</v>
      </c>
      <c r="W629" t="s">
        <v>3194</v>
      </c>
      <c r="X629" t="s">
        <v>92</v>
      </c>
      <c r="Y629" t="s">
        <v>110</v>
      </c>
      <c r="Z629">
        <v>2998</v>
      </c>
      <c r="AA629">
        <v>32</v>
      </c>
      <c r="AB629">
        <v>166</v>
      </c>
      <c r="AC629" t="s">
        <v>5225</v>
      </c>
      <c r="AD629" t="s">
        <v>5226</v>
      </c>
      <c r="AE629" t="s">
        <v>5227</v>
      </c>
      <c r="AF629" t="s">
        <v>3198</v>
      </c>
      <c r="AG629" t="s">
        <v>3199</v>
      </c>
      <c r="AH629" t="s">
        <v>3200</v>
      </c>
      <c r="AJ629" s="2">
        <v>45664.720381944448</v>
      </c>
      <c r="AK629" t="s">
        <v>3198</v>
      </c>
      <c r="AL629" t="s">
        <v>65</v>
      </c>
      <c r="AM629" s="3">
        <v>1.2777777777777777</v>
      </c>
      <c r="AN629" t="s">
        <v>66</v>
      </c>
      <c r="AO629" t="s">
        <v>67</v>
      </c>
    </row>
    <row r="630" spans="1:41" x14ac:dyDescent="0.2">
      <c r="A630">
        <v>368257</v>
      </c>
      <c r="B630" t="s">
        <v>5228</v>
      </c>
      <c r="C630" t="s">
        <v>182</v>
      </c>
      <c r="D630" t="s">
        <v>610</v>
      </c>
      <c r="E630" t="s">
        <v>5229</v>
      </c>
      <c r="F630">
        <v>45793</v>
      </c>
      <c r="G630" s="1">
        <v>44572</v>
      </c>
      <c r="H630" s="1">
        <v>45707</v>
      </c>
      <c r="I630" s="1">
        <v>45931</v>
      </c>
      <c r="J630" t="s">
        <v>45</v>
      </c>
      <c r="K630" t="s">
        <v>45</v>
      </c>
      <c r="L630" t="s">
        <v>72</v>
      </c>
      <c r="N630" t="s">
        <v>89</v>
      </c>
      <c r="O630" t="s">
        <v>121</v>
      </c>
      <c r="P630" t="s">
        <v>49</v>
      </c>
      <c r="Q630" t="s">
        <v>5230</v>
      </c>
      <c r="R630" t="s">
        <v>5231</v>
      </c>
      <c r="S630">
        <v>5050</v>
      </c>
      <c r="T630" t="s">
        <v>52</v>
      </c>
      <c r="U630">
        <v>5</v>
      </c>
      <c r="V630" t="s">
        <v>614</v>
      </c>
      <c r="W630" t="s">
        <v>54</v>
      </c>
      <c r="X630" t="s">
        <v>76</v>
      </c>
      <c r="Y630" t="s">
        <v>125</v>
      </c>
      <c r="Z630">
        <v>1662</v>
      </c>
      <c r="AA630">
        <v>71</v>
      </c>
      <c r="AB630">
        <v>48</v>
      </c>
      <c r="AC630" t="s">
        <v>5232</v>
      </c>
      <c r="AD630" t="s">
        <v>616</v>
      </c>
      <c r="AE630" t="s">
        <v>5233</v>
      </c>
      <c r="AF630" t="s">
        <v>4148</v>
      </c>
      <c r="AG630" t="s">
        <v>619</v>
      </c>
      <c r="AH630" t="s">
        <v>617</v>
      </c>
      <c r="AI630" t="s">
        <v>5234</v>
      </c>
      <c r="AJ630" s="2">
        <v>45707.503680555557</v>
      </c>
      <c r="AK630" t="s">
        <v>132</v>
      </c>
      <c r="AL630" t="s">
        <v>65</v>
      </c>
      <c r="AM630" s="3">
        <v>1.0625</v>
      </c>
      <c r="AN630" t="s">
        <v>66</v>
      </c>
      <c r="AO630" t="s">
        <v>67</v>
      </c>
    </row>
    <row r="631" spans="1:41" x14ac:dyDescent="0.2">
      <c r="A631">
        <v>372929</v>
      </c>
      <c r="B631" t="s">
        <v>5235</v>
      </c>
      <c r="C631" t="s">
        <v>278</v>
      </c>
      <c r="D631" t="s">
        <v>870</v>
      </c>
      <c r="E631" s="5" t="s">
        <v>5236</v>
      </c>
      <c r="F631">
        <v>420915</v>
      </c>
      <c r="G631" s="1">
        <v>38120</v>
      </c>
      <c r="H631" s="1">
        <v>45583</v>
      </c>
      <c r="I631" s="1">
        <v>45945</v>
      </c>
      <c r="J631" t="s">
        <v>45</v>
      </c>
      <c r="K631" t="s">
        <v>45</v>
      </c>
      <c r="L631" t="s">
        <v>429</v>
      </c>
      <c r="M631" s="1">
        <v>40583</v>
      </c>
      <c r="N631" t="s">
        <v>47</v>
      </c>
      <c r="O631" t="s">
        <v>48</v>
      </c>
      <c r="P631" t="s">
        <v>49</v>
      </c>
      <c r="Q631" t="s">
        <v>5237</v>
      </c>
      <c r="R631" t="s">
        <v>5238</v>
      </c>
      <c r="S631">
        <v>6384</v>
      </c>
      <c r="T631" t="s">
        <v>365</v>
      </c>
      <c r="U631" t="s">
        <v>432</v>
      </c>
      <c r="V631" t="s">
        <v>874</v>
      </c>
      <c r="W631" t="s">
        <v>367</v>
      </c>
      <c r="X631" t="s">
        <v>76</v>
      </c>
      <c r="Y631" t="s">
        <v>434</v>
      </c>
      <c r="Z631">
        <v>2536</v>
      </c>
      <c r="AA631">
        <v>43</v>
      </c>
      <c r="AB631">
        <v>160</v>
      </c>
      <c r="AC631" t="s">
        <v>875</v>
      </c>
      <c r="AD631" t="s">
        <v>876</v>
      </c>
      <c r="AE631" t="s">
        <v>4759</v>
      </c>
      <c r="AF631" t="s">
        <v>3172</v>
      </c>
      <c r="AG631" t="s">
        <v>879</v>
      </c>
      <c r="AH631" t="s">
        <v>880</v>
      </c>
      <c r="AI631" t="s">
        <v>179</v>
      </c>
      <c r="AJ631" s="2">
        <v>45855.915983796294</v>
      </c>
      <c r="AK631" t="s">
        <v>556</v>
      </c>
      <c r="AL631" t="s">
        <v>65</v>
      </c>
      <c r="AM631" s="3">
        <v>1.8333333333333333</v>
      </c>
      <c r="AN631" t="s">
        <v>66</v>
      </c>
      <c r="AO631" t="s">
        <v>67</v>
      </c>
    </row>
    <row r="632" spans="1:41" x14ac:dyDescent="0.2">
      <c r="A632">
        <v>365177</v>
      </c>
      <c r="B632" t="s">
        <v>5239</v>
      </c>
      <c r="C632" t="s">
        <v>1107</v>
      </c>
      <c r="D632" t="s">
        <v>5240</v>
      </c>
      <c r="E632">
        <v>57301558</v>
      </c>
      <c r="F632">
        <v>233701</v>
      </c>
      <c r="G632" s="1">
        <v>38111</v>
      </c>
      <c r="H632" s="1">
        <v>45554</v>
      </c>
      <c r="I632" s="1">
        <v>45931</v>
      </c>
      <c r="J632" t="s">
        <v>45</v>
      </c>
      <c r="K632" t="s">
        <v>72</v>
      </c>
      <c r="L632" t="s">
        <v>72</v>
      </c>
      <c r="M632" s="1">
        <v>45554</v>
      </c>
      <c r="N632" t="s">
        <v>47</v>
      </c>
      <c r="O632" t="s">
        <v>48</v>
      </c>
      <c r="P632" t="s">
        <v>49</v>
      </c>
      <c r="Q632" t="s">
        <v>5241</v>
      </c>
      <c r="R632" t="s">
        <v>5242</v>
      </c>
      <c r="S632">
        <v>760</v>
      </c>
      <c r="T632" t="s">
        <v>92</v>
      </c>
      <c r="U632" t="s">
        <v>1111</v>
      </c>
      <c r="V632" t="s">
        <v>1112</v>
      </c>
      <c r="W632" t="s">
        <v>1113</v>
      </c>
      <c r="X632" t="s">
        <v>52</v>
      </c>
      <c r="Y632" t="s">
        <v>110</v>
      </c>
      <c r="Z632">
        <v>1148</v>
      </c>
      <c r="AA632">
        <v>27</v>
      </c>
      <c r="AB632">
        <v>170</v>
      </c>
      <c r="AC632" t="s">
        <v>1114</v>
      </c>
      <c r="AD632" t="s">
        <v>5243</v>
      </c>
      <c r="AE632" t="s">
        <v>1116</v>
      </c>
      <c r="AJ632" s="2">
        <v>45572.852789351855</v>
      </c>
      <c r="AK632" t="s">
        <v>1114</v>
      </c>
      <c r="AL632" t="s">
        <v>65</v>
      </c>
      <c r="AM632" s="4">
        <v>0.54861111111111116</v>
      </c>
      <c r="AN632" t="s">
        <v>66</v>
      </c>
      <c r="AO632" t="s">
        <v>67</v>
      </c>
    </row>
    <row r="633" spans="1:41" x14ac:dyDescent="0.2">
      <c r="A633">
        <v>356141</v>
      </c>
      <c r="B633" t="s">
        <v>5244</v>
      </c>
      <c r="C633" t="s">
        <v>182</v>
      </c>
      <c r="D633" t="s">
        <v>2901</v>
      </c>
      <c r="E633" t="s">
        <v>5245</v>
      </c>
      <c r="F633">
        <v>44721</v>
      </c>
      <c r="G633" s="1">
        <v>45295</v>
      </c>
      <c r="H633" s="1">
        <v>45296</v>
      </c>
      <c r="I633" s="1">
        <v>45992</v>
      </c>
      <c r="J633" t="s">
        <v>45</v>
      </c>
      <c r="K633" t="s">
        <v>45</v>
      </c>
      <c r="L633" t="s">
        <v>72</v>
      </c>
      <c r="N633" t="s">
        <v>89</v>
      </c>
      <c r="O633" t="s">
        <v>121</v>
      </c>
      <c r="P633" t="s">
        <v>49</v>
      </c>
      <c r="Q633" t="s">
        <v>5246</v>
      </c>
      <c r="R633" t="s">
        <v>5247</v>
      </c>
      <c r="S633">
        <v>2450</v>
      </c>
      <c r="T633" t="s">
        <v>365</v>
      </c>
      <c r="U633" t="s">
        <v>562</v>
      </c>
      <c r="V633" t="s">
        <v>5248</v>
      </c>
      <c r="W633" t="s">
        <v>367</v>
      </c>
      <c r="X633" t="s">
        <v>76</v>
      </c>
      <c r="Y633" t="s">
        <v>125</v>
      </c>
      <c r="Z633">
        <v>2977</v>
      </c>
      <c r="AA633">
        <v>49</v>
      </c>
      <c r="AB633">
        <v>166</v>
      </c>
      <c r="AC633" t="s">
        <v>5249</v>
      </c>
      <c r="AD633" t="s">
        <v>5250</v>
      </c>
      <c r="AE633" t="s">
        <v>5251</v>
      </c>
      <c r="AF633" t="s">
        <v>5252</v>
      </c>
      <c r="AG633" t="s">
        <v>5250</v>
      </c>
      <c r="AH633" t="s">
        <v>5253</v>
      </c>
      <c r="AI633" t="s">
        <v>4396</v>
      </c>
      <c r="AJ633" s="2">
        <v>45296.500972222224</v>
      </c>
      <c r="AK633" t="s">
        <v>132</v>
      </c>
      <c r="AL633" t="s">
        <v>65</v>
      </c>
      <c r="AM633" s="3">
        <v>1.4305555555555556</v>
      </c>
      <c r="AN633" t="s">
        <v>66</v>
      </c>
      <c r="AO633" t="s">
        <v>67</v>
      </c>
    </row>
    <row r="634" spans="1:41" x14ac:dyDescent="0.2">
      <c r="A634">
        <v>372835</v>
      </c>
      <c r="B634" t="s">
        <v>5254</v>
      </c>
      <c r="C634" t="s">
        <v>182</v>
      </c>
      <c r="D634" t="s">
        <v>779</v>
      </c>
      <c r="E634" t="s">
        <v>5255</v>
      </c>
      <c r="F634">
        <v>45692</v>
      </c>
      <c r="G634" s="1">
        <v>45693</v>
      </c>
      <c r="H634" s="1">
        <v>45854</v>
      </c>
      <c r="I634" s="1">
        <v>45992</v>
      </c>
      <c r="J634" t="s">
        <v>45</v>
      </c>
      <c r="K634" t="s">
        <v>45</v>
      </c>
      <c r="L634" t="s">
        <v>72</v>
      </c>
      <c r="M634" s="1">
        <v>45854</v>
      </c>
      <c r="N634" t="s">
        <v>89</v>
      </c>
      <c r="O634" t="s">
        <v>121</v>
      </c>
      <c r="P634" t="s">
        <v>49</v>
      </c>
      <c r="Q634" t="s">
        <v>5256</v>
      </c>
      <c r="R634" t="s">
        <v>5257</v>
      </c>
      <c r="S634">
        <v>620</v>
      </c>
      <c r="T634" t="s">
        <v>52</v>
      </c>
      <c r="U634">
        <v>5</v>
      </c>
      <c r="V634" t="s">
        <v>614</v>
      </c>
      <c r="W634" t="s">
        <v>54</v>
      </c>
      <c r="X634" t="s">
        <v>52</v>
      </c>
      <c r="Y634" t="s">
        <v>125</v>
      </c>
      <c r="Z634">
        <v>1661</v>
      </c>
      <c r="AA634">
        <v>76</v>
      </c>
      <c r="AB634">
        <v>34</v>
      </c>
      <c r="AC634" t="s">
        <v>615</v>
      </c>
      <c r="AD634" t="s">
        <v>616</v>
      </c>
      <c r="AE634" t="s">
        <v>617</v>
      </c>
      <c r="AF634" t="s">
        <v>5258</v>
      </c>
      <c r="AG634" t="s">
        <v>5259</v>
      </c>
      <c r="AH634" t="s">
        <v>5260</v>
      </c>
      <c r="AI634" t="s">
        <v>5261</v>
      </c>
      <c r="AJ634" s="2">
        <v>45854.651412037034</v>
      </c>
      <c r="AK634" t="s">
        <v>800</v>
      </c>
      <c r="AL634" t="s">
        <v>65</v>
      </c>
      <c r="AM634" s="3">
        <v>1.1041666666666667</v>
      </c>
      <c r="AN634" t="s">
        <v>66</v>
      </c>
      <c r="AO634" t="s">
        <v>67</v>
      </c>
    </row>
    <row r="635" spans="1:41" x14ac:dyDescent="0.2">
      <c r="A635">
        <v>367864</v>
      </c>
      <c r="B635" t="s">
        <v>5262</v>
      </c>
      <c r="C635" t="s">
        <v>182</v>
      </c>
      <c r="D635" t="s">
        <v>610</v>
      </c>
      <c r="E635" t="s">
        <v>5263</v>
      </c>
      <c r="G635" s="1">
        <v>45692</v>
      </c>
      <c r="H635" s="1">
        <v>45664</v>
      </c>
      <c r="I635" s="1">
        <v>45992</v>
      </c>
      <c r="J635" t="s">
        <v>45</v>
      </c>
      <c r="K635" t="s">
        <v>45</v>
      </c>
      <c r="L635" t="s">
        <v>72</v>
      </c>
      <c r="N635" t="s">
        <v>47</v>
      </c>
      <c r="O635" t="s">
        <v>121</v>
      </c>
      <c r="P635" t="s">
        <v>49</v>
      </c>
      <c r="Q635" t="s">
        <v>5264</v>
      </c>
      <c r="R635" t="s">
        <v>5265</v>
      </c>
      <c r="S635">
        <v>5098</v>
      </c>
      <c r="T635" t="s">
        <v>52</v>
      </c>
      <c r="U635">
        <v>5</v>
      </c>
      <c r="V635" t="s">
        <v>614</v>
      </c>
      <c r="W635" t="s">
        <v>54</v>
      </c>
      <c r="X635" t="s">
        <v>76</v>
      </c>
      <c r="Y635" t="s">
        <v>125</v>
      </c>
      <c r="Z635">
        <v>12086</v>
      </c>
      <c r="AA635">
        <v>18</v>
      </c>
      <c r="AB635">
        <v>210</v>
      </c>
      <c r="AC635" t="s">
        <v>5266</v>
      </c>
      <c r="AD635" t="s">
        <v>616</v>
      </c>
      <c r="AE635" t="s">
        <v>5233</v>
      </c>
      <c r="AF635" t="s">
        <v>5267</v>
      </c>
      <c r="AG635" t="s">
        <v>5268</v>
      </c>
      <c r="AH635" t="s">
        <v>5269</v>
      </c>
      <c r="AI635" t="s">
        <v>4396</v>
      </c>
      <c r="AJ635" s="2">
        <v>45692.867129629631</v>
      </c>
      <c r="AK635" t="s">
        <v>800</v>
      </c>
      <c r="AL635" t="s">
        <v>65</v>
      </c>
      <c r="AM635" s="4">
        <v>0.54861111111111116</v>
      </c>
      <c r="AN635" t="s">
        <v>66</v>
      </c>
      <c r="AO635" t="s">
        <v>67</v>
      </c>
    </row>
    <row r="636" spans="1:41" x14ac:dyDescent="0.2">
      <c r="A636">
        <v>367204</v>
      </c>
      <c r="B636" t="s">
        <v>5270</v>
      </c>
      <c r="C636" t="s">
        <v>182</v>
      </c>
      <c r="D636" t="s">
        <v>610</v>
      </c>
      <c r="E636">
        <v>32706550</v>
      </c>
      <c r="F636">
        <v>45794</v>
      </c>
      <c r="G636" s="1">
        <v>45664</v>
      </c>
      <c r="H636" s="1">
        <v>45665</v>
      </c>
      <c r="I636" s="1">
        <v>45931</v>
      </c>
      <c r="J636" t="s">
        <v>45</v>
      </c>
      <c r="K636" t="s">
        <v>45</v>
      </c>
      <c r="L636" t="s">
        <v>72</v>
      </c>
      <c r="N636" t="s">
        <v>89</v>
      </c>
      <c r="O636" t="s">
        <v>121</v>
      </c>
      <c r="P636" t="s">
        <v>49</v>
      </c>
      <c r="Q636" t="s">
        <v>5271</v>
      </c>
      <c r="R636" t="s">
        <v>5272</v>
      </c>
      <c r="S636">
        <v>6050</v>
      </c>
      <c r="T636" t="s">
        <v>52</v>
      </c>
      <c r="U636">
        <v>5</v>
      </c>
      <c r="V636" t="s">
        <v>614</v>
      </c>
      <c r="W636" t="s">
        <v>54</v>
      </c>
      <c r="X636" t="s">
        <v>76</v>
      </c>
      <c r="Y636" t="s">
        <v>125</v>
      </c>
      <c r="Z636">
        <v>1663</v>
      </c>
      <c r="AA636">
        <v>63</v>
      </c>
      <c r="AB636">
        <v>78</v>
      </c>
      <c r="AC636" t="s">
        <v>5232</v>
      </c>
      <c r="AD636" t="s">
        <v>616</v>
      </c>
      <c r="AE636" t="s">
        <v>5233</v>
      </c>
      <c r="AF636" t="s">
        <v>4148</v>
      </c>
      <c r="AG636" t="s">
        <v>619</v>
      </c>
      <c r="AH636" t="s">
        <v>617</v>
      </c>
      <c r="AI636" t="s">
        <v>5273</v>
      </c>
      <c r="AJ636" s="2">
        <v>45665.50277777778</v>
      </c>
      <c r="AK636" t="s">
        <v>132</v>
      </c>
      <c r="AL636" t="s">
        <v>65</v>
      </c>
      <c r="AM636" s="3">
        <v>1.5069444444444444</v>
      </c>
      <c r="AN636" t="s">
        <v>66</v>
      </c>
      <c r="AO636" t="s">
        <v>67</v>
      </c>
    </row>
    <row r="637" spans="1:41" x14ac:dyDescent="0.2">
      <c r="A637">
        <v>371519</v>
      </c>
      <c r="B637" t="s">
        <v>5274</v>
      </c>
      <c r="C637" t="s">
        <v>323</v>
      </c>
      <c r="E637">
        <v>39605670</v>
      </c>
      <c r="G637" s="1">
        <v>38246</v>
      </c>
      <c r="H637" s="1">
        <v>45799</v>
      </c>
      <c r="J637" t="s">
        <v>72</v>
      </c>
      <c r="K637" t="s">
        <v>72</v>
      </c>
      <c r="L637" t="s">
        <v>72</v>
      </c>
      <c r="N637" t="s">
        <v>47</v>
      </c>
      <c r="O637" t="s">
        <v>48</v>
      </c>
      <c r="P637" t="s">
        <v>406</v>
      </c>
      <c r="Q637" t="s">
        <v>5275</v>
      </c>
      <c r="R637" t="s">
        <v>5276</v>
      </c>
      <c r="S637">
        <v>958</v>
      </c>
      <c r="T637" t="s">
        <v>257</v>
      </c>
      <c r="U637" t="s">
        <v>329</v>
      </c>
      <c r="V637" t="s">
        <v>2150</v>
      </c>
      <c r="W637" t="s">
        <v>3303</v>
      </c>
      <c r="X637" t="s">
        <v>257</v>
      </c>
      <c r="Y637" t="s">
        <v>642</v>
      </c>
      <c r="Z637">
        <v>2647</v>
      </c>
      <c r="AA637">
        <v>37</v>
      </c>
      <c r="AB637">
        <v>172</v>
      </c>
      <c r="AC637" t="s">
        <v>5079</v>
      </c>
      <c r="AD637" t="s">
        <v>1165</v>
      </c>
      <c r="AE637" t="s">
        <v>1166</v>
      </c>
      <c r="AF637" t="s">
        <v>4983</v>
      </c>
      <c r="AG637" t="s">
        <v>4984</v>
      </c>
      <c r="AH637" t="s">
        <v>4985</v>
      </c>
      <c r="AI637" t="s">
        <v>1165</v>
      </c>
      <c r="AJ637" s="2">
        <v>45813.933854166666</v>
      </c>
      <c r="AK637" t="s">
        <v>1164</v>
      </c>
      <c r="AL637" t="s">
        <v>1168</v>
      </c>
      <c r="AM637" s="3">
        <v>1.3888888888888888</v>
      </c>
      <c r="AN637" t="s">
        <v>66</v>
      </c>
      <c r="AO637" t="s">
        <v>67</v>
      </c>
    </row>
    <row r="638" spans="1:41" x14ac:dyDescent="0.2">
      <c r="A638">
        <v>368675</v>
      </c>
      <c r="B638" t="s">
        <v>5277</v>
      </c>
      <c r="C638" t="s">
        <v>182</v>
      </c>
      <c r="D638" t="s">
        <v>2153</v>
      </c>
      <c r="E638" t="s">
        <v>5278</v>
      </c>
      <c r="G638" s="1">
        <v>44452</v>
      </c>
      <c r="H638" s="1">
        <v>45715</v>
      </c>
      <c r="I638" s="1">
        <v>46082</v>
      </c>
      <c r="J638" t="s">
        <v>45</v>
      </c>
      <c r="K638" t="s">
        <v>45</v>
      </c>
      <c r="L638" t="s">
        <v>46</v>
      </c>
      <c r="M638" s="1">
        <v>44936</v>
      </c>
      <c r="N638" t="s">
        <v>47</v>
      </c>
      <c r="O638" t="s">
        <v>48</v>
      </c>
      <c r="P638" t="s">
        <v>49</v>
      </c>
      <c r="Q638" t="s">
        <v>5279</v>
      </c>
      <c r="R638" t="s">
        <v>5280</v>
      </c>
      <c r="S638">
        <v>703</v>
      </c>
      <c r="T638" t="s">
        <v>365</v>
      </c>
      <c r="U638" t="s">
        <v>562</v>
      </c>
      <c r="V638" t="s">
        <v>5281</v>
      </c>
      <c r="W638" t="s">
        <v>367</v>
      </c>
      <c r="X638" t="s">
        <v>493</v>
      </c>
      <c r="Y638" t="s">
        <v>434</v>
      </c>
      <c r="Z638">
        <v>11626</v>
      </c>
      <c r="AA638">
        <v>17</v>
      </c>
      <c r="AB638">
        <v>210</v>
      </c>
      <c r="AC638" t="s">
        <v>5282</v>
      </c>
      <c r="AD638" t="s">
        <v>5283</v>
      </c>
      <c r="AE638" t="s">
        <v>5284</v>
      </c>
      <c r="AF638" t="s">
        <v>5285</v>
      </c>
      <c r="AG638" t="s">
        <v>5286</v>
      </c>
      <c r="AH638" t="s">
        <v>5287</v>
      </c>
      <c r="AI638" t="s">
        <v>5288</v>
      </c>
      <c r="AJ638" s="2">
        <v>45719.827743055554</v>
      </c>
      <c r="AK638" t="s">
        <v>501</v>
      </c>
      <c r="AL638" t="s">
        <v>65</v>
      </c>
      <c r="AM638" s="4">
        <v>0.375</v>
      </c>
      <c r="AN638" t="s">
        <v>66</v>
      </c>
      <c r="AO638" t="s">
        <v>67</v>
      </c>
    </row>
    <row r="639" spans="1:41" x14ac:dyDescent="0.2">
      <c r="A639">
        <v>368059</v>
      </c>
      <c r="B639" t="s">
        <v>5289</v>
      </c>
      <c r="C639" t="s">
        <v>197</v>
      </c>
      <c r="D639" t="s">
        <v>5290</v>
      </c>
      <c r="E639" t="s">
        <v>5291</v>
      </c>
      <c r="F639">
        <v>95301</v>
      </c>
      <c r="G639" s="1">
        <v>44293</v>
      </c>
      <c r="H639" s="1">
        <v>45561</v>
      </c>
      <c r="I639" s="1">
        <v>46266</v>
      </c>
      <c r="J639" t="s">
        <v>45</v>
      </c>
      <c r="K639" t="s">
        <v>45</v>
      </c>
      <c r="L639" t="s">
        <v>72</v>
      </c>
      <c r="N639" t="s">
        <v>47</v>
      </c>
      <c r="O639" t="s">
        <v>48</v>
      </c>
      <c r="P639" t="s">
        <v>49</v>
      </c>
      <c r="Q639" t="s">
        <v>5292</v>
      </c>
      <c r="R639" t="s">
        <v>5293</v>
      </c>
      <c r="S639">
        <v>2654</v>
      </c>
      <c r="T639" t="s">
        <v>92</v>
      </c>
      <c r="U639" t="s">
        <v>202</v>
      </c>
      <c r="V639" t="s">
        <v>203</v>
      </c>
      <c r="W639" t="s">
        <v>204</v>
      </c>
      <c r="X639" t="s">
        <v>92</v>
      </c>
      <c r="Y639" t="s">
        <v>110</v>
      </c>
      <c r="Z639">
        <v>11547</v>
      </c>
      <c r="AA639">
        <v>12</v>
      </c>
      <c r="AB639">
        <v>45</v>
      </c>
      <c r="AC639" t="s">
        <v>1546</v>
      </c>
      <c r="AD639" t="s">
        <v>206</v>
      </c>
      <c r="AE639" t="s">
        <v>1547</v>
      </c>
      <c r="AF639" t="s">
        <v>3373</v>
      </c>
      <c r="AG639" t="s">
        <v>3374</v>
      </c>
      <c r="AH639" t="s">
        <v>3375</v>
      </c>
      <c r="AI639" t="s">
        <v>206</v>
      </c>
      <c r="AJ639" s="2">
        <v>45699.774027777778</v>
      </c>
      <c r="AK639" t="s">
        <v>149</v>
      </c>
      <c r="AL639" t="s">
        <v>65</v>
      </c>
      <c r="AM639" s="3">
        <v>2.4444444444444446</v>
      </c>
      <c r="AN639" t="s">
        <v>66</v>
      </c>
      <c r="AO639" t="s">
        <v>101</v>
      </c>
    </row>
    <row r="640" spans="1:41" x14ac:dyDescent="0.2">
      <c r="A640">
        <v>357499</v>
      </c>
      <c r="B640" t="s">
        <v>5294</v>
      </c>
      <c r="C640" t="s">
        <v>788</v>
      </c>
      <c r="E640" t="s">
        <v>5295</v>
      </c>
      <c r="G640" s="1">
        <v>40118</v>
      </c>
      <c r="J640" t="s">
        <v>72</v>
      </c>
      <c r="K640" t="s">
        <v>326</v>
      </c>
      <c r="L640" t="s">
        <v>72</v>
      </c>
      <c r="N640" t="s">
        <v>89</v>
      </c>
      <c r="O640" t="s">
        <v>48</v>
      </c>
      <c r="P640" t="s">
        <v>406</v>
      </c>
      <c r="Q640" t="s">
        <v>5296</v>
      </c>
      <c r="R640" t="s">
        <v>5297</v>
      </c>
      <c r="S640">
        <v>10</v>
      </c>
      <c r="T640" t="s">
        <v>449</v>
      </c>
      <c r="U640" t="s">
        <v>2815</v>
      </c>
      <c r="V640" t="s">
        <v>5298</v>
      </c>
      <c r="W640" t="s">
        <v>5299</v>
      </c>
      <c r="X640" t="s">
        <v>449</v>
      </c>
      <c r="Y640" t="s">
        <v>410</v>
      </c>
      <c r="Z640">
        <v>9526</v>
      </c>
      <c r="AA640">
        <v>7</v>
      </c>
      <c r="AB640">
        <v>175</v>
      </c>
      <c r="AC640" t="s">
        <v>5300</v>
      </c>
      <c r="AD640" t="s">
        <v>5301</v>
      </c>
      <c r="AE640" t="s">
        <v>5302</v>
      </c>
      <c r="AF640" t="s">
        <v>5303</v>
      </c>
      <c r="AG640" t="s">
        <v>5304</v>
      </c>
      <c r="AH640" t="s">
        <v>5302</v>
      </c>
      <c r="AJ640" s="2">
        <v>45330.739687499998</v>
      </c>
      <c r="AK640" t="s">
        <v>149</v>
      </c>
      <c r="AL640" t="s">
        <v>5305</v>
      </c>
      <c r="AM640" s="4">
        <v>0.1875</v>
      </c>
      <c r="AN640" t="s">
        <v>809</v>
      </c>
      <c r="AO640" t="s">
        <v>101</v>
      </c>
    </row>
    <row r="641" spans="1:41" x14ac:dyDescent="0.2">
      <c r="A641">
        <v>370583</v>
      </c>
      <c r="B641" t="s">
        <v>5306</v>
      </c>
      <c r="C641" t="s">
        <v>118</v>
      </c>
      <c r="D641" t="s">
        <v>1410</v>
      </c>
      <c r="E641" t="s">
        <v>5307</v>
      </c>
      <c r="F641">
        <v>20293</v>
      </c>
      <c r="G641" s="1">
        <v>45742</v>
      </c>
      <c r="H641" s="1">
        <v>45692</v>
      </c>
      <c r="I641" s="1">
        <v>46068</v>
      </c>
      <c r="J641" t="s">
        <v>45</v>
      </c>
      <c r="K641" t="s">
        <v>45</v>
      </c>
      <c r="L641" t="s">
        <v>72</v>
      </c>
      <c r="M641" s="1">
        <v>41007</v>
      </c>
      <c r="N641" t="s">
        <v>89</v>
      </c>
      <c r="O641" t="s">
        <v>121</v>
      </c>
      <c r="P641" t="s">
        <v>49</v>
      </c>
      <c r="Q641" t="s">
        <v>5308</v>
      </c>
      <c r="R641" t="s">
        <v>5309</v>
      </c>
      <c r="S641">
        <v>6625</v>
      </c>
      <c r="T641" t="s">
        <v>52</v>
      </c>
      <c r="U641">
        <v>3</v>
      </c>
      <c r="V641" t="s">
        <v>5310</v>
      </c>
      <c r="W641" t="s">
        <v>54</v>
      </c>
      <c r="X641" t="s">
        <v>52</v>
      </c>
      <c r="Y641" t="s">
        <v>125</v>
      </c>
      <c r="Z641">
        <v>2112</v>
      </c>
      <c r="AA641">
        <v>66</v>
      </c>
      <c r="AB641">
        <v>174</v>
      </c>
      <c r="AC641" t="s">
        <v>5311</v>
      </c>
      <c r="AD641" t="s">
        <v>5312</v>
      </c>
      <c r="AE641" t="s">
        <v>5313</v>
      </c>
      <c r="AJ641" s="2">
        <v>45778.781122685185</v>
      </c>
      <c r="AK641" t="s">
        <v>800</v>
      </c>
      <c r="AL641" t="s">
        <v>65</v>
      </c>
      <c r="AM641" s="4">
        <v>0.70833333333333337</v>
      </c>
      <c r="AN641" t="s">
        <v>66</v>
      </c>
      <c r="AO641" t="s">
        <v>67</v>
      </c>
    </row>
    <row r="642" spans="1:41" x14ac:dyDescent="0.2">
      <c r="A642">
        <v>370873</v>
      </c>
      <c r="B642" t="s">
        <v>5314</v>
      </c>
      <c r="C642" t="s">
        <v>118</v>
      </c>
      <c r="D642" t="s">
        <v>1410</v>
      </c>
      <c r="E642">
        <v>33318626</v>
      </c>
      <c r="F642">
        <v>20294</v>
      </c>
      <c r="G642" s="1">
        <v>45754</v>
      </c>
      <c r="H642" s="1">
        <v>45674</v>
      </c>
      <c r="I642" s="1">
        <v>46037</v>
      </c>
      <c r="J642" t="s">
        <v>45</v>
      </c>
      <c r="K642" t="s">
        <v>45</v>
      </c>
      <c r="L642" t="s">
        <v>72</v>
      </c>
      <c r="M642" s="1">
        <v>41007</v>
      </c>
      <c r="N642" t="s">
        <v>47</v>
      </c>
      <c r="O642" t="s">
        <v>121</v>
      </c>
      <c r="P642" t="s">
        <v>49</v>
      </c>
      <c r="Q642" t="s">
        <v>5315</v>
      </c>
      <c r="R642" t="s">
        <v>5316</v>
      </c>
      <c r="S642">
        <v>6743</v>
      </c>
      <c r="T642" t="s">
        <v>52</v>
      </c>
      <c r="U642">
        <v>3</v>
      </c>
      <c r="V642" t="s">
        <v>5310</v>
      </c>
      <c r="W642" t="s">
        <v>54</v>
      </c>
      <c r="X642" t="s">
        <v>52</v>
      </c>
      <c r="Y642" t="s">
        <v>125</v>
      </c>
      <c r="Z642">
        <v>2113</v>
      </c>
      <c r="AA642">
        <v>70</v>
      </c>
      <c r="AB642">
        <v>174</v>
      </c>
      <c r="AC642" t="s">
        <v>5311</v>
      </c>
      <c r="AD642" t="s">
        <v>5312</v>
      </c>
      <c r="AE642" t="s">
        <v>5313</v>
      </c>
      <c r="AJ642" s="2">
        <v>45786.930995370371</v>
      </c>
      <c r="AK642" t="s">
        <v>276</v>
      </c>
      <c r="AL642" t="s">
        <v>65</v>
      </c>
      <c r="AM642" s="4">
        <v>0.71527777777777779</v>
      </c>
      <c r="AN642" t="s">
        <v>66</v>
      </c>
      <c r="AO642" t="s">
        <v>67</v>
      </c>
    </row>
    <row r="643" spans="1:41" x14ac:dyDescent="0.2">
      <c r="A643">
        <v>371402</v>
      </c>
      <c r="B643" t="s">
        <v>5317</v>
      </c>
      <c r="C643" t="s">
        <v>118</v>
      </c>
      <c r="D643" t="s">
        <v>1410</v>
      </c>
      <c r="E643" t="s">
        <v>5318</v>
      </c>
      <c r="F643">
        <v>20295</v>
      </c>
      <c r="G643" s="1">
        <v>45400</v>
      </c>
      <c r="H643" s="1">
        <v>45771</v>
      </c>
      <c r="I643" s="1">
        <v>46157</v>
      </c>
      <c r="J643" t="s">
        <v>45</v>
      </c>
      <c r="K643" t="s">
        <v>45</v>
      </c>
      <c r="L643" t="s">
        <v>72</v>
      </c>
      <c r="M643" s="1">
        <v>41007</v>
      </c>
      <c r="N643" t="s">
        <v>47</v>
      </c>
      <c r="O643" t="s">
        <v>121</v>
      </c>
      <c r="P643" t="s">
        <v>49</v>
      </c>
      <c r="Q643" t="s">
        <v>5319</v>
      </c>
      <c r="R643" t="s">
        <v>5320</v>
      </c>
      <c r="S643">
        <v>7977</v>
      </c>
      <c r="T643" t="s">
        <v>52</v>
      </c>
      <c r="U643">
        <v>3</v>
      </c>
      <c r="V643" t="s">
        <v>5310</v>
      </c>
      <c r="W643" t="s">
        <v>54</v>
      </c>
      <c r="X643" t="s">
        <v>76</v>
      </c>
      <c r="Y643" t="s">
        <v>125</v>
      </c>
      <c r="Z643">
        <v>2463</v>
      </c>
      <c r="AA643">
        <v>68</v>
      </c>
      <c r="AB643">
        <v>174</v>
      </c>
      <c r="AC643" t="s">
        <v>5311</v>
      </c>
      <c r="AD643" t="s">
        <v>5312</v>
      </c>
      <c r="AE643" t="s">
        <v>5313</v>
      </c>
      <c r="AI643" t="s">
        <v>5312</v>
      </c>
      <c r="AJ643" s="2">
        <v>45807.795138888891</v>
      </c>
      <c r="AK643" t="s">
        <v>84</v>
      </c>
      <c r="AL643" t="s">
        <v>65</v>
      </c>
      <c r="AM643" s="4">
        <v>0.53472222222222221</v>
      </c>
      <c r="AN643" t="s">
        <v>66</v>
      </c>
      <c r="AO643" t="s">
        <v>67</v>
      </c>
    </row>
    <row r="644" spans="1:41" x14ac:dyDescent="0.2">
      <c r="A644">
        <v>371459</v>
      </c>
      <c r="B644" t="s">
        <v>5321</v>
      </c>
      <c r="C644" t="s">
        <v>167</v>
      </c>
      <c r="D644" t="s">
        <v>1628</v>
      </c>
      <c r="E644">
        <v>32613048</v>
      </c>
      <c r="F644">
        <v>353422</v>
      </c>
      <c r="G644" s="1">
        <v>32571</v>
      </c>
      <c r="H644" s="1">
        <v>45811</v>
      </c>
      <c r="I644" s="1">
        <v>46143</v>
      </c>
      <c r="J644" t="s">
        <v>45</v>
      </c>
      <c r="K644" t="s">
        <v>45</v>
      </c>
      <c r="L644" t="s">
        <v>72</v>
      </c>
      <c r="M644" s="1">
        <v>44125</v>
      </c>
      <c r="N644" t="s">
        <v>47</v>
      </c>
      <c r="O644" t="s">
        <v>48</v>
      </c>
      <c r="P644" t="s">
        <v>49</v>
      </c>
      <c r="Q644" t="s">
        <v>5322</v>
      </c>
      <c r="R644" t="s">
        <v>5323</v>
      </c>
      <c r="S644">
        <v>5206</v>
      </c>
      <c r="T644" t="s">
        <v>365</v>
      </c>
      <c r="U644" t="s">
        <v>562</v>
      </c>
      <c r="V644" t="s">
        <v>5324</v>
      </c>
      <c r="W644" t="s">
        <v>367</v>
      </c>
      <c r="X644" t="s">
        <v>76</v>
      </c>
      <c r="Y644" t="s">
        <v>434</v>
      </c>
      <c r="Z644">
        <v>307</v>
      </c>
      <c r="AA644">
        <v>57</v>
      </c>
      <c r="AB644">
        <v>166</v>
      </c>
      <c r="AC644" t="s">
        <v>4117</v>
      </c>
      <c r="AD644" t="s">
        <v>4118</v>
      </c>
      <c r="AE644" t="s">
        <v>4119</v>
      </c>
      <c r="AF644" t="s">
        <v>4120</v>
      </c>
      <c r="AG644" t="s">
        <v>4121</v>
      </c>
      <c r="AH644" t="s">
        <v>4122</v>
      </c>
      <c r="AI644" t="s">
        <v>500</v>
      </c>
      <c r="AJ644" s="2">
        <v>45811.843333333331</v>
      </c>
      <c r="AK644" t="s">
        <v>2068</v>
      </c>
      <c r="AL644" t="s">
        <v>65</v>
      </c>
      <c r="AM644" s="3">
        <v>1.8680555555555556</v>
      </c>
      <c r="AN644" t="s">
        <v>66</v>
      </c>
      <c r="AO644" t="s">
        <v>67</v>
      </c>
    </row>
    <row r="645" spans="1:41" x14ac:dyDescent="0.2">
      <c r="A645">
        <v>371014</v>
      </c>
      <c r="B645" t="s">
        <v>5325</v>
      </c>
      <c r="C645" t="s">
        <v>542</v>
      </c>
      <c r="D645" t="s">
        <v>5326</v>
      </c>
      <c r="E645" t="s">
        <v>5327</v>
      </c>
      <c r="F645">
        <v>360351</v>
      </c>
      <c r="G645" s="1">
        <v>39716</v>
      </c>
      <c r="H645" s="1">
        <v>45524</v>
      </c>
      <c r="J645" t="s">
        <v>45</v>
      </c>
      <c r="K645" t="s">
        <v>45</v>
      </c>
      <c r="L645" t="s">
        <v>72</v>
      </c>
      <c r="M645" s="1">
        <v>44565</v>
      </c>
      <c r="N645" t="s">
        <v>47</v>
      </c>
      <c r="O645" t="s">
        <v>48</v>
      </c>
      <c r="P645" t="s">
        <v>49</v>
      </c>
      <c r="Q645" t="s">
        <v>5328</v>
      </c>
      <c r="R645" t="s">
        <v>5329</v>
      </c>
      <c r="S645">
        <v>2328</v>
      </c>
      <c r="T645" t="s">
        <v>92</v>
      </c>
      <c r="U645" t="s">
        <v>1133</v>
      </c>
      <c r="V645" t="s">
        <v>1134</v>
      </c>
      <c r="W645" t="s">
        <v>1135</v>
      </c>
      <c r="X645" t="s">
        <v>92</v>
      </c>
      <c r="Y645" t="s">
        <v>770</v>
      </c>
      <c r="Z645">
        <v>3016</v>
      </c>
      <c r="AA645">
        <v>34</v>
      </c>
      <c r="AB645">
        <v>79</v>
      </c>
      <c r="AC645" t="s">
        <v>1136</v>
      </c>
      <c r="AD645" t="s">
        <v>1137</v>
      </c>
      <c r="AE645" t="s">
        <v>1964</v>
      </c>
      <c r="AI645" t="s">
        <v>1137</v>
      </c>
      <c r="AJ645" s="2">
        <v>45792.770266203705</v>
      </c>
      <c r="AK645" t="s">
        <v>100</v>
      </c>
      <c r="AL645" t="s">
        <v>65</v>
      </c>
      <c r="AM645" s="4">
        <v>0.67361111111111116</v>
      </c>
      <c r="AN645" t="s">
        <v>66</v>
      </c>
      <c r="AO645" t="s">
        <v>101</v>
      </c>
    </row>
    <row r="646" spans="1:41" x14ac:dyDescent="0.2">
      <c r="A646">
        <v>363278</v>
      </c>
      <c r="B646" t="s">
        <v>5330</v>
      </c>
      <c r="C646" t="s">
        <v>182</v>
      </c>
      <c r="D646" t="s">
        <v>932</v>
      </c>
      <c r="E646" t="s">
        <v>5331</v>
      </c>
      <c r="F646">
        <v>41211</v>
      </c>
      <c r="G646" s="1">
        <v>33420</v>
      </c>
      <c r="H646" s="1">
        <v>45078</v>
      </c>
      <c r="J646" t="s">
        <v>45</v>
      </c>
      <c r="K646" t="s">
        <v>45</v>
      </c>
      <c r="L646" t="s">
        <v>72</v>
      </c>
      <c r="N646" t="s">
        <v>47</v>
      </c>
      <c r="O646" t="s">
        <v>48</v>
      </c>
      <c r="P646" t="s">
        <v>49</v>
      </c>
      <c r="Q646" t="s">
        <v>5332</v>
      </c>
      <c r="R646" t="s">
        <v>5333</v>
      </c>
      <c r="S646">
        <v>1733</v>
      </c>
      <c r="T646" t="s">
        <v>92</v>
      </c>
      <c r="U646" t="s">
        <v>187</v>
      </c>
      <c r="V646" t="s">
        <v>447</v>
      </c>
      <c r="W646" t="s">
        <v>448</v>
      </c>
      <c r="X646" t="s">
        <v>92</v>
      </c>
      <c r="Y646" t="s">
        <v>450</v>
      </c>
      <c r="Z646">
        <v>1229</v>
      </c>
      <c r="AA646">
        <v>50</v>
      </c>
      <c r="AB646">
        <v>144</v>
      </c>
      <c r="AC646" t="s">
        <v>451</v>
      </c>
      <c r="AD646" t="s">
        <v>452</v>
      </c>
      <c r="AE646" t="s">
        <v>453</v>
      </c>
      <c r="AF646" t="s">
        <v>454</v>
      </c>
      <c r="AG646" t="s">
        <v>473</v>
      </c>
      <c r="AI646" t="s">
        <v>452</v>
      </c>
      <c r="AJ646" s="2">
        <v>45508.971087962964</v>
      </c>
      <c r="AK646" t="s">
        <v>451</v>
      </c>
      <c r="AL646" t="s">
        <v>65</v>
      </c>
      <c r="AM646" s="3">
        <v>2.1319444444444446</v>
      </c>
      <c r="AN646" t="s">
        <v>66</v>
      </c>
      <c r="AO646" t="s">
        <v>67</v>
      </c>
    </row>
    <row r="647" spans="1:41" x14ac:dyDescent="0.2">
      <c r="A647">
        <v>367851</v>
      </c>
      <c r="B647" t="s">
        <v>5334</v>
      </c>
      <c r="C647" t="s">
        <v>197</v>
      </c>
      <c r="D647" t="s">
        <v>4861</v>
      </c>
      <c r="E647">
        <v>32733222</v>
      </c>
      <c r="F647">
        <v>90402</v>
      </c>
      <c r="G647" s="1">
        <v>37095</v>
      </c>
      <c r="H647" s="1">
        <v>45687</v>
      </c>
      <c r="I647" s="1">
        <v>46023</v>
      </c>
      <c r="J647" t="s">
        <v>45</v>
      </c>
      <c r="K647" t="s">
        <v>45</v>
      </c>
      <c r="L647" t="s">
        <v>46</v>
      </c>
      <c r="M647" s="1">
        <v>45020</v>
      </c>
      <c r="N647" t="s">
        <v>47</v>
      </c>
      <c r="O647" t="s">
        <v>48</v>
      </c>
      <c r="P647" t="s">
        <v>49</v>
      </c>
      <c r="Q647" t="s">
        <v>5335</v>
      </c>
      <c r="R647" t="s">
        <v>5336</v>
      </c>
      <c r="S647">
        <v>1649</v>
      </c>
      <c r="T647" t="s">
        <v>52</v>
      </c>
      <c r="U647">
        <v>8</v>
      </c>
      <c r="V647" t="s">
        <v>993</v>
      </c>
      <c r="W647" t="s">
        <v>54</v>
      </c>
      <c r="X647" t="s">
        <v>76</v>
      </c>
      <c r="Y647" t="s">
        <v>56</v>
      </c>
      <c r="Z647">
        <v>1808</v>
      </c>
      <c r="AA647">
        <v>54</v>
      </c>
      <c r="AB647">
        <v>15</v>
      </c>
      <c r="AC647" t="s">
        <v>994</v>
      </c>
      <c r="AD647" t="s">
        <v>995</v>
      </c>
      <c r="AE647" t="s">
        <v>996</v>
      </c>
      <c r="AF647" t="s">
        <v>994</v>
      </c>
      <c r="AG647" t="s">
        <v>995</v>
      </c>
      <c r="AH647" t="s">
        <v>997</v>
      </c>
      <c r="AI647" t="s">
        <v>998</v>
      </c>
      <c r="AJ647" s="2">
        <v>45692.708506944444</v>
      </c>
      <c r="AK647" t="s">
        <v>556</v>
      </c>
      <c r="AL647" t="s">
        <v>65</v>
      </c>
      <c r="AM647" s="4">
        <v>0.2326388888888889</v>
      </c>
      <c r="AN647" t="s">
        <v>66</v>
      </c>
      <c r="AO647" t="s">
        <v>101</v>
      </c>
    </row>
    <row r="648" spans="1:41" x14ac:dyDescent="0.2">
      <c r="A648">
        <v>366007</v>
      </c>
      <c r="B648" t="s">
        <v>5337</v>
      </c>
      <c r="C648" t="s">
        <v>558</v>
      </c>
      <c r="D648" t="s">
        <v>5338</v>
      </c>
      <c r="E648" t="s">
        <v>5339</v>
      </c>
      <c r="F648">
        <v>260603</v>
      </c>
      <c r="G648" s="1">
        <v>32784</v>
      </c>
      <c r="H648" s="1">
        <v>45595</v>
      </c>
      <c r="I648" s="1">
        <v>45931</v>
      </c>
      <c r="J648" t="s">
        <v>45</v>
      </c>
      <c r="K648" t="s">
        <v>45</v>
      </c>
      <c r="L648" t="s">
        <v>72</v>
      </c>
      <c r="M648" s="1">
        <v>44866</v>
      </c>
      <c r="N648" t="s">
        <v>47</v>
      </c>
      <c r="O648" t="s">
        <v>48</v>
      </c>
      <c r="P648" t="s">
        <v>49</v>
      </c>
      <c r="Q648" t="s">
        <v>5340</v>
      </c>
      <c r="R648" t="s">
        <v>5341</v>
      </c>
      <c r="S648">
        <v>6745</v>
      </c>
      <c r="T648" t="s">
        <v>365</v>
      </c>
      <c r="U648" t="s">
        <v>562</v>
      </c>
      <c r="V648" t="s">
        <v>1881</v>
      </c>
      <c r="W648" t="s">
        <v>367</v>
      </c>
      <c r="X648" t="s">
        <v>76</v>
      </c>
      <c r="Y648" t="s">
        <v>434</v>
      </c>
      <c r="Z648">
        <v>238</v>
      </c>
      <c r="AA648">
        <v>61</v>
      </c>
      <c r="AB648">
        <v>166</v>
      </c>
      <c r="AC648" t="s">
        <v>1882</v>
      </c>
      <c r="AD648" t="s">
        <v>1883</v>
      </c>
      <c r="AE648" t="s">
        <v>1884</v>
      </c>
      <c r="AI648" t="s">
        <v>5342</v>
      </c>
      <c r="AJ648" s="2">
        <v>45600.759456018517</v>
      </c>
      <c r="AK648" t="s">
        <v>180</v>
      </c>
      <c r="AL648" t="s">
        <v>65</v>
      </c>
      <c r="AM648" s="3">
        <v>1.6111111111111112</v>
      </c>
      <c r="AN648" t="s">
        <v>66</v>
      </c>
      <c r="AO648" t="s">
        <v>67</v>
      </c>
    </row>
    <row r="649" spans="1:41" x14ac:dyDescent="0.2">
      <c r="A649">
        <v>372239</v>
      </c>
      <c r="B649" t="s">
        <v>5343</v>
      </c>
      <c r="C649" t="s">
        <v>182</v>
      </c>
      <c r="D649" t="s">
        <v>3956</v>
      </c>
      <c r="E649" t="s">
        <v>5344</v>
      </c>
      <c r="F649">
        <v>40801</v>
      </c>
      <c r="G649" s="1">
        <v>42163</v>
      </c>
      <c r="H649" s="1">
        <v>45831</v>
      </c>
      <c r="I649" s="1">
        <v>45962</v>
      </c>
      <c r="J649" t="s">
        <v>45</v>
      </c>
      <c r="K649" t="s">
        <v>45</v>
      </c>
      <c r="L649" t="s">
        <v>46</v>
      </c>
      <c r="M649" s="1">
        <v>45103</v>
      </c>
      <c r="N649" t="s">
        <v>47</v>
      </c>
      <c r="O649" t="s">
        <v>48</v>
      </c>
      <c r="P649" t="s">
        <v>49</v>
      </c>
      <c r="Q649" t="s">
        <v>5345</v>
      </c>
      <c r="R649" t="s">
        <v>5346</v>
      </c>
      <c r="S649">
        <v>6004</v>
      </c>
      <c r="T649" t="s">
        <v>52</v>
      </c>
      <c r="U649">
        <v>5</v>
      </c>
      <c r="V649" t="s">
        <v>2771</v>
      </c>
      <c r="W649" t="s">
        <v>54</v>
      </c>
      <c r="X649" t="s">
        <v>493</v>
      </c>
      <c r="Y649" t="s">
        <v>434</v>
      </c>
      <c r="Z649">
        <v>7446</v>
      </c>
      <c r="AA649">
        <v>35</v>
      </c>
      <c r="AB649">
        <v>28</v>
      </c>
      <c r="AC649" t="s">
        <v>4951</v>
      </c>
      <c r="AD649" t="s">
        <v>4952</v>
      </c>
      <c r="AE649" t="s">
        <v>4953</v>
      </c>
      <c r="AF649" t="s">
        <v>4954</v>
      </c>
      <c r="AG649" t="s">
        <v>4955</v>
      </c>
      <c r="AH649" t="s">
        <v>4956</v>
      </c>
      <c r="AI649" t="s">
        <v>4957</v>
      </c>
      <c r="AJ649" s="2">
        <v>45834.899571759262</v>
      </c>
      <c r="AK649" t="s">
        <v>501</v>
      </c>
      <c r="AL649" t="s">
        <v>65</v>
      </c>
      <c r="AM649" s="3">
        <v>1.1388888888888888</v>
      </c>
      <c r="AN649" t="s">
        <v>66</v>
      </c>
      <c r="AO649" t="s">
        <v>67</v>
      </c>
    </row>
    <row r="650" spans="1:41" x14ac:dyDescent="0.2">
      <c r="A650">
        <v>371884</v>
      </c>
      <c r="B650" t="s">
        <v>5347</v>
      </c>
      <c r="C650" t="s">
        <v>167</v>
      </c>
      <c r="D650" t="s">
        <v>1474</v>
      </c>
      <c r="E650" t="s">
        <v>5348</v>
      </c>
      <c r="F650">
        <v>352701</v>
      </c>
      <c r="G650" s="1">
        <v>34954</v>
      </c>
      <c r="H650" s="1">
        <v>45791</v>
      </c>
      <c r="I650" s="1">
        <v>46143</v>
      </c>
      <c r="J650" t="s">
        <v>45</v>
      </c>
      <c r="K650" t="s">
        <v>326</v>
      </c>
      <c r="L650" t="s">
        <v>429</v>
      </c>
      <c r="M650" s="1">
        <v>38941</v>
      </c>
      <c r="N650" t="s">
        <v>47</v>
      </c>
      <c r="O650" t="s">
        <v>48</v>
      </c>
      <c r="P650" t="s">
        <v>49</v>
      </c>
      <c r="Q650" t="s">
        <v>5349</v>
      </c>
      <c r="R650" t="s">
        <v>5350</v>
      </c>
      <c r="S650">
        <v>4640</v>
      </c>
      <c r="T650" t="s">
        <v>52</v>
      </c>
      <c r="U650">
        <v>6</v>
      </c>
      <c r="V650" t="s">
        <v>1477</v>
      </c>
      <c r="W650" t="s">
        <v>54</v>
      </c>
      <c r="X650" t="s">
        <v>76</v>
      </c>
      <c r="Y650" t="s">
        <v>56</v>
      </c>
      <c r="Z650">
        <v>795</v>
      </c>
      <c r="AA650">
        <v>77</v>
      </c>
      <c r="AB650">
        <v>34</v>
      </c>
      <c r="AC650" t="s">
        <v>1478</v>
      </c>
      <c r="AD650" t="s">
        <v>1479</v>
      </c>
      <c r="AE650" t="s">
        <v>1480</v>
      </c>
      <c r="AF650" t="s">
        <v>1478</v>
      </c>
      <c r="AG650" t="s">
        <v>1479</v>
      </c>
      <c r="AH650" t="s">
        <v>1480</v>
      </c>
      <c r="AI650" t="s">
        <v>1481</v>
      </c>
      <c r="AJ650" s="2">
        <v>45821.883576388886</v>
      </c>
      <c r="AK650" t="s">
        <v>556</v>
      </c>
      <c r="AL650" t="s">
        <v>65</v>
      </c>
      <c r="AM650" s="4">
        <v>0.3125</v>
      </c>
      <c r="AN650" t="s">
        <v>66</v>
      </c>
      <c r="AO650" t="s">
        <v>67</v>
      </c>
    </row>
    <row r="651" spans="1:41" x14ac:dyDescent="0.2">
      <c r="A651">
        <v>372129</v>
      </c>
      <c r="B651" t="s">
        <v>5347</v>
      </c>
      <c r="C651" t="s">
        <v>182</v>
      </c>
      <c r="D651" t="s">
        <v>1948</v>
      </c>
      <c r="E651" s="5" t="s">
        <v>5351</v>
      </c>
      <c r="F651">
        <v>40314</v>
      </c>
      <c r="G651" s="1">
        <v>38993</v>
      </c>
      <c r="H651" s="1">
        <v>45827</v>
      </c>
      <c r="I651" s="1">
        <v>46204</v>
      </c>
      <c r="J651" t="s">
        <v>45</v>
      </c>
      <c r="K651" t="s">
        <v>45</v>
      </c>
      <c r="L651" t="s">
        <v>46</v>
      </c>
      <c r="M651" s="1">
        <v>44377</v>
      </c>
      <c r="N651" t="s">
        <v>47</v>
      </c>
      <c r="O651" t="s">
        <v>48</v>
      </c>
      <c r="P651" t="s">
        <v>49</v>
      </c>
      <c r="Q651" t="s">
        <v>5352</v>
      </c>
      <c r="R651" t="s">
        <v>5353</v>
      </c>
      <c r="S651">
        <v>6379</v>
      </c>
      <c r="T651" t="s">
        <v>52</v>
      </c>
      <c r="U651">
        <v>5</v>
      </c>
      <c r="V651" t="s">
        <v>1951</v>
      </c>
      <c r="W651" t="s">
        <v>54</v>
      </c>
      <c r="X651" t="s">
        <v>493</v>
      </c>
      <c r="Y651" t="s">
        <v>434</v>
      </c>
      <c r="Z651">
        <v>2687</v>
      </c>
      <c r="AA651">
        <v>45</v>
      </c>
      <c r="AB651">
        <v>158</v>
      </c>
      <c r="AC651" t="s">
        <v>1952</v>
      </c>
      <c r="AD651" t="s">
        <v>1953</v>
      </c>
      <c r="AE651" t="s">
        <v>1954</v>
      </c>
      <c r="AF651" t="s">
        <v>1955</v>
      </c>
      <c r="AG651" t="s">
        <v>1956</v>
      </c>
      <c r="AH651" t="s">
        <v>5354</v>
      </c>
      <c r="AI651" t="s">
        <v>1958</v>
      </c>
      <c r="AJ651" s="2">
        <v>45831.904988425929</v>
      </c>
      <c r="AK651" t="s">
        <v>1740</v>
      </c>
      <c r="AL651" t="s">
        <v>65</v>
      </c>
      <c r="AM651" s="3">
        <v>2.4375</v>
      </c>
      <c r="AN651" t="s">
        <v>66</v>
      </c>
      <c r="AO651" t="s">
        <v>67</v>
      </c>
    </row>
    <row r="652" spans="1:41" x14ac:dyDescent="0.2">
      <c r="A652">
        <v>366648</v>
      </c>
      <c r="B652" t="s">
        <v>5355</v>
      </c>
      <c r="C652" t="s">
        <v>662</v>
      </c>
      <c r="D652" t="s">
        <v>5356</v>
      </c>
      <c r="E652" t="s">
        <v>5357</v>
      </c>
      <c r="F652">
        <v>414201</v>
      </c>
      <c r="G652" s="1">
        <v>38519</v>
      </c>
      <c r="H652" s="1">
        <v>45618</v>
      </c>
      <c r="I652" s="1">
        <v>45962</v>
      </c>
      <c r="J652" t="s">
        <v>45</v>
      </c>
      <c r="K652" t="s">
        <v>45</v>
      </c>
      <c r="L652" t="s">
        <v>72</v>
      </c>
      <c r="M652" s="1">
        <v>42855</v>
      </c>
      <c r="N652" t="s">
        <v>47</v>
      </c>
      <c r="O652" t="s">
        <v>48</v>
      </c>
      <c r="P652" t="s">
        <v>49</v>
      </c>
      <c r="Q652" t="s">
        <v>5358</v>
      </c>
      <c r="R652" t="s">
        <v>5359</v>
      </c>
      <c r="S652">
        <v>145</v>
      </c>
      <c r="T652" t="s">
        <v>52</v>
      </c>
      <c r="U652">
        <v>8</v>
      </c>
      <c r="V652" t="s">
        <v>3914</v>
      </c>
      <c r="W652" t="s">
        <v>54</v>
      </c>
      <c r="X652" t="s">
        <v>55</v>
      </c>
      <c r="Y652" t="s">
        <v>56</v>
      </c>
      <c r="Z652">
        <v>2022</v>
      </c>
      <c r="AA652">
        <v>39</v>
      </c>
      <c r="AB652">
        <v>176</v>
      </c>
      <c r="AC652" t="s">
        <v>5360</v>
      </c>
      <c r="AD652" t="s">
        <v>5361</v>
      </c>
      <c r="AE652" t="s">
        <v>5362</v>
      </c>
      <c r="AF652" t="s">
        <v>5363</v>
      </c>
      <c r="AG652" t="s">
        <v>5364</v>
      </c>
      <c r="AH652" t="s">
        <v>5365</v>
      </c>
      <c r="AJ652" s="2">
        <v>45631.717222222222</v>
      </c>
      <c r="AK652" t="s">
        <v>540</v>
      </c>
      <c r="AL652" t="s">
        <v>65</v>
      </c>
      <c r="AM652" s="4">
        <v>0.11805555555555555</v>
      </c>
      <c r="AN652" t="s">
        <v>66</v>
      </c>
      <c r="AO652" t="s">
        <v>67</v>
      </c>
    </row>
    <row r="653" spans="1:41" x14ac:dyDescent="0.2">
      <c r="A653">
        <v>367552</v>
      </c>
      <c r="B653" t="s">
        <v>5366</v>
      </c>
      <c r="C653" t="s">
        <v>662</v>
      </c>
      <c r="D653" t="s">
        <v>5367</v>
      </c>
      <c r="E653" t="s">
        <v>5368</v>
      </c>
      <c r="F653">
        <v>419502</v>
      </c>
      <c r="G653" s="1">
        <v>37712</v>
      </c>
      <c r="H653" s="1">
        <v>45601</v>
      </c>
      <c r="I653" s="1">
        <v>45931</v>
      </c>
      <c r="J653" t="s">
        <v>45</v>
      </c>
      <c r="K653" t="s">
        <v>45</v>
      </c>
      <c r="L653" t="s">
        <v>72</v>
      </c>
      <c r="M653" s="1">
        <v>43999</v>
      </c>
      <c r="N653" t="s">
        <v>47</v>
      </c>
      <c r="O653" t="s">
        <v>48</v>
      </c>
      <c r="P653" t="s">
        <v>49</v>
      </c>
      <c r="Q653" t="s">
        <v>5369</v>
      </c>
      <c r="R653" t="s">
        <v>5370</v>
      </c>
      <c r="S653">
        <v>1509</v>
      </c>
      <c r="T653" t="s">
        <v>92</v>
      </c>
      <c r="U653" t="s">
        <v>1197</v>
      </c>
      <c r="V653" t="s">
        <v>1198</v>
      </c>
      <c r="W653" t="s">
        <v>1199</v>
      </c>
      <c r="X653" t="s">
        <v>52</v>
      </c>
      <c r="Y653" t="s">
        <v>110</v>
      </c>
      <c r="Z653">
        <v>2380</v>
      </c>
      <c r="AA653">
        <v>38</v>
      </c>
      <c r="AB653">
        <v>158</v>
      </c>
      <c r="AC653" t="s">
        <v>1200</v>
      </c>
      <c r="AD653" t="s">
        <v>1201</v>
      </c>
      <c r="AE653" t="s">
        <v>1202</v>
      </c>
      <c r="AF653" t="s">
        <v>1727</v>
      </c>
      <c r="AG653" t="s">
        <v>1728</v>
      </c>
      <c r="AH653" t="s">
        <v>1729</v>
      </c>
      <c r="AJ653" s="2">
        <v>45680.959363425929</v>
      </c>
      <c r="AK653" t="s">
        <v>1727</v>
      </c>
      <c r="AL653" t="s">
        <v>65</v>
      </c>
      <c r="AM653" s="4">
        <v>0.30555555555555558</v>
      </c>
      <c r="AN653" t="s">
        <v>66</v>
      </c>
      <c r="AO653" t="s">
        <v>67</v>
      </c>
    </row>
    <row r="654" spans="1:41" x14ac:dyDescent="0.2">
      <c r="A654">
        <v>369028</v>
      </c>
      <c r="B654" t="s">
        <v>5371</v>
      </c>
      <c r="C654" t="s">
        <v>167</v>
      </c>
      <c r="D654" t="s">
        <v>5372</v>
      </c>
      <c r="E654">
        <v>32600728</v>
      </c>
      <c r="F654">
        <v>352620</v>
      </c>
      <c r="G654" s="1">
        <v>35362</v>
      </c>
      <c r="H654" s="1">
        <v>45566</v>
      </c>
      <c r="I654" s="1">
        <v>45931</v>
      </c>
      <c r="J654" t="s">
        <v>45</v>
      </c>
      <c r="K654" t="s">
        <v>45</v>
      </c>
      <c r="L654" t="s">
        <v>429</v>
      </c>
      <c r="M654" s="1">
        <v>45126</v>
      </c>
      <c r="N654" t="s">
        <v>47</v>
      </c>
      <c r="O654" t="s">
        <v>48</v>
      </c>
      <c r="P654" t="s">
        <v>49</v>
      </c>
      <c r="Q654" t="s">
        <v>5373</v>
      </c>
      <c r="R654" t="s">
        <v>5374</v>
      </c>
      <c r="S654">
        <v>3231</v>
      </c>
      <c r="T654" t="s">
        <v>52</v>
      </c>
      <c r="U654">
        <v>6</v>
      </c>
      <c r="V654" t="s">
        <v>1477</v>
      </c>
      <c r="W654" t="s">
        <v>54</v>
      </c>
      <c r="X654" t="s">
        <v>76</v>
      </c>
      <c r="Y654" t="s">
        <v>56</v>
      </c>
      <c r="Z654">
        <v>760</v>
      </c>
      <c r="AA654">
        <v>70</v>
      </c>
      <c r="AB654">
        <v>28</v>
      </c>
      <c r="AC654" t="s">
        <v>5375</v>
      </c>
      <c r="AD654" t="s">
        <v>5376</v>
      </c>
      <c r="AE654" t="s">
        <v>5377</v>
      </c>
      <c r="AF654" t="s">
        <v>5378</v>
      </c>
      <c r="AG654" t="s">
        <v>5379</v>
      </c>
      <c r="AH654" t="s">
        <v>5380</v>
      </c>
      <c r="AI654" t="s">
        <v>5381</v>
      </c>
      <c r="AJ654" s="2">
        <v>45722.967847222222</v>
      </c>
      <c r="AK654" t="s">
        <v>1472</v>
      </c>
      <c r="AL654" t="s">
        <v>65</v>
      </c>
      <c r="AM654" s="4">
        <v>0.15972222222222221</v>
      </c>
      <c r="AN654" t="s">
        <v>66</v>
      </c>
      <c r="AO654" t="s">
        <v>67</v>
      </c>
    </row>
    <row r="655" spans="1:41" x14ac:dyDescent="0.2">
      <c r="A655">
        <v>372310</v>
      </c>
      <c r="B655" t="s">
        <v>5382</v>
      </c>
      <c r="C655" t="s">
        <v>182</v>
      </c>
      <c r="D655" t="s">
        <v>1064</v>
      </c>
      <c r="E655" t="s">
        <v>5383</v>
      </c>
      <c r="F655">
        <v>40237</v>
      </c>
      <c r="G655" s="1">
        <v>32300</v>
      </c>
      <c r="H655" s="1">
        <v>45834</v>
      </c>
      <c r="I655" s="1">
        <v>46157</v>
      </c>
      <c r="J655" t="s">
        <v>45</v>
      </c>
      <c r="K655" t="s">
        <v>45</v>
      </c>
      <c r="L655" t="s">
        <v>429</v>
      </c>
      <c r="N655" t="s">
        <v>47</v>
      </c>
      <c r="O655" t="s">
        <v>48</v>
      </c>
      <c r="P655" t="s">
        <v>49</v>
      </c>
      <c r="Q655" t="s">
        <v>5384</v>
      </c>
      <c r="R655" t="s">
        <v>5385</v>
      </c>
      <c r="S655">
        <v>5476</v>
      </c>
      <c r="T655" t="s">
        <v>52</v>
      </c>
      <c r="U655">
        <v>5</v>
      </c>
      <c r="V655" t="s">
        <v>2947</v>
      </c>
      <c r="W655" t="s">
        <v>54</v>
      </c>
      <c r="X655" t="s">
        <v>493</v>
      </c>
      <c r="Y655" t="s">
        <v>434</v>
      </c>
      <c r="Z655">
        <v>694</v>
      </c>
      <c r="AA655">
        <v>49</v>
      </c>
      <c r="AB655">
        <v>28</v>
      </c>
      <c r="AC655" t="s">
        <v>2948</v>
      </c>
      <c r="AD655" t="s">
        <v>2949</v>
      </c>
      <c r="AE655" t="s">
        <v>2950</v>
      </c>
      <c r="AF655" t="s">
        <v>5386</v>
      </c>
      <c r="AG655" t="s">
        <v>5387</v>
      </c>
      <c r="AH655" t="s">
        <v>5388</v>
      </c>
      <c r="AI655" t="s">
        <v>500</v>
      </c>
      <c r="AJ655" s="2">
        <v>45837.942256944443</v>
      </c>
      <c r="AK655" t="s">
        <v>180</v>
      </c>
      <c r="AL655" t="s">
        <v>65</v>
      </c>
      <c r="AM655" s="3">
        <v>1.3125</v>
      </c>
      <c r="AN655" t="s">
        <v>66</v>
      </c>
      <c r="AO655" t="s">
        <v>67</v>
      </c>
    </row>
    <row r="656" spans="1:41" x14ac:dyDescent="0.2">
      <c r="A656">
        <v>370949</v>
      </c>
      <c r="B656" t="s">
        <v>5389</v>
      </c>
      <c r="C656" t="s">
        <v>278</v>
      </c>
      <c r="D656" t="s">
        <v>279</v>
      </c>
      <c r="E656" t="s">
        <v>5390</v>
      </c>
      <c r="G656" s="1">
        <v>45567</v>
      </c>
      <c r="H656" s="1">
        <v>45783</v>
      </c>
      <c r="I656" s="1">
        <v>46174</v>
      </c>
      <c r="J656" t="s">
        <v>45</v>
      </c>
      <c r="K656" t="s">
        <v>45</v>
      </c>
      <c r="L656" t="s">
        <v>72</v>
      </c>
      <c r="M656" s="1">
        <v>41780</v>
      </c>
      <c r="N656" t="s">
        <v>89</v>
      </c>
      <c r="O656" t="s">
        <v>121</v>
      </c>
      <c r="P656" t="s">
        <v>49</v>
      </c>
      <c r="Q656" t="s">
        <v>5391</v>
      </c>
      <c r="R656" t="s">
        <v>5392</v>
      </c>
      <c r="S656">
        <v>7074</v>
      </c>
      <c r="T656" t="s">
        <v>365</v>
      </c>
      <c r="U656" t="s">
        <v>432</v>
      </c>
      <c r="V656" t="s">
        <v>5393</v>
      </c>
      <c r="W656" t="s">
        <v>367</v>
      </c>
      <c r="X656" t="s">
        <v>76</v>
      </c>
      <c r="Y656" t="s">
        <v>125</v>
      </c>
      <c r="Z656">
        <v>2970</v>
      </c>
      <c r="AA656">
        <v>84</v>
      </c>
      <c r="AB656">
        <v>66</v>
      </c>
      <c r="AC656" t="s">
        <v>5394</v>
      </c>
      <c r="AD656" t="s">
        <v>5395</v>
      </c>
      <c r="AE656" t="s">
        <v>5396</v>
      </c>
      <c r="AF656" t="s">
        <v>5397</v>
      </c>
      <c r="AG656" t="s">
        <v>1501</v>
      </c>
      <c r="AH656" t="s">
        <v>5398</v>
      </c>
      <c r="AJ656" s="2">
        <v>45791.499976851854</v>
      </c>
      <c r="AK656" t="s">
        <v>800</v>
      </c>
      <c r="AL656" t="s">
        <v>65</v>
      </c>
      <c r="AM656" s="3">
        <v>2.3958333333333335</v>
      </c>
      <c r="AN656" t="s">
        <v>66</v>
      </c>
      <c r="AO656" t="s">
        <v>67</v>
      </c>
    </row>
    <row r="657" spans="1:41" x14ac:dyDescent="0.2">
      <c r="A657">
        <v>371915</v>
      </c>
      <c r="B657" t="s">
        <v>5399</v>
      </c>
      <c r="C657" t="s">
        <v>662</v>
      </c>
      <c r="D657" t="s">
        <v>5400</v>
      </c>
      <c r="E657">
        <v>88406290</v>
      </c>
      <c r="F657">
        <v>419501</v>
      </c>
      <c r="G657" s="1">
        <v>37600</v>
      </c>
      <c r="H657" s="1">
        <v>45750</v>
      </c>
      <c r="I657" s="1">
        <v>46127</v>
      </c>
      <c r="J657" t="s">
        <v>45</v>
      </c>
      <c r="K657" t="s">
        <v>45</v>
      </c>
      <c r="L657" t="s">
        <v>72</v>
      </c>
      <c r="M657" s="1">
        <v>43410</v>
      </c>
      <c r="N657" t="s">
        <v>47</v>
      </c>
      <c r="O657" t="s">
        <v>48</v>
      </c>
      <c r="P657" t="s">
        <v>49</v>
      </c>
      <c r="Q657" t="s">
        <v>5401</v>
      </c>
      <c r="R657" t="s">
        <v>5402</v>
      </c>
      <c r="S657">
        <v>1259</v>
      </c>
      <c r="T657" t="s">
        <v>92</v>
      </c>
      <c r="U657" t="s">
        <v>1197</v>
      </c>
      <c r="V657" t="s">
        <v>1198</v>
      </c>
      <c r="W657" t="s">
        <v>1199</v>
      </c>
      <c r="X657" t="s">
        <v>52</v>
      </c>
      <c r="Y657" t="s">
        <v>110</v>
      </c>
      <c r="Z657">
        <v>2090</v>
      </c>
      <c r="AA657">
        <v>36</v>
      </c>
      <c r="AB657">
        <v>158</v>
      </c>
      <c r="AC657" t="s">
        <v>1200</v>
      </c>
      <c r="AD657" t="s">
        <v>1201</v>
      </c>
      <c r="AE657" t="s">
        <v>1202</v>
      </c>
      <c r="AF657" t="s">
        <v>1786</v>
      </c>
      <c r="AG657" t="s">
        <v>1787</v>
      </c>
      <c r="AH657" t="s">
        <v>1788</v>
      </c>
      <c r="AJ657" s="2">
        <v>45824.820821759262</v>
      </c>
      <c r="AK657" t="s">
        <v>1200</v>
      </c>
      <c r="AL657" t="s">
        <v>65</v>
      </c>
      <c r="AM657" s="4">
        <v>0.2986111111111111</v>
      </c>
      <c r="AN657" t="s">
        <v>66</v>
      </c>
      <c r="AO657" t="s">
        <v>67</v>
      </c>
    </row>
    <row r="658" spans="1:41" x14ac:dyDescent="0.2">
      <c r="A658">
        <v>368214</v>
      </c>
      <c r="B658" t="s">
        <v>5403</v>
      </c>
      <c r="C658" t="s">
        <v>345</v>
      </c>
      <c r="D658" t="s">
        <v>2219</v>
      </c>
      <c r="E658" t="s">
        <v>5404</v>
      </c>
      <c r="G658" s="1">
        <v>37580</v>
      </c>
      <c r="H658" s="1">
        <v>45590</v>
      </c>
      <c r="I658" s="1">
        <v>45915</v>
      </c>
      <c r="J658" t="s">
        <v>45</v>
      </c>
      <c r="K658" t="s">
        <v>45</v>
      </c>
      <c r="L658" t="s">
        <v>72</v>
      </c>
      <c r="N658" t="s">
        <v>47</v>
      </c>
      <c r="O658" t="s">
        <v>48</v>
      </c>
      <c r="P658" t="s">
        <v>49</v>
      </c>
      <c r="Q658" t="s">
        <v>5405</v>
      </c>
      <c r="R658" t="s">
        <v>5406</v>
      </c>
      <c r="S658">
        <v>6190</v>
      </c>
      <c r="T658" t="s">
        <v>92</v>
      </c>
      <c r="U658" t="s">
        <v>350</v>
      </c>
      <c r="V658" t="s">
        <v>2223</v>
      </c>
      <c r="W658" t="s">
        <v>2224</v>
      </c>
      <c r="X658" t="s">
        <v>52</v>
      </c>
      <c r="Y658" t="s">
        <v>110</v>
      </c>
      <c r="Z658">
        <v>2334</v>
      </c>
      <c r="AA658">
        <v>37</v>
      </c>
      <c r="AB658">
        <v>158</v>
      </c>
      <c r="AC658" t="s">
        <v>2225</v>
      </c>
      <c r="AD658" t="s">
        <v>2226</v>
      </c>
      <c r="AE658" t="s">
        <v>2227</v>
      </c>
      <c r="AF658" t="s">
        <v>2225</v>
      </c>
      <c r="AG658" t="s">
        <v>2226</v>
      </c>
      <c r="AH658" t="s">
        <v>2228</v>
      </c>
      <c r="AI658" t="s">
        <v>2226</v>
      </c>
      <c r="AJ658" s="2">
        <v>45706.712685185186</v>
      </c>
      <c r="AK658" t="s">
        <v>2229</v>
      </c>
      <c r="AL658" t="s">
        <v>65</v>
      </c>
      <c r="AM658" s="3">
        <v>2.3819444444444446</v>
      </c>
      <c r="AN658" t="s">
        <v>66</v>
      </c>
      <c r="AO658" t="s">
        <v>67</v>
      </c>
    </row>
    <row r="659" spans="1:41" x14ac:dyDescent="0.2">
      <c r="A659">
        <v>369592</v>
      </c>
      <c r="B659" t="s">
        <v>5407</v>
      </c>
      <c r="C659" t="s">
        <v>134</v>
      </c>
      <c r="D659" t="s">
        <v>3018</v>
      </c>
      <c r="E659" t="s">
        <v>5408</v>
      </c>
      <c r="G659" s="1">
        <v>45740</v>
      </c>
      <c r="H659" s="1">
        <v>45717</v>
      </c>
      <c r="I659" s="1">
        <v>46082</v>
      </c>
      <c r="J659" t="s">
        <v>45</v>
      </c>
      <c r="K659" t="s">
        <v>45</v>
      </c>
      <c r="L659" t="s">
        <v>72</v>
      </c>
      <c r="N659" t="s">
        <v>89</v>
      </c>
      <c r="O659" t="s">
        <v>121</v>
      </c>
      <c r="P659" t="s">
        <v>49</v>
      </c>
      <c r="Q659" t="s">
        <v>5409</v>
      </c>
      <c r="R659" t="s">
        <v>5410</v>
      </c>
      <c r="S659">
        <v>1181</v>
      </c>
      <c r="T659" t="s">
        <v>52</v>
      </c>
      <c r="U659">
        <v>6</v>
      </c>
      <c r="V659" t="s">
        <v>4158</v>
      </c>
      <c r="W659" t="s">
        <v>54</v>
      </c>
      <c r="X659" t="s">
        <v>76</v>
      </c>
      <c r="Y659" t="s">
        <v>125</v>
      </c>
      <c r="Z659">
        <v>12307</v>
      </c>
      <c r="AA659">
        <v>3</v>
      </c>
      <c r="AB659">
        <v>44</v>
      </c>
      <c r="AC659" t="s">
        <v>5411</v>
      </c>
      <c r="AD659" t="s">
        <v>5412</v>
      </c>
      <c r="AE659" t="s">
        <v>5413</v>
      </c>
      <c r="AJ659" s="2">
        <v>45747.468969907408</v>
      </c>
      <c r="AK659" t="s">
        <v>132</v>
      </c>
      <c r="AL659" t="s">
        <v>65</v>
      </c>
      <c r="AM659" s="3">
        <v>2.0381944444444446</v>
      </c>
      <c r="AN659" t="s">
        <v>66</v>
      </c>
      <c r="AO659" t="s">
        <v>67</v>
      </c>
    </row>
    <row r="660" spans="1:41" x14ac:dyDescent="0.2">
      <c r="A660">
        <v>364084</v>
      </c>
      <c r="B660" t="s">
        <v>5414</v>
      </c>
      <c r="C660" t="s">
        <v>167</v>
      </c>
      <c r="D660" t="s">
        <v>5415</v>
      </c>
      <c r="E660" t="s">
        <v>5416</v>
      </c>
      <c r="F660">
        <v>350309</v>
      </c>
      <c r="G660" s="1">
        <v>45069</v>
      </c>
      <c r="H660" s="1">
        <v>45069</v>
      </c>
      <c r="J660" t="s">
        <v>45</v>
      </c>
      <c r="K660" t="s">
        <v>45</v>
      </c>
      <c r="L660" t="s">
        <v>46</v>
      </c>
      <c r="N660" t="s">
        <v>47</v>
      </c>
      <c r="O660" t="s">
        <v>48</v>
      </c>
      <c r="P660" t="s">
        <v>49</v>
      </c>
      <c r="Q660" t="s">
        <v>5417</v>
      </c>
      <c r="R660" t="s">
        <v>5418</v>
      </c>
      <c r="S660">
        <v>254</v>
      </c>
      <c r="T660" t="s">
        <v>92</v>
      </c>
      <c r="U660" t="s">
        <v>3030</v>
      </c>
      <c r="V660" t="s">
        <v>3031</v>
      </c>
      <c r="W660" t="s">
        <v>3032</v>
      </c>
      <c r="X660" t="s">
        <v>92</v>
      </c>
      <c r="Y660" t="s">
        <v>96</v>
      </c>
      <c r="Z660">
        <v>12160</v>
      </c>
      <c r="AA660">
        <v>18</v>
      </c>
      <c r="AB660">
        <v>44</v>
      </c>
      <c r="AC660" t="s">
        <v>5419</v>
      </c>
      <c r="AD660" t="s">
        <v>5420</v>
      </c>
      <c r="AE660" t="s">
        <v>5421</v>
      </c>
      <c r="AI660" t="s">
        <v>5422</v>
      </c>
      <c r="AJ660" s="2">
        <v>45532.640717592592</v>
      </c>
      <c r="AK660" t="s">
        <v>5419</v>
      </c>
      <c r="AL660" t="s">
        <v>65</v>
      </c>
      <c r="AM660" s="4">
        <v>0.97569444444444442</v>
      </c>
      <c r="AN660" t="s">
        <v>66</v>
      </c>
      <c r="AO660" t="s">
        <v>67</v>
      </c>
    </row>
    <row r="661" spans="1:41" x14ac:dyDescent="0.2">
      <c r="A661">
        <v>357404</v>
      </c>
      <c r="B661" t="s">
        <v>5423</v>
      </c>
      <c r="C661" t="s">
        <v>182</v>
      </c>
      <c r="D661" t="s">
        <v>3983</v>
      </c>
      <c r="E661" t="s">
        <v>5424</v>
      </c>
      <c r="J661" t="s">
        <v>45</v>
      </c>
      <c r="K661" t="s">
        <v>45</v>
      </c>
      <c r="L661" t="s">
        <v>72</v>
      </c>
      <c r="N661" t="s">
        <v>89</v>
      </c>
      <c r="O661" t="s">
        <v>48</v>
      </c>
      <c r="P661" t="s">
        <v>49</v>
      </c>
      <c r="Q661" t="s">
        <v>5425</v>
      </c>
      <c r="R661" t="s">
        <v>5426</v>
      </c>
      <c r="S661">
        <v>2330</v>
      </c>
      <c r="T661" t="s">
        <v>92</v>
      </c>
      <c r="U661" t="s">
        <v>187</v>
      </c>
      <c r="V661" t="s">
        <v>5423</v>
      </c>
      <c r="W661" t="s">
        <v>5427</v>
      </c>
      <c r="X661" t="s">
        <v>92</v>
      </c>
      <c r="Y661" t="s">
        <v>96</v>
      </c>
      <c r="Z661">
        <v>12066</v>
      </c>
      <c r="AA661">
        <v>2</v>
      </c>
      <c r="AB661">
        <v>210</v>
      </c>
      <c r="AC661" t="s">
        <v>5428</v>
      </c>
      <c r="AD661" t="s">
        <v>5429</v>
      </c>
      <c r="AE661" t="s">
        <v>5430</v>
      </c>
      <c r="AJ661" s="2">
        <v>45330.681712962964</v>
      </c>
      <c r="AK661" t="s">
        <v>149</v>
      </c>
      <c r="AL661" t="s">
        <v>65</v>
      </c>
      <c r="AM661" s="4">
        <v>0.53472222222222221</v>
      </c>
      <c r="AN661" t="s">
        <v>66</v>
      </c>
      <c r="AO661" t="s">
        <v>67</v>
      </c>
    </row>
    <row r="662" spans="1:41" x14ac:dyDescent="0.2">
      <c r="A662">
        <v>365526</v>
      </c>
      <c r="B662" t="s">
        <v>5431</v>
      </c>
      <c r="C662" t="s">
        <v>118</v>
      </c>
      <c r="D662" t="s">
        <v>2645</v>
      </c>
      <c r="E662" t="s">
        <v>5432</v>
      </c>
      <c r="F662">
        <v>21005</v>
      </c>
      <c r="G662" s="1">
        <v>33527</v>
      </c>
      <c r="H662" s="1">
        <v>45580</v>
      </c>
      <c r="I662" s="1">
        <v>45945</v>
      </c>
      <c r="J662" t="s">
        <v>45</v>
      </c>
      <c r="K662" t="s">
        <v>45</v>
      </c>
      <c r="L662" t="s">
        <v>429</v>
      </c>
      <c r="M662" s="1">
        <v>44797</v>
      </c>
      <c r="N662" t="s">
        <v>47</v>
      </c>
      <c r="O662" t="s">
        <v>48</v>
      </c>
      <c r="P662" t="s">
        <v>49</v>
      </c>
      <c r="Q662" t="s">
        <v>5433</v>
      </c>
      <c r="R662" t="s">
        <v>5434</v>
      </c>
      <c r="S662">
        <v>9521</v>
      </c>
      <c r="T662" t="s">
        <v>52</v>
      </c>
      <c r="U662">
        <v>3</v>
      </c>
      <c r="V662" t="s">
        <v>4297</v>
      </c>
      <c r="W662" t="s">
        <v>54</v>
      </c>
      <c r="X662" t="s">
        <v>55</v>
      </c>
      <c r="Y662" t="s">
        <v>56</v>
      </c>
      <c r="Z662">
        <v>616</v>
      </c>
      <c r="AA662">
        <v>60</v>
      </c>
      <c r="AB662">
        <v>160</v>
      </c>
      <c r="AC662" t="s">
        <v>4438</v>
      </c>
      <c r="AD662" t="s">
        <v>4299</v>
      </c>
      <c r="AE662" t="s">
        <v>4300</v>
      </c>
      <c r="AF662" t="s">
        <v>4301</v>
      </c>
      <c r="AG662" t="s">
        <v>4302</v>
      </c>
      <c r="AH662" t="s">
        <v>4303</v>
      </c>
      <c r="AI662" t="s">
        <v>1809</v>
      </c>
      <c r="AJ662" s="2">
        <v>45586.751585648148</v>
      </c>
      <c r="AK662" t="s">
        <v>64</v>
      </c>
      <c r="AL662" t="s">
        <v>65</v>
      </c>
      <c r="AM662" s="4">
        <v>8.3333333333333329E-2</v>
      </c>
      <c r="AN662" t="s">
        <v>66</v>
      </c>
      <c r="AO662" t="s">
        <v>67</v>
      </c>
    </row>
    <row r="663" spans="1:41" x14ac:dyDescent="0.2">
      <c r="A663">
        <v>369370</v>
      </c>
      <c r="B663" t="s">
        <v>5435</v>
      </c>
      <c r="C663" t="s">
        <v>662</v>
      </c>
      <c r="D663" t="s">
        <v>5436</v>
      </c>
      <c r="E663">
        <v>88428496</v>
      </c>
      <c r="F663">
        <v>419403</v>
      </c>
      <c r="G663" s="1">
        <v>39168</v>
      </c>
      <c r="H663" s="1">
        <v>45552</v>
      </c>
      <c r="I663" s="1">
        <v>45931</v>
      </c>
      <c r="J663" t="s">
        <v>45</v>
      </c>
      <c r="K663" t="s">
        <v>45</v>
      </c>
      <c r="L663" t="s">
        <v>72</v>
      </c>
      <c r="M663" s="1">
        <v>45673</v>
      </c>
      <c r="N663" t="s">
        <v>47</v>
      </c>
      <c r="O663" t="s">
        <v>48</v>
      </c>
      <c r="P663" t="s">
        <v>49</v>
      </c>
      <c r="Q663" t="s">
        <v>5437</v>
      </c>
      <c r="R663" t="s">
        <v>5438</v>
      </c>
      <c r="S663">
        <v>1312</v>
      </c>
      <c r="T663" t="s">
        <v>92</v>
      </c>
      <c r="U663" t="s">
        <v>1197</v>
      </c>
      <c r="V663" t="s">
        <v>1198</v>
      </c>
      <c r="W663" t="s">
        <v>1199</v>
      </c>
      <c r="X663" t="s">
        <v>92</v>
      </c>
      <c r="Y663" t="s">
        <v>110</v>
      </c>
      <c r="Z663">
        <v>2883</v>
      </c>
      <c r="AA663">
        <v>33</v>
      </c>
      <c r="AB663">
        <v>166</v>
      </c>
      <c r="AC663" t="s">
        <v>1200</v>
      </c>
      <c r="AD663" t="s">
        <v>1201</v>
      </c>
      <c r="AE663" t="s">
        <v>1202</v>
      </c>
      <c r="AF663" t="s">
        <v>4740</v>
      </c>
      <c r="AG663" t="s">
        <v>4741</v>
      </c>
      <c r="AH663" t="s">
        <v>4742</v>
      </c>
      <c r="AJ663" s="2">
        <v>45736.698761574073</v>
      </c>
      <c r="AK663" t="s">
        <v>276</v>
      </c>
      <c r="AL663" t="s">
        <v>65</v>
      </c>
      <c r="AM663" s="4">
        <v>0.4375</v>
      </c>
      <c r="AN663" t="s">
        <v>66</v>
      </c>
      <c r="AO663" t="s">
        <v>67</v>
      </c>
    </row>
    <row r="664" spans="1:41" x14ac:dyDescent="0.2">
      <c r="A664">
        <v>368543</v>
      </c>
      <c r="B664" t="s">
        <v>5439</v>
      </c>
      <c r="C664" t="s">
        <v>151</v>
      </c>
      <c r="D664" t="s">
        <v>5440</v>
      </c>
      <c r="E664" t="s">
        <v>5441</v>
      </c>
      <c r="G664" s="1">
        <v>45376</v>
      </c>
      <c r="H664" s="1">
        <v>45708</v>
      </c>
      <c r="J664" t="s">
        <v>45</v>
      </c>
      <c r="K664" t="s">
        <v>45</v>
      </c>
      <c r="L664" t="s">
        <v>72</v>
      </c>
      <c r="N664" t="s">
        <v>47</v>
      </c>
      <c r="O664" t="s">
        <v>48</v>
      </c>
      <c r="P664" t="s">
        <v>49</v>
      </c>
      <c r="Q664" t="s">
        <v>5442</v>
      </c>
      <c r="R664" t="s">
        <v>5443</v>
      </c>
      <c r="S664">
        <v>20</v>
      </c>
      <c r="T664" t="s">
        <v>156</v>
      </c>
      <c r="U664" t="s">
        <v>157</v>
      </c>
      <c r="V664" t="s">
        <v>158</v>
      </c>
      <c r="W664" t="s">
        <v>159</v>
      </c>
      <c r="X664" t="s">
        <v>156</v>
      </c>
      <c r="Y664" t="s">
        <v>450</v>
      </c>
      <c r="Z664">
        <v>12134</v>
      </c>
      <c r="AA664">
        <v>14</v>
      </c>
      <c r="AB664">
        <v>39</v>
      </c>
      <c r="AC664" t="s">
        <v>160</v>
      </c>
      <c r="AD664" t="s">
        <v>5444</v>
      </c>
      <c r="AE664" t="s">
        <v>162</v>
      </c>
      <c r="AJ664" s="2">
        <v>45714.787986111114</v>
      </c>
      <c r="AK664" t="s">
        <v>526</v>
      </c>
      <c r="AL664" t="s">
        <v>65</v>
      </c>
      <c r="AM664" s="3">
        <v>2.0590277777777777</v>
      </c>
      <c r="AN664" t="s">
        <v>66</v>
      </c>
      <c r="AO664" t="s">
        <v>101</v>
      </c>
    </row>
    <row r="665" spans="1:41" x14ac:dyDescent="0.2">
      <c r="A665">
        <v>366008</v>
      </c>
      <c r="B665" t="s">
        <v>5445</v>
      </c>
      <c r="C665" t="s">
        <v>558</v>
      </c>
      <c r="D665" t="s">
        <v>5338</v>
      </c>
      <c r="E665" t="s">
        <v>5446</v>
      </c>
      <c r="F665">
        <v>260601</v>
      </c>
      <c r="G665" s="1">
        <v>31671</v>
      </c>
      <c r="H665" s="1">
        <v>45595</v>
      </c>
      <c r="I665" s="1">
        <v>45931</v>
      </c>
      <c r="J665" t="s">
        <v>45</v>
      </c>
      <c r="K665" t="s">
        <v>45</v>
      </c>
      <c r="L665" t="s">
        <v>72</v>
      </c>
      <c r="M665" s="1">
        <v>41806</v>
      </c>
      <c r="N665" t="s">
        <v>47</v>
      </c>
      <c r="O665" t="s">
        <v>48</v>
      </c>
      <c r="P665" t="s">
        <v>49</v>
      </c>
      <c r="Q665" t="s">
        <v>5447</v>
      </c>
      <c r="R665" t="s">
        <v>5448</v>
      </c>
      <c r="S665">
        <v>6590</v>
      </c>
      <c r="T665" t="s">
        <v>365</v>
      </c>
      <c r="U665" t="s">
        <v>562</v>
      </c>
      <c r="V665" t="s">
        <v>1881</v>
      </c>
      <c r="W665" t="s">
        <v>367</v>
      </c>
      <c r="X665" t="s">
        <v>76</v>
      </c>
      <c r="Y665" t="s">
        <v>434</v>
      </c>
      <c r="Z665">
        <v>244</v>
      </c>
      <c r="AA665">
        <v>56</v>
      </c>
      <c r="AB665">
        <v>166</v>
      </c>
      <c r="AC665" t="s">
        <v>1882</v>
      </c>
      <c r="AD665" t="s">
        <v>1883</v>
      </c>
      <c r="AE665" t="s">
        <v>1884</v>
      </c>
      <c r="AI665" t="s">
        <v>5342</v>
      </c>
      <c r="AJ665" s="2">
        <v>45600.760266203702</v>
      </c>
      <c r="AK665" t="s">
        <v>180</v>
      </c>
      <c r="AL665" t="s">
        <v>65</v>
      </c>
      <c r="AM665" s="3">
        <v>1.625</v>
      </c>
      <c r="AN665" t="s">
        <v>66</v>
      </c>
      <c r="AO665" t="s">
        <v>67</v>
      </c>
    </row>
    <row r="666" spans="1:41" x14ac:dyDescent="0.2">
      <c r="A666">
        <v>364569</v>
      </c>
      <c r="B666" t="s">
        <v>5449</v>
      </c>
      <c r="C666" t="s">
        <v>979</v>
      </c>
      <c r="E666" t="s">
        <v>5450</v>
      </c>
      <c r="F666">
        <v>31102</v>
      </c>
      <c r="G666" s="1">
        <v>37882</v>
      </c>
      <c r="H666" s="1">
        <v>45551</v>
      </c>
      <c r="I666" s="1">
        <v>45915</v>
      </c>
      <c r="J666" t="s">
        <v>45</v>
      </c>
      <c r="K666" t="s">
        <v>45</v>
      </c>
      <c r="L666" t="s">
        <v>72</v>
      </c>
      <c r="M666" s="1">
        <v>42099</v>
      </c>
      <c r="N666" t="s">
        <v>47</v>
      </c>
      <c r="O666" t="s">
        <v>48</v>
      </c>
      <c r="P666" t="s">
        <v>49</v>
      </c>
      <c r="Q666" t="s">
        <v>5451</v>
      </c>
      <c r="R666" t="s">
        <v>5452</v>
      </c>
      <c r="S666">
        <v>2365</v>
      </c>
      <c r="T666" t="s">
        <v>257</v>
      </c>
      <c r="U666" t="s">
        <v>258</v>
      </c>
      <c r="V666" t="s">
        <v>5453</v>
      </c>
      <c r="W666" t="s">
        <v>260</v>
      </c>
      <c r="X666" t="s">
        <v>257</v>
      </c>
      <c r="Y666" t="s">
        <v>110</v>
      </c>
      <c r="Z666">
        <v>1351</v>
      </c>
      <c r="AA666">
        <v>41</v>
      </c>
      <c r="AB666">
        <v>160</v>
      </c>
      <c r="AC666" t="s">
        <v>5454</v>
      </c>
      <c r="AD666" t="s">
        <v>5455</v>
      </c>
      <c r="AE666" t="s">
        <v>5456</v>
      </c>
      <c r="AF666" t="s">
        <v>264</v>
      </c>
      <c r="AG666" t="s">
        <v>265</v>
      </c>
      <c r="AH666" t="s">
        <v>266</v>
      </c>
      <c r="AI666" t="s">
        <v>5457</v>
      </c>
      <c r="AJ666" s="2">
        <v>45552.659479166665</v>
      </c>
      <c r="AK666" t="s">
        <v>5458</v>
      </c>
      <c r="AL666" t="s">
        <v>65</v>
      </c>
      <c r="AM666" s="4">
        <v>0.96527777777777779</v>
      </c>
      <c r="AN666" t="s">
        <v>66</v>
      </c>
      <c r="AO666" t="s">
        <v>67</v>
      </c>
    </row>
    <row r="667" spans="1:41" x14ac:dyDescent="0.2">
      <c r="A667">
        <v>360675</v>
      </c>
      <c r="B667" t="s">
        <v>5459</v>
      </c>
      <c r="C667" t="s">
        <v>197</v>
      </c>
      <c r="D667" t="s">
        <v>4861</v>
      </c>
      <c r="E667" t="s">
        <v>5460</v>
      </c>
      <c r="G667" s="1">
        <v>45426</v>
      </c>
      <c r="H667" s="1">
        <v>45429</v>
      </c>
      <c r="I667" s="1">
        <v>46174</v>
      </c>
      <c r="J667" t="s">
        <v>45</v>
      </c>
      <c r="K667" t="s">
        <v>45</v>
      </c>
      <c r="L667" t="s">
        <v>72</v>
      </c>
      <c r="N667" t="s">
        <v>89</v>
      </c>
      <c r="O667" t="s">
        <v>121</v>
      </c>
      <c r="P667" t="s">
        <v>49</v>
      </c>
      <c r="Q667" t="s">
        <v>5461</v>
      </c>
      <c r="R667" t="s">
        <v>5462</v>
      </c>
      <c r="S667">
        <v>1500</v>
      </c>
      <c r="T667" t="s">
        <v>52</v>
      </c>
      <c r="U667">
        <v>8</v>
      </c>
      <c r="V667" t="s">
        <v>993</v>
      </c>
      <c r="W667" t="s">
        <v>54</v>
      </c>
      <c r="X667" t="s">
        <v>52</v>
      </c>
      <c r="Y667" t="s">
        <v>125</v>
      </c>
      <c r="Z667">
        <v>8727</v>
      </c>
      <c r="AA667">
        <v>30</v>
      </c>
      <c r="AB667">
        <v>189</v>
      </c>
      <c r="AC667" t="s">
        <v>994</v>
      </c>
      <c r="AD667" t="s">
        <v>995</v>
      </c>
      <c r="AE667" t="s">
        <v>996</v>
      </c>
      <c r="AF667" t="s">
        <v>5463</v>
      </c>
      <c r="AG667" t="s">
        <v>995</v>
      </c>
      <c r="AH667" t="s">
        <v>996</v>
      </c>
      <c r="AJ667" s="2">
        <v>45429.471782407411</v>
      </c>
      <c r="AK667" t="s">
        <v>132</v>
      </c>
      <c r="AL667" t="s">
        <v>65</v>
      </c>
      <c r="AM667" s="3">
        <v>1.5868055555555556</v>
      </c>
      <c r="AN667" t="s">
        <v>66</v>
      </c>
      <c r="AO667" t="s">
        <v>101</v>
      </c>
    </row>
    <row r="668" spans="1:41" x14ac:dyDescent="0.2">
      <c r="A668">
        <v>369958</v>
      </c>
      <c r="B668" t="s">
        <v>5464</v>
      </c>
      <c r="C668" t="s">
        <v>1244</v>
      </c>
      <c r="D668" t="s">
        <v>5465</v>
      </c>
      <c r="E668">
        <v>90002600</v>
      </c>
      <c r="F668">
        <v>461601</v>
      </c>
      <c r="G668" s="1">
        <v>38457</v>
      </c>
      <c r="H668" s="1">
        <v>45643</v>
      </c>
      <c r="J668" t="s">
        <v>45</v>
      </c>
      <c r="K668" t="s">
        <v>45</v>
      </c>
      <c r="L668" t="s">
        <v>72</v>
      </c>
      <c r="M668" s="1">
        <v>45748</v>
      </c>
      <c r="N668" t="s">
        <v>47</v>
      </c>
      <c r="O668" t="s">
        <v>48</v>
      </c>
      <c r="P668" t="s">
        <v>49</v>
      </c>
      <c r="Q668" t="s">
        <v>5466</v>
      </c>
      <c r="R668" t="s">
        <v>5467</v>
      </c>
      <c r="S668">
        <v>1190</v>
      </c>
      <c r="T668" t="s">
        <v>92</v>
      </c>
      <c r="U668" t="s">
        <v>1249</v>
      </c>
      <c r="V668" t="s">
        <v>1250</v>
      </c>
      <c r="W668" t="s">
        <v>1251</v>
      </c>
      <c r="X668" t="s">
        <v>92</v>
      </c>
      <c r="Y668" t="s">
        <v>770</v>
      </c>
      <c r="Z668">
        <v>2693</v>
      </c>
      <c r="AA668">
        <v>32</v>
      </c>
      <c r="AB668">
        <v>144</v>
      </c>
      <c r="AC668" t="s">
        <v>1252</v>
      </c>
      <c r="AD668" t="s">
        <v>1253</v>
      </c>
      <c r="AE668" t="s">
        <v>5468</v>
      </c>
      <c r="AF668" t="s">
        <v>1255</v>
      </c>
      <c r="AG668" t="s">
        <v>5469</v>
      </c>
      <c r="AH668" t="s">
        <v>1257</v>
      </c>
      <c r="AI668" t="s">
        <v>1258</v>
      </c>
      <c r="AJ668" s="2">
        <v>45758.618622685186</v>
      </c>
      <c r="AK668" t="s">
        <v>375</v>
      </c>
      <c r="AL668" t="s">
        <v>65</v>
      </c>
      <c r="AM668" s="4">
        <v>0.69444444444444442</v>
      </c>
      <c r="AN668" t="s">
        <v>66</v>
      </c>
      <c r="AO668" t="s">
        <v>67</v>
      </c>
    </row>
    <row r="669" spans="1:41" x14ac:dyDescent="0.2">
      <c r="A669">
        <v>364134</v>
      </c>
      <c r="B669" t="s">
        <v>5470</v>
      </c>
      <c r="C669" t="s">
        <v>735</v>
      </c>
      <c r="D669" t="s">
        <v>2922</v>
      </c>
      <c r="E669" t="s">
        <v>5471</v>
      </c>
      <c r="F669">
        <v>241502</v>
      </c>
      <c r="G669" s="1">
        <v>36286</v>
      </c>
      <c r="H669" s="1">
        <v>45524</v>
      </c>
      <c r="I669" s="1">
        <v>46235</v>
      </c>
      <c r="J669" t="s">
        <v>45</v>
      </c>
      <c r="K669" t="s">
        <v>45</v>
      </c>
      <c r="L669" t="s">
        <v>429</v>
      </c>
      <c r="M669" s="1">
        <v>41964</v>
      </c>
      <c r="N669" t="s">
        <v>47</v>
      </c>
      <c r="O669" t="s">
        <v>48</v>
      </c>
      <c r="P669" t="s">
        <v>49</v>
      </c>
      <c r="Q669" t="s">
        <v>5472</v>
      </c>
      <c r="R669" t="s">
        <v>5473</v>
      </c>
      <c r="S669">
        <v>3684</v>
      </c>
      <c r="T669" t="s">
        <v>52</v>
      </c>
      <c r="U669">
        <v>1</v>
      </c>
      <c r="V669" t="s">
        <v>2443</v>
      </c>
      <c r="W669" t="s">
        <v>54</v>
      </c>
      <c r="X669" t="s">
        <v>76</v>
      </c>
      <c r="Y669" t="s">
        <v>56</v>
      </c>
      <c r="Z669">
        <v>964</v>
      </c>
      <c r="AA669">
        <v>63</v>
      </c>
      <c r="AB669">
        <v>152</v>
      </c>
      <c r="AC669" t="s">
        <v>2794</v>
      </c>
      <c r="AD669" t="s">
        <v>2795</v>
      </c>
      <c r="AE669" t="s">
        <v>2796</v>
      </c>
      <c r="AF669" t="s">
        <v>2797</v>
      </c>
      <c r="AG669" t="s">
        <v>2798</v>
      </c>
      <c r="AH669" t="s">
        <v>2799</v>
      </c>
      <c r="AI669" t="s">
        <v>5474</v>
      </c>
      <c r="AJ669" s="2">
        <v>45533.778263888889</v>
      </c>
      <c r="AK669" t="s">
        <v>568</v>
      </c>
      <c r="AL669" t="s">
        <v>65</v>
      </c>
      <c r="AM669" s="4">
        <v>0.35416666666666669</v>
      </c>
      <c r="AN669" t="s">
        <v>66</v>
      </c>
      <c r="AO669" t="s">
        <v>67</v>
      </c>
    </row>
    <row r="670" spans="1:41" x14ac:dyDescent="0.2">
      <c r="A670">
        <v>368766</v>
      </c>
      <c r="B670" t="s">
        <v>5475</v>
      </c>
      <c r="C670" t="s">
        <v>151</v>
      </c>
      <c r="D670" t="s">
        <v>5476</v>
      </c>
      <c r="E670" t="s">
        <v>5477</v>
      </c>
      <c r="F670">
        <v>382603</v>
      </c>
      <c r="G670" s="1">
        <v>38475</v>
      </c>
      <c r="H670" s="1">
        <v>45716</v>
      </c>
      <c r="I670" s="1">
        <v>46054</v>
      </c>
      <c r="J670" t="s">
        <v>45</v>
      </c>
      <c r="K670" t="s">
        <v>45</v>
      </c>
      <c r="L670" t="s">
        <v>72</v>
      </c>
      <c r="M670" s="1">
        <v>44958</v>
      </c>
      <c r="N670" t="s">
        <v>47</v>
      </c>
      <c r="O670" t="s">
        <v>48</v>
      </c>
      <c r="P670" t="s">
        <v>49</v>
      </c>
      <c r="Q670" t="s">
        <v>5478</v>
      </c>
      <c r="R670" t="s">
        <v>5479</v>
      </c>
      <c r="S670">
        <v>123</v>
      </c>
      <c r="T670" t="s">
        <v>257</v>
      </c>
      <c r="U670" t="s">
        <v>1691</v>
      </c>
      <c r="V670" t="s">
        <v>5480</v>
      </c>
      <c r="W670" t="s">
        <v>260</v>
      </c>
      <c r="X670" t="s">
        <v>257</v>
      </c>
      <c r="Y670" t="s">
        <v>110</v>
      </c>
      <c r="Z670">
        <v>1348</v>
      </c>
      <c r="AA670">
        <v>31</v>
      </c>
      <c r="AB670">
        <v>45</v>
      </c>
      <c r="AC670" t="s">
        <v>5481</v>
      </c>
      <c r="AD670" t="s">
        <v>5482</v>
      </c>
      <c r="AE670" t="s">
        <v>5483</v>
      </c>
      <c r="AF670" t="s">
        <v>5484</v>
      </c>
      <c r="AG670" t="s">
        <v>5485</v>
      </c>
      <c r="AH670" t="s">
        <v>5486</v>
      </c>
      <c r="AJ670" s="2">
        <v>45721.601354166669</v>
      </c>
      <c r="AK670" t="s">
        <v>5481</v>
      </c>
      <c r="AL670" t="s">
        <v>65</v>
      </c>
      <c r="AM670" s="3">
        <v>1.9583333333333333</v>
      </c>
      <c r="AN670" t="s">
        <v>66</v>
      </c>
      <c r="AO670" t="s">
        <v>101</v>
      </c>
    </row>
    <row r="671" spans="1:41" x14ac:dyDescent="0.2">
      <c r="A671">
        <v>370111</v>
      </c>
      <c r="B671" t="s">
        <v>5487</v>
      </c>
      <c r="C671" t="s">
        <v>662</v>
      </c>
      <c r="D671" t="s">
        <v>5488</v>
      </c>
      <c r="E671" t="s">
        <v>5489</v>
      </c>
      <c r="F671">
        <v>415109</v>
      </c>
      <c r="G671" s="1">
        <v>38187</v>
      </c>
      <c r="H671" s="1">
        <v>45558</v>
      </c>
      <c r="I671" s="1">
        <v>46266</v>
      </c>
      <c r="J671" t="s">
        <v>45</v>
      </c>
      <c r="K671" t="s">
        <v>45</v>
      </c>
      <c r="L671" t="s">
        <v>72</v>
      </c>
      <c r="M671" s="1">
        <v>44134</v>
      </c>
      <c r="N671" t="s">
        <v>47</v>
      </c>
      <c r="O671" t="s">
        <v>48</v>
      </c>
      <c r="P671" t="s">
        <v>49</v>
      </c>
      <c r="Q671" t="s">
        <v>5490</v>
      </c>
      <c r="R671" t="s">
        <v>5491</v>
      </c>
      <c r="S671">
        <v>123</v>
      </c>
      <c r="T671" t="s">
        <v>92</v>
      </c>
      <c r="U671" t="s">
        <v>1197</v>
      </c>
      <c r="V671" t="s">
        <v>1198</v>
      </c>
      <c r="W671" t="s">
        <v>1199</v>
      </c>
      <c r="X671" t="s">
        <v>52</v>
      </c>
      <c r="Y671" t="s">
        <v>110</v>
      </c>
      <c r="Z671">
        <v>1064</v>
      </c>
      <c r="AA671">
        <v>51</v>
      </c>
      <c r="AB671">
        <v>176</v>
      </c>
      <c r="AC671" t="s">
        <v>1200</v>
      </c>
      <c r="AD671" t="s">
        <v>1201</v>
      </c>
      <c r="AE671" t="s">
        <v>1202</v>
      </c>
      <c r="AF671" t="s">
        <v>1203</v>
      </c>
      <c r="AG671" t="s">
        <v>1204</v>
      </c>
      <c r="AH671" t="s">
        <v>1205</v>
      </c>
      <c r="AJ671" s="2">
        <v>45763.724618055552</v>
      </c>
      <c r="AK671" t="s">
        <v>1167</v>
      </c>
      <c r="AL671" t="s">
        <v>65</v>
      </c>
      <c r="AM671" s="4">
        <v>0.13194444444444445</v>
      </c>
      <c r="AN671" t="s">
        <v>66</v>
      </c>
      <c r="AO671" t="s">
        <v>67</v>
      </c>
    </row>
    <row r="672" spans="1:41" x14ac:dyDescent="0.2">
      <c r="A672">
        <v>368385</v>
      </c>
      <c r="B672" t="s">
        <v>5492</v>
      </c>
      <c r="C672" t="s">
        <v>182</v>
      </c>
      <c r="D672" t="s">
        <v>811</v>
      </c>
      <c r="E672" t="s">
        <v>5493</v>
      </c>
      <c r="F672">
        <v>45105</v>
      </c>
      <c r="G672" s="1">
        <v>35585</v>
      </c>
      <c r="H672" s="1">
        <v>45699</v>
      </c>
      <c r="I672" s="1">
        <v>46082</v>
      </c>
      <c r="J672" t="s">
        <v>45</v>
      </c>
      <c r="K672" t="s">
        <v>45</v>
      </c>
      <c r="L672" t="s">
        <v>429</v>
      </c>
      <c r="M672" s="1">
        <v>43616</v>
      </c>
      <c r="N672" t="s">
        <v>47</v>
      </c>
      <c r="O672" t="s">
        <v>48</v>
      </c>
      <c r="P672" t="s">
        <v>49</v>
      </c>
      <c r="Q672" t="s">
        <v>5494</v>
      </c>
      <c r="R672" t="s">
        <v>5495</v>
      </c>
      <c r="S672">
        <v>5618</v>
      </c>
      <c r="T672" t="s">
        <v>52</v>
      </c>
      <c r="U672">
        <v>5</v>
      </c>
      <c r="V672" t="s">
        <v>1665</v>
      </c>
      <c r="W672" t="s">
        <v>54</v>
      </c>
      <c r="X672" t="s">
        <v>493</v>
      </c>
      <c r="Y672" t="s">
        <v>434</v>
      </c>
      <c r="Z672">
        <v>944</v>
      </c>
      <c r="AA672">
        <v>59</v>
      </c>
      <c r="AB672">
        <v>34</v>
      </c>
      <c r="AC672" t="s">
        <v>1666</v>
      </c>
      <c r="AD672" t="s">
        <v>1667</v>
      </c>
      <c r="AE672" t="s">
        <v>1668</v>
      </c>
      <c r="AF672" t="s">
        <v>2424</v>
      </c>
      <c r="AG672" t="s">
        <v>2425</v>
      </c>
      <c r="AH672" t="s">
        <v>2426</v>
      </c>
      <c r="AI672" t="s">
        <v>5496</v>
      </c>
      <c r="AJ672" s="2">
        <v>45708.862488425926</v>
      </c>
      <c r="AK672" t="s">
        <v>403</v>
      </c>
      <c r="AL672" t="s">
        <v>65</v>
      </c>
      <c r="AM672" s="4">
        <v>0.3888888888888889</v>
      </c>
      <c r="AN672" t="s">
        <v>66</v>
      </c>
      <c r="AO672" t="s">
        <v>67</v>
      </c>
    </row>
    <row r="673" spans="1:41" x14ac:dyDescent="0.2">
      <c r="A673">
        <v>368864</v>
      </c>
      <c r="B673" t="s">
        <v>5497</v>
      </c>
      <c r="C673" t="s">
        <v>182</v>
      </c>
      <c r="D673" t="s">
        <v>468</v>
      </c>
      <c r="E673" t="s">
        <v>5498</v>
      </c>
      <c r="F673">
        <v>40422</v>
      </c>
      <c r="G673" s="1">
        <v>35872</v>
      </c>
      <c r="H673" s="1">
        <v>45700</v>
      </c>
      <c r="I673" s="1">
        <v>46082</v>
      </c>
      <c r="J673" t="s">
        <v>45</v>
      </c>
      <c r="K673" t="s">
        <v>45</v>
      </c>
      <c r="L673" t="s">
        <v>429</v>
      </c>
      <c r="M673" s="1">
        <v>42879</v>
      </c>
      <c r="N673" t="s">
        <v>47</v>
      </c>
      <c r="O673" t="s">
        <v>48</v>
      </c>
      <c r="P673" t="s">
        <v>49</v>
      </c>
      <c r="Q673" t="s">
        <v>5499</v>
      </c>
      <c r="R673" t="s">
        <v>5500</v>
      </c>
      <c r="S673">
        <v>2945</v>
      </c>
      <c r="T673" t="s">
        <v>365</v>
      </c>
      <c r="U673" t="s">
        <v>562</v>
      </c>
      <c r="V673" t="s">
        <v>5248</v>
      </c>
      <c r="W673" t="s">
        <v>367</v>
      </c>
      <c r="X673" t="s">
        <v>493</v>
      </c>
      <c r="Y673" t="s">
        <v>434</v>
      </c>
      <c r="Z673">
        <v>108</v>
      </c>
      <c r="AA673">
        <v>76</v>
      </c>
      <c r="AB673">
        <v>28</v>
      </c>
      <c r="AC673" t="s">
        <v>5501</v>
      </c>
      <c r="AD673" t="s">
        <v>5502</v>
      </c>
      <c r="AE673" t="s">
        <v>5503</v>
      </c>
      <c r="AI673" t="s">
        <v>500</v>
      </c>
      <c r="AJ673" s="2">
        <v>45722.881620370368</v>
      </c>
      <c r="AK673" t="s">
        <v>501</v>
      </c>
      <c r="AL673" t="s">
        <v>65</v>
      </c>
      <c r="AM673" s="4">
        <v>0.36805555555555558</v>
      </c>
      <c r="AN673" t="s">
        <v>66</v>
      </c>
      <c r="AO673" t="s">
        <v>67</v>
      </c>
    </row>
    <row r="674" spans="1:41" x14ac:dyDescent="0.2">
      <c r="A674">
        <v>368741</v>
      </c>
      <c r="B674" t="s">
        <v>5504</v>
      </c>
      <c r="C674" t="s">
        <v>2298</v>
      </c>
      <c r="D674" t="s">
        <v>5505</v>
      </c>
      <c r="E674" t="s">
        <v>5506</v>
      </c>
      <c r="F674">
        <v>225502</v>
      </c>
      <c r="G674" s="1">
        <v>37683</v>
      </c>
      <c r="H674" s="1">
        <v>45706</v>
      </c>
      <c r="J674" t="s">
        <v>45</v>
      </c>
      <c r="K674" t="s">
        <v>45</v>
      </c>
      <c r="L674" t="s">
        <v>72</v>
      </c>
      <c r="M674" s="1">
        <v>42309</v>
      </c>
      <c r="N674" t="s">
        <v>47</v>
      </c>
      <c r="O674" t="s">
        <v>48</v>
      </c>
      <c r="P674" t="s">
        <v>49</v>
      </c>
      <c r="Q674" t="s">
        <v>5507</v>
      </c>
      <c r="R674" t="s">
        <v>5508</v>
      </c>
      <c r="S674">
        <v>150</v>
      </c>
      <c r="T674" t="s">
        <v>92</v>
      </c>
      <c r="U674" t="s">
        <v>5509</v>
      </c>
      <c r="V674" t="s">
        <v>5510</v>
      </c>
      <c r="W674" t="s">
        <v>5511</v>
      </c>
      <c r="X674" t="s">
        <v>52</v>
      </c>
      <c r="Y674" t="s">
        <v>770</v>
      </c>
      <c r="Z674">
        <v>2299</v>
      </c>
      <c r="AA674">
        <v>36</v>
      </c>
      <c r="AB674">
        <v>144</v>
      </c>
      <c r="AC674" t="s">
        <v>5512</v>
      </c>
      <c r="AD674" t="s">
        <v>5513</v>
      </c>
      <c r="AE674" t="s">
        <v>5514</v>
      </c>
      <c r="AF674" t="s">
        <v>5515</v>
      </c>
      <c r="AG674" t="s">
        <v>5516</v>
      </c>
      <c r="AH674" t="s">
        <v>5517</v>
      </c>
      <c r="AI674" t="s">
        <v>5518</v>
      </c>
      <c r="AJ674" s="2">
        <v>45824.58525462963</v>
      </c>
      <c r="AK674" t="s">
        <v>5519</v>
      </c>
      <c r="AL674" t="s">
        <v>65</v>
      </c>
      <c r="AM674" s="4">
        <v>0.39583333333333331</v>
      </c>
      <c r="AN674" t="s">
        <v>66</v>
      </c>
      <c r="AO674" t="s">
        <v>67</v>
      </c>
    </row>
    <row r="675" spans="1:41" x14ac:dyDescent="0.2">
      <c r="A675">
        <v>364173</v>
      </c>
      <c r="B675" t="s">
        <v>5520</v>
      </c>
      <c r="C675" t="s">
        <v>69</v>
      </c>
      <c r="D675" t="s">
        <v>3131</v>
      </c>
      <c r="E675" t="s">
        <v>5521</v>
      </c>
      <c r="F675">
        <v>101804</v>
      </c>
      <c r="G675" s="1">
        <v>35594</v>
      </c>
      <c r="H675" s="1">
        <v>45533</v>
      </c>
      <c r="I675" s="1">
        <v>46249</v>
      </c>
      <c r="J675" t="s">
        <v>45</v>
      </c>
      <c r="K675" t="s">
        <v>45</v>
      </c>
      <c r="L675" t="s">
        <v>72</v>
      </c>
      <c r="N675" t="s">
        <v>47</v>
      </c>
      <c r="O675" t="s">
        <v>48</v>
      </c>
      <c r="P675" t="s">
        <v>49</v>
      </c>
      <c r="Q675" t="s">
        <v>5522</v>
      </c>
      <c r="R675" t="s">
        <v>5523</v>
      </c>
      <c r="S675">
        <v>7853</v>
      </c>
      <c r="T675" t="s">
        <v>52</v>
      </c>
      <c r="U675">
        <v>4</v>
      </c>
      <c r="V675" t="s">
        <v>3135</v>
      </c>
      <c r="W675" t="s">
        <v>54</v>
      </c>
      <c r="X675" t="s">
        <v>76</v>
      </c>
      <c r="Y675" t="s">
        <v>56</v>
      </c>
      <c r="Z675">
        <v>653</v>
      </c>
      <c r="AA675">
        <v>55</v>
      </c>
      <c r="AB675">
        <v>138</v>
      </c>
      <c r="AC675" t="s">
        <v>3136</v>
      </c>
      <c r="AD675" t="s">
        <v>3137</v>
      </c>
      <c r="AE675" t="s">
        <v>3138</v>
      </c>
      <c r="AF675" t="s">
        <v>3139</v>
      </c>
      <c r="AG675" t="s">
        <v>3140</v>
      </c>
      <c r="AH675" t="s">
        <v>3141</v>
      </c>
      <c r="AI675" t="s">
        <v>5524</v>
      </c>
      <c r="AJ675" s="2">
        <v>45534.704108796293</v>
      </c>
      <c r="AK675" t="s">
        <v>2517</v>
      </c>
      <c r="AL675" t="s">
        <v>65</v>
      </c>
      <c r="AM675" s="3">
        <v>2.0902777777777777</v>
      </c>
      <c r="AN675" t="s">
        <v>66</v>
      </c>
      <c r="AO675" t="s">
        <v>67</v>
      </c>
    </row>
    <row r="676" spans="1:41" x14ac:dyDescent="0.2">
      <c r="A676">
        <v>372375</v>
      </c>
      <c r="B676" t="s">
        <v>5525</v>
      </c>
      <c r="C676" t="s">
        <v>345</v>
      </c>
      <c r="D676" t="s">
        <v>1927</v>
      </c>
      <c r="E676">
        <v>32599266</v>
      </c>
      <c r="F676">
        <v>53904</v>
      </c>
      <c r="G676" s="1">
        <v>33379</v>
      </c>
      <c r="H676" s="1">
        <v>45832</v>
      </c>
      <c r="I676" s="1">
        <v>46143</v>
      </c>
      <c r="J676" t="s">
        <v>45</v>
      </c>
      <c r="K676" t="s">
        <v>45</v>
      </c>
      <c r="L676" t="s">
        <v>429</v>
      </c>
      <c r="M676" s="1">
        <v>39203</v>
      </c>
      <c r="N676" t="s">
        <v>47</v>
      </c>
      <c r="O676" t="s">
        <v>48</v>
      </c>
      <c r="P676" t="s">
        <v>49</v>
      </c>
      <c r="Q676" t="s">
        <v>5526</v>
      </c>
      <c r="R676" t="s">
        <v>5527</v>
      </c>
      <c r="S676">
        <v>6849</v>
      </c>
      <c r="T676" t="s">
        <v>365</v>
      </c>
      <c r="U676" t="s">
        <v>432</v>
      </c>
      <c r="V676" t="s">
        <v>4651</v>
      </c>
      <c r="W676" t="s">
        <v>367</v>
      </c>
      <c r="X676" t="s">
        <v>55</v>
      </c>
      <c r="Y676" t="s">
        <v>434</v>
      </c>
      <c r="Z676">
        <v>111</v>
      </c>
      <c r="AA676">
        <v>53</v>
      </c>
      <c r="AB676">
        <v>158</v>
      </c>
      <c r="AC676" t="s">
        <v>4652</v>
      </c>
      <c r="AD676" t="s">
        <v>4653</v>
      </c>
      <c r="AE676" t="s">
        <v>5528</v>
      </c>
      <c r="AI676" t="s">
        <v>179</v>
      </c>
      <c r="AJ676" s="2">
        <v>45838.807372685187</v>
      </c>
      <c r="AK676" t="s">
        <v>609</v>
      </c>
      <c r="AL676" t="s">
        <v>65</v>
      </c>
      <c r="AM676" s="3">
        <v>2.0555555555555554</v>
      </c>
      <c r="AN676" t="s">
        <v>66</v>
      </c>
      <c r="AO676" t="s">
        <v>67</v>
      </c>
    </row>
    <row r="677" spans="1:41" x14ac:dyDescent="0.2">
      <c r="A677">
        <v>372454</v>
      </c>
      <c r="B677" t="s">
        <v>5529</v>
      </c>
      <c r="C677" t="s">
        <v>182</v>
      </c>
      <c r="D677" t="s">
        <v>3934</v>
      </c>
      <c r="E677" t="s">
        <v>5530</v>
      </c>
      <c r="F677">
        <v>43916</v>
      </c>
      <c r="G677" s="1">
        <v>40898</v>
      </c>
      <c r="H677" s="1">
        <v>45814</v>
      </c>
      <c r="J677" t="s">
        <v>45</v>
      </c>
      <c r="K677" t="s">
        <v>326</v>
      </c>
      <c r="L677" t="s">
        <v>72</v>
      </c>
      <c r="M677" s="1">
        <v>45814</v>
      </c>
      <c r="N677" t="s">
        <v>47</v>
      </c>
      <c r="O677" t="s">
        <v>48</v>
      </c>
      <c r="P677" t="s">
        <v>406</v>
      </c>
      <c r="Q677" t="s">
        <v>5531</v>
      </c>
      <c r="R677" t="s">
        <v>5532</v>
      </c>
      <c r="S677">
        <v>2331</v>
      </c>
      <c r="T677" t="s">
        <v>92</v>
      </c>
      <c r="U677" t="s">
        <v>187</v>
      </c>
      <c r="V677" t="s">
        <v>4009</v>
      </c>
      <c r="W677" t="s">
        <v>2751</v>
      </c>
      <c r="X677" t="s">
        <v>92</v>
      </c>
      <c r="Y677" t="s">
        <v>642</v>
      </c>
      <c r="Z677">
        <v>5346</v>
      </c>
      <c r="AA677">
        <v>16</v>
      </c>
      <c r="AB677">
        <v>56</v>
      </c>
      <c r="AC677" t="s">
        <v>2755</v>
      </c>
      <c r="AD677" t="s">
        <v>2756</v>
      </c>
      <c r="AE677" t="s">
        <v>2757</v>
      </c>
      <c r="AF677" t="s">
        <v>2752</v>
      </c>
      <c r="AG677" t="s">
        <v>2753</v>
      </c>
      <c r="AH677" t="s">
        <v>2754</v>
      </c>
      <c r="AI677" t="s">
        <v>2756</v>
      </c>
      <c r="AJ677" s="2">
        <v>45839.895370370374</v>
      </c>
      <c r="AK677" t="s">
        <v>100</v>
      </c>
      <c r="AL677" t="s">
        <v>1168</v>
      </c>
      <c r="AM677" s="4">
        <v>0.10416666666666667</v>
      </c>
      <c r="AN677" t="s">
        <v>66</v>
      </c>
      <c r="AO677" t="s">
        <v>67</v>
      </c>
    </row>
    <row r="678" spans="1:41" x14ac:dyDescent="0.2">
      <c r="A678">
        <v>371949</v>
      </c>
      <c r="B678" t="s">
        <v>5533</v>
      </c>
      <c r="C678" t="s">
        <v>182</v>
      </c>
      <c r="D678" t="s">
        <v>3956</v>
      </c>
      <c r="E678" t="s">
        <v>5534</v>
      </c>
      <c r="F678">
        <v>40814</v>
      </c>
      <c r="G678" s="1">
        <v>36069</v>
      </c>
      <c r="H678" s="1">
        <v>45819</v>
      </c>
      <c r="J678" t="s">
        <v>45</v>
      </c>
      <c r="K678" t="s">
        <v>72</v>
      </c>
      <c r="L678" t="s">
        <v>72</v>
      </c>
      <c r="N678" t="s">
        <v>47</v>
      </c>
      <c r="O678" t="s">
        <v>48</v>
      </c>
      <c r="P678" t="s">
        <v>49</v>
      </c>
      <c r="Q678" t="s">
        <v>5535</v>
      </c>
      <c r="R678" t="s">
        <v>5536</v>
      </c>
      <c r="S678">
        <v>289</v>
      </c>
      <c r="T678" t="s">
        <v>92</v>
      </c>
      <c r="U678" t="s">
        <v>187</v>
      </c>
      <c r="V678" t="s">
        <v>447</v>
      </c>
      <c r="W678" t="s">
        <v>448</v>
      </c>
      <c r="X678" t="s">
        <v>92</v>
      </c>
      <c r="Y678" t="s">
        <v>450</v>
      </c>
      <c r="Z678">
        <v>1249</v>
      </c>
      <c r="AA678">
        <v>51</v>
      </c>
      <c r="AB678">
        <v>142</v>
      </c>
      <c r="AC678" t="s">
        <v>451</v>
      </c>
      <c r="AD678" t="s">
        <v>452</v>
      </c>
      <c r="AE678" t="s">
        <v>453</v>
      </c>
      <c r="AF678" t="s">
        <v>454</v>
      </c>
      <c r="AG678" t="s">
        <v>473</v>
      </c>
      <c r="AJ678" s="2">
        <v>45825.684444444443</v>
      </c>
      <c r="AK678" t="s">
        <v>456</v>
      </c>
      <c r="AL678" t="s">
        <v>475</v>
      </c>
      <c r="AM678" s="3">
        <v>2.2951388888888888</v>
      </c>
      <c r="AN678" t="s">
        <v>66</v>
      </c>
      <c r="AO678" t="s">
        <v>67</v>
      </c>
    </row>
    <row r="679" spans="1:41" x14ac:dyDescent="0.2">
      <c r="A679">
        <v>369605</v>
      </c>
      <c r="B679" t="s">
        <v>5537</v>
      </c>
      <c r="C679" t="s">
        <v>182</v>
      </c>
      <c r="D679" t="s">
        <v>779</v>
      </c>
      <c r="E679" t="s">
        <v>5538</v>
      </c>
      <c r="F679">
        <v>45636</v>
      </c>
      <c r="G679" s="1">
        <v>40883</v>
      </c>
      <c r="H679" s="1">
        <v>45742</v>
      </c>
      <c r="I679" s="1">
        <v>46113</v>
      </c>
      <c r="J679" t="s">
        <v>45</v>
      </c>
      <c r="K679" t="s">
        <v>45</v>
      </c>
      <c r="L679" t="s">
        <v>429</v>
      </c>
      <c r="M679" s="1">
        <v>44911</v>
      </c>
      <c r="N679" t="s">
        <v>47</v>
      </c>
      <c r="O679" t="s">
        <v>48</v>
      </c>
      <c r="P679" t="s">
        <v>49</v>
      </c>
      <c r="Q679" t="s">
        <v>5539</v>
      </c>
      <c r="R679" t="s">
        <v>5540</v>
      </c>
      <c r="S679">
        <v>1951</v>
      </c>
      <c r="T679" t="s">
        <v>52</v>
      </c>
      <c r="U679">
        <v>5</v>
      </c>
      <c r="V679" t="s">
        <v>614</v>
      </c>
      <c r="W679" t="s">
        <v>54</v>
      </c>
      <c r="X679" t="s">
        <v>493</v>
      </c>
      <c r="Y679" t="s">
        <v>434</v>
      </c>
      <c r="Z679">
        <v>1880</v>
      </c>
      <c r="AA679">
        <v>60</v>
      </c>
      <c r="AB679">
        <v>166</v>
      </c>
      <c r="AC679" t="s">
        <v>615</v>
      </c>
      <c r="AD679" t="s">
        <v>616</v>
      </c>
      <c r="AE679" t="s">
        <v>617</v>
      </c>
      <c r="AF679" t="s">
        <v>4148</v>
      </c>
      <c r="AG679" t="s">
        <v>619</v>
      </c>
      <c r="AH679" t="s">
        <v>617</v>
      </c>
      <c r="AI679" t="s">
        <v>5541</v>
      </c>
      <c r="AJ679" s="2">
        <v>45747.619942129626</v>
      </c>
      <c r="AK679" t="s">
        <v>540</v>
      </c>
      <c r="AL679" t="s">
        <v>65</v>
      </c>
      <c r="AM679" s="4">
        <v>0.49305555555555558</v>
      </c>
      <c r="AN679" t="s">
        <v>66</v>
      </c>
      <c r="AO679" t="s">
        <v>67</v>
      </c>
    </row>
    <row r="680" spans="1:41" x14ac:dyDescent="0.2">
      <c r="A680">
        <v>369289</v>
      </c>
      <c r="B680" t="s">
        <v>5542</v>
      </c>
      <c r="C680" t="s">
        <v>118</v>
      </c>
      <c r="D680" t="s">
        <v>4293</v>
      </c>
      <c r="E680" t="s">
        <v>5543</v>
      </c>
      <c r="F680">
        <v>290299</v>
      </c>
      <c r="G680" s="1">
        <v>45733</v>
      </c>
      <c r="H680" s="1">
        <v>45671</v>
      </c>
      <c r="I680" s="1">
        <v>46037</v>
      </c>
      <c r="J680" t="s">
        <v>45</v>
      </c>
      <c r="K680" t="s">
        <v>45</v>
      </c>
      <c r="L680" t="s">
        <v>72</v>
      </c>
      <c r="M680" s="1">
        <v>43101</v>
      </c>
      <c r="N680" t="s">
        <v>47</v>
      </c>
      <c r="O680" t="s">
        <v>121</v>
      </c>
      <c r="P680" t="s">
        <v>49</v>
      </c>
      <c r="Q680" t="s">
        <v>5544</v>
      </c>
      <c r="R680" t="s">
        <v>5545</v>
      </c>
      <c r="S680">
        <v>5579</v>
      </c>
      <c r="T680" t="s">
        <v>52</v>
      </c>
      <c r="U680">
        <v>3</v>
      </c>
      <c r="V680" t="s">
        <v>4297</v>
      </c>
      <c r="W680" t="s">
        <v>54</v>
      </c>
      <c r="X680" t="s">
        <v>76</v>
      </c>
      <c r="Y680" t="s">
        <v>125</v>
      </c>
      <c r="Z680">
        <v>2118</v>
      </c>
      <c r="AA680">
        <v>87</v>
      </c>
      <c r="AB680">
        <v>174</v>
      </c>
      <c r="AC680" t="s">
        <v>5546</v>
      </c>
      <c r="AD680" t="s">
        <v>4299</v>
      </c>
      <c r="AE680" t="s">
        <v>4768</v>
      </c>
      <c r="AF680" t="s">
        <v>5547</v>
      </c>
      <c r="AG680" t="s">
        <v>1809</v>
      </c>
      <c r="AH680" t="s">
        <v>1810</v>
      </c>
      <c r="AJ680" s="2">
        <v>45733.847858796296</v>
      </c>
      <c r="AK680" t="s">
        <v>660</v>
      </c>
      <c r="AL680" t="s">
        <v>65</v>
      </c>
      <c r="AM680" s="4">
        <v>0.75</v>
      </c>
      <c r="AN680" t="s">
        <v>66</v>
      </c>
      <c r="AO680" t="s">
        <v>67</v>
      </c>
    </row>
    <row r="681" spans="1:41" x14ac:dyDescent="0.2">
      <c r="A681">
        <v>367627</v>
      </c>
      <c r="B681" t="s">
        <v>5548</v>
      </c>
      <c r="C681" t="s">
        <v>118</v>
      </c>
      <c r="D681" t="s">
        <v>4293</v>
      </c>
      <c r="E681">
        <v>32648406</v>
      </c>
      <c r="G681" s="1">
        <v>45671</v>
      </c>
      <c r="H681" s="1">
        <v>45672</v>
      </c>
      <c r="I681" s="1">
        <v>46037</v>
      </c>
      <c r="J681" t="s">
        <v>45</v>
      </c>
      <c r="K681" t="s">
        <v>45</v>
      </c>
      <c r="L681" t="s">
        <v>72</v>
      </c>
      <c r="N681" t="s">
        <v>89</v>
      </c>
      <c r="O681" t="s">
        <v>121</v>
      </c>
      <c r="P681" t="s">
        <v>49</v>
      </c>
      <c r="Q681" t="s">
        <v>5549</v>
      </c>
      <c r="R681" t="s">
        <v>5550</v>
      </c>
      <c r="S681">
        <v>4810</v>
      </c>
      <c r="T681" t="s">
        <v>52</v>
      </c>
      <c r="U681">
        <v>3</v>
      </c>
      <c r="V681" t="s">
        <v>4297</v>
      </c>
      <c r="W681" t="s">
        <v>54</v>
      </c>
      <c r="X681" t="s">
        <v>76</v>
      </c>
      <c r="Y681" t="s">
        <v>125</v>
      </c>
      <c r="Z681">
        <v>4266</v>
      </c>
      <c r="AA681">
        <v>55</v>
      </c>
      <c r="AB681">
        <v>158</v>
      </c>
      <c r="AC681" t="s">
        <v>5546</v>
      </c>
      <c r="AD681" t="s">
        <v>4299</v>
      </c>
      <c r="AE681" t="s">
        <v>4768</v>
      </c>
      <c r="AF681" t="s">
        <v>5551</v>
      </c>
      <c r="AG681" t="s">
        <v>1809</v>
      </c>
      <c r="AH681" t="s">
        <v>1810</v>
      </c>
      <c r="AJ681" s="2">
        <v>45684.899467592593</v>
      </c>
      <c r="AK681" t="s">
        <v>132</v>
      </c>
      <c r="AL681" t="s">
        <v>65</v>
      </c>
      <c r="AM681" s="3">
        <v>1.1736111111111112</v>
      </c>
      <c r="AN681" t="s">
        <v>66</v>
      </c>
      <c r="AO681" t="s">
        <v>67</v>
      </c>
    </row>
    <row r="682" spans="1:41" x14ac:dyDescent="0.2">
      <c r="A682">
        <v>369297</v>
      </c>
      <c r="B682" t="s">
        <v>5552</v>
      </c>
      <c r="C682" t="s">
        <v>118</v>
      </c>
      <c r="D682" t="s">
        <v>4293</v>
      </c>
      <c r="E682" t="s">
        <v>5553</v>
      </c>
      <c r="G682" s="1">
        <v>45471</v>
      </c>
      <c r="H682" s="1">
        <v>45733</v>
      </c>
      <c r="I682" s="1">
        <v>46096</v>
      </c>
      <c r="J682" t="s">
        <v>45</v>
      </c>
      <c r="K682" t="s">
        <v>45</v>
      </c>
      <c r="L682" t="s">
        <v>72</v>
      </c>
      <c r="M682" s="1">
        <v>44670</v>
      </c>
      <c r="N682" t="s">
        <v>89</v>
      </c>
      <c r="O682" t="s">
        <v>121</v>
      </c>
      <c r="P682" t="s">
        <v>49</v>
      </c>
      <c r="Q682" t="s">
        <v>5554</v>
      </c>
      <c r="R682" t="s">
        <v>5555</v>
      </c>
      <c r="S682">
        <v>5833</v>
      </c>
      <c r="T682" t="s">
        <v>52</v>
      </c>
      <c r="U682">
        <v>3</v>
      </c>
      <c r="V682" t="s">
        <v>4297</v>
      </c>
      <c r="W682" t="s">
        <v>54</v>
      </c>
      <c r="X682" t="s">
        <v>76</v>
      </c>
      <c r="Y682" t="s">
        <v>125</v>
      </c>
      <c r="Z682">
        <v>8606</v>
      </c>
      <c r="AA682">
        <v>31</v>
      </c>
      <c r="AB682">
        <v>78</v>
      </c>
      <c r="AC682" t="s">
        <v>5556</v>
      </c>
      <c r="AD682" t="s">
        <v>5557</v>
      </c>
      <c r="AE682" t="s">
        <v>5558</v>
      </c>
      <c r="AF682" t="s">
        <v>4438</v>
      </c>
      <c r="AG682" t="s">
        <v>4299</v>
      </c>
      <c r="AH682" t="s">
        <v>4300</v>
      </c>
      <c r="AJ682" s="2">
        <v>45734.443391203706</v>
      </c>
      <c r="AK682" t="s">
        <v>800</v>
      </c>
      <c r="AL682" t="s">
        <v>65</v>
      </c>
      <c r="AM682" s="3">
        <v>1.4097222222222223</v>
      </c>
      <c r="AN682" t="s">
        <v>66</v>
      </c>
      <c r="AO682" t="s">
        <v>67</v>
      </c>
    </row>
    <row r="683" spans="1:41" x14ac:dyDescent="0.2">
      <c r="A683">
        <v>372293</v>
      </c>
      <c r="B683" t="s">
        <v>5559</v>
      </c>
      <c r="C683" t="s">
        <v>69</v>
      </c>
      <c r="D683" t="s">
        <v>5560</v>
      </c>
      <c r="E683" t="s">
        <v>5561</v>
      </c>
      <c r="F683">
        <v>100902</v>
      </c>
      <c r="G683" s="1">
        <v>39251</v>
      </c>
      <c r="H683" s="1">
        <v>45836</v>
      </c>
      <c r="I683" s="1">
        <v>46204</v>
      </c>
      <c r="J683" t="s">
        <v>45</v>
      </c>
      <c r="K683" t="s">
        <v>45</v>
      </c>
      <c r="L683" t="s">
        <v>429</v>
      </c>
      <c r="M683" s="1">
        <v>44469</v>
      </c>
      <c r="N683" t="s">
        <v>47</v>
      </c>
      <c r="O683" t="s">
        <v>48</v>
      </c>
      <c r="P683" t="s">
        <v>49</v>
      </c>
      <c r="Q683" t="s">
        <v>5562</v>
      </c>
      <c r="R683" t="s">
        <v>5563</v>
      </c>
      <c r="S683">
        <v>2690</v>
      </c>
      <c r="T683" t="s">
        <v>365</v>
      </c>
      <c r="U683" t="s">
        <v>532</v>
      </c>
      <c r="V683" t="s">
        <v>4663</v>
      </c>
      <c r="W683" t="s">
        <v>367</v>
      </c>
      <c r="X683" t="s">
        <v>76</v>
      </c>
      <c r="Y683" t="s">
        <v>434</v>
      </c>
      <c r="Z683">
        <v>2571</v>
      </c>
      <c r="AA683">
        <v>45</v>
      </c>
      <c r="AB683">
        <v>160</v>
      </c>
      <c r="AC683" t="s">
        <v>5564</v>
      </c>
      <c r="AD683" t="s">
        <v>4667</v>
      </c>
      <c r="AE683" t="s">
        <v>5565</v>
      </c>
      <c r="AF683" t="s">
        <v>5566</v>
      </c>
      <c r="AG683" t="s">
        <v>5567</v>
      </c>
      <c r="AH683" t="s">
        <v>5568</v>
      </c>
      <c r="AI683" t="s">
        <v>179</v>
      </c>
      <c r="AJ683" s="2">
        <v>45837.777083333334</v>
      </c>
      <c r="AK683" t="s">
        <v>568</v>
      </c>
      <c r="AL683" t="s">
        <v>65</v>
      </c>
      <c r="AM683" s="3">
        <v>2.0763888888888888</v>
      </c>
      <c r="AN683" t="s">
        <v>66</v>
      </c>
      <c r="AO683" t="s">
        <v>67</v>
      </c>
    </row>
    <row r="684" spans="1:41" x14ac:dyDescent="0.2">
      <c r="A684">
        <v>371211</v>
      </c>
      <c r="B684" t="s">
        <v>5559</v>
      </c>
      <c r="C684" t="s">
        <v>345</v>
      </c>
      <c r="D684" t="s">
        <v>1050</v>
      </c>
      <c r="E684" t="s">
        <v>5569</v>
      </c>
      <c r="F684">
        <v>51804</v>
      </c>
      <c r="G684" s="1">
        <v>36999</v>
      </c>
      <c r="H684" s="1">
        <v>45552</v>
      </c>
      <c r="I684" s="1">
        <v>45962</v>
      </c>
      <c r="J684" t="s">
        <v>45</v>
      </c>
      <c r="K684" t="s">
        <v>45</v>
      </c>
      <c r="L684" t="s">
        <v>72</v>
      </c>
      <c r="M684" s="1">
        <v>45552</v>
      </c>
      <c r="N684" t="s">
        <v>47</v>
      </c>
      <c r="O684" t="s">
        <v>48</v>
      </c>
      <c r="P684" t="s">
        <v>49</v>
      </c>
      <c r="Q684" t="s">
        <v>5570</v>
      </c>
      <c r="R684" t="s">
        <v>5571</v>
      </c>
      <c r="S684">
        <v>8081</v>
      </c>
      <c r="T684" t="s">
        <v>52</v>
      </c>
      <c r="U684">
        <v>2</v>
      </c>
      <c r="V684" t="s">
        <v>945</v>
      </c>
      <c r="W684" t="s">
        <v>54</v>
      </c>
      <c r="X684" t="s">
        <v>55</v>
      </c>
      <c r="Y684" t="s">
        <v>56</v>
      </c>
      <c r="Z684">
        <v>1676</v>
      </c>
      <c r="AA684">
        <v>45</v>
      </c>
      <c r="AB684">
        <v>144</v>
      </c>
      <c r="AC684" t="s">
        <v>946</v>
      </c>
      <c r="AD684" t="s">
        <v>947</v>
      </c>
      <c r="AE684" t="s">
        <v>948</v>
      </c>
      <c r="AI684" t="s">
        <v>5572</v>
      </c>
      <c r="AJ684" s="2">
        <v>45798.876516203702</v>
      </c>
      <c r="AK684" t="s">
        <v>650</v>
      </c>
      <c r="AL684" t="s">
        <v>65</v>
      </c>
      <c r="AM684" s="3">
        <v>2.4305555555555554</v>
      </c>
      <c r="AN684" t="s">
        <v>66</v>
      </c>
      <c r="AO684" t="s">
        <v>67</v>
      </c>
    </row>
    <row r="685" spans="1:41" x14ac:dyDescent="0.2">
      <c r="A685">
        <v>368438</v>
      </c>
      <c r="B685" t="s">
        <v>5573</v>
      </c>
      <c r="C685" t="s">
        <v>182</v>
      </c>
      <c r="D685" t="s">
        <v>2153</v>
      </c>
      <c r="E685" t="s">
        <v>5574</v>
      </c>
      <c r="F685">
        <v>43802</v>
      </c>
      <c r="G685" s="1">
        <v>37208</v>
      </c>
      <c r="H685" s="1">
        <v>45710</v>
      </c>
      <c r="J685" t="s">
        <v>45</v>
      </c>
      <c r="K685" t="s">
        <v>72</v>
      </c>
      <c r="L685" t="s">
        <v>72</v>
      </c>
      <c r="M685" s="1">
        <v>39212</v>
      </c>
      <c r="N685" t="s">
        <v>47</v>
      </c>
      <c r="O685" t="s">
        <v>48</v>
      </c>
      <c r="P685" t="s">
        <v>49</v>
      </c>
      <c r="Q685" t="s">
        <v>5575</v>
      </c>
      <c r="R685" t="s">
        <v>5576</v>
      </c>
      <c r="S685">
        <v>327</v>
      </c>
      <c r="T685" t="s">
        <v>92</v>
      </c>
      <c r="U685" t="s">
        <v>187</v>
      </c>
      <c r="V685" t="s">
        <v>447</v>
      </c>
      <c r="W685" t="s">
        <v>448</v>
      </c>
      <c r="X685" t="s">
        <v>92</v>
      </c>
      <c r="Y685" t="s">
        <v>450</v>
      </c>
      <c r="Z685">
        <v>1230</v>
      </c>
      <c r="AA685">
        <v>48</v>
      </c>
      <c r="AB685">
        <v>66</v>
      </c>
      <c r="AC685" t="s">
        <v>451</v>
      </c>
      <c r="AD685" t="s">
        <v>452</v>
      </c>
      <c r="AE685" t="s">
        <v>453</v>
      </c>
      <c r="AF685" t="s">
        <v>454</v>
      </c>
      <c r="AG685" t="s">
        <v>473</v>
      </c>
      <c r="AJ685" s="2">
        <v>45712.681990740741</v>
      </c>
      <c r="AK685" t="s">
        <v>526</v>
      </c>
      <c r="AL685" t="s">
        <v>65</v>
      </c>
      <c r="AM685" s="3">
        <v>1.125</v>
      </c>
      <c r="AN685" t="s">
        <v>66</v>
      </c>
      <c r="AO685" t="s">
        <v>67</v>
      </c>
    </row>
    <row r="686" spans="1:41" x14ac:dyDescent="0.2">
      <c r="A686">
        <v>370758</v>
      </c>
      <c r="B686" t="s">
        <v>5577</v>
      </c>
      <c r="C686" t="s">
        <v>167</v>
      </c>
      <c r="E686" s="5">
        <v>83750700</v>
      </c>
      <c r="F686">
        <v>351813</v>
      </c>
      <c r="G686" s="1">
        <v>37427</v>
      </c>
      <c r="H686" s="1">
        <v>45783</v>
      </c>
      <c r="I686" s="1">
        <v>46143</v>
      </c>
      <c r="J686" t="s">
        <v>45</v>
      </c>
      <c r="K686" t="s">
        <v>45</v>
      </c>
      <c r="L686" t="s">
        <v>72</v>
      </c>
      <c r="M686" s="1">
        <v>42471</v>
      </c>
      <c r="N686" t="s">
        <v>47</v>
      </c>
      <c r="O686" t="s">
        <v>48</v>
      </c>
      <c r="P686" t="s">
        <v>49</v>
      </c>
      <c r="Q686" t="s">
        <v>5578</v>
      </c>
      <c r="R686" t="s">
        <v>5579</v>
      </c>
      <c r="S686">
        <v>308</v>
      </c>
      <c r="T686" t="s">
        <v>156</v>
      </c>
      <c r="U686" t="s">
        <v>4608</v>
      </c>
      <c r="V686" t="s">
        <v>5580</v>
      </c>
      <c r="W686" t="s">
        <v>159</v>
      </c>
      <c r="X686" t="s">
        <v>156</v>
      </c>
      <c r="Y686" t="s">
        <v>110</v>
      </c>
      <c r="Z686">
        <v>2220</v>
      </c>
      <c r="AA686">
        <v>42</v>
      </c>
      <c r="AB686">
        <v>160</v>
      </c>
      <c r="AC686" t="s">
        <v>5581</v>
      </c>
      <c r="AD686" t="s">
        <v>5582</v>
      </c>
      <c r="AE686" t="s">
        <v>5583</v>
      </c>
      <c r="AF686" t="s">
        <v>4613</v>
      </c>
      <c r="AG686" t="s">
        <v>4614</v>
      </c>
      <c r="AH686" t="s">
        <v>4615</v>
      </c>
      <c r="AJ686" s="2">
        <v>45783.875381944446</v>
      </c>
      <c r="AK686" t="s">
        <v>5584</v>
      </c>
      <c r="AL686" t="s">
        <v>65</v>
      </c>
      <c r="AM686" s="3">
        <v>1.8819444444444444</v>
      </c>
      <c r="AN686" t="s">
        <v>66</v>
      </c>
      <c r="AO686" t="s">
        <v>67</v>
      </c>
    </row>
    <row r="687" spans="1:41" x14ac:dyDescent="0.2">
      <c r="A687">
        <v>370419</v>
      </c>
      <c r="B687" t="s">
        <v>5585</v>
      </c>
      <c r="C687" t="s">
        <v>42</v>
      </c>
      <c r="D687" t="s">
        <v>4380</v>
      </c>
      <c r="E687" t="s">
        <v>5586</v>
      </c>
      <c r="F687">
        <v>293004</v>
      </c>
      <c r="G687" s="1">
        <v>37204</v>
      </c>
      <c r="H687" s="1">
        <v>45769</v>
      </c>
      <c r="I687" s="1">
        <v>46127</v>
      </c>
      <c r="J687" t="s">
        <v>45</v>
      </c>
      <c r="K687" t="s">
        <v>45</v>
      </c>
      <c r="L687" t="s">
        <v>429</v>
      </c>
      <c r="M687" s="1">
        <v>43126</v>
      </c>
      <c r="N687" t="s">
        <v>47</v>
      </c>
      <c r="O687" t="s">
        <v>48</v>
      </c>
      <c r="P687" t="s">
        <v>49</v>
      </c>
      <c r="Q687" t="s">
        <v>5587</v>
      </c>
      <c r="R687" t="s">
        <v>5588</v>
      </c>
      <c r="S687">
        <v>9082</v>
      </c>
      <c r="T687" t="s">
        <v>52</v>
      </c>
      <c r="U687">
        <v>3</v>
      </c>
      <c r="V687" t="s">
        <v>5589</v>
      </c>
      <c r="W687" t="s">
        <v>54</v>
      </c>
      <c r="X687" t="s">
        <v>55</v>
      </c>
      <c r="Y687" t="s">
        <v>56</v>
      </c>
      <c r="Z687">
        <v>627</v>
      </c>
      <c r="AA687">
        <v>62</v>
      </c>
      <c r="AB687">
        <v>160</v>
      </c>
      <c r="AC687" t="s">
        <v>5590</v>
      </c>
      <c r="AD687" t="s">
        <v>5591</v>
      </c>
      <c r="AE687" t="s">
        <v>5592</v>
      </c>
      <c r="AI687" t="s">
        <v>1809</v>
      </c>
      <c r="AJ687" s="2">
        <v>45775.730821759258</v>
      </c>
      <c r="AK687" t="s">
        <v>64</v>
      </c>
      <c r="AL687" t="s">
        <v>65</v>
      </c>
      <c r="AM687" s="4">
        <v>0.63888888888888884</v>
      </c>
      <c r="AN687" t="s">
        <v>66</v>
      </c>
      <c r="AO687" t="s">
        <v>67</v>
      </c>
    </row>
    <row r="688" spans="1:41" x14ac:dyDescent="0.2">
      <c r="A688">
        <v>344396</v>
      </c>
      <c r="B688" t="s">
        <v>5593</v>
      </c>
      <c r="C688" t="s">
        <v>345</v>
      </c>
      <c r="D688" t="s">
        <v>2321</v>
      </c>
      <c r="E688" t="s">
        <v>5594</v>
      </c>
      <c r="F688">
        <v>55712</v>
      </c>
      <c r="G688" s="1">
        <v>44880</v>
      </c>
      <c r="H688" s="1">
        <v>44881</v>
      </c>
      <c r="I688" s="1">
        <v>45976</v>
      </c>
      <c r="J688" t="s">
        <v>45</v>
      </c>
      <c r="K688" t="s">
        <v>45</v>
      </c>
      <c r="L688" t="s">
        <v>72</v>
      </c>
      <c r="N688" t="s">
        <v>89</v>
      </c>
      <c r="O688" t="s">
        <v>121</v>
      </c>
      <c r="P688" t="s">
        <v>49</v>
      </c>
      <c r="Q688" t="s">
        <v>5595</v>
      </c>
      <c r="R688" t="s">
        <v>5596</v>
      </c>
      <c r="S688">
        <v>6689</v>
      </c>
      <c r="T688" t="s">
        <v>296</v>
      </c>
      <c r="U688" t="s">
        <v>2674</v>
      </c>
      <c r="V688" t="s">
        <v>5597</v>
      </c>
      <c r="W688" t="s">
        <v>299</v>
      </c>
      <c r="X688" t="s">
        <v>296</v>
      </c>
      <c r="Y688" t="s">
        <v>125</v>
      </c>
      <c r="Z688">
        <v>2943</v>
      </c>
      <c r="AA688">
        <v>60</v>
      </c>
      <c r="AB688">
        <v>160</v>
      </c>
      <c r="AC688" t="s">
        <v>5598</v>
      </c>
      <c r="AD688" t="s">
        <v>5599</v>
      </c>
      <c r="AE688" t="s">
        <v>5600</v>
      </c>
      <c r="AF688" t="s">
        <v>5601</v>
      </c>
      <c r="AG688" t="s">
        <v>5602</v>
      </c>
      <c r="AH688" t="s">
        <v>5603</v>
      </c>
      <c r="AI688" t="s">
        <v>2682</v>
      </c>
      <c r="AJ688" s="2">
        <v>44884.603993055556</v>
      </c>
      <c r="AK688" t="s">
        <v>132</v>
      </c>
      <c r="AL688" t="s">
        <v>65</v>
      </c>
      <c r="AM688" s="3">
        <v>1.4513888888888888</v>
      </c>
      <c r="AN688" t="s">
        <v>66</v>
      </c>
      <c r="AO688" t="s">
        <v>67</v>
      </c>
    </row>
    <row r="689" spans="1:41" x14ac:dyDescent="0.2">
      <c r="A689">
        <v>368968</v>
      </c>
      <c r="B689" t="s">
        <v>5604</v>
      </c>
      <c r="C689" t="s">
        <v>182</v>
      </c>
      <c r="D689" t="s">
        <v>1656</v>
      </c>
      <c r="E689">
        <v>32870096</v>
      </c>
      <c r="F689">
        <v>43210</v>
      </c>
      <c r="G689" s="1">
        <v>37636</v>
      </c>
      <c r="H689" s="1">
        <v>45540</v>
      </c>
      <c r="I689" s="1">
        <v>46157</v>
      </c>
      <c r="J689" t="s">
        <v>45</v>
      </c>
      <c r="K689" t="s">
        <v>45</v>
      </c>
      <c r="L689" t="s">
        <v>46</v>
      </c>
      <c r="M689" s="1">
        <v>44454</v>
      </c>
      <c r="N689" t="s">
        <v>47</v>
      </c>
      <c r="O689" t="s">
        <v>48</v>
      </c>
      <c r="P689" t="s">
        <v>49</v>
      </c>
      <c r="Q689" t="s">
        <v>5605</v>
      </c>
      <c r="R689" t="s">
        <v>5606</v>
      </c>
      <c r="S689">
        <v>6064</v>
      </c>
      <c r="T689" t="s">
        <v>52</v>
      </c>
      <c r="U689">
        <v>5</v>
      </c>
      <c r="V689" t="s">
        <v>5607</v>
      </c>
      <c r="W689" t="s">
        <v>54</v>
      </c>
      <c r="X689" t="s">
        <v>493</v>
      </c>
      <c r="Y689" t="s">
        <v>434</v>
      </c>
      <c r="Z689">
        <v>2080</v>
      </c>
      <c r="AA689">
        <v>66</v>
      </c>
      <c r="AB689">
        <v>160</v>
      </c>
      <c r="AC689" t="s">
        <v>5608</v>
      </c>
      <c r="AD689" t="s">
        <v>5609</v>
      </c>
      <c r="AE689" t="s">
        <v>5610</v>
      </c>
      <c r="AF689" t="s">
        <v>5611</v>
      </c>
      <c r="AG689" t="s">
        <v>5612</v>
      </c>
      <c r="AH689" t="s">
        <v>5613</v>
      </c>
      <c r="AI689" t="s">
        <v>5614</v>
      </c>
      <c r="AJ689" s="2">
        <v>45722.932372685187</v>
      </c>
      <c r="AK689" t="s">
        <v>1472</v>
      </c>
      <c r="AL689" t="s">
        <v>65</v>
      </c>
      <c r="AM689" s="3">
        <v>2.2847222222222223</v>
      </c>
      <c r="AN689" t="s">
        <v>66</v>
      </c>
      <c r="AO689" t="s">
        <v>67</v>
      </c>
    </row>
    <row r="690" spans="1:41" x14ac:dyDescent="0.2">
      <c r="A690">
        <v>371857</v>
      </c>
      <c r="B690" t="s">
        <v>5615</v>
      </c>
      <c r="C690" t="s">
        <v>69</v>
      </c>
      <c r="E690" t="s">
        <v>5616</v>
      </c>
      <c r="F690">
        <v>104007</v>
      </c>
      <c r="G690" s="1">
        <v>42524</v>
      </c>
      <c r="H690" s="1">
        <v>45819</v>
      </c>
      <c r="I690" s="1">
        <v>46174</v>
      </c>
      <c r="J690" t="s">
        <v>45</v>
      </c>
      <c r="K690" t="s">
        <v>45</v>
      </c>
      <c r="L690" t="s">
        <v>46</v>
      </c>
      <c r="M690" s="1">
        <v>42919</v>
      </c>
      <c r="N690" t="s">
        <v>47</v>
      </c>
      <c r="O690" t="s">
        <v>48</v>
      </c>
      <c r="P690" t="s">
        <v>49</v>
      </c>
      <c r="Q690" t="s">
        <v>5617</v>
      </c>
      <c r="R690" t="s">
        <v>5618</v>
      </c>
      <c r="S690">
        <v>7585</v>
      </c>
      <c r="T690" t="s">
        <v>52</v>
      </c>
      <c r="U690">
        <v>4</v>
      </c>
      <c r="V690" t="s">
        <v>5619</v>
      </c>
      <c r="W690" t="s">
        <v>54</v>
      </c>
      <c r="X690" t="s">
        <v>76</v>
      </c>
      <c r="Y690" t="s">
        <v>56</v>
      </c>
      <c r="Z690">
        <v>1362</v>
      </c>
      <c r="AA690">
        <v>73</v>
      </c>
      <c r="AB690">
        <v>204</v>
      </c>
      <c r="AC690" t="s">
        <v>5620</v>
      </c>
      <c r="AD690" t="s">
        <v>5621</v>
      </c>
      <c r="AE690" t="s">
        <v>5622</v>
      </c>
      <c r="AF690" t="s">
        <v>3690</v>
      </c>
      <c r="AG690" t="s">
        <v>3691</v>
      </c>
      <c r="AH690" t="s">
        <v>3692</v>
      </c>
      <c r="AI690" t="s">
        <v>5623</v>
      </c>
      <c r="AJ690" s="2">
        <v>45821.594710648147</v>
      </c>
      <c r="AK690" t="s">
        <v>568</v>
      </c>
      <c r="AL690" t="s">
        <v>65</v>
      </c>
      <c r="AM690" t="s">
        <v>5624</v>
      </c>
      <c r="AN690" t="s">
        <v>66</v>
      </c>
      <c r="AO690" t="s">
        <v>67</v>
      </c>
    </row>
    <row r="691" spans="1:41" x14ac:dyDescent="0.2">
      <c r="A691">
        <v>373003</v>
      </c>
      <c r="B691" t="s">
        <v>5625</v>
      </c>
      <c r="C691" t="s">
        <v>5626</v>
      </c>
      <c r="D691" t="s">
        <v>5627</v>
      </c>
      <c r="E691" t="s">
        <v>5628</v>
      </c>
      <c r="G691" s="1">
        <v>38524</v>
      </c>
      <c r="H691" s="1">
        <v>45617</v>
      </c>
      <c r="I691" s="1">
        <v>45992</v>
      </c>
      <c r="J691" t="s">
        <v>45</v>
      </c>
      <c r="K691" t="s">
        <v>45</v>
      </c>
      <c r="L691" t="s">
        <v>46</v>
      </c>
      <c r="M691" s="1">
        <v>45152</v>
      </c>
      <c r="N691" t="s">
        <v>47</v>
      </c>
      <c r="O691" t="s">
        <v>48</v>
      </c>
      <c r="P691" t="s">
        <v>49</v>
      </c>
      <c r="Q691" t="s">
        <v>5629</v>
      </c>
      <c r="R691" t="s">
        <v>5630</v>
      </c>
      <c r="S691">
        <v>503</v>
      </c>
      <c r="T691" t="s">
        <v>92</v>
      </c>
      <c r="U691" t="s">
        <v>5631</v>
      </c>
      <c r="V691" t="s">
        <v>5632</v>
      </c>
      <c r="W691" t="s">
        <v>5633</v>
      </c>
      <c r="X691" t="s">
        <v>76</v>
      </c>
      <c r="Y691" t="s">
        <v>56</v>
      </c>
      <c r="Z691">
        <v>2723</v>
      </c>
      <c r="AA691">
        <v>34</v>
      </c>
      <c r="AB691">
        <v>45</v>
      </c>
      <c r="AC691" t="s">
        <v>5634</v>
      </c>
      <c r="AD691" t="s">
        <v>5635</v>
      </c>
      <c r="AE691" t="s">
        <v>5636</v>
      </c>
      <c r="AF691" t="s">
        <v>5637</v>
      </c>
      <c r="AG691" t="s">
        <v>5638</v>
      </c>
      <c r="AH691" t="s">
        <v>5639</v>
      </c>
      <c r="AI691" t="s">
        <v>5640</v>
      </c>
      <c r="AJ691" s="2">
        <v>45855.995497685188</v>
      </c>
      <c r="AK691" t="s">
        <v>556</v>
      </c>
      <c r="AL691" t="s">
        <v>65</v>
      </c>
      <c r="AM691" s="4">
        <v>0.55555555555555558</v>
      </c>
      <c r="AN691" t="s">
        <v>66</v>
      </c>
      <c r="AO691" t="s">
        <v>101</v>
      </c>
    </row>
    <row r="692" spans="1:41" x14ac:dyDescent="0.2">
      <c r="A692">
        <v>371751</v>
      </c>
      <c r="B692" t="s">
        <v>5641</v>
      </c>
      <c r="C692" t="s">
        <v>323</v>
      </c>
      <c r="D692" t="s">
        <v>372</v>
      </c>
      <c r="E692" t="s">
        <v>5642</v>
      </c>
      <c r="F692">
        <v>500733</v>
      </c>
      <c r="G692" s="1">
        <v>33403</v>
      </c>
      <c r="H692" s="1">
        <v>45794</v>
      </c>
      <c r="I692" s="1">
        <v>46037</v>
      </c>
      <c r="J692" t="s">
        <v>45</v>
      </c>
      <c r="K692" t="s">
        <v>45</v>
      </c>
      <c r="L692" t="s">
        <v>72</v>
      </c>
      <c r="M692" s="1">
        <v>45423</v>
      </c>
      <c r="N692" t="s">
        <v>47</v>
      </c>
      <c r="O692" t="s">
        <v>48</v>
      </c>
      <c r="P692" t="s">
        <v>49</v>
      </c>
      <c r="Q692" t="s">
        <v>5643</v>
      </c>
      <c r="R692" t="s">
        <v>5644</v>
      </c>
      <c r="S692">
        <v>1310</v>
      </c>
      <c r="T692" t="s">
        <v>156</v>
      </c>
      <c r="U692" t="s">
        <v>460</v>
      </c>
      <c r="V692" t="s">
        <v>330</v>
      </c>
      <c r="W692" t="s">
        <v>159</v>
      </c>
      <c r="X692" t="s">
        <v>76</v>
      </c>
      <c r="Y692" t="s">
        <v>110</v>
      </c>
      <c r="Z692">
        <v>468</v>
      </c>
      <c r="AA692">
        <v>40</v>
      </c>
      <c r="AB692">
        <v>158</v>
      </c>
      <c r="AC692" t="s">
        <v>368</v>
      </c>
      <c r="AD692" t="s">
        <v>369</v>
      </c>
      <c r="AE692" t="s">
        <v>370</v>
      </c>
      <c r="AF692" t="s">
        <v>5645</v>
      </c>
      <c r="AG692" t="s">
        <v>5646</v>
      </c>
      <c r="AH692" t="s">
        <v>5647</v>
      </c>
      <c r="AI692" t="s">
        <v>466</v>
      </c>
      <c r="AJ692" s="2">
        <v>45818.857685185183</v>
      </c>
      <c r="AK692" t="s">
        <v>727</v>
      </c>
      <c r="AL692" t="s">
        <v>65</v>
      </c>
      <c r="AM692" s="4">
        <v>0.75</v>
      </c>
      <c r="AN692" t="s">
        <v>66</v>
      </c>
      <c r="AO692" t="s">
        <v>67</v>
      </c>
    </row>
    <row r="693" spans="1:41" x14ac:dyDescent="0.2">
      <c r="A693">
        <v>361875</v>
      </c>
      <c r="B693" t="s">
        <v>5648</v>
      </c>
      <c r="C693" t="s">
        <v>345</v>
      </c>
      <c r="D693" t="s">
        <v>2607</v>
      </c>
      <c r="E693" t="s">
        <v>5649</v>
      </c>
      <c r="F693">
        <v>53805</v>
      </c>
      <c r="G693" s="1">
        <v>33381</v>
      </c>
      <c r="H693" s="1">
        <v>45461</v>
      </c>
      <c r="I693" s="1">
        <v>46113</v>
      </c>
      <c r="J693" t="s">
        <v>45</v>
      </c>
      <c r="K693" t="s">
        <v>45</v>
      </c>
      <c r="L693" t="s">
        <v>429</v>
      </c>
      <c r="M693" s="1">
        <v>44756</v>
      </c>
      <c r="N693" t="s">
        <v>47</v>
      </c>
      <c r="O693" t="s">
        <v>48</v>
      </c>
      <c r="P693" t="s">
        <v>49</v>
      </c>
      <c r="Q693" t="s">
        <v>5650</v>
      </c>
      <c r="R693" t="s">
        <v>5651</v>
      </c>
      <c r="S693">
        <v>7220</v>
      </c>
      <c r="T693" t="s">
        <v>365</v>
      </c>
      <c r="U693" t="s">
        <v>432</v>
      </c>
      <c r="V693" t="s">
        <v>2611</v>
      </c>
      <c r="W693" t="s">
        <v>367</v>
      </c>
      <c r="X693" t="s">
        <v>55</v>
      </c>
      <c r="Y693" t="s">
        <v>434</v>
      </c>
      <c r="Z693">
        <v>127</v>
      </c>
      <c r="AA693">
        <v>48</v>
      </c>
      <c r="AB693">
        <v>166</v>
      </c>
      <c r="AC693" t="s">
        <v>2612</v>
      </c>
      <c r="AD693" t="s">
        <v>2613</v>
      </c>
      <c r="AE693" t="s">
        <v>2614</v>
      </c>
      <c r="AF693" t="s">
        <v>2615</v>
      </c>
      <c r="AH693" t="s">
        <v>2616</v>
      </c>
      <c r="AI693" t="s">
        <v>179</v>
      </c>
      <c r="AJ693" s="2">
        <v>45468.633194444446</v>
      </c>
      <c r="AK693" t="s">
        <v>64</v>
      </c>
      <c r="AL693" t="s">
        <v>65</v>
      </c>
      <c r="AM693" s="3">
        <v>2.0069444444444446</v>
      </c>
      <c r="AN693" t="s">
        <v>66</v>
      </c>
      <c r="AO693" t="s">
        <v>67</v>
      </c>
    </row>
    <row r="694" spans="1:41" x14ac:dyDescent="0.2">
      <c r="A694">
        <v>372376</v>
      </c>
      <c r="B694" t="s">
        <v>5652</v>
      </c>
      <c r="C694" t="s">
        <v>278</v>
      </c>
      <c r="D694" t="s">
        <v>5653</v>
      </c>
      <c r="E694" t="s">
        <v>5654</v>
      </c>
      <c r="F694">
        <v>422503</v>
      </c>
      <c r="G694" s="1">
        <v>37761</v>
      </c>
      <c r="H694" s="1">
        <v>45833</v>
      </c>
      <c r="I694" s="1">
        <v>46157</v>
      </c>
      <c r="J694" t="s">
        <v>45</v>
      </c>
      <c r="K694" t="s">
        <v>45</v>
      </c>
      <c r="L694" t="s">
        <v>429</v>
      </c>
      <c r="M694" s="1">
        <v>42164</v>
      </c>
      <c r="N694" t="s">
        <v>47</v>
      </c>
      <c r="O694" t="s">
        <v>48</v>
      </c>
      <c r="P694" t="s">
        <v>49</v>
      </c>
      <c r="Q694" t="s">
        <v>5655</v>
      </c>
      <c r="R694" t="s">
        <v>5656</v>
      </c>
      <c r="S694">
        <v>7544</v>
      </c>
      <c r="T694" t="s">
        <v>52</v>
      </c>
      <c r="U694">
        <v>4</v>
      </c>
      <c r="V694" t="s">
        <v>1185</v>
      </c>
      <c r="W694" t="s">
        <v>54</v>
      </c>
      <c r="X694" t="s">
        <v>55</v>
      </c>
      <c r="Y694" t="s">
        <v>56</v>
      </c>
      <c r="Z694">
        <v>2394</v>
      </c>
      <c r="AA694">
        <v>44</v>
      </c>
      <c r="AB694">
        <v>160</v>
      </c>
      <c r="AC694" t="s">
        <v>1186</v>
      </c>
      <c r="AD694" t="s">
        <v>1187</v>
      </c>
      <c r="AE694" t="s">
        <v>1188</v>
      </c>
      <c r="AF694" t="s">
        <v>1189</v>
      </c>
      <c r="AG694" t="s">
        <v>1190</v>
      </c>
      <c r="AH694" t="s">
        <v>1191</v>
      </c>
      <c r="AI694" t="s">
        <v>1192</v>
      </c>
      <c r="AJ694" s="2">
        <v>45838.810497685183</v>
      </c>
      <c r="AK694" t="s">
        <v>307</v>
      </c>
      <c r="AL694" t="s">
        <v>65</v>
      </c>
      <c r="AM694" s="3">
        <v>1.6875</v>
      </c>
      <c r="AN694" t="s">
        <v>66</v>
      </c>
      <c r="AO694" t="s">
        <v>67</v>
      </c>
    </row>
    <row r="695" spans="1:41" x14ac:dyDescent="0.2">
      <c r="A695">
        <v>371098</v>
      </c>
      <c r="B695" t="s">
        <v>5657</v>
      </c>
      <c r="C695" t="s">
        <v>134</v>
      </c>
      <c r="D695" t="s">
        <v>3560</v>
      </c>
      <c r="E695" s="5">
        <v>3246200000</v>
      </c>
      <c r="F695">
        <v>450117</v>
      </c>
      <c r="G695" s="1">
        <v>35566</v>
      </c>
      <c r="H695" s="1">
        <v>45508</v>
      </c>
      <c r="I695" s="1">
        <v>46218</v>
      </c>
      <c r="J695" t="s">
        <v>45</v>
      </c>
      <c r="K695" t="s">
        <v>45</v>
      </c>
      <c r="L695" t="s">
        <v>72</v>
      </c>
      <c r="M695" s="1">
        <v>43202</v>
      </c>
      <c r="N695" t="s">
        <v>47</v>
      </c>
      <c r="O695" t="s">
        <v>48</v>
      </c>
      <c r="P695" t="s">
        <v>49</v>
      </c>
      <c r="Q695" t="s">
        <v>5658</v>
      </c>
      <c r="R695" t="s">
        <v>5659</v>
      </c>
      <c r="S695">
        <v>2400</v>
      </c>
      <c r="T695" t="s">
        <v>52</v>
      </c>
      <c r="U695">
        <v>6</v>
      </c>
      <c r="V695" t="s">
        <v>5660</v>
      </c>
      <c r="W695" t="s">
        <v>54</v>
      </c>
      <c r="X695" t="s">
        <v>76</v>
      </c>
      <c r="Y695" t="s">
        <v>56</v>
      </c>
      <c r="Z695">
        <v>811</v>
      </c>
      <c r="AA695">
        <v>59</v>
      </c>
      <c r="AB695">
        <v>78</v>
      </c>
      <c r="AC695" t="s">
        <v>5661</v>
      </c>
      <c r="AD695" t="s">
        <v>5662</v>
      </c>
      <c r="AE695" t="s">
        <v>5663</v>
      </c>
      <c r="AF695" t="s">
        <v>5664</v>
      </c>
      <c r="AG695" t="s">
        <v>5665</v>
      </c>
      <c r="AH695" t="s">
        <v>5666</v>
      </c>
      <c r="AI695" t="s">
        <v>5667</v>
      </c>
      <c r="AJ695" s="2">
        <v>45796.642164351855</v>
      </c>
      <c r="AK695" t="s">
        <v>132</v>
      </c>
      <c r="AL695" t="s">
        <v>65</v>
      </c>
      <c r="AM695" s="4">
        <v>0.52083333333333337</v>
      </c>
      <c r="AN695" t="s">
        <v>66</v>
      </c>
      <c r="AO695" t="s">
        <v>67</v>
      </c>
    </row>
    <row r="696" spans="1:41" x14ac:dyDescent="0.2">
      <c r="A696">
        <v>372886</v>
      </c>
      <c r="B696" t="s">
        <v>5668</v>
      </c>
      <c r="C696" t="s">
        <v>345</v>
      </c>
      <c r="D696" t="s">
        <v>4835</v>
      </c>
      <c r="E696" t="s">
        <v>5669</v>
      </c>
      <c r="G696" s="1">
        <v>45855</v>
      </c>
      <c r="H696" s="1">
        <v>45845</v>
      </c>
      <c r="I696" s="1">
        <v>46249</v>
      </c>
      <c r="J696" t="s">
        <v>45</v>
      </c>
      <c r="K696" t="s">
        <v>45</v>
      </c>
      <c r="L696" t="s">
        <v>72</v>
      </c>
      <c r="N696" t="s">
        <v>47</v>
      </c>
      <c r="O696" t="s">
        <v>121</v>
      </c>
      <c r="P696" t="s">
        <v>49</v>
      </c>
      <c r="Q696" t="s">
        <v>5670</v>
      </c>
      <c r="R696" t="s">
        <v>5671</v>
      </c>
      <c r="S696">
        <v>6873</v>
      </c>
      <c r="T696" t="s">
        <v>296</v>
      </c>
      <c r="U696" t="s">
        <v>2674</v>
      </c>
      <c r="V696" t="s">
        <v>5672</v>
      </c>
      <c r="W696" t="s">
        <v>299</v>
      </c>
      <c r="X696" t="s">
        <v>296</v>
      </c>
      <c r="Y696" t="s">
        <v>125</v>
      </c>
      <c r="Z696">
        <v>2822</v>
      </c>
      <c r="AA696">
        <v>48</v>
      </c>
      <c r="AB696">
        <v>158</v>
      </c>
      <c r="AC696" t="s">
        <v>5673</v>
      </c>
      <c r="AD696" t="s">
        <v>5674</v>
      </c>
      <c r="AE696" t="s">
        <v>5675</v>
      </c>
      <c r="AI696" t="s">
        <v>2682</v>
      </c>
      <c r="AJ696" s="2">
        <v>45855.749444444446</v>
      </c>
      <c r="AK696" t="s">
        <v>84</v>
      </c>
      <c r="AL696" t="s">
        <v>65</v>
      </c>
      <c r="AM696" s="3">
        <v>1.5069444444444444</v>
      </c>
      <c r="AN696" t="s">
        <v>66</v>
      </c>
      <c r="AO696" t="s">
        <v>67</v>
      </c>
    </row>
    <row r="697" spans="1:41" x14ac:dyDescent="0.2">
      <c r="A697">
        <v>372962</v>
      </c>
      <c r="B697" t="s">
        <v>5676</v>
      </c>
      <c r="C697" t="s">
        <v>1107</v>
      </c>
      <c r="D697" t="s">
        <v>5653</v>
      </c>
      <c r="E697" t="s">
        <v>5677</v>
      </c>
      <c r="F697">
        <v>236501</v>
      </c>
      <c r="G697" s="1">
        <v>40399</v>
      </c>
      <c r="H697" s="1">
        <v>45727</v>
      </c>
      <c r="I697" s="1">
        <v>46096</v>
      </c>
      <c r="J697" t="s">
        <v>45</v>
      </c>
      <c r="K697" t="s">
        <v>45</v>
      </c>
      <c r="L697" t="s">
        <v>46</v>
      </c>
      <c r="M697" s="1">
        <v>44342</v>
      </c>
      <c r="N697" t="s">
        <v>47</v>
      </c>
      <c r="O697" t="s">
        <v>48</v>
      </c>
      <c r="P697" t="s">
        <v>49</v>
      </c>
      <c r="Q697" t="s">
        <v>5678</v>
      </c>
      <c r="R697" t="s">
        <v>5679</v>
      </c>
      <c r="S697">
        <v>1322</v>
      </c>
      <c r="T697" t="s">
        <v>52</v>
      </c>
      <c r="U697">
        <v>9</v>
      </c>
      <c r="V697" t="s">
        <v>1318</v>
      </c>
      <c r="W697" t="s">
        <v>54</v>
      </c>
      <c r="X697" t="s">
        <v>76</v>
      </c>
      <c r="Y697" t="s">
        <v>56</v>
      </c>
      <c r="Z697">
        <v>3326</v>
      </c>
      <c r="AA697">
        <v>32</v>
      </c>
      <c r="AB697">
        <v>15</v>
      </c>
      <c r="AC697" t="s">
        <v>1319</v>
      </c>
      <c r="AD697" t="s">
        <v>1322</v>
      </c>
      <c r="AE697" t="s">
        <v>1321</v>
      </c>
      <c r="AJ697" s="2">
        <v>45855.960069444445</v>
      </c>
      <c r="AK697" t="s">
        <v>556</v>
      </c>
      <c r="AL697" t="s">
        <v>65</v>
      </c>
      <c r="AM697" s="4">
        <v>0.76041666666666663</v>
      </c>
      <c r="AN697" t="s">
        <v>66</v>
      </c>
      <c r="AO697" t="s">
        <v>101</v>
      </c>
    </row>
    <row r="698" spans="1:41" x14ac:dyDescent="0.2">
      <c r="A698">
        <v>368687</v>
      </c>
      <c r="B698" t="s">
        <v>5680</v>
      </c>
      <c r="C698" t="s">
        <v>182</v>
      </c>
      <c r="D698" t="s">
        <v>1628</v>
      </c>
      <c r="E698">
        <v>32657678</v>
      </c>
      <c r="F698">
        <v>41410</v>
      </c>
      <c r="G698" s="1">
        <v>34633</v>
      </c>
      <c r="H698" s="1">
        <v>45713</v>
      </c>
      <c r="I698" s="1">
        <v>46082</v>
      </c>
      <c r="J698" t="s">
        <v>45</v>
      </c>
      <c r="K698" t="s">
        <v>45</v>
      </c>
      <c r="L698" t="s">
        <v>429</v>
      </c>
      <c r="M698" s="1">
        <v>41324</v>
      </c>
      <c r="N698" t="s">
        <v>47</v>
      </c>
      <c r="O698" t="s">
        <v>48</v>
      </c>
      <c r="P698" t="s">
        <v>49</v>
      </c>
      <c r="Q698" t="s">
        <v>5681</v>
      </c>
      <c r="R698" t="s">
        <v>5682</v>
      </c>
      <c r="S698">
        <v>2085</v>
      </c>
      <c r="T698" t="s">
        <v>365</v>
      </c>
      <c r="U698" t="s">
        <v>562</v>
      </c>
      <c r="V698" t="s">
        <v>5248</v>
      </c>
      <c r="W698" t="s">
        <v>367</v>
      </c>
      <c r="X698" t="s">
        <v>493</v>
      </c>
      <c r="Y698" t="s">
        <v>434</v>
      </c>
      <c r="Z698">
        <v>106</v>
      </c>
      <c r="AA698">
        <v>74</v>
      </c>
      <c r="AB698">
        <v>28</v>
      </c>
      <c r="AC698" t="s">
        <v>5683</v>
      </c>
      <c r="AD698" t="s">
        <v>5250</v>
      </c>
      <c r="AE698" t="s">
        <v>5251</v>
      </c>
      <c r="AF698" t="s">
        <v>5684</v>
      </c>
      <c r="AG698" t="s">
        <v>5685</v>
      </c>
      <c r="AH698" t="s">
        <v>5686</v>
      </c>
      <c r="AI698" t="s">
        <v>500</v>
      </c>
      <c r="AJ698" s="2">
        <v>45719.881793981483</v>
      </c>
      <c r="AK698" t="s">
        <v>501</v>
      </c>
      <c r="AL698" t="s">
        <v>65</v>
      </c>
      <c r="AM698" s="3">
        <v>1.5277777777777777</v>
      </c>
      <c r="AN698" t="s">
        <v>66</v>
      </c>
      <c r="AO698" t="s">
        <v>67</v>
      </c>
    </row>
    <row r="699" spans="1:41" x14ac:dyDescent="0.2">
      <c r="A699">
        <v>362544</v>
      </c>
      <c r="B699" t="s">
        <v>5687</v>
      </c>
      <c r="C699" t="s">
        <v>323</v>
      </c>
      <c r="E699" t="s">
        <v>5688</v>
      </c>
      <c r="G699" s="1">
        <v>39552</v>
      </c>
      <c r="H699" s="1">
        <v>45474</v>
      </c>
      <c r="I699" s="1">
        <v>46037</v>
      </c>
      <c r="J699" t="s">
        <v>45</v>
      </c>
      <c r="K699" t="s">
        <v>326</v>
      </c>
      <c r="L699" t="s">
        <v>72</v>
      </c>
      <c r="M699" s="1">
        <v>45083</v>
      </c>
      <c r="N699" t="s">
        <v>47</v>
      </c>
      <c r="O699" t="s">
        <v>48</v>
      </c>
      <c r="P699" t="s">
        <v>1752</v>
      </c>
      <c r="Q699" t="s">
        <v>5689</v>
      </c>
      <c r="R699" t="s">
        <v>5690</v>
      </c>
      <c r="S699">
        <v>1567</v>
      </c>
      <c r="T699" t="s">
        <v>257</v>
      </c>
      <c r="U699" t="s">
        <v>329</v>
      </c>
      <c r="V699" t="s">
        <v>5691</v>
      </c>
      <c r="W699" t="s">
        <v>260</v>
      </c>
      <c r="X699" t="s">
        <v>257</v>
      </c>
      <c r="Y699" t="s">
        <v>110</v>
      </c>
      <c r="Z699">
        <v>2957</v>
      </c>
      <c r="AA699">
        <v>33</v>
      </c>
      <c r="AB699">
        <v>166</v>
      </c>
      <c r="AC699" t="s">
        <v>4991</v>
      </c>
      <c r="AD699" t="s">
        <v>4992</v>
      </c>
      <c r="AE699" t="s">
        <v>4993</v>
      </c>
      <c r="AF699" t="s">
        <v>4994</v>
      </c>
      <c r="AG699" t="s">
        <v>4995</v>
      </c>
      <c r="AH699" t="s">
        <v>5692</v>
      </c>
      <c r="AI699" t="s">
        <v>4997</v>
      </c>
      <c r="AJ699" s="2">
        <v>45489.973263888889</v>
      </c>
      <c r="AK699" t="s">
        <v>5693</v>
      </c>
      <c r="AL699" t="s">
        <v>1168</v>
      </c>
      <c r="AM699" s="4">
        <v>0.19444444444444445</v>
      </c>
      <c r="AN699" t="s">
        <v>66</v>
      </c>
      <c r="AO699" t="s">
        <v>67</v>
      </c>
    </row>
    <row r="700" spans="1:41" x14ac:dyDescent="0.2">
      <c r="A700">
        <v>368742</v>
      </c>
      <c r="B700" t="s">
        <v>5694</v>
      </c>
      <c r="C700" t="s">
        <v>2298</v>
      </c>
      <c r="D700" t="s">
        <v>5695</v>
      </c>
      <c r="E700" t="s">
        <v>5696</v>
      </c>
      <c r="F700">
        <v>226502</v>
      </c>
      <c r="G700" s="1">
        <v>37965</v>
      </c>
      <c r="H700" s="1">
        <v>45706</v>
      </c>
      <c r="J700" t="s">
        <v>45</v>
      </c>
      <c r="K700" t="s">
        <v>45</v>
      </c>
      <c r="L700" t="s">
        <v>72</v>
      </c>
      <c r="M700" s="1">
        <v>42309</v>
      </c>
      <c r="N700" t="s">
        <v>47</v>
      </c>
      <c r="O700" t="s">
        <v>48</v>
      </c>
      <c r="P700" t="s">
        <v>49</v>
      </c>
      <c r="Q700" t="s">
        <v>5697</v>
      </c>
      <c r="R700" t="s">
        <v>5698</v>
      </c>
      <c r="S700">
        <v>290</v>
      </c>
      <c r="T700" t="s">
        <v>92</v>
      </c>
      <c r="U700" t="s">
        <v>5509</v>
      </c>
      <c r="V700" t="s">
        <v>5510</v>
      </c>
      <c r="W700" t="s">
        <v>5511</v>
      </c>
      <c r="X700" t="s">
        <v>52</v>
      </c>
      <c r="Y700" t="s">
        <v>770</v>
      </c>
      <c r="Z700">
        <v>2439</v>
      </c>
      <c r="AA700">
        <v>32</v>
      </c>
      <c r="AB700">
        <v>144</v>
      </c>
      <c r="AC700" t="s">
        <v>5512</v>
      </c>
      <c r="AD700" t="s">
        <v>5513</v>
      </c>
      <c r="AE700" t="s">
        <v>5514</v>
      </c>
      <c r="AF700" t="s">
        <v>5515</v>
      </c>
      <c r="AG700" t="s">
        <v>5516</v>
      </c>
      <c r="AH700" t="s">
        <v>5517</v>
      </c>
      <c r="AI700" t="s">
        <v>5518</v>
      </c>
      <c r="AJ700" s="2">
        <v>45824.58525462963</v>
      </c>
      <c r="AK700" t="s">
        <v>5519</v>
      </c>
      <c r="AL700" t="s">
        <v>65</v>
      </c>
      <c r="AM700" s="4">
        <v>0.40972222222222221</v>
      </c>
      <c r="AN700" t="s">
        <v>66</v>
      </c>
      <c r="AO700" t="s">
        <v>67</v>
      </c>
    </row>
    <row r="701" spans="1:41" x14ac:dyDescent="0.2">
      <c r="A701">
        <v>367673</v>
      </c>
      <c r="B701" t="s">
        <v>5694</v>
      </c>
      <c r="C701" t="s">
        <v>1000</v>
      </c>
      <c r="D701" t="s">
        <v>5699</v>
      </c>
      <c r="E701" t="s">
        <v>5700</v>
      </c>
      <c r="F701">
        <v>405801</v>
      </c>
      <c r="G701" s="1">
        <v>43453</v>
      </c>
      <c r="H701" s="1">
        <v>45616</v>
      </c>
      <c r="J701" t="s">
        <v>45</v>
      </c>
      <c r="K701" t="s">
        <v>45</v>
      </c>
      <c r="L701" t="s">
        <v>72</v>
      </c>
      <c r="M701" s="1">
        <v>45616</v>
      </c>
      <c r="N701" t="s">
        <v>47</v>
      </c>
      <c r="O701" t="s">
        <v>48</v>
      </c>
      <c r="P701" t="s">
        <v>49</v>
      </c>
      <c r="Q701" t="s">
        <v>5701</v>
      </c>
      <c r="R701" t="s">
        <v>5702</v>
      </c>
      <c r="S701">
        <v>280</v>
      </c>
      <c r="T701" t="s">
        <v>92</v>
      </c>
      <c r="U701" t="s">
        <v>1005</v>
      </c>
      <c r="V701" t="s">
        <v>590</v>
      </c>
      <c r="W701" t="s">
        <v>1006</v>
      </c>
      <c r="X701" t="s">
        <v>52</v>
      </c>
      <c r="Y701" t="s">
        <v>450</v>
      </c>
      <c r="Z701">
        <v>9866</v>
      </c>
      <c r="AA701">
        <v>18</v>
      </c>
      <c r="AB701">
        <v>45</v>
      </c>
      <c r="AC701" t="s">
        <v>4136</v>
      </c>
      <c r="AD701" t="s">
        <v>4137</v>
      </c>
      <c r="AE701" t="s">
        <v>4138</v>
      </c>
      <c r="AI701" t="s">
        <v>1010</v>
      </c>
      <c r="AJ701" s="2">
        <v>45686.254050925927</v>
      </c>
      <c r="AK701" t="s">
        <v>1011</v>
      </c>
      <c r="AL701" t="s">
        <v>65</v>
      </c>
      <c r="AM701" s="4">
        <v>0.81944444444444442</v>
      </c>
      <c r="AN701" t="s">
        <v>66</v>
      </c>
      <c r="AO701" t="s">
        <v>67</v>
      </c>
    </row>
    <row r="702" spans="1:41" x14ac:dyDescent="0.2">
      <c r="A702">
        <v>371639</v>
      </c>
      <c r="B702" t="s">
        <v>5703</v>
      </c>
      <c r="C702" t="s">
        <v>692</v>
      </c>
      <c r="D702" t="s">
        <v>3495</v>
      </c>
      <c r="E702" t="s">
        <v>5704</v>
      </c>
      <c r="F702">
        <v>482011</v>
      </c>
      <c r="G702" s="1">
        <v>32358</v>
      </c>
      <c r="H702" s="1">
        <v>45587</v>
      </c>
      <c r="I702" s="1">
        <v>46296</v>
      </c>
      <c r="J702" t="s">
        <v>45</v>
      </c>
      <c r="K702" t="s">
        <v>45</v>
      </c>
      <c r="L702" t="s">
        <v>72</v>
      </c>
      <c r="M702" s="1">
        <v>42228</v>
      </c>
      <c r="N702" t="s">
        <v>47</v>
      </c>
      <c r="O702" t="s">
        <v>48</v>
      </c>
      <c r="P702" t="s">
        <v>49</v>
      </c>
      <c r="Q702" t="s">
        <v>5705</v>
      </c>
      <c r="R702" t="s">
        <v>5706</v>
      </c>
      <c r="S702">
        <v>7234</v>
      </c>
      <c r="T702" t="s">
        <v>365</v>
      </c>
      <c r="U702" t="s">
        <v>432</v>
      </c>
      <c r="V702" t="s">
        <v>5707</v>
      </c>
      <c r="W702" t="s">
        <v>367</v>
      </c>
      <c r="X702" t="s">
        <v>76</v>
      </c>
      <c r="Y702" t="s">
        <v>434</v>
      </c>
      <c r="Z702">
        <v>380</v>
      </c>
      <c r="AA702">
        <v>57</v>
      </c>
      <c r="AB702">
        <v>158</v>
      </c>
      <c r="AC702" t="s">
        <v>5708</v>
      </c>
      <c r="AD702" t="s">
        <v>5709</v>
      </c>
      <c r="AE702" t="s">
        <v>5710</v>
      </c>
      <c r="AF702" t="s">
        <v>697</v>
      </c>
      <c r="AG702" t="s">
        <v>5711</v>
      </c>
      <c r="AH702" t="s">
        <v>699</v>
      </c>
      <c r="AI702" t="s">
        <v>5712</v>
      </c>
      <c r="AJ702" s="2">
        <v>45817.776898148149</v>
      </c>
      <c r="AK702" t="s">
        <v>132</v>
      </c>
      <c r="AL702" t="s">
        <v>65</v>
      </c>
      <c r="AM702" s="3">
        <v>1.8194444444444444</v>
      </c>
      <c r="AN702" t="s">
        <v>66</v>
      </c>
      <c r="AO702" t="s">
        <v>67</v>
      </c>
    </row>
    <row r="703" spans="1:41" x14ac:dyDescent="0.2">
      <c r="A703">
        <v>372326</v>
      </c>
      <c r="B703" t="s">
        <v>5703</v>
      </c>
      <c r="C703" t="s">
        <v>735</v>
      </c>
      <c r="D703" t="s">
        <v>1483</v>
      </c>
      <c r="E703" t="s">
        <v>5713</v>
      </c>
      <c r="F703">
        <v>243906</v>
      </c>
      <c r="G703" s="1">
        <v>40347</v>
      </c>
      <c r="H703" s="1">
        <v>45835</v>
      </c>
      <c r="I703" s="1">
        <v>46174</v>
      </c>
      <c r="J703" t="s">
        <v>45</v>
      </c>
      <c r="K703" t="s">
        <v>45</v>
      </c>
      <c r="L703" t="s">
        <v>72</v>
      </c>
      <c r="M703" s="1">
        <v>44585</v>
      </c>
      <c r="N703" t="s">
        <v>47</v>
      </c>
      <c r="O703" t="s">
        <v>48</v>
      </c>
      <c r="P703" t="s">
        <v>49</v>
      </c>
      <c r="Q703" t="s">
        <v>5714</v>
      </c>
      <c r="R703" t="s">
        <v>5715</v>
      </c>
      <c r="S703">
        <v>3228</v>
      </c>
      <c r="T703" t="s">
        <v>365</v>
      </c>
      <c r="U703" t="s">
        <v>969</v>
      </c>
      <c r="V703" t="s">
        <v>2473</v>
      </c>
      <c r="W703" t="s">
        <v>367</v>
      </c>
      <c r="X703" t="s">
        <v>76</v>
      </c>
      <c r="Y703" t="s">
        <v>434</v>
      </c>
      <c r="Z703">
        <v>1512</v>
      </c>
      <c r="AA703">
        <v>64</v>
      </c>
      <c r="AB703">
        <v>160</v>
      </c>
      <c r="AC703" t="s">
        <v>2474</v>
      </c>
      <c r="AD703" t="s">
        <v>2475</v>
      </c>
      <c r="AE703" t="s">
        <v>2477</v>
      </c>
      <c r="AI703" t="s">
        <v>179</v>
      </c>
      <c r="AJ703" s="2">
        <v>45838.579097222224</v>
      </c>
      <c r="AK703" t="s">
        <v>540</v>
      </c>
      <c r="AL703" t="s">
        <v>65</v>
      </c>
      <c r="AM703" s="4">
        <v>0.89583333333333337</v>
      </c>
      <c r="AN703" t="s">
        <v>66</v>
      </c>
      <c r="AO703" t="s">
        <v>67</v>
      </c>
    </row>
    <row r="704" spans="1:41" x14ac:dyDescent="0.2">
      <c r="A704">
        <v>371221</v>
      </c>
      <c r="B704" t="s">
        <v>5716</v>
      </c>
      <c r="C704" t="s">
        <v>103</v>
      </c>
      <c r="D704" t="s">
        <v>5717</v>
      </c>
      <c r="E704" t="s">
        <v>5718</v>
      </c>
      <c r="F704">
        <v>313903</v>
      </c>
      <c r="G704" s="1">
        <v>38800</v>
      </c>
      <c r="H704" s="1">
        <v>45794</v>
      </c>
      <c r="I704" s="1">
        <v>46143</v>
      </c>
      <c r="J704" t="s">
        <v>45</v>
      </c>
      <c r="K704" t="s">
        <v>45</v>
      </c>
      <c r="L704" t="s">
        <v>46</v>
      </c>
      <c r="N704" t="s">
        <v>47</v>
      </c>
      <c r="O704" t="s">
        <v>48</v>
      </c>
      <c r="P704" t="s">
        <v>49</v>
      </c>
      <c r="Q704" t="s">
        <v>5719</v>
      </c>
      <c r="R704" t="s">
        <v>5720</v>
      </c>
      <c r="S704">
        <v>2059</v>
      </c>
      <c r="T704" t="s">
        <v>296</v>
      </c>
      <c r="U704" t="s">
        <v>3410</v>
      </c>
      <c r="V704" t="s">
        <v>5721</v>
      </c>
      <c r="W704" t="s">
        <v>299</v>
      </c>
      <c r="X704" t="s">
        <v>76</v>
      </c>
      <c r="Y704" t="s">
        <v>56</v>
      </c>
      <c r="Z704">
        <v>2578</v>
      </c>
      <c r="AA704">
        <v>47</v>
      </c>
      <c r="AB704">
        <v>15</v>
      </c>
      <c r="AC704" t="s">
        <v>3415</v>
      </c>
      <c r="AD704" t="s">
        <v>3416</v>
      </c>
      <c r="AE704" t="s">
        <v>3417</v>
      </c>
      <c r="AF704" t="s">
        <v>5722</v>
      </c>
      <c r="AG704" t="s">
        <v>5723</v>
      </c>
      <c r="AH704" t="s">
        <v>5724</v>
      </c>
      <c r="AI704" t="s">
        <v>3418</v>
      </c>
      <c r="AJ704" s="2">
        <v>45798.917523148149</v>
      </c>
      <c r="AK704" t="s">
        <v>717</v>
      </c>
      <c r="AL704" t="s">
        <v>65</v>
      </c>
      <c r="AM704" s="4">
        <v>0.71180555555555558</v>
      </c>
      <c r="AN704" t="s">
        <v>66</v>
      </c>
      <c r="AO704" t="s">
        <v>101</v>
      </c>
    </row>
    <row r="705" spans="1:41" x14ac:dyDescent="0.2">
      <c r="A705">
        <v>369710</v>
      </c>
      <c r="B705" t="s">
        <v>5725</v>
      </c>
      <c r="C705" t="s">
        <v>676</v>
      </c>
      <c r="D705" t="s">
        <v>5726</v>
      </c>
      <c r="E705" t="s">
        <v>5727</v>
      </c>
      <c r="F705">
        <v>280051</v>
      </c>
      <c r="G705" s="1">
        <v>38133</v>
      </c>
      <c r="H705" s="1">
        <v>45576</v>
      </c>
      <c r="I705" s="1">
        <v>45931</v>
      </c>
      <c r="J705" t="s">
        <v>45</v>
      </c>
      <c r="K705" t="s">
        <v>45</v>
      </c>
      <c r="L705" t="s">
        <v>72</v>
      </c>
      <c r="M705" s="1">
        <v>45749</v>
      </c>
      <c r="N705" t="s">
        <v>47</v>
      </c>
      <c r="O705" t="s">
        <v>48</v>
      </c>
      <c r="P705" t="s">
        <v>49</v>
      </c>
      <c r="Q705" t="s">
        <v>5728</v>
      </c>
      <c r="R705" t="s">
        <v>5729</v>
      </c>
      <c r="S705">
        <v>180</v>
      </c>
      <c r="T705" t="s">
        <v>92</v>
      </c>
      <c r="U705" t="s">
        <v>681</v>
      </c>
      <c r="V705" t="s">
        <v>682</v>
      </c>
      <c r="W705" t="s">
        <v>683</v>
      </c>
      <c r="X705" t="s">
        <v>52</v>
      </c>
      <c r="Y705" t="s">
        <v>110</v>
      </c>
      <c r="Z705">
        <v>2401</v>
      </c>
      <c r="AA705">
        <v>46</v>
      </c>
      <c r="AB705">
        <v>174</v>
      </c>
      <c r="AC705" t="s">
        <v>684</v>
      </c>
      <c r="AD705" t="s">
        <v>685</v>
      </c>
      <c r="AE705" t="s">
        <v>686</v>
      </c>
      <c r="AF705" t="s">
        <v>687</v>
      </c>
      <c r="AG705" t="s">
        <v>688</v>
      </c>
      <c r="AH705" t="s">
        <v>689</v>
      </c>
      <c r="AI705" t="s">
        <v>690</v>
      </c>
      <c r="AJ705" s="2">
        <v>45749.738541666666</v>
      </c>
      <c r="AK705" t="s">
        <v>684</v>
      </c>
      <c r="AL705" t="s">
        <v>65</v>
      </c>
      <c r="AM705" s="4">
        <v>0.41666666666666669</v>
      </c>
      <c r="AN705" t="s">
        <v>66</v>
      </c>
      <c r="AO705" t="s">
        <v>67</v>
      </c>
    </row>
    <row r="706" spans="1:41" x14ac:dyDescent="0.2">
      <c r="A706">
        <v>371121</v>
      </c>
      <c r="B706" t="s">
        <v>5730</v>
      </c>
      <c r="C706" t="s">
        <v>42</v>
      </c>
      <c r="D706" t="s">
        <v>2670</v>
      </c>
      <c r="E706" t="s">
        <v>5731</v>
      </c>
      <c r="F706">
        <v>290202</v>
      </c>
      <c r="G706" s="1">
        <v>35284</v>
      </c>
      <c r="H706" s="1">
        <v>45792</v>
      </c>
      <c r="I706" s="1">
        <v>46143</v>
      </c>
      <c r="J706" t="s">
        <v>45</v>
      </c>
      <c r="K706" t="s">
        <v>45</v>
      </c>
      <c r="L706" t="s">
        <v>429</v>
      </c>
      <c r="N706" t="s">
        <v>47</v>
      </c>
      <c r="O706" t="s">
        <v>48</v>
      </c>
      <c r="P706" t="s">
        <v>49</v>
      </c>
      <c r="Q706" t="s">
        <v>5732</v>
      </c>
      <c r="R706" t="s">
        <v>5733</v>
      </c>
      <c r="S706">
        <v>8704</v>
      </c>
      <c r="T706" t="s">
        <v>52</v>
      </c>
      <c r="U706">
        <v>3</v>
      </c>
      <c r="V706" t="s">
        <v>1759</v>
      </c>
      <c r="W706" t="s">
        <v>54</v>
      </c>
      <c r="X706" t="s">
        <v>55</v>
      </c>
      <c r="Y706" t="s">
        <v>56</v>
      </c>
      <c r="Z706">
        <v>536</v>
      </c>
      <c r="AA706">
        <v>57</v>
      </c>
      <c r="AB706">
        <v>144</v>
      </c>
      <c r="AC706" t="s">
        <v>5734</v>
      </c>
      <c r="AD706" t="s">
        <v>1761</v>
      </c>
      <c r="AE706" t="s">
        <v>1762</v>
      </c>
      <c r="AF706" t="s">
        <v>1763</v>
      </c>
      <c r="AG706" t="s">
        <v>1764</v>
      </c>
      <c r="AH706" t="s">
        <v>1765</v>
      </c>
      <c r="AI706" t="s">
        <v>1809</v>
      </c>
      <c r="AJ706" s="2">
        <v>45796.77820601852</v>
      </c>
      <c r="AK706" t="s">
        <v>609</v>
      </c>
      <c r="AL706" t="s">
        <v>65</v>
      </c>
      <c r="AM706" s="3">
        <v>2.0347222222222223</v>
      </c>
      <c r="AN706" t="s">
        <v>66</v>
      </c>
      <c r="AO706" t="s">
        <v>67</v>
      </c>
    </row>
    <row r="707" spans="1:41" x14ac:dyDescent="0.2">
      <c r="A707">
        <v>364161</v>
      </c>
      <c r="B707" t="s">
        <v>5730</v>
      </c>
      <c r="C707" t="s">
        <v>182</v>
      </c>
      <c r="D707" t="s">
        <v>4385</v>
      </c>
      <c r="E707" t="s">
        <v>5735</v>
      </c>
      <c r="F707">
        <v>40917</v>
      </c>
      <c r="G707" s="1">
        <v>37636</v>
      </c>
      <c r="H707" s="1">
        <v>45526</v>
      </c>
      <c r="I707" s="1">
        <v>46249</v>
      </c>
      <c r="J707" t="s">
        <v>45</v>
      </c>
      <c r="K707" t="s">
        <v>45</v>
      </c>
      <c r="L707" t="s">
        <v>72</v>
      </c>
      <c r="M707" s="1">
        <v>41447</v>
      </c>
      <c r="N707" t="s">
        <v>47</v>
      </c>
      <c r="O707" t="s">
        <v>48</v>
      </c>
      <c r="P707" t="s">
        <v>49</v>
      </c>
      <c r="Q707" t="s">
        <v>5736</v>
      </c>
      <c r="R707" t="s">
        <v>5737</v>
      </c>
      <c r="S707">
        <v>5570</v>
      </c>
      <c r="T707" t="s">
        <v>52</v>
      </c>
      <c r="U707">
        <v>5</v>
      </c>
      <c r="V707" t="s">
        <v>4509</v>
      </c>
      <c r="W707" t="s">
        <v>54</v>
      </c>
      <c r="X707" t="s">
        <v>493</v>
      </c>
      <c r="Y707" t="s">
        <v>434</v>
      </c>
      <c r="Z707">
        <v>2296</v>
      </c>
      <c r="AA707">
        <v>51</v>
      </c>
      <c r="AB707">
        <v>160</v>
      </c>
      <c r="AC707" t="s">
        <v>5738</v>
      </c>
      <c r="AD707" t="s">
        <v>5739</v>
      </c>
      <c r="AE707" t="s">
        <v>5740</v>
      </c>
      <c r="AF707" t="s">
        <v>5741</v>
      </c>
      <c r="AG707" t="s">
        <v>5742</v>
      </c>
      <c r="AH707" t="s">
        <v>5743</v>
      </c>
      <c r="AI707" t="s">
        <v>5744</v>
      </c>
      <c r="AJ707" s="2">
        <v>45533.920960648145</v>
      </c>
      <c r="AK707" t="s">
        <v>375</v>
      </c>
      <c r="AL707" t="s">
        <v>65</v>
      </c>
      <c r="AM707" s="3">
        <v>2.4583333333333335</v>
      </c>
      <c r="AN707" t="s">
        <v>66</v>
      </c>
      <c r="AO707" t="s">
        <v>67</v>
      </c>
    </row>
    <row r="708" spans="1:41" x14ac:dyDescent="0.2">
      <c r="A708">
        <v>372352</v>
      </c>
      <c r="B708" t="s">
        <v>5745</v>
      </c>
      <c r="C708" t="s">
        <v>692</v>
      </c>
      <c r="D708" t="s">
        <v>1419</v>
      </c>
      <c r="E708">
        <v>33354602</v>
      </c>
      <c r="F708">
        <v>480709</v>
      </c>
      <c r="G708" s="1">
        <v>38175</v>
      </c>
      <c r="H708" s="1">
        <v>45834</v>
      </c>
      <c r="I708" s="1">
        <v>46188</v>
      </c>
      <c r="J708" t="s">
        <v>45</v>
      </c>
      <c r="K708" t="s">
        <v>45</v>
      </c>
      <c r="L708" t="s">
        <v>72</v>
      </c>
      <c r="M708" s="1">
        <v>45222</v>
      </c>
      <c r="N708" t="s">
        <v>47</v>
      </c>
      <c r="O708" t="s">
        <v>48</v>
      </c>
      <c r="P708" t="s">
        <v>49</v>
      </c>
      <c r="Q708" t="s">
        <v>5746</v>
      </c>
      <c r="R708" t="s">
        <v>5747</v>
      </c>
      <c r="S708">
        <v>6830</v>
      </c>
      <c r="T708" t="s">
        <v>52</v>
      </c>
      <c r="U708">
        <v>4</v>
      </c>
      <c r="V708" t="s">
        <v>75</v>
      </c>
      <c r="W708" t="s">
        <v>54</v>
      </c>
      <c r="X708" t="s">
        <v>76</v>
      </c>
      <c r="Y708" t="s">
        <v>56</v>
      </c>
      <c r="Z708">
        <v>2482</v>
      </c>
      <c r="AA708">
        <v>40</v>
      </c>
      <c r="AB708">
        <v>160</v>
      </c>
      <c r="AC708" t="s">
        <v>77</v>
      </c>
      <c r="AD708" t="s">
        <v>78</v>
      </c>
      <c r="AE708" t="s">
        <v>5748</v>
      </c>
      <c r="AF708" t="s">
        <v>80</v>
      </c>
      <c r="AG708" t="s">
        <v>81</v>
      </c>
      <c r="AH708" t="s">
        <v>82</v>
      </c>
      <c r="AI708" t="s">
        <v>83</v>
      </c>
      <c r="AJ708" s="2">
        <v>45838.72552083333</v>
      </c>
      <c r="AK708" t="s">
        <v>1999</v>
      </c>
      <c r="AL708" t="s">
        <v>65</v>
      </c>
      <c r="AM708" s="4">
        <v>0.15277777777777779</v>
      </c>
      <c r="AN708" t="s">
        <v>66</v>
      </c>
      <c r="AO708" t="s">
        <v>67</v>
      </c>
    </row>
    <row r="709" spans="1:41" x14ac:dyDescent="0.2">
      <c r="A709">
        <v>370295</v>
      </c>
      <c r="B709" t="s">
        <v>5749</v>
      </c>
      <c r="C709" t="s">
        <v>558</v>
      </c>
      <c r="D709" t="s">
        <v>1849</v>
      </c>
      <c r="E709" t="s">
        <v>5750</v>
      </c>
      <c r="F709">
        <v>261603</v>
      </c>
      <c r="G709" s="1">
        <v>31706</v>
      </c>
      <c r="H709" s="1">
        <v>45769</v>
      </c>
      <c r="I709" s="1">
        <v>46113</v>
      </c>
      <c r="J709" t="s">
        <v>45</v>
      </c>
      <c r="K709" t="s">
        <v>45</v>
      </c>
      <c r="L709" t="s">
        <v>429</v>
      </c>
      <c r="M709" s="1">
        <v>42928</v>
      </c>
      <c r="N709" t="s">
        <v>47</v>
      </c>
      <c r="O709" t="s">
        <v>48</v>
      </c>
      <c r="P709" t="s">
        <v>49</v>
      </c>
      <c r="Q709" t="s">
        <v>5751</v>
      </c>
      <c r="R709" t="s">
        <v>5752</v>
      </c>
      <c r="S709">
        <v>5770</v>
      </c>
      <c r="T709" t="s">
        <v>365</v>
      </c>
      <c r="U709" t="s">
        <v>562</v>
      </c>
      <c r="V709" t="s">
        <v>563</v>
      </c>
      <c r="W709" t="s">
        <v>367</v>
      </c>
      <c r="X709" t="s">
        <v>76</v>
      </c>
      <c r="Y709" t="s">
        <v>434</v>
      </c>
      <c r="Z709">
        <v>267</v>
      </c>
      <c r="AA709">
        <v>56</v>
      </c>
      <c r="AB709">
        <v>166</v>
      </c>
      <c r="AC709" t="s">
        <v>564</v>
      </c>
      <c r="AD709" t="s">
        <v>565</v>
      </c>
      <c r="AE709" t="s">
        <v>566</v>
      </c>
      <c r="AI709" t="s">
        <v>567</v>
      </c>
      <c r="AJ709" s="2">
        <v>45770.139074074075</v>
      </c>
      <c r="AK709" t="s">
        <v>568</v>
      </c>
      <c r="AL709" t="s">
        <v>65</v>
      </c>
      <c r="AM709" s="3">
        <v>1.75</v>
      </c>
      <c r="AN709" t="s">
        <v>66</v>
      </c>
      <c r="AO709" t="s">
        <v>67</v>
      </c>
    </row>
    <row r="710" spans="1:41" x14ac:dyDescent="0.2">
      <c r="A710">
        <v>369688</v>
      </c>
      <c r="B710" t="s">
        <v>5753</v>
      </c>
      <c r="C710" t="s">
        <v>1887</v>
      </c>
      <c r="D710" t="s">
        <v>5754</v>
      </c>
      <c r="E710" t="s">
        <v>5755</v>
      </c>
      <c r="F710">
        <v>119001</v>
      </c>
      <c r="G710" s="1">
        <v>37561</v>
      </c>
      <c r="H710" s="1">
        <v>45749</v>
      </c>
      <c r="I710" s="1">
        <v>46037</v>
      </c>
      <c r="J710" t="s">
        <v>45</v>
      </c>
      <c r="K710" t="s">
        <v>45</v>
      </c>
      <c r="L710" t="s">
        <v>72</v>
      </c>
      <c r="M710" s="1">
        <v>44862</v>
      </c>
      <c r="N710" t="s">
        <v>47</v>
      </c>
      <c r="O710" t="s">
        <v>48</v>
      </c>
      <c r="P710" t="s">
        <v>49</v>
      </c>
      <c r="Q710" t="s">
        <v>5756</v>
      </c>
      <c r="R710" t="s">
        <v>5757</v>
      </c>
      <c r="S710">
        <v>450</v>
      </c>
      <c r="T710" t="s">
        <v>156</v>
      </c>
      <c r="U710" t="s">
        <v>241</v>
      </c>
      <c r="V710" t="s">
        <v>5758</v>
      </c>
      <c r="W710" t="s">
        <v>159</v>
      </c>
      <c r="X710" t="s">
        <v>156</v>
      </c>
      <c r="Y710" t="s">
        <v>110</v>
      </c>
      <c r="Z710">
        <v>2328</v>
      </c>
      <c r="AA710">
        <v>32</v>
      </c>
      <c r="AB710">
        <v>45</v>
      </c>
      <c r="AC710" t="s">
        <v>5759</v>
      </c>
      <c r="AD710" t="s">
        <v>5760</v>
      </c>
      <c r="AE710" t="s">
        <v>5761</v>
      </c>
      <c r="AF710" t="s">
        <v>5762</v>
      </c>
      <c r="AG710" t="s">
        <v>5763</v>
      </c>
      <c r="AH710" t="s">
        <v>5764</v>
      </c>
      <c r="AI710" t="s">
        <v>2419</v>
      </c>
      <c r="AJ710" s="2">
        <v>45749.580381944441</v>
      </c>
      <c r="AK710" t="s">
        <v>5759</v>
      </c>
      <c r="AL710" t="s">
        <v>65</v>
      </c>
      <c r="AM710" s="3">
        <v>2.3055555555555554</v>
      </c>
      <c r="AN710" t="s">
        <v>66</v>
      </c>
      <c r="AO710" t="s">
        <v>101</v>
      </c>
    </row>
    <row r="711" spans="1:41" x14ac:dyDescent="0.2">
      <c r="A711">
        <v>369096</v>
      </c>
      <c r="B711" t="s">
        <v>5765</v>
      </c>
      <c r="C711" t="s">
        <v>831</v>
      </c>
      <c r="D711" t="s">
        <v>5766</v>
      </c>
      <c r="E711" t="s">
        <v>5767</v>
      </c>
      <c r="F711">
        <v>444002</v>
      </c>
      <c r="G711" s="1">
        <v>34425</v>
      </c>
      <c r="H711" s="1">
        <v>45720</v>
      </c>
      <c r="I711" s="1">
        <v>46096</v>
      </c>
      <c r="J711" t="s">
        <v>45</v>
      </c>
      <c r="K711" t="s">
        <v>45</v>
      </c>
      <c r="L711" t="s">
        <v>46</v>
      </c>
      <c r="M711" s="1">
        <v>42464</v>
      </c>
      <c r="N711" t="s">
        <v>47</v>
      </c>
      <c r="O711" t="s">
        <v>48</v>
      </c>
      <c r="P711" t="s">
        <v>49</v>
      </c>
      <c r="Q711" t="s">
        <v>5768</v>
      </c>
      <c r="R711" t="s">
        <v>5769</v>
      </c>
      <c r="S711">
        <v>2702</v>
      </c>
      <c r="T711" t="s">
        <v>52</v>
      </c>
      <c r="U711">
        <v>8</v>
      </c>
      <c r="V711" t="s">
        <v>4806</v>
      </c>
      <c r="W711" t="s">
        <v>54</v>
      </c>
      <c r="X711" t="s">
        <v>76</v>
      </c>
      <c r="Y711" t="s">
        <v>56</v>
      </c>
      <c r="Z711">
        <v>1060</v>
      </c>
      <c r="AA711">
        <v>49</v>
      </c>
      <c r="AB711">
        <v>37</v>
      </c>
      <c r="AC711" t="s">
        <v>5770</v>
      </c>
      <c r="AD711" t="s">
        <v>5771</v>
      </c>
      <c r="AE711" t="s">
        <v>5772</v>
      </c>
      <c r="AF711" t="s">
        <v>5773</v>
      </c>
      <c r="AG711" t="s">
        <v>5774</v>
      </c>
      <c r="AH711" t="s">
        <v>5775</v>
      </c>
      <c r="AJ711" s="2">
        <v>45726.87809027778</v>
      </c>
      <c r="AK711" t="s">
        <v>2517</v>
      </c>
      <c r="AL711" t="s">
        <v>65</v>
      </c>
      <c r="AM711" s="3">
        <v>1.3506944444444444</v>
      </c>
      <c r="AN711" t="s">
        <v>66</v>
      </c>
      <c r="AO711" t="s">
        <v>101</v>
      </c>
    </row>
    <row r="712" spans="1:41" x14ac:dyDescent="0.2">
      <c r="A712">
        <v>367573</v>
      </c>
      <c r="B712" t="s">
        <v>5776</v>
      </c>
      <c r="C712" t="s">
        <v>692</v>
      </c>
      <c r="D712" t="s">
        <v>3845</v>
      </c>
      <c r="E712">
        <v>32353130</v>
      </c>
      <c r="F712">
        <v>480213</v>
      </c>
      <c r="G712" s="1">
        <v>34107</v>
      </c>
      <c r="H712" s="1">
        <v>45493</v>
      </c>
      <c r="I712" s="1">
        <v>46204</v>
      </c>
      <c r="J712" t="s">
        <v>45</v>
      </c>
      <c r="K712" t="s">
        <v>45</v>
      </c>
      <c r="L712" t="s">
        <v>72</v>
      </c>
      <c r="M712" s="1">
        <v>42339</v>
      </c>
      <c r="N712" t="s">
        <v>47</v>
      </c>
      <c r="O712" t="s">
        <v>48</v>
      </c>
      <c r="P712" t="s">
        <v>49</v>
      </c>
      <c r="Q712" t="s">
        <v>5777</v>
      </c>
      <c r="R712" t="s">
        <v>5778</v>
      </c>
      <c r="S712">
        <v>6640</v>
      </c>
      <c r="T712" t="s">
        <v>52</v>
      </c>
      <c r="U712">
        <v>2</v>
      </c>
      <c r="V712" t="s">
        <v>5779</v>
      </c>
      <c r="W712" t="s">
        <v>54</v>
      </c>
      <c r="X712" t="s">
        <v>76</v>
      </c>
      <c r="Y712" t="s">
        <v>56</v>
      </c>
      <c r="Z712">
        <v>596</v>
      </c>
      <c r="AA712">
        <v>56</v>
      </c>
      <c r="AB712">
        <v>152</v>
      </c>
      <c r="AC712" t="s">
        <v>2252</v>
      </c>
      <c r="AD712" t="s">
        <v>5780</v>
      </c>
      <c r="AE712" t="s">
        <v>2254</v>
      </c>
      <c r="AF712" t="s">
        <v>5781</v>
      </c>
      <c r="AG712" t="s">
        <v>5782</v>
      </c>
      <c r="AH712" t="s">
        <v>5783</v>
      </c>
      <c r="AI712" t="s">
        <v>5784</v>
      </c>
      <c r="AJ712" s="2">
        <v>45681.627071759256</v>
      </c>
      <c r="AK712" t="s">
        <v>800</v>
      </c>
      <c r="AL712" t="s">
        <v>65</v>
      </c>
      <c r="AM712" s="4">
        <v>0.50694444444444442</v>
      </c>
      <c r="AN712" t="s">
        <v>66</v>
      </c>
      <c r="AO712" t="s">
        <v>67</v>
      </c>
    </row>
    <row r="713" spans="1:41" x14ac:dyDescent="0.2">
      <c r="A713">
        <v>368931</v>
      </c>
      <c r="B713" t="s">
        <v>5785</v>
      </c>
      <c r="C713" t="s">
        <v>182</v>
      </c>
      <c r="D713" t="s">
        <v>4083</v>
      </c>
      <c r="E713" t="s">
        <v>5786</v>
      </c>
      <c r="F713">
        <v>44102</v>
      </c>
      <c r="G713" s="1">
        <v>33543</v>
      </c>
      <c r="H713" s="1">
        <v>45544</v>
      </c>
      <c r="I713" s="1">
        <v>46174</v>
      </c>
      <c r="J713" t="s">
        <v>45</v>
      </c>
      <c r="K713" t="s">
        <v>45</v>
      </c>
      <c r="L713" t="s">
        <v>429</v>
      </c>
      <c r="M713" s="1">
        <v>45197</v>
      </c>
      <c r="N713" t="s">
        <v>47</v>
      </c>
      <c r="O713" t="s">
        <v>48</v>
      </c>
      <c r="P713" t="s">
        <v>49</v>
      </c>
      <c r="Q713" t="s">
        <v>5787</v>
      </c>
      <c r="R713" t="s">
        <v>5788</v>
      </c>
      <c r="S713">
        <v>6634</v>
      </c>
      <c r="T713" t="s">
        <v>257</v>
      </c>
      <c r="U713" t="s">
        <v>640</v>
      </c>
      <c r="V713" t="s">
        <v>5789</v>
      </c>
      <c r="W713" t="s">
        <v>260</v>
      </c>
      <c r="X713" t="s">
        <v>493</v>
      </c>
      <c r="Y713" t="s">
        <v>56</v>
      </c>
      <c r="Z713">
        <v>488</v>
      </c>
      <c r="AA713">
        <v>70</v>
      </c>
      <c r="AB713">
        <v>34</v>
      </c>
      <c r="AC713" t="s">
        <v>5790</v>
      </c>
      <c r="AD713" t="s">
        <v>5791</v>
      </c>
      <c r="AE713" t="s">
        <v>5792</v>
      </c>
      <c r="AF713" t="s">
        <v>5793</v>
      </c>
      <c r="AG713" t="s">
        <v>5794</v>
      </c>
      <c r="AH713" t="s">
        <v>5795</v>
      </c>
      <c r="AI713" t="s">
        <v>5796</v>
      </c>
      <c r="AJ713" s="2">
        <v>45722.915775462963</v>
      </c>
      <c r="AK713" t="s">
        <v>501</v>
      </c>
      <c r="AL713" t="s">
        <v>65</v>
      </c>
      <c r="AM713" s="4">
        <v>0</v>
      </c>
      <c r="AN713" t="s">
        <v>66</v>
      </c>
      <c r="AO713" t="s">
        <v>67</v>
      </c>
    </row>
    <row r="714" spans="1:41" x14ac:dyDescent="0.2">
      <c r="A714">
        <v>371053</v>
      </c>
      <c r="B714" t="s">
        <v>5797</v>
      </c>
      <c r="C714" t="s">
        <v>167</v>
      </c>
      <c r="D714" t="s">
        <v>3018</v>
      </c>
      <c r="E714">
        <v>32622430</v>
      </c>
      <c r="F714">
        <v>352305</v>
      </c>
      <c r="G714" s="1">
        <v>34955</v>
      </c>
      <c r="H714" s="1">
        <v>45789</v>
      </c>
      <c r="I714" s="1">
        <v>46157</v>
      </c>
      <c r="J714" t="s">
        <v>45</v>
      </c>
      <c r="K714" t="s">
        <v>326</v>
      </c>
      <c r="L714" t="s">
        <v>72</v>
      </c>
      <c r="M714" s="1">
        <v>43020</v>
      </c>
      <c r="N714" t="s">
        <v>47</v>
      </c>
      <c r="O714" t="s">
        <v>48</v>
      </c>
      <c r="P714" t="s">
        <v>49</v>
      </c>
      <c r="Q714" t="s">
        <v>5798</v>
      </c>
      <c r="R714" t="s">
        <v>5799</v>
      </c>
      <c r="S714">
        <v>5500</v>
      </c>
      <c r="T714" t="s">
        <v>52</v>
      </c>
      <c r="U714">
        <v>6</v>
      </c>
      <c r="V714" t="s">
        <v>574</v>
      </c>
      <c r="W714" t="s">
        <v>54</v>
      </c>
      <c r="X714" t="s">
        <v>76</v>
      </c>
      <c r="Y714" t="s">
        <v>56</v>
      </c>
      <c r="Z714">
        <v>773</v>
      </c>
      <c r="AA714">
        <v>54</v>
      </c>
      <c r="AB714">
        <v>38</v>
      </c>
      <c r="AC714" t="s">
        <v>578</v>
      </c>
      <c r="AD714" t="s">
        <v>579</v>
      </c>
      <c r="AE714" t="s">
        <v>580</v>
      </c>
      <c r="AF714" t="s">
        <v>731</v>
      </c>
      <c r="AG714" t="s">
        <v>732</v>
      </c>
      <c r="AH714" t="s">
        <v>733</v>
      </c>
      <c r="AI714" t="s">
        <v>734</v>
      </c>
      <c r="AJ714" s="2">
        <v>45793.703935185185</v>
      </c>
      <c r="AK714" t="s">
        <v>540</v>
      </c>
      <c r="AL714" t="s">
        <v>65</v>
      </c>
      <c r="AM714" s="3">
        <v>1.2083333333333333</v>
      </c>
      <c r="AN714" t="s">
        <v>66</v>
      </c>
      <c r="AO714" t="s">
        <v>67</v>
      </c>
    </row>
    <row r="715" spans="1:41" x14ac:dyDescent="0.2">
      <c r="A715">
        <v>373089</v>
      </c>
      <c r="B715" t="s">
        <v>5800</v>
      </c>
      <c r="C715" t="s">
        <v>558</v>
      </c>
      <c r="D715" t="s">
        <v>746</v>
      </c>
      <c r="E715" t="s">
        <v>5801</v>
      </c>
      <c r="F715">
        <v>260314</v>
      </c>
      <c r="G715" s="1">
        <v>35537</v>
      </c>
      <c r="H715" s="1">
        <v>45856</v>
      </c>
      <c r="I715" s="1">
        <v>46188</v>
      </c>
      <c r="J715" t="s">
        <v>45</v>
      </c>
      <c r="K715" t="s">
        <v>45</v>
      </c>
      <c r="L715" t="s">
        <v>429</v>
      </c>
      <c r="M715" s="1">
        <v>38783</v>
      </c>
      <c r="N715" t="s">
        <v>47</v>
      </c>
      <c r="O715" t="s">
        <v>48</v>
      </c>
      <c r="P715" t="s">
        <v>49</v>
      </c>
      <c r="Q715" t="s">
        <v>5802</v>
      </c>
      <c r="R715" t="s">
        <v>5803</v>
      </c>
      <c r="S715">
        <v>6414</v>
      </c>
      <c r="T715" t="s">
        <v>365</v>
      </c>
      <c r="U715" t="s">
        <v>562</v>
      </c>
      <c r="V715" t="s">
        <v>749</v>
      </c>
      <c r="W715" t="s">
        <v>367</v>
      </c>
      <c r="X715" t="s">
        <v>76</v>
      </c>
      <c r="Y715" t="s">
        <v>434</v>
      </c>
      <c r="Z715">
        <v>1296</v>
      </c>
      <c r="AA715">
        <v>49</v>
      </c>
      <c r="AB715">
        <v>138</v>
      </c>
      <c r="AC715" t="s">
        <v>750</v>
      </c>
      <c r="AD715" t="s">
        <v>751</v>
      </c>
      <c r="AE715" t="s">
        <v>752</v>
      </c>
      <c r="AI715" t="s">
        <v>500</v>
      </c>
      <c r="AJ715" s="2">
        <v>45857.045046296298</v>
      </c>
      <c r="AK715" t="s">
        <v>375</v>
      </c>
      <c r="AL715" t="s">
        <v>65</v>
      </c>
      <c r="AM715" s="3">
        <v>1.0902777777777777</v>
      </c>
      <c r="AN715" t="s">
        <v>66</v>
      </c>
      <c r="AO715" t="s">
        <v>67</v>
      </c>
    </row>
    <row r="716" spans="1:41" x14ac:dyDescent="0.2">
      <c r="A716">
        <v>369943</v>
      </c>
      <c r="B716" t="s">
        <v>5804</v>
      </c>
      <c r="C716" t="s">
        <v>182</v>
      </c>
      <c r="D716" t="s">
        <v>779</v>
      </c>
      <c r="E716" t="s">
        <v>5805</v>
      </c>
      <c r="F716">
        <v>45603</v>
      </c>
      <c r="G716" s="1">
        <v>37314</v>
      </c>
      <c r="H716" s="1">
        <v>45608</v>
      </c>
      <c r="I716" s="1">
        <v>45945</v>
      </c>
      <c r="J716" t="s">
        <v>45</v>
      </c>
      <c r="K716" t="s">
        <v>45</v>
      </c>
      <c r="L716" t="s">
        <v>429</v>
      </c>
      <c r="M716" s="1">
        <v>45264</v>
      </c>
      <c r="N716" t="s">
        <v>47</v>
      </c>
      <c r="O716" t="s">
        <v>48</v>
      </c>
      <c r="P716" t="s">
        <v>49</v>
      </c>
      <c r="Q716" t="s">
        <v>5806</v>
      </c>
      <c r="R716" t="s">
        <v>5807</v>
      </c>
      <c r="S716">
        <v>1950</v>
      </c>
      <c r="T716" t="s">
        <v>52</v>
      </c>
      <c r="U716">
        <v>5</v>
      </c>
      <c r="V716" t="s">
        <v>1665</v>
      </c>
      <c r="W716" t="s">
        <v>54</v>
      </c>
      <c r="X716" t="s">
        <v>493</v>
      </c>
      <c r="Y716" t="s">
        <v>434</v>
      </c>
      <c r="Z716">
        <v>1891</v>
      </c>
      <c r="AA716">
        <v>47</v>
      </c>
      <c r="AB716">
        <v>28</v>
      </c>
      <c r="AC716" t="s">
        <v>5808</v>
      </c>
      <c r="AD716" t="s">
        <v>5809</v>
      </c>
      <c r="AE716" t="s">
        <v>1668</v>
      </c>
      <c r="AF716" t="s">
        <v>5810</v>
      </c>
      <c r="AG716" t="s">
        <v>5811</v>
      </c>
      <c r="AH716" t="s">
        <v>5812</v>
      </c>
      <c r="AI716" t="s">
        <v>5813</v>
      </c>
      <c r="AJ716" s="2">
        <v>45757.990590277775</v>
      </c>
      <c r="AK716" t="s">
        <v>1871</v>
      </c>
      <c r="AL716" t="s">
        <v>65</v>
      </c>
      <c r="AM716" s="4">
        <v>0.70138888888888884</v>
      </c>
      <c r="AN716" t="s">
        <v>66</v>
      </c>
      <c r="AO716" t="s">
        <v>67</v>
      </c>
    </row>
    <row r="717" spans="1:41" x14ac:dyDescent="0.2">
      <c r="A717">
        <v>363593</v>
      </c>
      <c r="B717" t="s">
        <v>5814</v>
      </c>
      <c r="C717" t="s">
        <v>735</v>
      </c>
      <c r="D717" t="s">
        <v>3845</v>
      </c>
      <c r="E717" t="s">
        <v>5815</v>
      </c>
      <c r="F717">
        <v>244707</v>
      </c>
      <c r="G717" s="1">
        <v>42901</v>
      </c>
      <c r="H717" s="1">
        <v>45512</v>
      </c>
      <c r="I717" s="1">
        <v>46235</v>
      </c>
      <c r="J717" t="s">
        <v>45</v>
      </c>
      <c r="K717" t="s">
        <v>45</v>
      </c>
      <c r="L717" t="s">
        <v>46</v>
      </c>
      <c r="M717" s="1">
        <v>45044</v>
      </c>
      <c r="N717" t="s">
        <v>47</v>
      </c>
      <c r="O717" t="s">
        <v>48</v>
      </c>
      <c r="P717" t="s">
        <v>49</v>
      </c>
      <c r="Q717" t="s">
        <v>5816</v>
      </c>
      <c r="R717" t="s">
        <v>5817</v>
      </c>
      <c r="S717">
        <v>7321</v>
      </c>
      <c r="T717" t="s">
        <v>52</v>
      </c>
      <c r="U717">
        <v>1</v>
      </c>
      <c r="V717" t="s">
        <v>1122</v>
      </c>
      <c r="W717" t="s">
        <v>54</v>
      </c>
      <c r="X717" t="s">
        <v>76</v>
      </c>
      <c r="Y717" t="s">
        <v>56</v>
      </c>
      <c r="Z717">
        <v>8989</v>
      </c>
      <c r="AA717">
        <v>21</v>
      </c>
      <c r="AB717">
        <v>28</v>
      </c>
      <c r="AC717" t="s">
        <v>5818</v>
      </c>
      <c r="AD717" t="s">
        <v>5819</v>
      </c>
      <c r="AE717" t="s">
        <v>5820</v>
      </c>
      <c r="AF717" t="s">
        <v>1832</v>
      </c>
      <c r="AG717" t="s">
        <v>1833</v>
      </c>
      <c r="AH717" t="s">
        <v>5821</v>
      </c>
      <c r="AI717" t="s">
        <v>5822</v>
      </c>
      <c r="AJ717" s="2">
        <v>45517.143750000003</v>
      </c>
      <c r="AK717" t="s">
        <v>717</v>
      </c>
      <c r="AL717" t="s">
        <v>65</v>
      </c>
      <c r="AM717" s="4">
        <v>0.50694444444444442</v>
      </c>
      <c r="AN717" t="s">
        <v>66</v>
      </c>
      <c r="AO717" t="s">
        <v>67</v>
      </c>
    </row>
    <row r="718" spans="1:41" x14ac:dyDescent="0.2">
      <c r="A718">
        <v>372200</v>
      </c>
      <c r="B718" t="s">
        <v>5823</v>
      </c>
      <c r="C718" t="s">
        <v>182</v>
      </c>
      <c r="D718" t="s">
        <v>4261</v>
      </c>
      <c r="E718" t="s">
        <v>5824</v>
      </c>
      <c r="F718">
        <v>40106</v>
      </c>
      <c r="G718" s="1">
        <v>34309</v>
      </c>
      <c r="H718" s="1">
        <v>45833</v>
      </c>
      <c r="I718" s="1">
        <v>46157</v>
      </c>
      <c r="J718" t="s">
        <v>45</v>
      </c>
      <c r="K718" t="s">
        <v>45</v>
      </c>
      <c r="L718" t="s">
        <v>72</v>
      </c>
      <c r="M718" s="1">
        <v>43951</v>
      </c>
      <c r="N718" t="s">
        <v>47</v>
      </c>
      <c r="O718" t="s">
        <v>48</v>
      </c>
      <c r="P718" t="s">
        <v>49</v>
      </c>
      <c r="Q718" t="s">
        <v>5825</v>
      </c>
      <c r="R718" t="s">
        <v>5826</v>
      </c>
      <c r="S718">
        <v>3970</v>
      </c>
      <c r="T718" t="s">
        <v>52</v>
      </c>
      <c r="U718">
        <v>6</v>
      </c>
      <c r="V718" t="s">
        <v>172</v>
      </c>
      <c r="W718" t="s">
        <v>54</v>
      </c>
      <c r="X718" t="s">
        <v>76</v>
      </c>
      <c r="Y718" t="s">
        <v>56</v>
      </c>
      <c r="Z718">
        <v>837</v>
      </c>
      <c r="AA718">
        <v>52</v>
      </c>
      <c r="AB718">
        <v>80</v>
      </c>
      <c r="AC718" t="s">
        <v>173</v>
      </c>
      <c r="AD718" t="s">
        <v>174</v>
      </c>
      <c r="AE718" t="s">
        <v>175</v>
      </c>
      <c r="AF718" t="s">
        <v>5827</v>
      </c>
      <c r="AG718" t="s">
        <v>5828</v>
      </c>
      <c r="AH718" t="s">
        <v>5829</v>
      </c>
      <c r="AI718" t="s">
        <v>5830</v>
      </c>
      <c r="AJ718" s="2">
        <v>45833.741678240738</v>
      </c>
      <c r="AK718" t="s">
        <v>375</v>
      </c>
      <c r="AL718" t="s">
        <v>65</v>
      </c>
      <c r="AM718" s="3">
        <v>1.6180555555555556</v>
      </c>
      <c r="AN718" t="s">
        <v>66</v>
      </c>
      <c r="AO718" t="s">
        <v>67</v>
      </c>
    </row>
    <row r="719" spans="1:41" x14ac:dyDescent="0.2">
      <c r="A719">
        <v>366556</v>
      </c>
      <c r="B719" t="s">
        <v>5831</v>
      </c>
      <c r="C719" t="s">
        <v>345</v>
      </c>
      <c r="D719" t="s">
        <v>4103</v>
      </c>
      <c r="E719" t="s">
        <v>5832</v>
      </c>
      <c r="G719" s="1">
        <v>44908</v>
      </c>
      <c r="H719" s="1">
        <v>44909</v>
      </c>
      <c r="I719" s="1">
        <v>46023</v>
      </c>
      <c r="J719" t="s">
        <v>45</v>
      </c>
      <c r="K719" t="s">
        <v>45</v>
      </c>
      <c r="L719" t="s">
        <v>72</v>
      </c>
      <c r="N719" t="s">
        <v>89</v>
      </c>
      <c r="O719" t="s">
        <v>121</v>
      </c>
      <c r="P719" t="s">
        <v>49</v>
      </c>
      <c r="Q719" t="s">
        <v>5833</v>
      </c>
      <c r="R719" t="s">
        <v>5834</v>
      </c>
      <c r="S719">
        <v>7500</v>
      </c>
      <c r="T719" t="s">
        <v>365</v>
      </c>
      <c r="U719" t="s">
        <v>432</v>
      </c>
      <c r="V719" t="s">
        <v>4107</v>
      </c>
      <c r="W719" t="s">
        <v>367</v>
      </c>
      <c r="X719" t="s">
        <v>76</v>
      </c>
      <c r="Y719" t="s">
        <v>125</v>
      </c>
      <c r="Z719">
        <v>2486</v>
      </c>
      <c r="AA719">
        <v>95</v>
      </c>
      <c r="AB719">
        <v>160</v>
      </c>
      <c r="AC719" t="s">
        <v>5835</v>
      </c>
      <c r="AD719" t="s">
        <v>4112</v>
      </c>
      <c r="AE719" t="s">
        <v>4113</v>
      </c>
      <c r="AJ719" s="2">
        <v>45626.58320601852</v>
      </c>
      <c r="AK719" t="s">
        <v>132</v>
      </c>
      <c r="AL719" t="s">
        <v>65</v>
      </c>
      <c r="AM719" s="3">
        <v>1.7638888888888888</v>
      </c>
      <c r="AN719" t="s">
        <v>66</v>
      </c>
      <c r="AO719" t="s">
        <v>67</v>
      </c>
    </row>
    <row r="720" spans="1:41" x14ac:dyDescent="0.2">
      <c r="A720">
        <v>369691</v>
      </c>
      <c r="B720" t="s">
        <v>5836</v>
      </c>
      <c r="C720" t="s">
        <v>252</v>
      </c>
      <c r="D720" t="s">
        <v>5837</v>
      </c>
      <c r="E720">
        <v>83759280</v>
      </c>
      <c r="F720">
        <v>252101</v>
      </c>
      <c r="G720" s="1">
        <v>37536</v>
      </c>
      <c r="H720" s="1">
        <v>45559</v>
      </c>
      <c r="J720" t="s">
        <v>45</v>
      </c>
      <c r="K720" t="s">
        <v>45</v>
      </c>
      <c r="L720" t="s">
        <v>72</v>
      </c>
      <c r="M720" s="1">
        <v>42845</v>
      </c>
      <c r="N720" t="s">
        <v>47</v>
      </c>
      <c r="O720" t="s">
        <v>48</v>
      </c>
      <c r="P720" t="s">
        <v>49</v>
      </c>
      <c r="Q720" t="s">
        <v>5838</v>
      </c>
      <c r="R720" t="s">
        <v>5839</v>
      </c>
      <c r="S720">
        <v>3900</v>
      </c>
      <c r="T720" t="s">
        <v>156</v>
      </c>
      <c r="U720" t="s">
        <v>1018</v>
      </c>
      <c r="V720" t="s">
        <v>5840</v>
      </c>
      <c r="W720" t="s">
        <v>159</v>
      </c>
      <c r="X720" t="s">
        <v>156</v>
      </c>
      <c r="Y720" t="s">
        <v>450</v>
      </c>
      <c r="Z720">
        <v>1542</v>
      </c>
      <c r="AA720">
        <v>48</v>
      </c>
      <c r="AB720">
        <v>52</v>
      </c>
      <c r="AC720" t="s">
        <v>5841</v>
      </c>
      <c r="AD720" t="s">
        <v>5842</v>
      </c>
      <c r="AE720" t="s">
        <v>5843</v>
      </c>
      <c r="AF720" t="s">
        <v>5844</v>
      </c>
      <c r="AG720" t="s">
        <v>5845</v>
      </c>
      <c r="AH720" t="s">
        <v>5846</v>
      </c>
      <c r="AI720" t="s">
        <v>5847</v>
      </c>
      <c r="AJ720" s="2">
        <v>45749.584710648145</v>
      </c>
      <c r="AK720" t="s">
        <v>1024</v>
      </c>
      <c r="AL720" t="s">
        <v>65</v>
      </c>
      <c r="AM720" s="3">
        <v>2.4444444444444446</v>
      </c>
      <c r="AN720" t="s">
        <v>66</v>
      </c>
      <c r="AO720" t="s">
        <v>67</v>
      </c>
    </row>
    <row r="721" spans="1:41" x14ac:dyDescent="0.2">
      <c r="A721">
        <v>366647</v>
      </c>
      <c r="B721" t="s">
        <v>5848</v>
      </c>
      <c r="C721" t="s">
        <v>69</v>
      </c>
      <c r="D721" t="s">
        <v>3081</v>
      </c>
      <c r="E721" t="s">
        <v>5849</v>
      </c>
      <c r="G721" s="1">
        <v>42508</v>
      </c>
      <c r="H721" s="1">
        <v>45511</v>
      </c>
      <c r="I721" s="1">
        <v>46235</v>
      </c>
      <c r="J721" t="s">
        <v>45</v>
      </c>
      <c r="K721" t="s">
        <v>45</v>
      </c>
      <c r="L721" t="s">
        <v>72</v>
      </c>
      <c r="M721" s="1">
        <v>44053</v>
      </c>
      <c r="N721" t="s">
        <v>47</v>
      </c>
      <c r="O721" t="s">
        <v>48</v>
      </c>
      <c r="P721" t="s">
        <v>586</v>
      </c>
      <c r="Q721" t="s">
        <v>5850</v>
      </c>
      <c r="R721" t="s">
        <v>5851</v>
      </c>
      <c r="S721">
        <v>3263</v>
      </c>
      <c r="T721" t="s">
        <v>92</v>
      </c>
      <c r="U721" t="s">
        <v>3058</v>
      </c>
      <c r="V721" t="s">
        <v>3059</v>
      </c>
      <c r="W721" t="s">
        <v>3060</v>
      </c>
      <c r="X721" t="s">
        <v>92</v>
      </c>
      <c r="Y721" t="s">
        <v>110</v>
      </c>
      <c r="Z721">
        <v>7307</v>
      </c>
      <c r="AA721">
        <v>23</v>
      </c>
      <c r="AB721">
        <v>78</v>
      </c>
      <c r="AC721" t="s">
        <v>3061</v>
      </c>
      <c r="AD721" t="s">
        <v>3062</v>
      </c>
      <c r="AE721" t="s">
        <v>3063</v>
      </c>
      <c r="AF721" t="s">
        <v>3064</v>
      </c>
      <c r="AG721" t="s">
        <v>3065</v>
      </c>
      <c r="AH721" t="s">
        <v>3066</v>
      </c>
      <c r="AI721" t="s">
        <v>3067</v>
      </c>
      <c r="AJ721" s="2">
        <v>45631.675104166665</v>
      </c>
      <c r="AK721" t="s">
        <v>149</v>
      </c>
      <c r="AL721" t="s">
        <v>65</v>
      </c>
      <c r="AM721" s="3">
        <v>1.1736111111111112</v>
      </c>
      <c r="AN721" t="s">
        <v>66</v>
      </c>
      <c r="AO721" t="s">
        <v>67</v>
      </c>
    </row>
    <row r="722" spans="1:41" x14ac:dyDescent="0.2">
      <c r="A722">
        <v>368929</v>
      </c>
      <c r="B722" t="s">
        <v>5852</v>
      </c>
      <c r="C722" t="s">
        <v>182</v>
      </c>
      <c r="D722" t="s">
        <v>2179</v>
      </c>
      <c r="E722" t="s">
        <v>5853</v>
      </c>
      <c r="F722">
        <v>43709</v>
      </c>
      <c r="G722" s="1">
        <v>34291</v>
      </c>
      <c r="H722" s="1">
        <v>45530</v>
      </c>
      <c r="I722" s="1">
        <v>46235</v>
      </c>
      <c r="J722" t="s">
        <v>45</v>
      </c>
      <c r="K722" t="s">
        <v>45</v>
      </c>
      <c r="L722" t="s">
        <v>3920</v>
      </c>
      <c r="M722" s="1">
        <v>41811</v>
      </c>
      <c r="N722" t="s">
        <v>47</v>
      </c>
      <c r="O722" t="s">
        <v>48</v>
      </c>
      <c r="P722" t="s">
        <v>49</v>
      </c>
      <c r="Q722" t="s">
        <v>5854</v>
      </c>
      <c r="R722" t="s">
        <v>5855</v>
      </c>
      <c r="S722">
        <v>7570</v>
      </c>
      <c r="T722" t="s">
        <v>52</v>
      </c>
      <c r="U722">
        <v>5</v>
      </c>
      <c r="V722" t="s">
        <v>5856</v>
      </c>
      <c r="W722" t="s">
        <v>54</v>
      </c>
      <c r="X722" t="s">
        <v>493</v>
      </c>
      <c r="Y722" t="s">
        <v>434</v>
      </c>
      <c r="Z722">
        <v>688</v>
      </c>
      <c r="AA722">
        <v>46</v>
      </c>
      <c r="AB722">
        <v>160</v>
      </c>
      <c r="AC722" t="s">
        <v>5857</v>
      </c>
      <c r="AD722" t="s">
        <v>5858</v>
      </c>
      <c r="AE722" t="s">
        <v>5859</v>
      </c>
      <c r="AF722" t="s">
        <v>5860</v>
      </c>
      <c r="AG722" t="s">
        <v>5861</v>
      </c>
      <c r="AH722" t="s">
        <v>5862</v>
      </c>
      <c r="AI722" t="s">
        <v>500</v>
      </c>
      <c r="AJ722" s="2">
        <v>45722.915138888886</v>
      </c>
      <c r="AK722" t="s">
        <v>1472</v>
      </c>
      <c r="AL722" t="s">
        <v>65</v>
      </c>
      <c r="AM722" s="3">
        <v>2.2152777777777777</v>
      </c>
      <c r="AN722" t="s">
        <v>66</v>
      </c>
      <c r="AO722" t="s">
        <v>67</v>
      </c>
    </row>
    <row r="723" spans="1:41" x14ac:dyDescent="0.2">
      <c r="A723">
        <v>372460</v>
      </c>
      <c r="B723" t="s">
        <v>5863</v>
      </c>
      <c r="C723" t="s">
        <v>583</v>
      </c>
      <c r="D723" t="s">
        <v>3018</v>
      </c>
      <c r="E723" t="s">
        <v>5864</v>
      </c>
      <c r="F723">
        <v>150703</v>
      </c>
      <c r="G723" s="1">
        <v>37550</v>
      </c>
      <c r="H723" s="1">
        <v>45832</v>
      </c>
      <c r="I723" s="1">
        <v>46188</v>
      </c>
      <c r="J723" t="s">
        <v>45</v>
      </c>
      <c r="K723" t="s">
        <v>45</v>
      </c>
      <c r="L723" t="s">
        <v>72</v>
      </c>
      <c r="M723" s="1">
        <v>45559</v>
      </c>
      <c r="N723" t="s">
        <v>47</v>
      </c>
      <c r="O723" t="s">
        <v>48</v>
      </c>
      <c r="P723" t="s">
        <v>586</v>
      </c>
      <c r="Q723" t="s">
        <v>5865</v>
      </c>
      <c r="R723" t="s">
        <v>5866</v>
      </c>
      <c r="S723">
        <v>935</v>
      </c>
      <c r="T723" t="s">
        <v>92</v>
      </c>
      <c r="U723" t="s">
        <v>589</v>
      </c>
      <c r="V723" t="s">
        <v>590</v>
      </c>
      <c r="W723" t="s">
        <v>591</v>
      </c>
      <c r="X723" t="s">
        <v>52</v>
      </c>
      <c r="Y723" t="s">
        <v>110</v>
      </c>
      <c r="Z723">
        <v>2281</v>
      </c>
      <c r="AA723">
        <v>40</v>
      </c>
      <c r="AB723">
        <v>45</v>
      </c>
      <c r="AC723" t="s">
        <v>592</v>
      </c>
      <c r="AD723" t="s">
        <v>593</v>
      </c>
      <c r="AE723" t="s">
        <v>594</v>
      </c>
      <c r="AF723" t="s">
        <v>5867</v>
      </c>
      <c r="AG723" t="s">
        <v>5868</v>
      </c>
      <c r="AH723" t="s">
        <v>5869</v>
      </c>
      <c r="AJ723" s="2">
        <v>45840.491319444445</v>
      </c>
      <c r="AK723" t="s">
        <v>592</v>
      </c>
      <c r="AL723" t="s">
        <v>65</v>
      </c>
      <c r="AM723" s="3">
        <v>2.3611111111111112</v>
      </c>
      <c r="AN723" t="s">
        <v>66</v>
      </c>
      <c r="AO723" t="s">
        <v>101</v>
      </c>
    </row>
    <row r="724" spans="1:41" x14ac:dyDescent="0.2">
      <c r="A724">
        <v>367820</v>
      </c>
      <c r="B724" t="s">
        <v>5870</v>
      </c>
      <c r="C724" t="s">
        <v>103</v>
      </c>
      <c r="D724" t="s">
        <v>4744</v>
      </c>
      <c r="E724" s="5" t="s">
        <v>5871</v>
      </c>
      <c r="F724">
        <v>319602</v>
      </c>
      <c r="G724" s="1">
        <v>33878</v>
      </c>
      <c r="H724" s="1">
        <v>45691</v>
      </c>
      <c r="I724" s="1">
        <v>46082</v>
      </c>
      <c r="J724" t="s">
        <v>45</v>
      </c>
      <c r="K724" t="s">
        <v>45</v>
      </c>
      <c r="L724" t="s">
        <v>46</v>
      </c>
      <c r="M724" s="1">
        <v>44066</v>
      </c>
      <c r="N724" t="s">
        <v>47</v>
      </c>
      <c r="O724" t="s">
        <v>48</v>
      </c>
      <c r="P724" t="s">
        <v>49</v>
      </c>
      <c r="Q724" t="s">
        <v>5872</v>
      </c>
      <c r="R724" t="s">
        <v>5873</v>
      </c>
      <c r="S724">
        <v>69</v>
      </c>
      <c r="T724" t="s">
        <v>52</v>
      </c>
      <c r="U724">
        <v>8</v>
      </c>
      <c r="V724" t="s">
        <v>3759</v>
      </c>
      <c r="W724" t="s">
        <v>54</v>
      </c>
      <c r="X724" t="s">
        <v>76</v>
      </c>
      <c r="Y724" t="s">
        <v>56</v>
      </c>
      <c r="Z724">
        <v>1086</v>
      </c>
      <c r="AA724">
        <v>39</v>
      </c>
      <c r="AB724">
        <v>39</v>
      </c>
      <c r="AC724" t="s">
        <v>3760</v>
      </c>
      <c r="AD724" t="s">
        <v>5874</v>
      </c>
      <c r="AE724" t="s">
        <v>3762</v>
      </c>
      <c r="AI724" t="s">
        <v>5874</v>
      </c>
      <c r="AJ724" s="2">
        <v>45691.893773148149</v>
      </c>
      <c r="AK724" t="s">
        <v>2854</v>
      </c>
      <c r="AL724" t="s">
        <v>65</v>
      </c>
      <c r="AM724" s="3">
        <v>2.0243055555555554</v>
      </c>
      <c r="AN724" t="s">
        <v>66</v>
      </c>
      <c r="AO724" t="s">
        <v>101</v>
      </c>
    </row>
    <row r="725" spans="1:41" x14ac:dyDescent="0.2">
      <c r="A725">
        <v>360067</v>
      </c>
      <c r="B725" t="s">
        <v>5875</v>
      </c>
      <c r="C725" t="s">
        <v>103</v>
      </c>
      <c r="D725" t="s">
        <v>5876</v>
      </c>
      <c r="E725" t="s">
        <v>5877</v>
      </c>
      <c r="G725" s="1">
        <v>44868</v>
      </c>
      <c r="H725" s="1">
        <v>45203</v>
      </c>
      <c r="I725" s="1">
        <v>45962</v>
      </c>
      <c r="J725" t="s">
        <v>45</v>
      </c>
      <c r="K725" t="s">
        <v>45</v>
      </c>
      <c r="L725" t="s">
        <v>72</v>
      </c>
      <c r="M725" s="1">
        <v>41963</v>
      </c>
      <c r="N725" t="s">
        <v>89</v>
      </c>
      <c r="O725" t="s">
        <v>121</v>
      </c>
      <c r="P725" t="s">
        <v>49</v>
      </c>
      <c r="Q725" t="s">
        <v>5878</v>
      </c>
      <c r="R725" t="s">
        <v>5879</v>
      </c>
      <c r="S725">
        <v>15</v>
      </c>
      <c r="T725" t="s">
        <v>52</v>
      </c>
      <c r="U725">
        <v>8</v>
      </c>
      <c r="V725" t="s">
        <v>3759</v>
      </c>
      <c r="W725" t="s">
        <v>54</v>
      </c>
      <c r="X725" t="s">
        <v>52</v>
      </c>
      <c r="Y725" t="s">
        <v>125</v>
      </c>
      <c r="Z725">
        <v>5426</v>
      </c>
      <c r="AA725">
        <v>39</v>
      </c>
      <c r="AB725">
        <v>37</v>
      </c>
      <c r="AC725" t="s">
        <v>3760</v>
      </c>
      <c r="AD725" t="s">
        <v>5874</v>
      </c>
      <c r="AE725" t="s">
        <v>3762</v>
      </c>
      <c r="AJ725" s="2">
        <v>45407.471851851849</v>
      </c>
      <c r="AK725" t="s">
        <v>132</v>
      </c>
      <c r="AL725" t="s">
        <v>65</v>
      </c>
      <c r="AM725" s="3">
        <v>1.2118055555555556</v>
      </c>
      <c r="AN725" t="s">
        <v>66</v>
      </c>
      <c r="AO725" t="s">
        <v>67</v>
      </c>
    </row>
    <row r="726" spans="1:41" x14ac:dyDescent="0.2">
      <c r="A726">
        <v>372062</v>
      </c>
      <c r="B726" t="s">
        <v>5880</v>
      </c>
      <c r="C726" t="s">
        <v>1013</v>
      </c>
      <c r="D726" t="s">
        <v>5881</v>
      </c>
      <c r="E726" t="s">
        <v>5882</v>
      </c>
      <c r="F726">
        <v>320101</v>
      </c>
      <c r="G726" s="1">
        <v>37090</v>
      </c>
      <c r="H726" s="1">
        <v>45553</v>
      </c>
      <c r="J726" t="s">
        <v>45</v>
      </c>
      <c r="K726" t="s">
        <v>45</v>
      </c>
      <c r="L726" t="s">
        <v>72</v>
      </c>
      <c r="M726" s="1">
        <v>39834</v>
      </c>
      <c r="N726" t="s">
        <v>47</v>
      </c>
      <c r="O726" t="s">
        <v>48</v>
      </c>
      <c r="P726" t="s">
        <v>49</v>
      </c>
      <c r="Q726" t="s">
        <v>5883</v>
      </c>
      <c r="R726" t="s">
        <v>5884</v>
      </c>
      <c r="S726">
        <v>2134</v>
      </c>
      <c r="T726" t="s">
        <v>156</v>
      </c>
      <c r="U726" t="s">
        <v>1018</v>
      </c>
      <c r="V726" t="s">
        <v>5885</v>
      </c>
      <c r="W726" t="s">
        <v>159</v>
      </c>
      <c r="X726" t="s">
        <v>156</v>
      </c>
      <c r="Y726" t="s">
        <v>450</v>
      </c>
      <c r="Z726">
        <v>1937</v>
      </c>
      <c r="AA726">
        <v>36</v>
      </c>
      <c r="AB726">
        <v>52</v>
      </c>
      <c r="AC726" t="s">
        <v>5886</v>
      </c>
      <c r="AD726" t="s">
        <v>5887</v>
      </c>
      <c r="AE726" t="s">
        <v>5888</v>
      </c>
      <c r="AF726" t="s">
        <v>1020</v>
      </c>
      <c r="AG726" t="s">
        <v>1021</v>
      </c>
      <c r="AH726" t="s">
        <v>1022</v>
      </c>
      <c r="AI726" t="s">
        <v>5889</v>
      </c>
      <c r="AJ726" s="2">
        <v>45828.615844907406</v>
      </c>
      <c r="AK726" t="s">
        <v>1024</v>
      </c>
      <c r="AL726" t="s">
        <v>65</v>
      </c>
      <c r="AM726" s="3">
        <v>2.3680555555555554</v>
      </c>
      <c r="AN726" t="s">
        <v>66</v>
      </c>
      <c r="AO726" t="s">
        <v>67</v>
      </c>
    </row>
    <row r="727" spans="1:41" x14ac:dyDescent="0.2">
      <c r="A727">
        <v>367676</v>
      </c>
      <c r="B727" t="s">
        <v>5890</v>
      </c>
      <c r="C727" t="s">
        <v>1000</v>
      </c>
      <c r="D727" t="s">
        <v>584</v>
      </c>
      <c r="E727">
        <v>2608762</v>
      </c>
      <c r="F727">
        <v>405001</v>
      </c>
      <c r="G727" s="1">
        <v>43682</v>
      </c>
      <c r="H727" s="1">
        <v>45630</v>
      </c>
      <c r="J727" t="s">
        <v>45</v>
      </c>
      <c r="K727" t="s">
        <v>45</v>
      </c>
      <c r="L727" t="s">
        <v>72</v>
      </c>
      <c r="M727" s="1">
        <v>45630</v>
      </c>
      <c r="N727" t="s">
        <v>47</v>
      </c>
      <c r="O727" t="s">
        <v>48</v>
      </c>
      <c r="P727" t="s">
        <v>49</v>
      </c>
      <c r="Q727" t="s">
        <v>5891</v>
      </c>
      <c r="R727" t="s">
        <v>5892</v>
      </c>
      <c r="S727">
        <v>1635</v>
      </c>
      <c r="T727" t="s">
        <v>92</v>
      </c>
      <c r="U727" t="s">
        <v>1005</v>
      </c>
      <c r="V727" t="s">
        <v>590</v>
      </c>
      <c r="W727" t="s">
        <v>1006</v>
      </c>
      <c r="X727" t="s">
        <v>92</v>
      </c>
      <c r="Y727" t="s">
        <v>770</v>
      </c>
      <c r="Z727">
        <v>2416</v>
      </c>
      <c r="AA727">
        <v>39</v>
      </c>
      <c r="AB727">
        <v>144</v>
      </c>
      <c r="AC727" t="s">
        <v>1007</v>
      </c>
      <c r="AD727" t="s">
        <v>1008</v>
      </c>
      <c r="AE727" t="s">
        <v>1009</v>
      </c>
      <c r="AF727" t="s">
        <v>2846</v>
      </c>
      <c r="AG727" t="s">
        <v>2847</v>
      </c>
      <c r="AH727" t="s">
        <v>2848</v>
      </c>
      <c r="AI727" t="s">
        <v>1010</v>
      </c>
      <c r="AJ727" s="2">
        <v>45686.259884259256</v>
      </c>
      <c r="AK727" t="s">
        <v>1011</v>
      </c>
      <c r="AL727" t="s">
        <v>65</v>
      </c>
      <c r="AM727" s="4">
        <v>0.27083333333333331</v>
      </c>
      <c r="AN727" t="s">
        <v>66</v>
      </c>
      <c r="AO727" t="s">
        <v>67</v>
      </c>
    </row>
    <row r="728" spans="1:41" x14ac:dyDescent="0.2">
      <c r="A728">
        <v>364121</v>
      </c>
      <c r="B728" t="s">
        <v>5893</v>
      </c>
      <c r="C728" t="s">
        <v>345</v>
      </c>
      <c r="D728" t="s">
        <v>5894</v>
      </c>
      <c r="E728" t="s">
        <v>5895</v>
      </c>
      <c r="F728">
        <v>50701</v>
      </c>
      <c r="G728" s="1">
        <v>43949</v>
      </c>
      <c r="H728" s="1">
        <v>45530</v>
      </c>
      <c r="I728" s="1">
        <v>46174</v>
      </c>
      <c r="J728" t="s">
        <v>45</v>
      </c>
      <c r="K728" t="s">
        <v>45</v>
      </c>
      <c r="L728" t="s">
        <v>72</v>
      </c>
      <c r="M728" s="1">
        <v>45190</v>
      </c>
      <c r="N728" t="s">
        <v>47</v>
      </c>
      <c r="O728" t="s">
        <v>48</v>
      </c>
      <c r="P728" t="s">
        <v>49</v>
      </c>
      <c r="Q728" t="s">
        <v>5896</v>
      </c>
      <c r="R728" t="s">
        <v>5897</v>
      </c>
      <c r="S728">
        <v>4850</v>
      </c>
      <c r="T728" t="s">
        <v>92</v>
      </c>
      <c r="U728" t="s">
        <v>350</v>
      </c>
      <c r="V728" t="s">
        <v>351</v>
      </c>
      <c r="W728" t="s">
        <v>352</v>
      </c>
      <c r="X728" t="s">
        <v>92</v>
      </c>
      <c r="Y728" t="s">
        <v>110</v>
      </c>
      <c r="Z728">
        <v>10173</v>
      </c>
      <c r="AA728">
        <v>15</v>
      </c>
      <c r="AB728">
        <v>76</v>
      </c>
      <c r="AC728" t="s">
        <v>353</v>
      </c>
      <c r="AD728" t="s">
        <v>354</v>
      </c>
      <c r="AE728" t="s">
        <v>355</v>
      </c>
      <c r="AF728" t="s">
        <v>356</v>
      </c>
      <c r="AG728" t="s">
        <v>357</v>
      </c>
      <c r="AH728" t="s">
        <v>358</v>
      </c>
      <c r="AJ728" s="2">
        <v>45533.599942129629</v>
      </c>
      <c r="AK728" t="s">
        <v>353</v>
      </c>
      <c r="AL728" t="s">
        <v>65</v>
      </c>
      <c r="AM728" s="4">
        <v>0.2986111111111111</v>
      </c>
      <c r="AN728" t="s">
        <v>66</v>
      </c>
      <c r="AO728" t="s">
        <v>67</v>
      </c>
    </row>
    <row r="729" spans="1:41" x14ac:dyDescent="0.2">
      <c r="A729">
        <v>371057</v>
      </c>
      <c r="B729" t="s">
        <v>5898</v>
      </c>
      <c r="C729" t="s">
        <v>167</v>
      </c>
      <c r="D729" t="s">
        <v>570</v>
      </c>
      <c r="E729" t="s">
        <v>5899</v>
      </c>
      <c r="F729">
        <v>353515</v>
      </c>
      <c r="G729" s="1">
        <v>34956</v>
      </c>
      <c r="H729" s="1">
        <v>45491</v>
      </c>
      <c r="I729" s="1">
        <v>46157</v>
      </c>
      <c r="J729" t="s">
        <v>45</v>
      </c>
      <c r="K729" t="s">
        <v>45</v>
      </c>
      <c r="L729" t="s">
        <v>72</v>
      </c>
      <c r="M729" s="1">
        <v>44847</v>
      </c>
      <c r="N729" t="s">
        <v>47</v>
      </c>
      <c r="O729" t="s">
        <v>48</v>
      </c>
      <c r="P729" t="s">
        <v>49</v>
      </c>
      <c r="Q729" t="s">
        <v>5900</v>
      </c>
      <c r="R729" t="s">
        <v>5901</v>
      </c>
      <c r="S729">
        <v>5172</v>
      </c>
      <c r="T729" t="s">
        <v>52</v>
      </c>
      <c r="U729">
        <v>6</v>
      </c>
      <c r="V729" t="s">
        <v>574</v>
      </c>
      <c r="W729" t="s">
        <v>54</v>
      </c>
      <c r="X729" t="s">
        <v>76</v>
      </c>
      <c r="Y729" t="s">
        <v>56</v>
      </c>
      <c r="Z729">
        <v>775</v>
      </c>
      <c r="AA729">
        <v>61</v>
      </c>
      <c r="AB729">
        <v>34</v>
      </c>
      <c r="AC729" t="s">
        <v>575</v>
      </c>
      <c r="AD729" t="s">
        <v>576</v>
      </c>
      <c r="AE729" t="s">
        <v>577</v>
      </c>
      <c r="AF729" t="s">
        <v>578</v>
      </c>
      <c r="AG729" t="s">
        <v>579</v>
      </c>
      <c r="AH729" t="s">
        <v>580</v>
      </c>
      <c r="AI729" t="s">
        <v>179</v>
      </c>
      <c r="AJ729" s="2">
        <v>45793.715115740742</v>
      </c>
      <c r="AK729" t="s">
        <v>540</v>
      </c>
      <c r="AL729" t="s">
        <v>65</v>
      </c>
      <c r="AM729" s="4">
        <v>0.30555555555555558</v>
      </c>
      <c r="AN729" t="s">
        <v>66</v>
      </c>
      <c r="AO729" t="s">
        <v>67</v>
      </c>
    </row>
    <row r="730" spans="1:41" x14ac:dyDescent="0.2">
      <c r="A730">
        <v>371044</v>
      </c>
      <c r="B730" t="s">
        <v>5902</v>
      </c>
      <c r="C730" t="s">
        <v>118</v>
      </c>
      <c r="D730" t="s">
        <v>4931</v>
      </c>
      <c r="E730" t="s">
        <v>5903</v>
      </c>
      <c r="F730">
        <v>20502</v>
      </c>
      <c r="G730" s="1">
        <v>34530</v>
      </c>
      <c r="H730" s="1">
        <v>45694</v>
      </c>
      <c r="I730" s="1">
        <v>46127</v>
      </c>
      <c r="J730" t="s">
        <v>45</v>
      </c>
      <c r="K730" t="s">
        <v>45</v>
      </c>
      <c r="L730" t="s">
        <v>429</v>
      </c>
      <c r="M730" s="1">
        <v>43740</v>
      </c>
      <c r="N730" t="s">
        <v>47</v>
      </c>
      <c r="O730" t="s">
        <v>48</v>
      </c>
      <c r="P730" t="s">
        <v>49</v>
      </c>
      <c r="Q730" t="s">
        <v>5904</v>
      </c>
      <c r="R730" t="s">
        <v>5905</v>
      </c>
      <c r="S730">
        <v>6173</v>
      </c>
      <c r="T730" t="s">
        <v>52</v>
      </c>
      <c r="U730">
        <v>3</v>
      </c>
      <c r="V730" t="s">
        <v>4935</v>
      </c>
      <c r="W730" t="s">
        <v>54</v>
      </c>
      <c r="X730" t="s">
        <v>55</v>
      </c>
      <c r="Y730" t="s">
        <v>56</v>
      </c>
      <c r="Z730">
        <v>926</v>
      </c>
      <c r="AA730">
        <v>56</v>
      </c>
      <c r="AB730">
        <v>34</v>
      </c>
      <c r="AC730" t="s">
        <v>4936</v>
      </c>
      <c r="AD730" t="s">
        <v>4937</v>
      </c>
      <c r="AE730" t="s">
        <v>4938</v>
      </c>
      <c r="AI730" t="s">
        <v>1809</v>
      </c>
      <c r="AJ730" s="2">
        <v>45793.6408912037</v>
      </c>
      <c r="AK730" t="s">
        <v>100</v>
      </c>
      <c r="AL730" t="s">
        <v>65</v>
      </c>
      <c r="AM730" s="3">
        <v>1.1458333333333333</v>
      </c>
      <c r="AN730" t="s">
        <v>66</v>
      </c>
      <c r="AO730" t="s">
        <v>67</v>
      </c>
    </row>
    <row r="731" spans="1:41" x14ac:dyDescent="0.2">
      <c r="A731">
        <v>372135</v>
      </c>
      <c r="B731" t="s">
        <v>5906</v>
      </c>
      <c r="C731" t="s">
        <v>69</v>
      </c>
      <c r="D731" t="s">
        <v>3676</v>
      </c>
      <c r="E731" t="s">
        <v>5907</v>
      </c>
      <c r="F731">
        <v>103703</v>
      </c>
      <c r="G731" s="1">
        <v>32275</v>
      </c>
      <c r="H731" s="1">
        <v>45831</v>
      </c>
      <c r="I731" s="1">
        <v>46188</v>
      </c>
      <c r="J731" t="s">
        <v>45</v>
      </c>
      <c r="K731" t="s">
        <v>45</v>
      </c>
      <c r="L731" t="s">
        <v>429</v>
      </c>
      <c r="M731" s="1">
        <v>42257</v>
      </c>
      <c r="N731" t="s">
        <v>47</v>
      </c>
      <c r="O731" t="s">
        <v>48</v>
      </c>
      <c r="P731" t="s">
        <v>49</v>
      </c>
      <c r="Q731" t="s">
        <v>5908</v>
      </c>
      <c r="R731" t="s">
        <v>5909</v>
      </c>
      <c r="S731">
        <v>5055</v>
      </c>
      <c r="T731" t="s">
        <v>365</v>
      </c>
      <c r="U731" t="s">
        <v>532</v>
      </c>
      <c r="V731" t="s">
        <v>936</v>
      </c>
      <c r="W731" t="s">
        <v>367</v>
      </c>
      <c r="X731" t="s">
        <v>76</v>
      </c>
      <c r="Y731" t="s">
        <v>434</v>
      </c>
      <c r="Z731">
        <v>169</v>
      </c>
      <c r="AA731">
        <v>68</v>
      </c>
      <c r="AB731">
        <v>158</v>
      </c>
      <c r="AC731" t="s">
        <v>937</v>
      </c>
      <c r="AD731" t="s">
        <v>938</v>
      </c>
      <c r="AE731" t="s">
        <v>939</v>
      </c>
      <c r="AI731" t="s">
        <v>179</v>
      </c>
      <c r="AJ731" s="2">
        <v>45832.041770833333</v>
      </c>
      <c r="AK731" t="s">
        <v>276</v>
      </c>
      <c r="AL731" t="s">
        <v>65</v>
      </c>
      <c r="AM731" s="3">
        <v>1.9652777777777777</v>
      </c>
      <c r="AN731" t="s">
        <v>66</v>
      </c>
      <c r="AO731" t="s">
        <v>67</v>
      </c>
    </row>
    <row r="732" spans="1:41" x14ac:dyDescent="0.2">
      <c r="A732">
        <v>371120</v>
      </c>
      <c r="B732" t="s">
        <v>5910</v>
      </c>
      <c r="C732" t="s">
        <v>42</v>
      </c>
      <c r="D732" t="s">
        <v>5911</v>
      </c>
      <c r="E732" t="s">
        <v>5912</v>
      </c>
      <c r="F732">
        <v>290705</v>
      </c>
      <c r="G732" s="1">
        <v>34389</v>
      </c>
      <c r="H732" s="1">
        <v>45792</v>
      </c>
      <c r="I732" s="1">
        <v>46174</v>
      </c>
      <c r="J732" t="s">
        <v>45</v>
      </c>
      <c r="K732" t="s">
        <v>45</v>
      </c>
      <c r="L732" t="s">
        <v>429</v>
      </c>
      <c r="M732" s="1">
        <v>42902</v>
      </c>
      <c r="N732" t="s">
        <v>47</v>
      </c>
      <c r="O732" t="s">
        <v>48</v>
      </c>
      <c r="P732" t="s">
        <v>49</v>
      </c>
      <c r="Q732" t="s">
        <v>5913</v>
      </c>
      <c r="R732" t="s">
        <v>5914</v>
      </c>
      <c r="S732">
        <v>6890</v>
      </c>
      <c r="T732" t="s">
        <v>365</v>
      </c>
      <c r="U732" t="s">
        <v>432</v>
      </c>
      <c r="V732" t="s">
        <v>5915</v>
      </c>
      <c r="W732" t="s">
        <v>367</v>
      </c>
      <c r="X732" t="s">
        <v>55</v>
      </c>
      <c r="Y732" t="s">
        <v>434</v>
      </c>
      <c r="Z732">
        <v>225</v>
      </c>
      <c r="AA732">
        <v>59</v>
      </c>
      <c r="AB732">
        <v>158</v>
      </c>
      <c r="AC732" t="s">
        <v>5916</v>
      </c>
      <c r="AD732" t="s">
        <v>5917</v>
      </c>
      <c r="AE732" t="s">
        <v>5918</v>
      </c>
      <c r="AI732" t="s">
        <v>179</v>
      </c>
      <c r="AJ732" s="2">
        <v>45796.775046296294</v>
      </c>
      <c r="AK732" t="s">
        <v>609</v>
      </c>
      <c r="AL732" t="s">
        <v>65</v>
      </c>
      <c r="AM732" s="3">
        <v>1.7083333333333333</v>
      </c>
      <c r="AN732" t="s">
        <v>66</v>
      </c>
      <c r="AO732" t="s">
        <v>67</v>
      </c>
    </row>
    <row r="733" spans="1:41" x14ac:dyDescent="0.2">
      <c r="A733">
        <v>370385</v>
      </c>
      <c r="B733" t="s">
        <v>5919</v>
      </c>
      <c r="C733" t="s">
        <v>558</v>
      </c>
      <c r="D733" t="s">
        <v>1076</v>
      </c>
      <c r="E733" t="s">
        <v>5920</v>
      </c>
      <c r="F733">
        <v>261406</v>
      </c>
      <c r="G733" s="1">
        <v>32708</v>
      </c>
      <c r="H733" s="1">
        <v>45770</v>
      </c>
      <c r="I733" s="1">
        <v>46113</v>
      </c>
      <c r="J733" t="s">
        <v>45</v>
      </c>
      <c r="K733" t="s">
        <v>45</v>
      </c>
      <c r="L733" t="s">
        <v>429</v>
      </c>
      <c r="M733" s="1">
        <v>40647</v>
      </c>
      <c r="N733" t="s">
        <v>47</v>
      </c>
      <c r="O733" t="s">
        <v>48</v>
      </c>
      <c r="P733" t="s">
        <v>49</v>
      </c>
      <c r="Q733" t="s">
        <v>5921</v>
      </c>
      <c r="R733" t="s">
        <v>5922</v>
      </c>
      <c r="S733">
        <v>5750</v>
      </c>
      <c r="T733" t="s">
        <v>365</v>
      </c>
      <c r="U733" t="s">
        <v>562</v>
      </c>
      <c r="V733" t="s">
        <v>563</v>
      </c>
      <c r="W733" t="s">
        <v>367</v>
      </c>
      <c r="X733" t="s">
        <v>76</v>
      </c>
      <c r="Y733" t="s">
        <v>434</v>
      </c>
      <c r="Z733">
        <v>264</v>
      </c>
      <c r="AA733">
        <v>53</v>
      </c>
      <c r="AB733">
        <v>210</v>
      </c>
      <c r="AC733" t="s">
        <v>564</v>
      </c>
      <c r="AD733" t="s">
        <v>565</v>
      </c>
      <c r="AE733" t="s">
        <v>566</v>
      </c>
      <c r="AI733" t="s">
        <v>567</v>
      </c>
      <c r="AJ733" s="2">
        <v>45772.857939814814</v>
      </c>
      <c r="AK733" t="s">
        <v>568</v>
      </c>
      <c r="AL733" t="s">
        <v>65</v>
      </c>
      <c r="AM733" s="3">
        <v>1.9583333333333333</v>
      </c>
      <c r="AN733" t="s">
        <v>66</v>
      </c>
      <c r="AO733" t="s">
        <v>67</v>
      </c>
    </row>
    <row r="734" spans="1:41" x14ac:dyDescent="0.2">
      <c r="A734">
        <v>373025</v>
      </c>
      <c r="B734" t="s">
        <v>5923</v>
      </c>
      <c r="C734" t="s">
        <v>1565</v>
      </c>
      <c r="D734" t="s">
        <v>3131</v>
      </c>
      <c r="E734" t="s">
        <v>5924</v>
      </c>
      <c r="F734">
        <v>393506</v>
      </c>
      <c r="G734" s="1">
        <v>36651</v>
      </c>
      <c r="H734" s="1">
        <v>45547</v>
      </c>
      <c r="I734" s="1">
        <v>46266</v>
      </c>
      <c r="J734" t="s">
        <v>45</v>
      </c>
      <c r="K734" t="s">
        <v>45</v>
      </c>
      <c r="L734" t="s">
        <v>429</v>
      </c>
      <c r="M734" s="1">
        <v>44708</v>
      </c>
      <c r="N734" t="s">
        <v>47</v>
      </c>
      <c r="O734" t="s">
        <v>48</v>
      </c>
      <c r="P734" t="s">
        <v>49</v>
      </c>
      <c r="Q734" t="s">
        <v>5925</v>
      </c>
      <c r="R734" t="s">
        <v>5926</v>
      </c>
      <c r="S734">
        <v>5821</v>
      </c>
      <c r="T734" t="s">
        <v>52</v>
      </c>
      <c r="U734">
        <v>2</v>
      </c>
      <c r="V734" t="s">
        <v>1569</v>
      </c>
      <c r="W734" t="s">
        <v>54</v>
      </c>
      <c r="X734" t="s">
        <v>76</v>
      </c>
      <c r="Y734" t="s">
        <v>56</v>
      </c>
      <c r="Z734">
        <v>955</v>
      </c>
      <c r="AA734">
        <v>55</v>
      </c>
      <c r="AB734">
        <v>30</v>
      </c>
      <c r="AC734" t="s">
        <v>1570</v>
      </c>
      <c r="AD734" t="s">
        <v>1571</v>
      </c>
      <c r="AE734" t="s">
        <v>1572</v>
      </c>
      <c r="AF734" t="s">
        <v>5927</v>
      </c>
      <c r="AG734" t="s">
        <v>5928</v>
      </c>
      <c r="AH734" t="s">
        <v>5929</v>
      </c>
      <c r="AI734" t="s">
        <v>5930</v>
      </c>
      <c r="AJ734" s="2">
        <v>45856.032071759262</v>
      </c>
      <c r="AK734" t="s">
        <v>556</v>
      </c>
      <c r="AL734" t="s">
        <v>65</v>
      </c>
      <c r="AM734" s="3">
        <v>1.0208333333333333</v>
      </c>
      <c r="AN734" t="s">
        <v>809</v>
      </c>
      <c r="AO734" t="s">
        <v>67</v>
      </c>
    </row>
    <row r="735" spans="1:41" x14ac:dyDescent="0.2">
      <c r="A735">
        <v>369892</v>
      </c>
      <c r="B735" t="s">
        <v>5931</v>
      </c>
      <c r="C735" t="s">
        <v>735</v>
      </c>
      <c r="D735" t="s">
        <v>5932</v>
      </c>
      <c r="E735" s="5" t="s">
        <v>5933</v>
      </c>
      <c r="F735">
        <v>244903</v>
      </c>
      <c r="G735" s="1">
        <v>45712</v>
      </c>
      <c r="H735" s="1">
        <v>45712</v>
      </c>
      <c r="I735" s="1">
        <v>46082</v>
      </c>
      <c r="J735" t="s">
        <v>45</v>
      </c>
      <c r="K735" t="s">
        <v>45</v>
      </c>
      <c r="L735" t="s">
        <v>72</v>
      </c>
      <c r="M735" s="1">
        <v>44593</v>
      </c>
      <c r="N735" t="s">
        <v>47</v>
      </c>
      <c r="O735" t="s">
        <v>121</v>
      </c>
      <c r="P735" t="s">
        <v>49</v>
      </c>
      <c r="Q735" t="s">
        <v>5934</v>
      </c>
      <c r="R735" t="s">
        <v>5935</v>
      </c>
      <c r="S735">
        <v>5833</v>
      </c>
      <c r="T735" t="s">
        <v>52</v>
      </c>
      <c r="U735">
        <v>1</v>
      </c>
      <c r="V735" t="s">
        <v>1122</v>
      </c>
      <c r="W735" t="s">
        <v>54</v>
      </c>
      <c r="X735" t="s">
        <v>52</v>
      </c>
      <c r="Y735" t="s">
        <v>125</v>
      </c>
      <c r="Z735">
        <v>1495</v>
      </c>
      <c r="AA735">
        <v>120</v>
      </c>
      <c r="AB735">
        <v>166</v>
      </c>
      <c r="AC735" t="s">
        <v>5936</v>
      </c>
      <c r="AD735" t="s">
        <v>5937</v>
      </c>
      <c r="AE735" t="s">
        <v>5938</v>
      </c>
      <c r="AF735" t="s">
        <v>5939</v>
      </c>
      <c r="AG735" t="s">
        <v>5940</v>
      </c>
      <c r="AH735" t="s">
        <v>5941</v>
      </c>
      <c r="AI735" t="s">
        <v>5937</v>
      </c>
      <c r="AJ735" s="2">
        <v>45756.904780092591</v>
      </c>
      <c r="AK735" t="s">
        <v>84</v>
      </c>
      <c r="AL735" t="s">
        <v>65</v>
      </c>
      <c r="AM735" s="4">
        <v>0.75</v>
      </c>
      <c r="AN735" t="s">
        <v>66</v>
      </c>
      <c r="AO735" t="s">
        <v>67</v>
      </c>
    </row>
    <row r="736" spans="1:41" x14ac:dyDescent="0.2">
      <c r="A736">
        <v>372282</v>
      </c>
      <c r="B736" t="s">
        <v>5942</v>
      </c>
      <c r="C736" t="s">
        <v>1565</v>
      </c>
      <c r="D736" t="s">
        <v>3131</v>
      </c>
      <c r="E736" t="s">
        <v>5943</v>
      </c>
      <c r="F736">
        <v>393507</v>
      </c>
      <c r="G736" s="1">
        <v>41078</v>
      </c>
      <c r="H736" s="1">
        <v>45835</v>
      </c>
      <c r="I736" s="1">
        <v>46174</v>
      </c>
      <c r="J736" t="s">
        <v>45</v>
      </c>
      <c r="K736" t="s">
        <v>45</v>
      </c>
      <c r="L736" t="s">
        <v>72</v>
      </c>
      <c r="M736" s="1">
        <v>45120</v>
      </c>
      <c r="N736" t="s">
        <v>47</v>
      </c>
      <c r="O736" t="s">
        <v>48</v>
      </c>
      <c r="P736" t="s">
        <v>586</v>
      </c>
      <c r="Q736" t="s">
        <v>5944</v>
      </c>
      <c r="R736" t="s">
        <v>5945</v>
      </c>
      <c r="S736">
        <v>3950</v>
      </c>
      <c r="T736" t="s">
        <v>92</v>
      </c>
      <c r="U736" t="s">
        <v>5946</v>
      </c>
      <c r="V736" t="s">
        <v>5947</v>
      </c>
      <c r="W736" t="s">
        <v>5948</v>
      </c>
      <c r="X736" t="s">
        <v>92</v>
      </c>
      <c r="Y736" t="s">
        <v>110</v>
      </c>
      <c r="Z736">
        <v>5566</v>
      </c>
      <c r="AA736">
        <v>24</v>
      </c>
      <c r="AB736">
        <v>28</v>
      </c>
      <c r="AC736" t="s">
        <v>5949</v>
      </c>
      <c r="AD736" t="s">
        <v>5950</v>
      </c>
      <c r="AE736" t="s">
        <v>5951</v>
      </c>
      <c r="AF736" t="s">
        <v>5952</v>
      </c>
      <c r="AG736" t="s">
        <v>5953</v>
      </c>
      <c r="AH736" t="s">
        <v>5954</v>
      </c>
      <c r="AI736" t="s">
        <v>5955</v>
      </c>
      <c r="AJ736" s="2">
        <v>45835.931712962964</v>
      </c>
      <c r="AK736" t="s">
        <v>5952</v>
      </c>
      <c r="AL736" t="s">
        <v>65</v>
      </c>
      <c r="AM736" s="4">
        <v>0.78472222222222221</v>
      </c>
      <c r="AN736" t="s">
        <v>66</v>
      </c>
      <c r="AO736" t="s">
        <v>67</v>
      </c>
    </row>
    <row r="737" spans="1:41" x14ac:dyDescent="0.2">
      <c r="A737">
        <v>365975</v>
      </c>
      <c r="B737" t="s">
        <v>5956</v>
      </c>
      <c r="C737" t="s">
        <v>236</v>
      </c>
      <c r="D737" t="s">
        <v>5957</v>
      </c>
      <c r="E737" t="s">
        <v>5958</v>
      </c>
      <c r="F737">
        <v>211005</v>
      </c>
      <c r="G737" s="1">
        <v>35947</v>
      </c>
      <c r="H737" s="1">
        <v>45586</v>
      </c>
      <c r="I737" s="1">
        <v>45931</v>
      </c>
      <c r="J737" t="s">
        <v>45</v>
      </c>
      <c r="K737" t="s">
        <v>45</v>
      </c>
      <c r="L737" t="s">
        <v>46</v>
      </c>
      <c r="M737" s="1">
        <v>41741</v>
      </c>
      <c r="N737" t="s">
        <v>47</v>
      </c>
      <c r="O737" t="s">
        <v>48</v>
      </c>
      <c r="P737" t="s">
        <v>49</v>
      </c>
      <c r="Q737" t="s">
        <v>5959</v>
      </c>
      <c r="R737" t="s">
        <v>5960</v>
      </c>
      <c r="S737">
        <v>1300</v>
      </c>
      <c r="T737" t="s">
        <v>52</v>
      </c>
      <c r="U737">
        <v>9</v>
      </c>
      <c r="V737" t="s">
        <v>4541</v>
      </c>
      <c r="W737" t="s">
        <v>54</v>
      </c>
      <c r="X737" t="s">
        <v>76</v>
      </c>
      <c r="Y737" t="s">
        <v>56</v>
      </c>
      <c r="Z737">
        <v>1576</v>
      </c>
      <c r="AA737">
        <v>44</v>
      </c>
      <c r="AB737">
        <v>146</v>
      </c>
      <c r="AC737" t="s">
        <v>4542</v>
      </c>
      <c r="AD737" t="s">
        <v>5043</v>
      </c>
      <c r="AE737" t="s">
        <v>4544</v>
      </c>
      <c r="AF737" t="s">
        <v>4545</v>
      </c>
      <c r="AG737" t="s">
        <v>5961</v>
      </c>
      <c r="AH737" t="s">
        <v>5962</v>
      </c>
      <c r="AI737" t="s">
        <v>5963</v>
      </c>
      <c r="AJ737" s="2">
        <v>45597.928819444445</v>
      </c>
      <c r="AK737" t="s">
        <v>717</v>
      </c>
      <c r="AL737" t="s">
        <v>65</v>
      </c>
      <c r="AM737" s="4">
        <v>0.16666666666666666</v>
      </c>
      <c r="AN737" t="s">
        <v>66</v>
      </c>
      <c r="AO737" t="s">
        <v>67</v>
      </c>
    </row>
    <row r="738" spans="1:41" x14ac:dyDescent="0.2">
      <c r="A738">
        <v>370194</v>
      </c>
      <c r="B738" t="s">
        <v>5964</v>
      </c>
      <c r="C738" t="s">
        <v>182</v>
      </c>
      <c r="D738" t="s">
        <v>4421</v>
      </c>
      <c r="E738" t="s">
        <v>5965</v>
      </c>
      <c r="F738">
        <v>45230</v>
      </c>
      <c r="G738" s="1">
        <v>43601</v>
      </c>
      <c r="H738" s="1">
        <v>45761</v>
      </c>
      <c r="I738" s="1">
        <v>46157</v>
      </c>
      <c r="J738" t="s">
        <v>45</v>
      </c>
      <c r="K738" t="s">
        <v>45</v>
      </c>
      <c r="L738" t="s">
        <v>72</v>
      </c>
      <c r="N738" t="s">
        <v>47</v>
      </c>
      <c r="O738" t="s">
        <v>48</v>
      </c>
      <c r="P738" t="s">
        <v>49</v>
      </c>
      <c r="Q738" t="s">
        <v>5966</v>
      </c>
      <c r="R738" t="s">
        <v>5967</v>
      </c>
      <c r="S738">
        <v>2535</v>
      </c>
      <c r="T738" t="s">
        <v>92</v>
      </c>
      <c r="U738" t="s">
        <v>187</v>
      </c>
      <c r="V738" t="s">
        <v>4425</v>
      </c>
      <c r="W738" t="s">
        <v>4426</v>
      </c>
      <c r="X738" t="s">
        <v>92</v>
      </c>
      <c r="Y738" t="s">
        <v>110</v>
      </c>
      <c r="Z738">
        <v>10086</v>
      </c>
      <c r="AA738">
        <v>20</v>
      </c>
      <c r="AB738">
        <v>78</v>
      </c>
      <c r="AC738" t="s">
        <v>4427</v>
      </c>
      <c r="AD738" t="s">
        <v>4428</v>
      </c>
      <c r="AE738" t="s">
        <v>4429</v>
      </c>
      <c r="AF738" t="s">
        <v>4430</v>
      </c>
      <c r="AG738" t="s">
        <v>4431</v>
      </c>
      <c r="AH738" t="s">
        <v>4432</v>
      </c>
      <c r="AI738" t="s">
        <v>4433</v>
      </c>
      <c r="AJ738" s="2">
        <v>45847.727812500001</v>
      </c>
      <c r="AK738" t="s">
        <v>4427</v>
      </c>
      <c r="AL738" t="s">
        <v>65</v>
      </c>
      <c r="AM738" s="3">
        <v>1.8263888888888888</v>
      </c>
      <c r="AN738" t="s">
        <v>66</v>
      </c>
      <c r="AO738" t="s">
        <v>67</v>
      </c>
    </row>
    <row r="739" spans="1:41" x14ac:dyDescent="0.2">
      <c r="A739">
        <v>362294</v>
      </c>
      <c r="B739" t="s">
        <v>5968</v>
      </c>
      <c r="C739" t="s">
        <v>69</v>
      </c>
      <c r="D739" t="s">
        <v>3824</v>
      </c>
      <c r="E739">
        <v>83751494</v>
      </c>
      <c r="F739">
        <v>103102</v>
      </c>
      <c r="G739" s="1">
        <v>37417</v>
      </c>
      <c r="H739" s="1">
        <v>45482</v>
      </c>
      <c r="I739" s="1">
        <v>46218</v>
      </c>
      <c r="J739" t="s">
        <v>45</v>
      </c>
      <c r="K739" t="s">
        <v>45</v>
      </c>
      <c r="L739" t="s">
        <v>72</v>
      </c>
      <c r="M739" s="1">
        <v>44532</v>
      </c>
      <c r="N739" t="s">
        <v>47</v>
      </c>
      <c r="O739" t="s">
        <v>48</v>
      </c>
      <c r="P739" t="s">
        <v>49</v>
      </c>
      <c r="Q739" t="s">
        <v>5969</v>
      </c>
      <c r="R739" t="s">
        <v>5970</v>
      </c>
      <c r="S739">
        <v>6391</v>
      </c>
      <c r="T739" t="s">
        <v>156</v>
      </c>
      <c r="U739" t="s">
        <v>4608</v>
      </c>
      <c r="V739" t="s">
        <v>5971</v>
      </c>
      <c r="W739" t="s">
        <v>159</v>
      </c>
      <c r="X739" t="s">
        <v>156</v>
      </c>
      <c r="Y739" t="s">
        <v>110</v>
      </c>
      <c r="Z739">
        <v>2215</v>
      </c>
      <c r="AA739">
        <v>35</v>
      </c>
      <c r="AB739">
        <v>160</v>
      </c>
      <c r="AC739" t="s">
        <v>5972</v>
      </c>
      <c r="AD739" t="s">
        <v>5973</v>
      </c>
      <c r="AE739" t="s">
        <v>5974</v>
      </c>
      <c r="AF739" t="s">
        <v>4613</v>
      </c>
      <c r="AG739" t="s">
        <v>4614</v>
      </c>
      <c r="AH739" t="s">
        <v>4615</v>
      </c>
      <c r="AI739" t="s">
        <v>5975</v>
      </c>
      <c r="AJ739" s="2">
        <v>45482.828587962962</v>
      </c>
      <c r="AK739" t="s">
        <v>5976</v>
      </c>
      <c r="AL739" t="s">
        <v>65</v>
      </c>
      <c r="AM739" s="3">
        <v>1.8888888888888888</v>
      </c>
      <c r="AN739" t="s">
        <v>66</v>
      </c>
      <c r="AO739" t="s">
        <v>67</v>
      </c>
    </row>
    <row r="740" spans="1:41" x14ac:dyDescent="0.2">
      <c r="A740">
        <v>368060</v>
      </c>
      <c r="B740" t="s">
        <v>5977</v>
      </c>
      <c r="C740" t="s">
        <v>197</v>
      </c>
      <c r="D740" t="s">
        <v>5978</v>
      </c>
      <c r="E740">
        <v>31002110</v>
      </c>
      <c r="F740">
        <v>92201</v>
      </c>
      <c r="G740" s="1">
        <v>37764</v>
      </c>
      <c r="H740" s="1">
        <v>45561</v>
      </c>
      <c r="I740" s="1">
        <v>45945</v>
      </c>
      <c r="J740" t="s">
        <v>45</v>
      </c>
      <c r="K740" t="s">
        <v>45</v>
      </c>
      <c r="L740" t="s">
        <v>72</v>
      </c>
      <c r="M740" s="1">
        <v>43978</v>
      </c>
      <c r="N740" t="s">
        <v>47</v>
      </c>
      <c r="O740" t="s">
        <v>48</v>
      </c>
      <c r="P740" t="s">
        <v>49</v>
      </c>
      <c r="Q740" t="s">
        <v>5979</v>
      </c>
      <c r="R740" t="s">
        <v>5980</v>
      </c>
      <c r="S740">
        <v>951</v>
      </c>
      <c r="T740" t="s">
        <v>92</v>
      </c>
      <c r="U740" t="s">
        <v>202</v>
      </c>
      <c r="V740" t="s">
        <v>203</v>
      </c>
      <c r="W740" t="s">
        <v>204</v>
      </c>
      <c r="X740" t="s">
        <v>52</v>
      </c>
      <c r="Y740" t="s">
        <v>110</v>
      </c>
      <c r="Z740">
        <v>2139</v>
      </c>
      <c r="AA740">
        <v>38</v>
      </c>
      <c r="AB740">
        <v>144</v>
      </c>
      <c r="AC740" t="s">
        <v>205</v>
      </c>
      <c r="AD740" t="s">
        <v>206</v>
      </c>
      <c r="AE740" t="s">
        <v>1547</v>
      </c>
      <c r="AF740" t="s">
        <v>3373</v>
      </c>
      <c r="AG740" t="s">
        <v>3374</v>
      </c>
      <c r="AH740" t="s">
        <v>3375</v>
      </c>
      <c r="AI740" t="s">
        <v>211</v>
      </c>
      <c r="AJ740" s="2">
        <v>45699.774375000001</v>
      </c>
      <c r="AK740" t="s">
        <v>149</v>
      </c>
      <c r="AL740" t="s">
        <v>65</v>
      </c>
      <c r="AM740" s="4">
        <v>9.7222222222222224E-2</v>
      </c>
      <c r="AN740" t="s">
        <v>66</v>
      </c>
      <c r="AO740" t="s">
        <v>67</v>
      </c>
    </row>
    <row r="741" spans="1:41" x14ac:dyDescent="0.2">
      <c r="A741">
        <v>371484</v>
      </c>
      <c r="B741" t="s">
        <v>5981</v>
      </c>
      <c r="C741" t="s">
        <v>5982</v>
      </c>
      <c r="D741" t="s">
        <v>5982</v>
      </c>
      <c r="E741" t="s">
        <v>5983</v>
      </c>
      <c r="F741">
        <v>661001</v>
      </c>
      <c r="G741" s="1">
        <v>37267</v>
      </c>
      <c r="H741" s="1">
        <v>45708</v>
      </c>
      <c r="I741" s="1">
        <v>46068</v>
      </c>
      <c r="J741" t="s">
        <v>45</v>
      </c>
      <c r="K741" t="s">
        <v>45</v>
      </c>
      <c r="L741" t="s">
        <v>72</v>
      </c>
      <c r="M741" s="1">
        <v>45470</v>
      </c>
      <c r="N741" t="s">
        <v>47</v>
      </c>
      <c r="O741" t="s">
        <v>48</v>
      </c>
      <c r="P741" t="s">
        <v>49</v>
      </c>
      <c r="Q741" t="s">
        <v>5984</v>
      </c>
      <c r="R741" t="s">
        <v>5985</v>
      </c>
      <c r="S741">
        <v>351</v>
      </c>
      <c r="T741" t="s">
        <v>52</v>
      </c>
      <c r="U741">
        <v>5</v>
      </c>
      <c r="V741" t="s">
        <v>5986</v>
      </c>
      <c r="W741" t="s">
        <v>54</v>
      </c>
      <c r="X741" t="s">
        <v>52</v>
      </c>
      <c r="Y741" t="s">
        <v>110</v>
      </c>
      <c r="Z741">
        <v>997</v>
      </c>
      <c r="AA741">
        <v>52</v>
      </c>
      <c r="AB741">
        <v>160</v>
      </c>
      <c r="AC741" t="s">
        <v>646</v>
      </c>
      <c r="AD741" t="s">
        <v>647</v>
      </c>
      <c r="AE741" t="s">
        <v>648</v>
      </c>
      <c r="AF741" t="s">
        <v>5987</v>
      </c>
      <c r="AG741" t="s">
        <v>5988</v>
      </c>
      <c r="AH741" t="s">
        <v>5989</v>
      </c>
      <c r="AI741" t="s">
        <v>5990</v>
      </c>
      <c r="AJ741" s="2">
        <v>45812.775601851848</v>
      </c>
      <c r="AK741" t="s">
        <v>650</v>
      </c>
      <c r="AL741" t="s">
        <v>65</v>
      </c>
      <c r="AM741" s="4">
        <v>0</v>
      </c>
      <c r="AN741" t="s">
        <v>66</v>
      </c>
      <c r="AO741" t="s">
        <v>67</v>
      </c>
    </row>
    <row r="742" spans="1:41" x14ac:dyDescent="0.2">
      <c r="A742">
        <v>357969</v>
      </c>
      <c r="B742" t="s">
        <v>5991</v>
      </c>
      <c r="C742" t="s">
        <v>103</v>
      </c>
      <c r="D742" t="s">
        <v>3787</v>
      </c>
      <c r="E742">
        <v>40722500</v>
      </c>
      <c r="F742">
        <v>315406</v>
      </c>
      <c r="G742" s="1">
        <v>38659</v>
      </c>
      <c r="H742" s="1">
        <v>45344</v>
      </c>
      <c r="I742" s="1">
        <v>46371</v>
      </c>
      <c r="J742" t="s">
        <v>45</v>
      </c>
      <c r="K742" t="s">
        <v>45</v>
      </c>
      <c r="L742" t="s">
        <v>72</v>
      </c>
      <c r="M742" s="1">
        <v>44104</v>
      </c>
      <c r="N742" t="s">
        <v>47</v>
      </c>
      <c r="O742" t="s">
        <v>48</v>
      </c>
      <c r="P742" t="s">
        <v>49</v>
      </c>
      <c r="Q742" t="s">
        <v>5992</v>
      </c>
      <c r="R742" t="s">
        <v>5993</v>
      </c>
      <c r="S742">
        <v>3</v>
      </c>
      <c r="T742" t="s">
        <v>92</v>
      </c>
      <c r="U742" t="s">
        <v>107</v>
      </c>
      <c r="V742" t="s">
        <v>108</v>
      </c>
      <c r="W742" t="s">
        <v>109</v>
      </c>
      <c r="X742" t="s">
        <v>52</v>
      </c>
      <c r="Y742" t="s">
        <v>110</v>
      </c>
      <c r="Z742">
        <v>2801</v>
      </c>
      <c r="AA742">
        <v>46</v>
      </c>
      <c r="AB742">
        <v>39</v>
      </c>
      <c r="AC742" t="s">
        <v>5994</v>
      </c>
      <c r="AD742" t="s">
        <v>5995</v>
      </c>
      <c r="AE742" t="s">
        <v>5996</v>
      </c>
      <c r="AF742" t="s">
        <v>5997</v>
      </c>
      <c r="AG742" t="s">
        <v>5998</v>
      </c>
      <c r="AH742" t="s">
        <v>5999</v>
      </c>
      <c r="AI742" t="s">
        <v>5995</v>
      </c>
      <c r="AJ742" s="2">
        <v>45818.719525462962</v>
      </c>
      <c r="AK742" t="s">
        <v>100</v>
      </c>
      <c r="AL742" t="s">
        <v>65</v>
      </c>
      <c r="AM742" s="3">
        <v>2.03125</v>
      </c>
      <c r="AN742" t="s">
        <v>66</v>
      </c>
      <c r="AO742" t="s">
        <v>101</v>
      </c>
    </row>
    <row r="743" spans="1:41" x14ac:dyDescent="0.2">
      <c r="A743">
        <v>364162</v>
      </c>
      <c r="B743" t="s">
        <v>6000</v>
      </c>
      <c r="C743" t="s">
        <v>151</v>
      </c>
      <c r="D743" t="s">
        <v>6001</v>
      </c>
      <c r="E743" t="s">
        <v>6002</v>
      </c>
      <c r="F743">
        <v>382001</v>
      </c>
      <c r="G743" s="1">
        <v>45474</v>
      </c>
      <c r="H743" s="1">
        <v>45421</v>
      </c>
      <c r="J743" t="s">
        <v>45</v>
      </c>
      <c r="K743" t="s">
        <v>45</v>
      </c>
      <c r="L743" t="s">
        <v>72</v>
      </c>
      <c r="N743" t="s">
        <v>47</v>
      </c>
      <c r="O743" t="s">
        <v>48</v>
      </c>
      <c r="P743" t="s">
        <v>49</v>
      </c>
      <c r="Q743" t="s">
        <v>6003</v>
      </c>
      <c r="R743" t="s">
        <v>6004</v>
      </c>
      <c r="S743">
        <v>112</v>
      </c>
      <c r="T743" t="s">
        <v>92</v>
      </c>
      <c r="U743" t="s">
        <v>6005</v>
      </c>
      <c r="V743" t="s">
        <v>5510</v>
      </c>
      <c r="W743" t="s">
        <v>6006</v>
      </c>
      <c r="X743" t="s">
        <v>92</v>
      </c>
      <c r="Y743" t="s">
        <v>96</v>
      </c>
      <c r="Z743">
        <v>12230</v>
      </c>
      <c r="AA743">
        <v>6</v>
      </c>
      <c r="AB743">
        <v>45</v>
      </c>
      <c r="AC743" t="s">
        <v>6007</v>
      </c>
      <c r="AD743" t="s">
        <v>6008</v>
      </c>
      <c r="AE743" t="s">
        <v>6009</v>
      </c>
      <c r="AF743" t="s">
        <v>6010</v>
      </c>
      <c r="AG743" t="s">
        <v>6011</v>
      </c>
      <c r="AH743" t="s">
        <v>6012</v>
      </c>
      <c r="AI743" t="s">
        <v>6013</v>
      </c>
      <c r="AJ743" s="2">
        <v>45534.58321759259</v>
      </c>
      <c r="AK743" t="s">
        <v>375</v>
      </c>
      <c r="AL743" t="s">
        <v>65</v>
      </c>
      <c r="AM743" s="4">
        <v>3.4722222222222224E-2</v>
      </c>
      <c r="AN743" t="s">
        <v>66</v>
      </c>
      <c r="AO743" t="s">
        <v>101</v>
      </c>
    </row>
    <row r="744" spans="1:41" x14ac:dyDescent="0.2">
      <c r="A744">
        <v>370433</v>
      </c>
      <c r="B744" t="s">
        <v>6014</v>
      </c>
      <c r="C744" t="s">
        <v>42</v>
      </c>
      <c r="D744" t="s">
        <v>2050</v>
      </c>
      <c r="E744" t="s">
        <v>6015</v>
      </c>
      <c r="F744">
        <v>292012</v>
      </c>
      <c r="G744" s="1">
        <v>37860</v>
      </c>
      <c r="H744" s="1">
        <v>45771</v>
      </c>
      <c r="I744" s="1">
        <v>46127</v>
      </c>
      <c r="J744" t="s">
        <v>45</v>
      </c>
      <c r="K744" t="s">
        <v>45</v>
      </c>
      <c r="L744" t="s">
        <v>46</v>
      </c>
      <c r="M744" s="1">
        <v>44840</v>
      </c>
      <c r="N744" t="s">
        <v>47</v>
      </c>
      <c r="O744" t="s">
        <v>48</v>
      </c>
      <c r="P744" t="s">
        <v>49</v>
      </c>
      <c r="Q744" t="s">
        <v>6016</v>
      </c>
      <c r="R744" t="s">
        <v>6017</v>
      </c>
      <c r="S744">
        <v>8435</v>
      </c>
      <c r="T744" t="s">
        <v>52</v>
      </c>
      <c r="U744">
        <v>3</v>
      </c>
      <c r="V744" t="s">
        <v>53</v>
      </c>
      <c r="W744" t="s">
        <v>54</v>
      </c>
      <c r="X744" t="s">
        <v>55</v>
      </c>
      <c r="Y744" t="s">
        <v>56</v>
      </c>
      <c r="Z744">
        <v>2031</v>
      </c>
      <c r="AA744">
        <v>47</v>
      </c>
      <c r="AB744">
        <v>144</v>
      </c>
      <c r="AC744" t="s">
        <v>57</v>
      </c>
      <c r="AD744" t="s">
        <v>58</v>
      </c>
      <c r="AE744" t="s">
        <v>4968</v>
      </c>
      <c r="AF744" t="s">
        <v>60</v>
      </c>
      <c r="AG744" t="s">
        <v>61</v>
      </c>
      <c r="AH744" t="s">
        <v>62</v>
      </c>
      <c r="AI744" t="s">
        <v>1809</v>
      </c>
      <c r="AJ744" s="2">
        <v>45775.754999999997</v>
      </c>
      <c r="AK744" t="s">
        <v>64</v>
      </c>
      <c r="AL744" t="s">
        <v>65</v>
      </c>
      <c r="AM744" s="4">
        <v>0.45833333333333331</v>
      </c>
      <c r="AN744" t="s">
        <v>66</v>
      </c>
      <c r="AO744" t="s">
        <v>67</v>
      </c>
    </row>
    <row r="745" spans="1:41" x14ac:dyDescent="0.2">
      <c r="A745">
        <v>371234</v>
      </c>
      <c r="B745" t="s">
        <v>6018</v>
      </c>
      <c r="C745" t="s">
        <v>103</v>
      </c>
      <c r="D745" t="s">
        <v>6019</v>
      </c>
      <c r="E745" t="s">
        <v>6020</v>
      </c>
      <c r="F745">
        <v>316001</v>
      </c>
      <c r="G745" s="1">
        <v>38009</v>
      </c>
      <c r="H745" s="1">
        <v>45791</v>
      </c>
      <c r="I745" s="1">
        <v>46143</v>
      </c>
      <c r="J745" t="s">
        <v>45</v>
      </c>
      <c r="K745" t="s">
        <v>45</v>
      </c>
      <c r="L745" t="s">
        <v>46</v>
      </c>
      <c r="M745" s="1">
        <v>44201</v>
      </c>
      <c r="N745" t="s">
        <v>47</v>
      </c>
      <c r="O745" t="s">
        <v>48</v>
      </c>
      <c r="P745" t="s">
        <v>49</v>
      </c>
      <c r="Q745" t="s">
        <v>6021</v>
      </c>
      <c r="R745" t="s">
        <v>6022</v>
      </c>
      <c r="S745">
        <v>3355</v>
      </c>
      <c r="T745" t="s">
        <v>52</v>
      </c>
      <c r="U745">
        <v>8</v>
      </c>
      <c r="V745" t="s">
        <v>3759</v>
      </c>
      <c r="W745" t="s">
        <v>54</v>
      </c>
      <c r="X745" t="s">
        <v>76</v>
      </c>
      <c r="Y745" t="s">
        <v>56</v>
      </c>
      <c r="Z745">
        <v>2473</v>
      </c>
      <c r="AA745">
        <v>35</v>
      </c>
      <c r="AB745">
        <v>189</v>
      </c>
      <c r="AC745" t="s">
        <v>3760</v>
      </c>
      <c r="AD745" t="s">
        <v>3761</v>
      </c>
      <c r="AE745" t="s">
        <v>3762</v>
      </c>
      <c r="AI745" t="s">
        <v>3761</v>
      </c>
      <c r="AJ745" s="2">
        <v>45799.702164351853</v>
      </c>
      <c r="AK745" t="s">
        <v>717</v>
      </c>
      <c r="AL745" t="s">
        <v>65</v>
      </c>
      <c r="AM745" s="3">
        <v>1.4826388888888888</v>
      </c>
      <c r="AN745" t="s">
        <v>66</v>
      </c>
      <c r="AO745" t="s">
        <v>101</v>
      </c>
    </row>
    <row r="746" spans="1:41" x14ac:dyDescent="0.2">
      <c r="A746">
        <v>369119</v>
      </c>
      <c r="B746" t="s">
        <v>6023</v>
      </c>
      <c r="C746" t="s">
        <v>1244</v>
      </c>
      <c r="D746" t="s">
        <v>6024</v>
      </c>
      <c r="E746" s="5">
        <v>333481000000</v>
      </c>
      <c r="F746">
        <v>462601</v>
      </c>
      <c r="G746" s="1">
        <v>35129</v>
      </c>
      <c r="H746" s="1">
        <v>45722</v>
      </c>
      <c r="I746" s="1">
        <v>46096</v>
      </c>
      <c r="J746" t="s">
        <v>45</v>
      </c>
      <c r="K746" t="s">
        <v>45</v>
      </c>
      <c r="L746" t="s">
        <v>4306</v>
      </c>
      <c r="M746" s="1">
        <v>45183</v>
      </c>
      <c r="N746" t="s">
        <v>47</v>
      </c>
      <c r="O746" t="s">
        <v>48</v>
      </c>
      <c r="P746" t="s">
        <v>49</v>
      </c>
      <c r="Q746" t="s">
        <v>6025</v>
      </c>
      <c r="R746" t="s">
        <v>6026</v>
      </c>
      <c r="S746">
        <v>3853</v>
      </c>
      <c r="T746" t="s">
        <v>52</v>
      </c>
      <c r="U746">
        <v>9</v>
      </c>
      <c r="V746" t="s">
        <v>6027</v>
      </c>
      <c r="W746" t="s">
        <v>54</v>
      </c>
      <c r="X746" t="s">
        <v>76</v>
      </c>
      <c r="Y746" t="s">
        <v>56</v>
      </c>
      <c r="Z746">
        <v>1179</v>
      </c>
      <c r="AA746">
        <v>48</v>
      </c>
      <c r="AB746">
        <v>37</v>
      </c>
      <c r="AC746" t="s">
        <v>6028</v>
      </c>
      <c r="AD746" t="s">
        <v>6029</v>
      </c>
      <c r="AE746" t="s">
        <v>6030</v>
      </c>
      <c r="AI746" t="s">
        <v>6029</v>
      </c>
      <c r="AJ746" s="2">
        <v>45727.621111111112</v>
      </c>
      <c r="AK746" t="s">
        <v>2517</v>
      </c>
      <c r="AL746" t="s">
        <v>65</v>
      </c>
      <c r="AM746" s="4">
        <v>0.72222222222222221</v>
      </c>
      <c r="AN746" t="s">
        <v>66</v>
      </c>
      <c r="AO746" t="s">
        <v>101</v>
      </c>
    </row>
    <row r="747" spans="1:41" x14ac:dyDescent="0.2">
      <c r="A747">
        <v>368061</v>
      </c>
      <c r="B747" t="s">
        <v>6031</v>
      </c>
      <c r="C747" t="s">
        <v>197</v>
      </c>
      <c r="D747" t="s">
        <v>6032</v>
      </c>
      <c r="E747" t="s">
        <v>6033</v>
      </c>
      <c r="F747">
        <v>91101</v>
      </c>
      <c r="G747" s="1">
        <v>37714</v>
      </c>
      <c r="H747" s="1">
        <v>45561</v>
      </c>
      <c r="I747" s="1">
        <v>45945</v>
      </c>
      <c r="J747" t="s">
        <v>45</v>
      </c>
      <c r="K747" t="s">
        <v>45</v>
      </c>
      <c r="L747" t="s">
        <v>72</v>
      </c>
      <c r="N747" t="s">
        <v>47</v>
      </c>
      <c r="O747" t="s">
        <v>48</v>
      </c>
      <c r="P747" t="s">
        <v>49</v>
      </c>
      <c r="Q747" t="s">
        <v>6034</v>
      </c>
      <c r="R747" t="s">
        <v>6035</v>
      </c>
      <c r="S747">
        <v>1270</v>
      </c>
      <c r="T747" t="s">
        <v>92</v>
      </c>
      <c r="U747" t="s">
        <v>202</v>
      </c>
      <c r="V747" t="s">
        <v>203</v>
      </c>
      <c r="W747" t="s">
        <v>204</v>
      </c>
      <c r="X747" t="s">
        <v>52</v>
      </c>
      <c r="Y747" t="s">
        <v>110</v>
      </c>
      <c r="Z747">
        <v>2138</v>
      </c>
      <c r="AA747">
        <v>36</v>
      </c>
      <c r="AB747">
        <v>144</v>
      </c>
      <c r="AC747" t="s">
        <v>205</v>
      </c>
      <c r="AD747" t="s">
        <v>206</v>
      </c>
      <c r="AE747" t="s">
        <v>1547</v>
      </c>
      <c r="AF747" t="s">
        <v>3373</v>
      </c>
      <c r="AG747" t="s">
        <v>3374</v>
      </c>
      <c r="AH747" t="s">
        <v>3375</v>
      </c>
      <c r="AI747" t="s">
        <v>211</v>
      </c>
      <c r="AJ747" s="2">
        <v>45699.774641203701</v>
      </c>
      <c r="AK747" t="s">
        <v>149</v>
      </c>
      <c r="AL747" t="s">
        <v>65</v>
      </c>
      <c r="AM747" s="4">
        <v>9.0277777777777776E-2</v>
      </c>
      <c r="AN747" t="s">
        <v>66</v>
      </c>
      <c r="AO747" t="s">
        <v>67</v>
      </c>
    </row>
    <row r="748" spans="1:41" x14ac:dyDescent="0.2">
      <c r="A748">
        <v>370362</v>
      </c>
      <c r="B748" t="s">
        <v>6036</v>
      </c>
      <c r="C748" t="s">
        <v>662</v>
      </c>
      <c r="D748" t="s">
        <v>789</v>
      </c>
      <c r="E748">
        <v>88408162</v>
      </c>
      <c r="F748">
        <v>415201</v>
      </c>
      <c r="G748" s="1">
        <v>37790</v>
      </c>
      <c r="H748" s="1">
        <v>45586</v>
      </c>
      <c r="I748" s="1">
        <v>45915</v>
      </c>
      <c r="J748" t="s">
        <v>45</v>
      </c>
      <c r="K748" t="s">
        <v>45</v>
      </c>
      <c r="L748" t="s">
        <v>72</v>
      </c>
      <c r="M748" s="1">
        <v>45701</v>
      </c>
      <c r="N748" t="s">
        <v>47</v>
      </c>
      <c r="O748" t="s">
        <v>48</v>
      </c>
      <c r="P748" t="s">
        <v>49</v>
      </c>
      <c r="Q748" t="s">
        <v>6037</v>
      </c>
      <c r="R748" t="s">
        <v>6038</v>
      </c>
      <c r="S748">
        <v>100</v>
      </c>
      <c r="T748" t="s">
        <v>92</v>
      </c>
      <c r="U748" t="s">
        <v>1197</v>
      </c>
      <c r="V748" t="s">
        <v>1198</v>
      </c>
      <c r="W748" t="s">
        <v>1199</v>
      </c>
      <c r="X748" t="s">
        <v>52</v>
      </c>
      <c r="Y748" t="s">
        <v>110</v>
      </c>
      <c r="Z748">
        <v>2129</v>
      </c>
      <c r="AA748">
        <v>45</v>
      </c>
      <c r="AB748">
        <v>78</v>
      </c>
      <c r="AC748" t="s">
        <v>1200</v>
      </c>
      <c r="AD748" t="s">
        <v>1201</v>
      </c>
      <c r="AE748" t="s">
        <v>1202</v>
      </c>
      <c r="AF748" t="s">
        <v>1203</v>
      </c>
      <c r="AG748" t="s">
        <v>1204</v>
      </c>
      <c r="AH748" t="s">
        <v>1205</v>
      </c>
      <c r="AJ748" s="2">
        <v>45771.780694444446</v>
      </c>
      <c r="AK748" t="s">
        <v>2068</v>
      </c>
      <c r="AL748" t="s">
        <v>65</v>
      </c>
      <c r="AM748" s="4">
        <v>0.93055555555555558</v>
      </c>
      <c r="AN748" t="s">
        <v>66</v>
      </c>
      <c r="AO748" t="s">
        <v>67</v>
      </c>
    </row>
    <row r="749" spans="1:41" x14ac:dyDescent="0.2">
      <c r="A749">
        <v>356551</v>
      </c>
      <c r="B749" t="s">
        <v>6039</v>
      </c>
      <c r="C749" t="s">
        <v>788</v>
      </c>
      <c r="D749" t="s">
        <v>6040</v>
      </c>
      <c r="E749">
        <v>32751400</v>
      </c>
      <c r="G749" s="1">
        <v>36892</v>
      </c>
      <c r="J749" t="s">
        <v>326</v>
      </c>
      <c r="K749" t="s">
        <v>72</v>
      </c>
      <c r="L749" t="s">
        <v>72</v>
      </c>
      <c r="N749" t="s">
        <v>89</v>
      </c>
      <c r="O749" t="s">
        <v>48</v>
      </c>
      <c r="P749" t="s">
        <v>406</v>
      </c>
      <c r="Q749" t="s">
        <v>6041</v>
      </c>
      <c r="R749" t="s">
        <v>6042</v>
      </c>
      <c r="S749">
        <v>200</v>
      </c>
      <c r="T749" t="s">
        <v>257</v>
      </c>
      <c r="U749" t="s">
        <v>1691</v>
      </c>
      <c r="V749" t="s">
        <v>3890</v>
      </c>
      <c r="W749" t="s">
        <v>260</v>
      </c>
      <c r="X749" t="s">
        <v>257</v>
      </c>
      <c r="Y749" t="s">
        <v>410</v>
      </c>
      <c r="Z749">
        <v>2986</v>
      </c>
      <c r="AA749">
        <v>11</v>
      </c>
      <c r="AB749">
        <v>146</v>
      </c>
      <c r="AC749" t="s">
        <v>6043</v>
      </c>
      <c r="AD749" t="s">
        <v>6044</v>
      </c>
      <c r="AE749" t="s">
        <v>6045</v>
      </c>
      <c r="AI749" t="s">
        <v>6044</v>
      </c>
      <c r="AJ749" s="2">
        <v>45313.635972222219</v>
      </c>
      <c r="AK749" t="s">
        <v>149</v>
      </c>
      <c r="AL749" t="s">
        <v>1168</v>
      </c>
      <c r="AM749" s="3">
        <v>2.4263888888888889</v>
      </c>
      <c r="AN749" t="s">
        <v>2857</v>
      </c>
      <c r="AO749" t="s">
        <v>67</v>
      </c>
    </row>
    <row r="750" spans="1:41" x14ac:dyDescent="0.2">
      <c r="A750">
        <v>356031</v>
      </c>
      <c r="B750" t="s">
        <v>6046</v>
      </c>
      <c r="C750" t="s">
        <v>103</v>
      </c>
      <c r="D750" t="s">
        <v>3787</v>
      </c>
      <c r="E750" t="s">
        <v>6047</v>
      </c>
      <c r="F750">
        <v>315408</v>
      </c>
      <c r="G750" s="1">
        <v>44461</v>
      </c>
      <c r="H750" s="1">
        <v>45261</v>
      </c>
      <c r="I750" s="1">
        <v>46296</v>
      </c>
      <c r="J750" t="s">
        <v>326</v>
      </c>
      <c r="K750" t="s">
        <v>45</v>
      </c>
      <c r="L750" t="s">
        <v>72</v>
      </c>
      <c r="N750" t="s">
        <v>47</v>
      </c>
      <c r="O750" t="s">
        <v>48</v>
      </c>
      <c r="P750" t="s">
        <v>907</v>
      </c>
      <c r="Q750" t="s">
        <v>6048</v>
      </c>
      <c r="R750" t="s">
        <v>6049</v>
      </c>
      <c r="S750">
        <v>3</v>
      </c>
      <c r="T750" t="s">
        <v>92</v>
      </c>
      <c r="U750" t="s">
        <v>107</v>
      </c>
      <c r="V750" t="s">
        <v>108</v>
      </c>
      <c r="W750" t="s">
        <v>109</v>
      </c>
      <c r="X750" t="s">
        <v>92</v>
      </c>
      <c r="Y750" t="s">
        <v>110</v>
      </c>
      <c r="Z750">
        <v>11406</v>
      </c>
      <c r="AA750">
        <v>13</v>
      </c>
      <c r="AB750">
        <v>45</v>
      </c>
      <c r="AC750" t="s">
        <v>5994</v>
      </c>
      <c r="AD750" t="s">
        <v>5995</v>
      </c>
      <c r="AE750" t="s">
        <v>5996</v>
      </c>
      <c r="AF750" t="s">
        <v>6050</v>
      </c>
      <c r="AG750" t="s">
        <v>6051</v>
      </c>
      <c r="AH750" t="s">
        <v>6052</v>
      </c>
      <c r="AI750" t="s">
        <v>5995</v>
      </c>
      <c r="AJ750" s="2">
        <v>45818.719537037039</v>
      </c>
      <c r="AK750" t="s">
        <v>100</v>
      </c>
      <c r="AL750" t="s">
        <v>65</v>
      </c>
      <c r="AM750" s="3">
        <v>2.2569444444444446</v>
      </c>
      <c r="AN750" t="s">
        <v>66</v>
      </c>
      <c r="AO750" t="s">
        <v>101</v>
      </c>
    </row>
    <row r="751" spans="1:41" x14ac:dyDescent="0.2">
      <c r="A751">
        <v>368856</v>
      </c>
      <c r="B751" t="s">
        <v>6053</v>
      </c>
      <c r="C751" t="s">
        <v>558</v>
      </c>
      <c r="D751" t="s">
        <v>6054</v>
      </c>
      <c r="E751" t="s">
        <v>6055</v>
      </c>
      <c r="F751">
        <v>260701</v>
      </c>
      <c r="G751" s="1">
        <v>31841</v>
      </c>
      <c r="H751" s="1">
        <v>45687</v>
      </c>
      <c r="I751" s="1">
        <v>46068</v>
      </c>
      <c r="J751" t="s">
        <v>45</v>
      </c>
      <c r="K751" t="s">
        <v>45</v>
      </c>
      <c r="L751" t="s">
        <v>429</v>
      </c>
      <c r="M751" s="1">
        <v>39356</v>
      </c>
      <c r="N751" t="s">
        <v>47</v>
      </c>
      <c r="O751" t="s">
        <v>48</v>
      </c>
      <c r="P751" t="s">
        <v>49</v>
      </c>
      <c r="Q751" t="s">
        <v>6056</v>
      </c>
      <c r="R751" t="s">
        <v>6057</v>
      </c>
      <c r="S751">
        <v>4549</v>
      </c>
      <c r="T751" t="s">
        <v>365</v>
      </c>
      <c r="U751" t="s">
        <v>562</v>
      </c>
      <c r="V751" t="s">
        <v>4944</v>
      </c>
      <c r="W751" t="s">
        <v>367</v>
      </c>
      <c r="X751" t="s">
        <v>493</v>
      </c>
      <c r="Y751" t="s">
        <v>434</v>
      </c>
      <c r="Z751">
        <v>250</v>
      </c>
      <c r="AA751">
        <v>64</v>
      </c>
      <c r="AB751">
        <v>166</v>
      </c>
      <c r="AC751" t="s">
        <v>6058</v>
      </c>
      <c r="AD751" t="s">
        <v>4946</v>
      </c>
      <c r="AE751" t="s">
        <v>4947</v>
      </c>
      <c r="AI751" t="s">
        <v>500</v>
      </c>
      <c r="AJ751" s="2">
        <v>45722.877638888887</v>
      </c>
      <c r="AK751" t="s">
        <v>1472</v>
      </c>
      <c r="AL751" t="s">
        <v>65</v>
      </c>
      <c r="AM751" s="3">
        <v>1.9861111111111112</v>
      </c>
      <c r="AN751" t="s">
        <v>66</v>
      </c>
      <c r="AO751" t="s">
        <v>67</v>
      </c>
    </row>
    <row r="752" spans="1:41" x14ac:dyDescent="0.2">
      <c r="A752">
        <v>363323</v>
      </c>
      <c r="B752" t="s">
        <v>6059</v>
      </c>
      <c r="C752" t="s">
        <v>345</v>
      </c>
      <c r="D752" t="s">
        <v>6060</v>
      </c>
      <c r="E752" t="s">
        <v>6061</v>
      </c>
      <c r="F752">
        <v>51404</v>
      </c>
      <c r="G752" s="1">
        <v>30855</v>
      </c>
      <c r="H752" s="1">
        <v>45505</v>
      </c>
      <c r="I752" s="1">
        <v>46249</v>
      </c>
      <c r="J752" t="s">
        <v>45</v>
      </c>
      <c r="K752" t="s">
        <v>45</v>
      </c>
      <c r="L752" t="s">
        <v>429</v>
      </c>
      <c r="N752" t="s">
        <v>47</v>
      </c>
      <c r="O752" t="s">
        <v>48</v>
      </c>
      <c r="P752" t="s">
        <v>49</v>
      </c>
      <c r="Q752" t="s">
        <v>6062</v>
      </c>
      <c r="R752" t="s">
        <v>6063</v>
      </c>
      <c r="S752">
        <v>8685</v>
      </c>
      <c r="T752" t="s">
        <v>52</v>
      </c>
      <c r="U752">
        <v>2</v>
      </c>
      <c r="V752" t="s">
        <v>6064</v>
      </c>
      <c r="W752" t="s">
        <v>54</v>
      </c>
      <c r="X752" t="s">
        <v>55</v>
      </c>
      <c r="Y752" t="s">
        <v>56</v>
      </c>
      <c r="Z752">
        <v>599</v>
      </c>
      <c r="AA752">
        <v>50</v>
      </c>
      <c r="AB752">
        <v>158</v>
      </c>
      <c r="AC752" t="s">
        <v>6065</v>
      </c>
      <c r="AD752" t="s">
        <v>6066</v>
      </c>
      <c r="AE752" t="s">
        <v>6067</v>
      </c>
      <c r="AF752" t="s">
        <v>6068</v>
      </c>
      <c r="AG752" t="s">
        <v>6069</v>
      </c>
      <c r="AH752" t="s">
        <v>6070</v>
      </c>
      <c r="AI752" t="s">
        <v>6071</v>
      </c>
      <c r="AJ752" s="2">
        <v>45509.892627314817</v>
      </c>
      <c r="AK752" t="s">
        <v>64</v>
      </c>
      <c r="AL752" t="s">
        <v>65</v>
      </c>
      <c r="AM752" s="3">
        <v>2.3888888888888888</v>
      </c>
      <c r="AN752" t="s">
        <v>66</v>
      </c>
      <c r="AO752" t="s">
        <v>67</v>
      </c>
    </row>
    <row r="753" spans="1:41" x14ac:dyDescent="0.2">
      <c r="A753">
        <v>371114</v>
      </c>
      <c r="B753" t="s">
        <v>6072</v>
      </c>
      <c r="C753" t="s">
        <v>42</v>
      </c>
      <c r="D753" t="s">
        <v>2670</v>
      </c>
      <c r="E753" t="s">
        <v>6073</v>
      </c>
      <c r="F753">
        <v>290203</v>
      </c>
      <c r="G753" s="1">
        <v>36669</v>
      </c>
      <c r="H753" s="1">
        <v>45791</v>
      </c>
      <c r="I753" s="1">
        <v>46143</v>
      </c>
      <c r="J753" t="s">
        <v>45</v>
      </c>
      <c r="K753" t="s">
        <v>45</v>
      </c>
      <c r="L753" t="s">
        <v>429</v>
      </c>
      <c r="M753" s="1">
        <v>43077</v>
      </c>
      <c r="N753" t="s">
        <v>47</v>
      </c>
      <c r="O753" t="s">
        <v>48</v>
      </c>
      <c r="P753" t="s">
        <v>49</v>
      </c>
      <c r="Q753" t="s">
        <v>6074</v>
      </c>
      <c r="R753" t="s">
        <v>6075</v>
      </c>
      <c r="S753">
        <v>8389</v>
      </c>
      <c r="T753" t="s">
        <v>52</v>
      </c>
      <c r="U753">
        <v>3</v>
      </c>
      <c r="V753" t="s">
        <v>1759</v>
      </c>
      <c r="W753" t="s">
        <v>54</v>
      </c>
      <c r="X753" t="s">
        <v>55</v>
      </c>
      <c r="Y753" t="s">
        <v>56</v>
      </c>
      <c r="Z753">
        <v>1596</v>
      </c>
      <c r="AA753">
        <v>57</v>
      </c>
      <c r="AB753">
        <v>152</v>
      </c>
      <c r="AC753" t="s">
        <v>5734</v>
      </c>
      <c r="AD753" t="s">
        <v>1761</v>
      </c>
      <c r="AE753" t="s">
        <v>1762</v>
      </c>
      <c r="AF753" t="s">
        <v>1763</v>
      </c>
      <c r="AG753" t="s">
        <v>1764</v>
      </c>
      <c r="AH753" t="s">
        <v>1765</v>
      </c>
      <c r="AI753" t="s">
        <v>1809</v>
      </c>
      <c r="AJ753" s="2">
        <v>45796.743935185186</v>
      </c>
      <c r="AK753" t="s">
        <v>609</v>
      </c>
      <c r="AL753" t="s">
        <v>65</v>
      </c>
      <c r="AM753" s="4">
        <v>0.3263888888888889</v>
      </c>
      <c r="AN753" t="s">
        <v>66</v>
      </c>
      <c r="AO753" t="s">
        <v>67</v>
      </c>
    </row>
    <row r="754" spans="1:41" x14ac:dyDescent="0.2">
      <c r="A754">
        <v>373011</v>
      </c>
      <c r="B754" t="s">
        <v>6076</v>
      </c>
      <c r="C754" t="s">
        <v>2962</v>
      </c>
      <c r="D754" t="s">
        <v>1644</v>
      </c>
      <c r="E754" t="s">
        <v>6077</v>
      </c>
      <c r="F754">
        <v>338401</v>
      </c>
      <c r="G754" s="1">
        <v>38215</v>
      </c>
      <c r="H754" s="1">
        <v>45593</v>
      </c>
      <c r="I754" s="1">
        <v>45945</v>
      </c>
      <c r="J754" t="s">
        <v>45</v>
      </c>
      <c r="K754" t="s">
        <v>45</v>
      </c>
      <c r="L754" t="s">
        <v>46</v>
      </c>
      <c r="M754" s="1">
        <v>45723</v>
      </c>
      <c r="N754" t="s">
        <v>47</v>
      </c>
      <c r="O754" t="s">
        <v>48</v>
      </c>
      <c r="P754" t="s">
        <v>49</v>
      </c>
      <c r="Q754" t="s">
        <v>6078</v>
      </c>
      <c r="R754" t="s">
        <v>6079</v>
      </c>
      <c r="S754">
        <v>993</v>
      </c>
      <c r="T754" t="s">
        <v>52</v>
      </c>
      <c r="U754">
        <v>9</v>
      </c>
      <c r="V754" t="s">
        <v>6080</v>
      </c>
      <c r="W754" t="s">
        <v>54</v>
      </c>
      <c r="X754" t="s">
        <v>76</v>
      </c>
      <c r="Y754" t="s">
        <v>56</v>
      </c>
      <c r="Z754">
        <v>1182</v>
      </c>
      <c r="AA754">
        <v>54</v>
      </c>
      <c r="AB754">
        <v>37</v>
      </c>
      <c r="AC754" t="s">
        <v>6081</v>
      </c>
      <c r="AD754" t="s">
        <v>6082</v>
      </c>
      <c r="AE754" t="s">
        <v>6083</v>
      </c>
      <c r="AF754" t="s">
        <v>6084</v>
      </c>
      <c r="AG754" t="s">
        <v>6085</v>
      </c>
      <c r="AH754" t="s">
        <v>6086</v>
      </c>
      <c r="AI754" t="s">
        <v>6082</v>
      </c>
      <c r="AJ754" s="2">
        <v>45856.004525462966</v>
      </c>
      <c r="AK754" t="s">
        <v>556</v>
      </c>
      <c r="AL754" t="s">
        <v>65</v>
      </c>
      <c r="AM754" s="4">
        <v>0.76388888888888884</v>
      </c>
      <c r="AN754" t="s">
        <v>66</v>
      </c>
      <c r="AO754" t="s">
        <v>101</v>
      </c>
    </row>
    <row r="755" spans="1:41" x14ac:dyDescent="0.2">
      <c r="A755">
        <v>367187</v>
      </c>
      <c r="B755" t="s">
        <v>6087</v>
      </c>
      <c r="C755" t="s">
        <v>735</v>
      </c>
      <c r="D755" t="s">
        <v>6088</v>
      </c>
      <c r="E755">
        <v>22004194</v>
      </c>
      <c r="F755">
        <v>241910</v>
      </c>
      <c r="G755" s="1">
        <v>39730</v>
      </c>
      <c r="H755" s="1">
        <v>45596</v>
      </c>
      <c r="I755" s="1">
        <v>45945</v>
      </c>
      <c r="J755" t="s">
        <v>45</v>
      </c>
      <c r="K755" t="s">
        <v>45</v>
      </c>
      <c r="L755" t="s">
        <v>72</v>
      </c>
      <c r="M755" s="1">
        <v>43773</v>
      </c>
      <c r="N755" t="s">
        <v>47</v>
      </c>
      <c r="O755" t="s">
        <v>48</v>
      </c>
      <c r="P755" t="s">
        <v>49</v>
      </c>
      <c r="Q755" t="s">
        <v>6089</v>
      </c>
      <c r="R755" t="s">
        <v>6090</v>
      </c>
      <c r="S755">
        <v>3572</v>
      </c>
      <c r="T755" t="s">
        <v>92</v>
      </c>
      <c r="U755" t="s">
        <v>3192</v>
      </c>
      <c r="V755" t="s">
        <v>3193</v>
      </c>
      <c r="W755" t="s">
        <v>3194</v>
      </c>
      <c r="X755" t="s">
        <v>92</v>
      </c>
      <c r="Y755" t="s">
        <v>110</v>
      </c>
      <c r="Z755">
        <v>2999</v>
      </c>
      <c r="AA755">
        <v>36</v>
      </c>
      <c r="AB755">
        <v>166</v>
      </c>
      <c r="AC755" t="s">
        <v>6091</v>
      </c>
      <c r="AD755" t="s">
        <v>6092</v>
      </c>
      <c r="AE755" t="s">
        <v>6093</v>
      </c>
      <c r="AF755" t="s">
        <v>3198</v>
      </c>
      <c r="AG755" t="s">
        <v>3199</v>
      </c>
      <c r="AH755" t="s">
        <v>3200</v>
      </c>
      <c r="AI755" t="s">
        <v>6094</v>
      </c>
      <c r="AJ755" s="2">
        <v>45664.729456018518</v>
      </c>
      <c r="AK755" t="s">
        <v>3198</v>
      </c>
      <c r="AL755" t="s">
        <v>65</v>
      </c>
      <c r="AM755" s="3">
        <v>1.2847222222222223</v>
      </c>
      <c r="AN755" t="s">
        <v>66</v>
      </c>
      <c r="AO755" t="s">
        <v>67</v>
      </c>
    </row>
    <row r="756" spans="1:41" x14ac:dyDescent="0.2">
      <c r="A756">
        <v>367759</v>
      </c>
      <c r="B756" t="s">
        <v>6095</v>
      </c>
      <c r="C756" t="s">
        <v>558</v>
      </c>
      <c r="D756" t="s">
        <v>559</v>
      </c>
      <c r="E756" t="s">
        <v>6096</v>
      </c>
      <c r="G756" s="1">
        <v>42281</v>
      </c>
      <c r="H756" s="1">
        <v>45468</v>
      </c>
      <c r="J756" t="s">
        <v>45</v>
      </c>
      <c r="K756" t="s">
        <v>45</v>
      </c>
      <c r="L756" t="s">
        <v>72</v>
      </c>
      <c r="M756" s="1">
        <v>44797</v>
      </c>
      <c r="N756" t="s">
        <v>47</v>
      </c>
      <c r="O756" t="s">
        <v>48</v>
      </c>
      <c r="P756" t="s">
        <v>586</v>
      </c>
      <c r="Q756" t="s">
        <v>6097</v>
      </c>
      <c r="R756" t="s">
        <v>6098</v>
      </c>
      <c r="S756">
        <v>8490</v>
      </c>
      <c r="T756" t="s">
        <v>257</v>
      </c>
      <c r="U756" t="s">
        <v>640</v>
      </c>
      <c r="V756" t="s">
        <v>6099</v>
      </c>
      <c r="W756" t="s">
        <v>260</v>
      </c>
      <c r="X756" t="s">
        <v>3098</v>
      </c>
      <c r="Y756" t="s">
        <v>642</v>
      </c>
      <c r="Z756">
        <v>6068</v>
      </c>
      <c r="AA756">
        <v>17</v>
      </c>
      <c r="AB756">
        <v>28</v>
      </c>
      <c r="AC756" t="s">
        <v>6100</v>
      </c>
      <c r="AD756" t="s">
        <v>6101</v>
      </c>
      <c r="AE756" t="s">
        <v>6102</v>
      </c>
      <c r="AF756" t="s">
        <v>6103</v>
      </c>
      <c r="AG756" t="s">
        <v>6104</v>
      </c>
      <c r="AH756" t="s">
        <v>6105</v>
      </c>
      <c r="AI756" t="s">
        <v>6106</v>
      </c>
      <c r="AJ756" s="2">
        <v>45690.184907407405</v>
      </c>
      <c r="AK756" t="s">
        <v>6107</v>
      </c>
      <c r="AL756" t="s">
        <v>1168</v>
      </c>
      <c r="AM756" s="3">
        <v>1.4444444444444444</v>
      </c>
      <c r="AN756" t="s">
        <v>66</v>
      </c>
      <c r="AO756" t="s">
        <v>67</v>
      </c>
    </row>
    <row r="757" spans="1:41" x14ac:dyDescent="0.2">
      <c r="A757">
        <v>370694</v>
      </c>
      <c r="B757" t="s">
        <v>6108</v>
      </c>
      <c r="C757" t="s">
        <v>323</v>
      </c>
      <c r="D757" t="s">
        <v>5007</v>
      </c>
      <c r="E757" t="s">
        <v>6109</v>
      </c>
      <c r="G757" s="1">
        <v>42999</v>
      </c>
      <c r="H757" s="1">
        <v>45510</v>
      </c>
      <c r="J757" t="s">
        <v>45</v>
      </c>
      <c r="K757" t="s">
        <v>45</v>
      </c>
      <c r="L757" t="s">
        <v>72</v>
      </c>
      <c r="N757" t="s">
        <v>47</v>
      </c>
      <c r="O757" t="s">
        <v>48</v>
      </c>
      <c r="P757" t="s">
        <v>406</v>
      </c>
      <c r="Q757" t="s">
        <v>6110</v>
      </c>
      <c r="R757" t="s">
        <v>6111</v>
      </c>
      <c r="S757">
        <v>2190</v>
      </c>
      <c r="T757" t="s">
        <v>257</v>
      </c>
      <c r="U757" t="s">
        <v>329</v>
      </c>
      <c r="V757" t="s">
        <v>3302</v>
      </c>
      <c r="W757" t="s">
        <v>3303</v>
      </c>
      <c r="X757" t="s">
        <v>257</v>
      </c>
      <c r="Y757" t="s">
        <v>642</v>
      </c>
      <c r="Z757">
        <v>7646</v>
      </c>
      <c r="AA757">
        <v>19</v>
      </c>
      <c r="AB757">
        <v>108</v>
      </c>
      <c r="AC757" t="s">
        <v>3304</v>
      </c>
      <c r="AD757" t="s">
        <v>3305</v>
      </c>
      <c r="AE757" t="s">
        <v>5011</v>
      </c>
      <c r="AF757" t="s">
        <v>3307</v>
      </c>
      <c r="AG757" t="s">
        <v>3308</v>
      </c>
      <c r="AH757" t="s">
        <v>3309</v>
      </c>
      <c r="AI757" t="s">
        <v>5012</v>
      </c>
      <c r="AJ757" s="2">
        <v>45783.011006944442</v>
      </c>
      <c r="AK757" t="s">
        <v>3304</v>
      </c>
      <c r="AL757" t="s">
        <v>1168</v>
      </c>
      <c r="AM757" s="3">
        <v>1.0416666666666667</v>
      </c>
      <c r="AN757" t="s">
        <v>66</v>
      </c>
      <c r="AO757" t="s">
        <v>67</v>
      </c>
    </row>
    <row r="758" spans="1:41" x14ac:dyDescent="0.2">
      <c r="A758">
        <v>364993</v>
      </c>
      <c r="B758" t="s">
        <v>6112</v>
      </c>
      <c r="C758" t="s">
        <v>735</v>
      </c>
      <c r="D758" t="s">
        <v>3472</v>
      </c>
      <c r="E758" t="s">
        <v>6113</v>
      </c>
      <c r="F758">
        <v>240308</v>
      </c>
      <c r="G758" s="1">
        <v>38644</v>
      </c>
      <c r="H758" s="1">
        <v>45562</v>
      </c>
      <c r="I758" s="1">
        <v>46249</v>
      </c>
      <c r="J758" t="s">
        <v>45</v>
      </c>
      <c r="K758" t="s">
        <v>45</v>
      </c>
      <c r="L758" t="s">
        <v>429</v>
      </c>
      <c r="M758" s="1">
        <v>38644</v>
      </c>
      <c r="N758" t="s">
        <v>47</v>
      </c>
      <c r="O758" t="s">
        <v>48</v>
      </c>
      <c r="P758" t="s">
        <v>49</v>
      </c>
      <c r="Q758" t="s">
        <v>6114</v>
      </c>
      <c r="R758" t="s">
        <v>6115</v>
      </c>
      <c r="S758">
        <v>5340</v>
      </c>
      <c r="T758" t="s">
        <v>296</v>
      </c>
      <c r="U758" t="s">
        <v>1487</v>
      </c>
      <c r="V758" t="s">
        <v>3476</v>
      </c>
      <c r="W758" t="s">
        <v>299</v>
      </c>
      <c r="X758" t="s">
        <v>76</v>
      </c>
      <c r="Y758" t="s">
        <v>56</v>
      </c>
      <c r="Z758">
        <v>2430</v>
      </c>
      <c r="AA758">
        <v>38</v>
      </c>
      <c r="AB758">
        <v>160</v>
      </c>
      <c r="AC758" t="s">
        <v>3477</v>
      </c>
      <c r="AD758" t="s">
        <v>3478</v>
      </c>
      <c r="AE758" t="s">
        <v>3479</v>
      </c>
      <c r="AF758" t="s">
        <v>6116</v>
      </c>
      <c r="AG758" t="s">
        <v>6117</v>
      </c>
      <c r="AH758" t="s">
        <v>6118</v>
      </c>
      <c r="AI758" t="s">
        <v>1494</v>
      </c>
      <c r="AJ758" s="2">
        <v>45566.646064814813</v>
      </c>
      <c r="AK758" t="s">
        <v>717</v>
      </c>
      <c r="AL758" t="s">
        <v>65</v>
      </c>
      <c r="AM758" s="4">
        <v>0.88194444444444442</v>
      </c>
      <c r="AN758" t="s">
        <v>66</v>
      </c>
      <c r="AO758" t="s">
        <v>67</v>
      </c>
    </row>
    <row r="759" spans="1:41" x14ac:dyDescent="0.2">
      <c r="A759">
        <v>363312</v>
      </c>
      <c r="B759" t="s">
        <v>6112</v>
      </c>
      <c r="C759" t="s">
        <v>345</v>
      </c>
      <c r="D759" t="s">
        <v>279</v>
      </c>
      <c r="E759" t="s">
        <v>6119</v>
      </c>
      <c r="F759">
        <v>51510</v>
      </c>
      <c r="G759" s="1">
        <v>38588</v>
      </c>
      <c r="H759" s="1">
        <v>45505</v>
      </c>
      <c r="I759" s="1">
        <v>46249</v>
      </c>
      <c r="J759" t="s">
        <v>45</v>
      </c>
      <c r="K759" t="s">
        <v>45</v>
      </c>
      <c r="L759" t="s">
        <v>429</v>
      </c>
      <c r="M759" s="1">
        <v>45120</v>
      </c>
      <c r="N759" t="s">
        <v>47</v>
      </c>
      <c r="O759" t="s">
        <v>48</v>
      </c>
      <c r="P759" t="s">
        <v>49</v>
      </c>
      <c r="Q759" t="s">
        <v>6120</v>
      </c>
      <c r="R759" t="s">
        <v>6121</v>
      </c>
      <c r="S759">
        <v>9404</v>
      </c>
      <c r="T759" t="s">
        <v>52</v>
      </c>
      <c r="U759">
        <v>2</v>
      </c>
      <c r="V759" t="s">
        <v>6064</v>
      </c>
      <c r="W759" t="s">
        <v>54</v>
      </c>
      <c r="X759" t="s">
        <v>55</v>
      </c>
      <c r="Y759" t="s">
        <v>56</v>
      </c>
      <c r="Z759">
        <v>2243</v>
      </c>
      <c r="AA759">
        <v>37</v>
      </c>
      <c r="AB759">
        <v>158</v>
      </c>
      <c r="AC759" t="s">
        <v>6065</v>
      </c>
      <c r="AD759" t="s">
        <v>6066</v>
      </c>
      <c r="AE759" t="s">
        <v>6067</v>
      </c>
      <c r="AF759" t="s">
        <v>6068</v>
      </c>
      <c r="AG759" t="s">
        <v>6069</v>
      </c>
      <c r="AH759" t="s">
        <v>6070</v>
      </c>
      <c r="AI759" t="s">
        <v>6071</v>
      </c>
      <c r="AJ759" s="2">
        <v>45509.855185185188</v>
      </c>
      <c r="AK759" t="s">
        <v>64</v>
      </c>
      <c r="AL759" t="s">
        <v>65</v>
      </c>
      <c r="AM759" s="3">
        <v>2.3125</v>
      </c>
      <c r="AN759" t="s">
        <v>66</v>
      </c>
      <c r="AO759" t="s">
        <v>67</v>
      </c>
    </row>
    <row r="760" spans="1:41" x14ac:dyDescent="0.2">
      <c r="A760">
        <v>371858</v>
      </c>
      <c r="B760" t="s">
        <v>6122</v>
      </c>
      <c r="C760" t="s">
        <v>69</v>
      </c>
      <c r="D760" t="s">
        <v>6123</v>
      </c>
      <c r="E760" t="s">
        <v>6124</v>
      </c>
      <c r="F760">
        <v>102711</v>
      </c>
      <c r="G760" s="1">
        <v>33046</v>
      </c>
      <c r="H760" s="1">
        <v>45820</v>
      </c>
      <c r="I760" s="1">
        <v>46174</v>
      </c>
      <c r="J760" t="s">
        <v>45</v>
      </c>
      <c r="K760" t="s">
        <v>45</v>
      </c>
      <c r="L760" t="s">
        <v>429</v>
      </c>
      <c r="M760" s="1">
        <v>42255</v>
      </c>
      <c r="N760" t="s">
        <v>47</v>
      </c>
      <c r="O760" t="s">
        <v>48</v>
      </c>
      <c r="P760" t="s">
        <v>49</v>
      </c>
      <c r="Q760" t="s">
        <v>6125</v>
      </c>
      <c r="R760" t="s">
        <v>6126</v>
      </c>
      <c r="S760">
        <v>5535</v>
      </c>
      <c r="T760" t="s">
        <v>365</v>
      </c>
      <c r="U760" t="s">
        <v>532</v>
      </c>
      <c r="V760" t="s">
        <v>3689</v>
      </c>
      <c r="W760" t="s">
        <v>367</v>
      </c>
      <c r="X760" t="s">
        <v>76</v>
      </c>
      <c r="Y760" t="s">
        <v>434</v>
      </c>
      <c r="Z760">
        <v>184</v>
      </c>
      <c r="AA760">
        <v>60</v>
      </c>
      <c r="AB760">
        <v>158</v>
      </c>
      <c r="AC760" t="s">
        <v>3690</v>
      </c>
      <c r="AD760" t="s">
        <v>3691</v>
      </c>
      <c r="AE760" t="s">
        <v>3692</v>
      </c>
      <c r="AF760" t="s">
        <v>6127</v>
      </c>
      <c r="AG760" t="s">
        <v>3694</v>
      </c>
      <c r="AH760" t="s">
        <v>3695</v>
      </c>
      <c r="AI760" t="s">
        <v>179</v>
      </c>
      <c r="AJ760" s="2">
        <v>45821.596678240741</v>
      </c>
      <c r="AK760" t="s">
        <v>568</v>
      </c>
      <c r="AL760" t="s">
        <v>65</v>
      </c>
      <c r="AM760" s="3">
        <v>1.8611111111111112</v>
      </c>
      <c r="AN760" t="s">
        <v>66</v>
      </c>
      <c r="AO760" t="s">
        <v>67</v>
      </c>
    </row>
    <row r="761" spans="1:41" x14ac:dyDescent="0.2">
      <c r="A761">
        <v>372332</v>
      </c>
      <c r="B761" t="s">
        <v>6128</v>
      </c>
      <c r="C761" t="s">
        <v>735</v>
      </c>
      <c r="D761" t="s">
        <v>2559</v>
      </c>
      <c r="E761" t="s">
        <v>6129</v>
      </c>
      <c r="F761">
        <v>242902</v>
      </c>
      <c r="G761" s="1">
        <v>36887</v>
      </c>
      <c r="H761" s="1">
        <v>45833</v>
      </c>
      <c r="I761" s="1">
        <v>46204</v>
      </c>
      <c r="J761" t="s">
        <v>45</v>
      </c>
      <c r="K761" t="s">
        <v>45</v>
      </c>
      <c r="L761" t="s">
        <v>3920</v>
      </c>
      <c r="M761" s="1">
        <v>41213</v>
      </c>
      <c r="N761" t="s">
        <v>47</v>
      </c>
      <c r="O761" t="s">
        <v>48</v>
      </c>
      <c r="P761" t="s">
        <v>49</v>
      </c>
      <c r="Q761" t="s">
        <v>6130</v>
      </c>
      <c r="R761" t="s">
        <v>6131</v>
      </c>
      <c r="S761">
        <v>7282</v>
      </c>
      <c r="T761" t="s">
        <v>52</v>
      </c>
      <c r="U761">
        <v>1</v>
      </c>
      <c r="V761" t="s">
        <v>2563</v>
      </c>
      <c r="W761" t="s">
        <v>54</v>
      </c>
      <c r="X761" t="s">
        <v>76</v>
      </c>
      <c r="Y761" t="s">
        <v>56</v>
      </c>
      <c r="Z761">
        <v>1696</v>
      </c>
      <c r="AA761">
        <v>45</v>
      </c>
      <c r="AB761">
        <v>160</v>
      </c>
      <c r="AC761" t="s">
        <v>2564</v>
      </c>
      <c r="AD761" t="s">
        <v>2565</v>
      </c>
      <c r="AE761" t="s">
        <v>2566</v>
      </c>
      <c r="AF761" t="s">
        <v>2574</v>
      </c>
      <c r="AG761" t="s">
        <v>2575</v>
      </c>
      <c r="AH761" t="s">
        <v>2576</v>
      </c>
      <c r="AI761" t="s">
        <v>6132</v>
      </c>
      <c r="AJ761" s="2">
        <v>45838.597696759258</v>
      </c>
      <c r="AK761" t="s">
        <v>568</v>
      </c>
      <c r="AL761" t="s">
        <v>65</v>
      </c>
      <c r="AM761" s="4">
        <v>0.25694444444444442</v>
      </c>
      <c r="AN761" t="s">
        <v>66</v>
      </c>
      <c r="AO761" t="s">
        <v>67</v>
      </c>
    </row>
    <row r="762" spans="1:41" x14ac:dyDescent="0.2">
      <c r="A762">
        <v>372696</v>
      </c>
      <c r="B762" t="s">
        <v>6128</v>
      </c>
      <c r="C762" t="s">
        <v>134</v>
      </c>
      <c r="D762" t="s">
        <v>6133</v>
      </c>
      <c r="E762">
        <v>32457796</v>
      </c>
      <c r="F762">
        <v>453412</v>
      </c>
      <c r="G762" s="1">
        <v>37412</v>
      </c>
      <c r="H762" s="1">
        <v>45814</v>
      </c>
      <c r="I762" s="1">
        <v>46174</v>
      </c>
      <c r="J762" t="s">
        <v>45</v>
      </c>
      <c r="K762" t="s">
        <v>45</v>
      </c>
      <c r="L762" t="s">
        <v>429</v>
      </c>
      <c r="M762" s="1">
        <v>40779</v>
      </c>
      <c r="N762" t="s">
        <v>47</v>
      </c>
      <c r="O762" t="s">
        <v>48</v>
      </c>
      <c r="P762" t="s">
        <v>49</v>
      </c>
      <c r="Q762" t="s">
        <v>6134</v>
      </c>
      <c r="R762" t="s">
        <v>6135</v>
      </c>
      <c r="S762">
        <v>3340</v>
      </c>
      <c r="T762" t="s">
        <v>52</v>
      </c>
      <c r="U762">
        <v>6</v>
      </c>
      <c r="V762" t="s">
        <v>3463</v>
      </c>
      <c r="W762" t="s">
        <v>54</v>
      </c>
      <c r="X762" t="s">
        <v>76</v>
      </c>
      <c r="Y762" t="s">
        <v>56</v>
      </c>
      <c r="Z762">
        <v>748</v>
      </c>
      <c r="AA762">
        <v>53</v>
      </c>
      <c r="AB762">
        <v>144</v>
      </c>
      <c r="AC762" t="s">
        <v>3464</v>
      </c>
      <c r="AD762" t="s">
        <v>6136</v>
      </c>
      <c r="AE762" t="s">
        <v>3466</v>
      </c>
      <c r="AF762" t="s">
        <v>4728</v>
      </c>
      <c r="AG762" t="s">
        <v>4729</v>
      </c>
      <c r="AI762" t="s">
        <v>4730</v>
      </c>
      <c r="AJ762" s="2">
        <v>45849.966134259259</v>
      </c>
      <c r="AK762" t="s">
        <v>4725</v>
      </c>
      <c r="AL762" t="s">
        <v>65</v>
      </c>
      <c r="AM762" s="3">
        <v>2.3333333333333335</v>
      </c>
      <c r="AN762" t="s">
        <v>66</v>
      </c>
      <c r="AO762" t="s">
        <v>67</v>
      </c>
    </row>
    <row r="763" spans="1:41" x14ac:dyDescent="0.2">
      <c r="A763">
        <v>356520</v>
      </c>
      <c r="B763" t="s">
        <v>6137</v>
      </c>
      <c r="C763" t="s">
        <v>278</v>
      </c>
      <c r="D763" t="s">
        <v>2210</v>
      </c>
      <c r="E763" t="s">
        <v>6138</v>
      </c>
      <c r="G763" s="1">
        <v>43293</v>
      </c>
      <c r="H763" s="1">
        <v>43293</v>
      </c>
      <c r="J763" t="s">
        <v>326</v>
      </c>
      <c r="K763" t="s">
        <v>45</v>
      </c>
      <c r="L763" t="s">
        <v>72</v>
      </c>
      <c r="N763" t="s">
        <v>47</v>
      </c>
      <c r="O763" t="s">
        <v>48</v>
      </c>
      <c r="P763" t="s">
        <v>1752</v>
      </c>
      <c r="Q763" t="s">
        <v>6139</v>
      </c>
      <c r="R763" t="s">
        <v>6140</v>
      </c>
      <c r="S763">
        <v>6938</v>
      </c>
      <c r="T763" t="s">
        <v>365</v>
      </c>
      <c r="U763" t="s">
        <v>432</v>
      </c>
      <c r="V763" t="s">
        <v>6141</v>
      </c>
      <c r="W763" t="s">
        <v>409</v>
      </c>
      <c r="X763" t="s">
        <v>76</v>
      </c>
      <c r="Y763" t="s">
        <v>642</v>
      </c>
      <c r="Z763">
        <v>9627</v>
      </c>
      <c r="AA763">
        <v>10</v>
      </c>
      <c r="AB763">
        <v>166</v>
      </c>
      <c r="AC763" t="s">
        <v>2215</v>
      </c>
      <c r="AD763" t="s">
        <v>2216</v>
      </c>
      <c r="AE763" t="s">
        <v>2217</v>
      </c>
      <c r="AJ763" s="2">
        <v>45313.622013888889</v>
      </c>
      <c r="AK763" t="s">
        <v>149</v>
      </c>
      <c r="AL763" t="s">
        <v>1168</v>
      </c>
      <c r="AM763" s="3">
        <v>1.8611111111111112</v>
      </c>
      <c r="AN763" t="s">
        <v>66</v>
      </c>
      <c r="AO763" t="s">
        <v>67</v>
      </c>
    </row>
    <row r="764" spans="1:41" x14ac:dyDescent="0.2">
      <c r="A764">
        <v>369257</v>
      </c>
      <c r="B764" t="s">
        <v>6142</v>
      </c>
      <c r="C764" t="s">
        <v>182</v>
      </c>
      <c r="D764" t="s">
        <v>183</v>
      </c>
      <c r="E764" t="s">
        <v>6143</v>
      </c>
      <c r="F764">
        <v>45445</v>
      </c>
      <c r="G764" s="1">
        <v>36122</v>
      </c>
      <c r="H764" s="1">
        <v>45729</v>
      </c>
      <c r="I764" s="1">
        <v>46068</v>
      </c>
      <c r="J764" t="s">
        <v>45</v>
      </c>
      <c r="K764" t="s">
        <v>45</v>
      </c>
      <c r="L764" t="s">
        <v>72</v>
      </c>
      <c r="M764" s="1">
        <v>42853</v>
      </c>
      <c r="N764" t="s">
        <v>47</v>
      </c>
      <c r="O764" t="s">
        <v>48</v>
      </c>
      <c r="P764" t="s">
        <v>49</v>
      </c>
      <c r="Q764" t="s">
        <v>6144</v>
      </c>
      <c r="R764" t="s">
        <v>6145</v>
      </c>
      <c r="S764">
        <v>1278</v>
      </c>
      <c r="T764" t="s">
        <v>92</v>
      </c>
      <c r="U764" t="s">
        <v>187</v>
      </c>
      <c r="V764" t="s">
        <v>188</v>
      </c>
      <c r="W764" t="s">
        <v>189</v>
      </c>
      <c r="X764" t="s">
        <v>92</v>
      </c>
      <c r="Y764" t="s">
        <v>110</v>
      </c>
      <c r="Z764">
        <v>1511</v>
      </c>
      <c r="AA764">
        <v>61</v>
      </c>
      <c r="AB764">
        <v>38</v>
      </c>
      <c r="AC764" t="s">
        <v>190</v>
      </c>
      <c r="AD764" t="s">
        <v>191</v>
      </c>
      <c r="AE764" t="s">
        <v>192</v>
      </c>
      <c r="AF764" t="s">
        <v>4170</v>
      </c>
      <c r="AG764" t="s">
        <v>4171</v>
      </c>
      <c r="AH764" t="s">
        <v>4172</v>
      </c>
      <c r="AJ764" s="2">
        <v>45730.718391203707</v>
      </c>
      <c r="AK764" t="s">
        <v>190</v>
      </c>
      <c r="AL764" t="s">
        <v>65</v>
      </c>
      <c r="AM764" s="3">
        <v>2.3125</v>
      </c>
      <c r="AN764" t="s">
        <v>66</v>
      </c>
      <c r="AO764" t="s">
        <v>67</v>
      </c>
    </row>
    <row r="765" spans="1:41" x14ac:dyDescent="0.2">
      <c r="A765">
        <v>367681</v>
      </c>
      <c r="B765" t="s">
        <v>6146</v>
      </c>
      <c r="C765" t="s">
        <v>1000</v>
      </c>
      <c r="D765" t="s">
        <v>1336</v>
      </c>
      <c r="E765" t="s">
        <v>6147</v>
      </c>
      <c r="F765">
        <v>409503</v>
      </c>
      <c r="G765" s="1">
        <v>43698</v>
      </c>
      <c r="H765" s="1">
        <v>45643</v>
      </c>
      <c r="J765" t="s">
        <v>45</v>
      </c>
      <c r="K765" t="s">
        <v>45</v>
      </c>
      <c r="L765" t="s">
        <v>72</v>
      </c>
      <c r="M765" s="1">
        <v>45643</v>
      </c>
      <c r="N765" t="s">
        <v>47</v>
      </c>
      <c r="O765" t="s">
        <v>48</v>
      </c>
      <c r="P765" t="s">
        <v>49</v>
      </c>
      <c r="Q765" t="s">
        <v>6148</v>
      </c>
      <c r="R765" t="s">
        <v>6149</v>
      </c>
      <c r="S765">
        <v>695</v>
      </c>
      <c r="T765" t="s">
        <v>92</v>
      </c>
      <c r="U765" t="s">
        <v>1005</v>
      </c>
      <c r="V765" t="s">
        <v>590</v>
      </c>
      <c r="W765" t="s">
        <v>1006</v>
      </c>
      <c r="X765" t="s">
        <v>92</v>
      </c>
      <c r="Y765" t="s">
        <v>642</v>
      </c>
      <c r="Z765">
        <v>2413</v>
      </c>
      <c r="AA765">
        <v>36</v>
      </c>
      <c r="AB765">
        <v>144</v>
      </c>
      <c r="AC765" t="s">
        <v>2845</v>
      </c>
      <c r="AD765" t="s">
        <v>1008</v>
      </c>
      <c r="AE765" t="s">
        <v>1009</v>
      </c>
      <c r="AF765" t="s">
        <v>2846</v>
      </c>
      <c r="AG765" t="s">
        <v>2847</v>
      </c>
      <c r="AH765" t="s">
        <v>2848</v>
      </c>
      <c r="AI765" t="s">
        <v>1010</v>
      </c>
      <c r="AJ765" s="2">
        <v>45686.267569444448</v>
      </c>
      <c r="AK765" t="s">
        <v>1011</v>
      </c>
      <c r="AL765" t="s">
        <v>65</v>
      </c>
      <c r="AM765" s="4">
        <v>0.25</v>
      </c>
      <c r="AN765" t="s">
        <v>66</v>
      </c>
      <c r="AO765" t="s">
        <v>67</v>
      </c>
    </row>
    <row r="766" spans="1:41" x14ac:dyDescent="0.2">
      <c r="A766">
        <v>367577</v>
      </c>
      <c r="B766" t="s">
        <v>6150</v>
      </c>
      <c r="C766" t="s">
        <v>2298</v>
      </c>
      <c r="D766" t="s">
        <v>6151</v>
      </c>
      <c r="E766" t="s">
        <v>6152</v>
      </c>
      <c r="F766">
        <v>223301</v>
      </c>
      <c r="G766" s="1">
        <v>37110</v>
      </c>
      <c r="H766" s="1">
        <v>45673</v>
      </c>
      <c r="I766" s="1">
        <v>46037</v>
      </c>
      <c r="J766" t="s">
        <v>45</v>
      </c>
      <c r="K766" t="s">
        <v>45</v>
      </c>
      <c r="L766" t="s">
        <v>72</v>
      </c>
      <c r="M766" s="1">
        <v>45002</v>
      </c>
      <c r="N766" t="s">
        <v>47</v>
      </c>
      <c r="O766" t="s">
        <v>48</v>
      </c>
      <c r="P766" t="s">
        <v>49</v>
      </c>
      <c r="Q766" t="s">
        <v>6153</v>
      </c>
      <c r="R766" t="s">
        <v>6154</v>
      </c>
      <c r="S766">
        <v>100</v>
      </c>
      <c r="T766" t="s">
        <v>52</v>
      </c>
      <c r="U766">
        <v>8</v>
      </c>
      <c r="V766" t="s">
        <v>2302</v>
      </c>
      <c r="W766" t="s">
        <v>54</v>
      </c>
      <c r="X766" t="s">
        <v>76</v>
      </c>
      <c r="Y766" t="s">
        <v>56</v>
      </c>
      <c r="Z766">
        <v>1178</v>
      </c>
      <c r="AA766">
        <v>45</v>
      </c>
      <c r="AB766">
        <v>176</v>
      </c>
      <c r="AC766" t="s">
        <v>3653</v>
      </c>
      <c r="AD766" t="s">
        <v>2304</v>
      </c>
      <c r="AE766" t="s">
        <v>2305</v>
      </c>
      <c r="AI766" t="s">
        <v>2304</v>
      </c>
      <c r="AJ766" s="2">
        <v>45681.634837962964</v>
      </c>
      <c r="AK766" t="s">
        <v>1999</v>
      </c>
      <c r="AL766" t="s">
        <v>65</v>
      </c>
      <c r="AM766" s="4">
        <v>0.39583333333333331</v>
      </c>
      <c r="AN766" t="s">
        <v>66</v>
      </c>
      <c r="AO766" t="s">
        <v>67</v>
      </c>
    </row>
    <row r="767" spans="1:41" x14ac:dyDescent="0.2">
      <c r="A767">
        <v>361915</v>
      </c>
      <c r="B767" t="s">
        <v>6155</v>
      </c>
      <c r="C767" t="s">
        <v>345</v>
      </c>
      <c r="D767" t="s">
        <v>279</v>
      </c>
      <c r="E767" t="s">
        <v>6156</v>
      </c>
      <c r="F767">
        <v>51507</v>
      </c>
      <c r="G767" s="1">
        <v>35010</v>
      </c>
      <c r="H767" s="1">
        <v>45463</v>
      </c>
      <c r="I767" s="1">
        <v>46188</v>
      </c>
      <c r="J767" t="s">
        <v>45</v>
      </c>
      <c r="K767" t="s">
        <v>45</v>
      </c>
      <c r="L767" t="s">
        <v>429</v>
      </c>
      <c r="N767" t="s">
        <v>47</v>
      </c>
      <c r="O767" t="s">
        <v>48</v>
      </c>
      <c r="P767" t="s">
        <v>49</v>
      </c>
      <c r="Q767" t="s">
        <v>6157</v>
      </c>
      <c r="R767" t="s">
        <v>6158</v>
      </c>
      <c r="S767">
        <v>7448</v>
      </c>
      <c r="T767" t="s">
        <v>365</v>
      </c>
      <c r="U767" t="s">
        <v>432</v>
      </c>
      <c r="V767" t="s">
        <v>6159</v>
      </c>
      <c r="W767" t="s">
        <v>367</v>
      </c>
      <c r="X767" t="s">
        <v>55</v>
      </c>
      <c r="Y767" t="s">
        <v>434</v>
      </c>
      <c r="Z767">
        <v>1132</v>
      </c>
      <c r="AA767">
        <v>45</v>
      </c>
      <c r="AB767">
        <v>138</v>
      </c>
      <c r="AC767" t="s">
        <v>6160</v>
      </c>
      <c r="AD767" t="s">
        <v>6161</v>
      </c>
      <c r="AE767" t="s">
        <v>6162</v>
      </c>
      <c r="AF767" t="s">
        <v>6163</v>
      </c>
      <c r="AG767" t="s">
        <v>6066</v>
      </c>
      <c r="AH767" t="s">
        <v>6164</v>
      </c>
      <c r="AI767" t="s">
        <v>6165</v>
      </c>
      <c r="AJ767" s="2">
        <v>45468.839201388888</v>
      </c>
      <c r="AK767" t="s">
        <v>64</v>
      </c>
      <c r="AL767" t="s">
        <v>65</v>
      </c>
      <c r="AM767" s="3">
        <v>2.0625</v>
      </c>
      <c r="AN767" t="s">
        <v>66</v>
      </c>
      <c r="AO767" t="s">
        <v>67</v>
      </c>
    </row>
    <row r="768" spans="1:41" x14ac:dyDescent="0.2">
      <c r="A768">
        <v>370149</v>
      </c>
      <c r="B768" t="s">
        <v>6166</v>
      </c>
      <c r="C768" t="s">
        <v>182</v>
      </c>
      <c r="D768" t="s">
        <v>2901</v>
      </c>
      <c r="E768" t="s">
        <v>6167</v>
      </c>
      <c r="F768">
        <v>45002</v>
      </c>
      <c r="G768" s="1">
        <v>37272</v>
      </c>
      <c r="H768" s="1">
        <v>45762</v>
      </c>
      <c r="I768" s="1">
        <v>46096</v>
      </c>
      <c r="J768" t="s">
        <v>45</v>
      </c>
      <c r="K768" t="s">
        <v>45</v>
      </c>
      <c r="L768" t="s">
        <v>429</v>
      </c>
      <c r="M768" s="1">
        <v>42417</v>
      </c>
      <c r="N768" t="s">
        <v>47</v>
      </c>
      <c r="O768" t="s">
        <v>48</v>
      </c>
      <c r="P768" t="s">
        <v>49</v>
      </c>
      <c r="Q768" t="s">
        <v>6168</v>
      </c>
      <c r="R768" t="s">
        <v>6169</v>
      </c>
      <c r="S768">
        <v>2364</v>
      </c>
      <c r="T768" t="s">
        <v>52</v>
      </c>
      <c r="U768">
        <v>5</v>
      </c>
      <c r="V768" t="s">
        <v>2763</v>
      </c>
      <c r="W768" t="s">
        <v>54</v>
      </c>
      <c r="X768" t="s">
        <v>493</v>
      </c>
      <c r="Y768" t="s">
        <v>434</v>
      </c>
      <c r="Z768">
        <v>1939</v>
      </c>
      <c r="AA768">
        <v>42</v>
      </c>
      <c r="AB768">
        <v>34</v>
      </c>
      <c r="AC768" t="s">
        <v>2764</v>
      </c>
      <c r="AD768" t="s">
        <v>2765</v>
      </c>
      <c r="AE768" t="s">
        <v>3367</v>
      </c>
      <c r="AF768" t="s">
        <v>6170</v>
      </c>
      <c r="AG768" t="s">
        <v>6171</v>
      </c>
      <c r="AH768" t="s">
        <v>6172</v>
      </c>
      <c r="AI768" t="s">
        <v>500</v>
      </c>
      <c r="AJ768" s="2">
        <v>45763.98170138889</v>
      </c>
      <c r="AK768" t="s">
        <v>2668</v>
      </c>
      <c r="AL768" t="s">
        <v>65</v>
      </c>
      <c r="AM768" s="3">
        <v>1.0555555555555556</v>
      </c>
      <c r="AN768" t="s">
        <v>66</v>
      </c>
      <c r="AO768" t="s">
        <v>67</v>
      </c>
    </row>
    <row r="769" spans="1:41" x14ac:dyDescent="0.2">
      <c r="A769">
        <v>371167</v>
      </c>
      <c r="B769" t="s">
        <v>6173</v>
      </c>
      <c r="C769" t="s">
        <v>323</v>
      </c>
      <c r="D769" t="s">
        <v>6174</v>
      </c>
      <c r="E769" t="s">
        <v>6175</v>
      </c>
      <c r="F769">
        <v>500626</v>
      </c>
      <c r="G769" s="1">
        <v>35223</v>
      </c>
      <c r="H769" s="1">
        <v>45797</v>
      </c>
      <c r="I769" s="1">
        <v>46037</v>
      </c>
      <c r="J769" t="s">
        <v>45</v>
      </c>
      <c r="K769" t="s">
        <v>45</v>
      </c>
      <c r="L769" t="s">
        <v>72</v>
      </c>
      <c r="M769" s="1">
        <v>44000</v>
      </c>
      <c r="N769" t="s">
        <v>47</v>
      </c>
      <c r="O769" t="s">
        <v>48</v>
      </c>
      <c r="P769" t="s">
        <v>49</v>
      </c>
      <c r="Q769" t="s">
        <v>6176</v>
      </c>
      <c r="R769" t="s">
        <v>6177</v>
      </c>
      <c r="S769">
        <v>1650</v>
      </c>
      <c r="T769" t="s">
        <v>257</v>
      </c>
      <c r="U769" t="s">
        <v>329</v>
      </c>
      <c r="V769" t="s">
        <v>6178</v>
      </c>
      <c r="W769" t="s">
        <v>260</v>
      </c>
      <c r="X769" t="s">
        <v>257</v>
      </c>
      <c r="Y769" t="s">
        <v>110</v>
      </c>
      <c r="Z769">
        <v>1151</v>
      </c>
      <c r="AA769">
        <v>52</v>
      </c>
      <c r="AB769">
        <v>158</v>
      </c>
      <c r="AC769" t="s">
        <v>6179</v>
      </c>
      <c r="AD769" t="s">
        <v>343</v>
      </c>
      <c r="AE769" t="s">
        <v>6180</v>
      </c>
      <c r="AF769" t="s">
        <v>6181</v>
      </c>
      <c r="AG769" t="s">
        <v>6182</v>
      </c>
      <c r="AH769" t="s">
        <v>6183</v>
      </c>
      <c r="AI769" t="s">
        <v>332</v>
      </c>
      <c r="AJ769" s="2">
        <v>45797.824664351851</v>
      </c>
      <c r="AK769" t="s">
        <v>6184</v>
      </c>
      <c r="AL769" t="s">
        <v>65</v>
      </c>
      <c r="AM769" s="3">
        <v>1.1458333333333333</v>
      </c>
      <c r="AN769" t="s">
        <v>66</v>
      </c>
      <c r="AO769" t="s">
        <v>67</v>
      </c>
    </row>
    <row r="770" spans="1:41" x14ac:dyDescent="0.2">
      <c r="A770">
        <v>364226</v>
      </c>
      <c r="B770" t="s">
        <v>6185</v>
      </c>
      <c r="C770" t="s">
        <v>69</v>
      </c>
      <c r="D770" t="s">
        <v>3081</v>
      </c>
      <c r="E770" t="s">
        <v>6186</v>
      </c>
      <c r="G770" s="1">
        <v>42109</v>
      </c>
      <c r="H770" s="1">
        <v>42667</v>
      </c>
      <c r="J770" t="s">
        <v>326</v>
      </c>
      <c r="K770" t="s">
        <v>326</v>
      </c>
      <c r="L770" t="s">
        <v>72</v>
      </c>
      <c r="M770" s="1">
        <v>42411</v>
      </c>
      <c r="N770" t="s">
        <v>89</v>
      </c>
      <c r="O770" t="s">
        <v>48</v>
      </c>
      <c r="P770" t="s">
        <v>406</v>
      </c>
      <c r="Q770" t="s">
        <v>6187</v>
      </c>
      <c r="R770" t="s">
        <v>6188</v>
      </c>
      <c r="S770">
        <v>2759</v>
      </c>
      <c r="T770" t="s">
        <v>365</v>
      </c>
      <c r="U770" t="s">
        <v>532</v>
      </c>
      <c r="V770" t="s">
        <v>2853</v>
      </c>
      <c r="W770" t="s">
        <v>409</v>
      </c>
      <c r="X770" t="s">
        <v>449</v>
      </c>
      <c r="Y770" t="s">
        <v>642</v>
      </c>
      <c r="Z770">
        <v>7666</v>
      </c>
      <c r="AA770">
        <v>18</v>
      </c>
      <c r="AB770">
        <v>28</v>
      </c>
      <c r="AC770" t="s">
        <v>6189</v>
      </c>
      <c r="AD770" t="s">
        <v>6190</v>
      </c>
      <c r="AF770" t="s">
        <v>100</v>
      </c>
      <c r="AG770" t="s">
        <v>3089</v>
      </c>
      <c r="AH770" t="s">
        <v>3093</v>
      </c>
      <c r="AJ770" s="2">
        <v>45538.605752314812</v>
      </c>
      <c r="AK770" t="s">
        <v>100</v>
      </c>
      <c r="AL770" t="s">
        <v>3105</v>
      </c>
      <c r="AM770" s="3">
        <v>1.9305555555555556</v>
      </c>
      <c r="AN770" t="s">
        <v>6191</v>
      </c>
      <c r="AO770" t="s">
        <v>67</v>
      </c>
    </row>
    <row r="771" spans="1:41" x14ac:dyDescent="0.2">
      <c r="A771">
        <v>369912</v>
      </c>
      <c r="B771" t="s">
        <v>6192</v>
      </c>
      <c r="C771" t="s">
        <v>69</v>
      </c>
      <c r="D771" t="s">
        <v>6193</v>
      </c>
      <c r="E771" t="s">
        <v>6194</v>
      </c>
      <c r="F771">
        <v>100714</v>
      </c>
      <c r="G771" s="1">
        <v>36339</v>
      </c>
      <c r="H771" s="1">
        <v>45755</v>
      </c>
      <c r="I771" s="1">
        <v>46127</v>
      </c>
      <c r="J771" t="s">
        <v>45</v>
      </c>
      <c r="K771" t="s">
        <v>45</v>
      </c>
      <c r="L771" t="s">
        <v>429</v>
      </c>
      <c r="M771" s="1">
        <v>44683</v>
      </c>
      <c r="N771" t="s">
        <v>47</v>
      </c>
      <c r="O771" t="s">
        <v>48</v>
      </c>
      <c r="P771" t="s">
        <v>49</v>
      </c>
      <c r="Q771" t="s">
        <v>6195</v>
      </c>
      <c r="R771" t="s">
        <v>6196</v>
      </c>
      <c r="S771">
        <v>1700</v>
      </c>
      <c r="T771" t="s">
        <v>52</v>
      </c>
      <c r="U771">
        <v>1</v>
      </c>
      <c r="V771" t="s">
        <v>4698</v>
      </c>
      <c r="W771" t="s">
        <v>54</v>
      </c>
      <c r="X771" t="s">
        <v>76</v>
      </c>
      <c r="Y771" t="s">
        <v>56</v>
      </c>
      <c r="Z771">
        <v>1628</v>
      </c>
      <c r="AA771">
        <v>62</v>
      </c>
      <c r="AB771">
        <v>176</v>
      </c>
      <c r="AC771" t="s">
        <v>6197</v>
      </c>
      <c r="AD771" t="s">
        <v>6198</v>
      </c>
      <c r="AE771" t="s">
        <v>6199</v>
      </c>
      <c r="AF771" t="s">
        <v>4702</v>
      </c>
      <c r="AG771" t="s">
        <v>4703</v>
      </c>
      <c r="AH771" t="s">
        <v>6200</v>
      </c>
      <c r="AI771" t="s">
        <v>6201</v>
      </c>
      <c r="AJ771" s="2">
        <v>45757.707384259258</v>
      </c>
      <c r="AK771" t="s">
        <v>180</v>
      </c>
      <c r="AL771" t="s">
        <v>65</v>
      </c>
      <c r="AM771" s="4">
        <v>0.35416666666666669</v>
      </c>
      <c r="AN771" t="s">
        <v>66</v>
      </c>
      <c r="AO771" t="s">
        <v>67</v>
      </c>
    </row>
    <row r="772" spans="1:41" x14ac:dyDescent="0.2">
      <c r="A772">
        <v>372429</v>
      </c>
      <c r="B772" t="s">
        <v>6202</v>
      </c>
      <c r="C772" t="s">
        <v>182</v>
      </c>
      <c r="D772" t="s">
        <v>4385</v>
      </c>
      <c r="E772" t="s">
        <v>6203</v>
      </c>
      <c r="F772">
        <v>40921</v>
      </c>
      <c r="G772" s="1">
        <v>41480</v>
      </c>
      <c r="H772" s="1">
        <v>45778</v>
      </c>
      <c r="I772" s="1">
        <v>46249</v>
      </c>
      <c r="J772" t="s">
        <v>45</v>
      </c>
      <c r="K772" t="s">
        <v>45</v>
      </c>
      <c r="L772" t="s">
        <v>46</v>
      </c>
      <c r="M772" s="1">
        <v>41480</v>
      </c>
      <c r="N772" t="s">
        <v>47</v>
      </c>
      <c r="O772" t="s">
        <v>48</v>
      </c>
      <c r="P772" t="s">
        <v>49</v>
      </c>
      <c r="Q772" t="s">
        <v>6204</v>
      </c>
      <c r="R772" t="s">
        <v>6205</v>
      </c>
      <c r="S772">
        <v>5149</v>
      </c>
      <c r="T772" t="s">
        <v>52</v>
      </c>
      <c r="U772">
        <v>5</v>
      </c>
      <c r="V772" t="s">
        <v>4509</v>
      </c>
      <c r="W772" t="s">
        <v>54</v>
      </c>
      <c r="X772" t="s">
        <v>493</v>
      </c>
      <c r="Y772" t="s">
        <v>434</v>
      </c>
      <c r="Z772">
        <v>6226</v>
      </c>
      <c r="AA772">
        <v>26</v>
      </c>
      <c r="AB772">
        <v>78</v>
      </c>
      <c r="AC772" t="s">
        <v>5738</v>
      </c>
      <c r="AD772" t="s">
        <v>5739</v>
      </c>
      <c r="AE772" t="s">
        <v>5740</v>
      </c>
      <c r="AF772" t="s">
        <v>6206</v>
      </c>
      <c r="AG772" t="s">
        <v>5742</v>
      </c>
      <c r="AH772" t="s">
        <v>5743</v>
      </c>
      <c r="AI772" t="s">
        <v>5744</v>
      </c>
      <c r="AJ772" s="2">
        <v>45839.667546296296</v>
      </c>
      <c r="AK772" t="s">
        <v>501</v>
      </c>
      <c r="AL772" t="s">
        <v>65</v>
      </c>
      <c r="AM772" s="3">
        <v>1.4236111111111112</v>
      </c>
      <c r="AN772" t="s">
        <v>66</v>
      </c>
      <c r="AO772" t="s">
        <v>67</v>
      </c>
    </row>
    <row r="773" spans="1:41" x14ac:dyDescent="0.2">
      <c r="A773">
        <v>372738</v>
      </c>
      <c r="B773" t="s">
        <v>6207</v>
      </c>
      <c r="C773" t="s">
        <v>69</v>
      </c>
      <c r="D773" t="s">
        <v>3081</v>
      </c>
      <c r="E773" t="s">
        <v>6208</v>
      </c>
      <c r="G773" s="1">
        <v>45852</v>
      </c>
      <c r="H773" s="1">
        <v>45727</v>
      </c>
      <c r="J773" t="s">
        <v>326</v>
      </c>
      <c r="K773" t="s">
        <v>45</v>
      </c>
      <c r="L773" t="s">
        <v>72</v>
      </c>
      <c r="M773" s="1">
        <v>36526</v>
      </c>
      <c r="N773" t="s">
        <v>47</v>
      </c>
      <c r="O773" t="s">
        <v>48</v>
      </c>
      <c r="P773" t="s">
        <v>406</v>
      </c>
      <c r="Q773" t="s">
        <v>2851</v>
      </c>
      <c r="R773" t="s">
        <v>3083</v>
      </c>
      <c r="S773">
        <v>2860</v>
      </c>
      <c r="T773" t="s">
        <v>365</v>
      </c>
      <c r="U773" t="s">
        <v>532</v>
      </c>
      <c r="V773" t="s">
        <v>2853</v>
      </c>
      <c r="W773" t="s">
        <v>409</v>
      </c>
      <c r="X773" t="s">
        <v>76</v>
      </c>
      <c r="Y773" t="s">
        <v>410</v>
      </c>
      <c r="Z773">
        <v>4086</v>
      </c>
      <c r="AA773">
        <v>158</v>
      </c>
      <c r="AB773">
        <v>210</v>
      </c>
      <c r="AC773" t="s">
        <v>100</v>
      </c>
      <c r="AD773" t="s">
        <v>3089</v>
      </c>
      <c r="AE773" t="s">
        <v>2856</v>
      </c>
      <c r="AF773" t="s">
        <v>132</v>
      </c>
      <c r="AG773" t="s">
        <v>6209</v>
      </c>
      <c r="AH773" t="s">
        <v>2856</v>
      </c>
      <c r="AJ773" s="2">
        <v>45852.735092592593</v>
      </c>
      <c r="AK773" t="s">
        <v>132</v>
      </c>
      <c r="AL773" t="s">
        <v>65</v>
      </c>
      <c r="AM773" s="3">
        <v>1.0416666666666667</v>
      </c>
      <c r="AN773" t="s">
        <v>2857</v>
      </c>
      <c r="AO773" t="s">
        <v>67</v>
      </c>
    </row>
    <row r="774" spans="1:41" x14ac:dyDescent="0.2">
      <c r="A774">
        <v>372868</v>
      </c>
      <c r="B774" t="s">
        <v>6210</v>
      </c>
      <c r="C774" t="s">
        <v>69</v>
      </c>
      <c r="D774" t="s">
        <v>3081</v>
      </c>
      <c r="E774" t="s">
        <v>6211</v>
      </c>
      <c r="G774" s="1">
        <v>45855</v>
      </c>
      <c r="H774" s="1">
        <v>45744</v>
      </c>
      <c r="J774" t="s">
        <v>326</v>
      </c>
      <c r="K774" t="s">
        <v>45</v>
      </c>
      <c r="L774" t="s">
        <v>72</v>
      </c>
      <c r="N774" t="s">
        <v>47</v>
      </c>
      <c r="O774" t="s">
        <v>48</v>
      </c>
      <c r="P774" t="s">
        <v>406</v>
      </c>
      <c r="Q774" t="s">
        <v>2851</v>
      </c>
      <c r="R774" t="s">
        <v>3083</v>
      </c>
      <c r="S774">
        <v>2865</v>
      </c>
      <c r="T774" t="s">
        <v>365</v>
      </c>
      <c r="W774" t="s">
        <v>409</v>
      </c>
      <c r="X774" t="s">
        <v>76</v>
      </c>
      <c r="Y774" t="s">
        <v>410</v>
      </c>
      <c r="Z774">
        <v>2926</v>
      </c>
      <c r="AA774">
        <v>105</v>
      </c>
      <c r="AB774">
        <v>66</v>
      </c>
      <c r="AC774" t="s">
        <v>132</v>
      </c>
      <c r="AD774" t="s">
        <v>6209</v>
      </c>
      <c r="AE774" t="s">
        <v>2856</v>
      </c>
      <c r="AF774" t="s">
        <v>100</v>
      </c>
      <c r="AG774" t="s">
        <v>3089</v>
      </c>
      <c r="AH774" t="s">
        <v>3093</v>
      </c>
      <c r="AJ774" s="2">
        <v>45855.55300925926</v>
      </c>
      <c r="AK774" t="s">
        <v>132</v>
      </c>
      <c r="AL774" t="s">
        <v>65</v>
      </c>
      <c r="AM774" s="3">
        <v>2.1666666666666665</v>
      </c>
      <c r="AN774" t="s">
        <v>2857</v>
      </c>
      <c r="AO774" t="s">
        <v>67</v>
      </c>
    </row>
    <row r="775" spans="1:41" x14ac:dyDescent="0.2">
      <c r="A775">
        <v>370450</v>
      </c>
      <c r="B775" t="s">
        <v>6212</v>
      </c>
      <c r="C775" t="s">
        <v>69</v>
      </c>
      <c r="D775" t="s">
        <v>3081</v>
      </c>
      <c r="E775" t="s">
        <v>6213</v>
      </c>
      <c r="F775">
        <v>109793</v>
      </c>
      <c r="G775" s="1">
        <v>45770</v>
      </c>
      <c r="H775" s="1">
        <v>45744</v>
      </c>
      <c r="J775" t="s">
        <v>326</v>
      </c>
      <c r="K775" t="s">
        <v>45</v>
      </c>
      <c r="L775" t="s">
        <v>72</v>
      </c>
      <c r="N775" t="s">
        <v>47</v>
      </c>
      <c r="O775" t="s">
        <v>48</v>
      </c>
      <c r="P775" t="s">
        <v>406</v>
      </c>
      <c r="Q775" t="s">
        <v>2851</v>
      </c>
      <c r="R775" t="s">
        <v>3083</v>
      </c>
      <c r="S775">
        <v>2865</v>
      </c>
      <c r="T775" t="s">
        <v>365</v>
      </c>
      <c r="U775" t="s">
        <v>532</v>
      </c>
      <c r="V775" t="s">
        <v>2853</v>
      </c>
      <c r="W775" t="s">
        <v>409</v>
      </c>
      <c r="X775" t="s">
        <v>76</v>
      </c>
      <c r="Y775" t="s">
        <v>410</v>
      </c>
      <c r="Z775">
        <v>2436</v>
      </c>
      <c r="AA775">
        <v>82</v>
      </c>
      <c r="AB775">
        <v>34</v>
      </c>
      <c r="AC775" t="s">
        <v>660</v>
      </c>
      <c r="AD775" t="s">
        <v>3088</v>
      </c>
      <c r="AE775" t="s">
        <v>2856</v>
      </c>
      <c r="AF775" t="s">
        <v>100</v>
      </c>
      <c r="AG775" t="s">
        <v>3089</v>
      </c>
      <c r="AH775" t="s">
        <v>3093</v>
      </c>
      <c r="AJ775" s="2">
        <v>45775.882025462961</v>
      </c>
      <c r="AK775" t="s">
        <v>660</v>
      </c>
      <c r="AL775" t="s">
        <v>65</v>
      </c>
      <c r="AM775" s="4">
        <v>0.14583333333333334</v>
      </c>
      <c r="AN775" t="s">
        <v>2857</v>
      </c>
      <c r="AO775" t="s">
        <v>67</v>
      </c>
    </row>
    <row r="776" spans="1:41" x14ac:dyDescent="0.2">
      <c r="A776">
        <v>363597</v>
      </c>
      <c r="B776" t="s">
        <v>6214</v>
      </c>
      <c r="C776" t="s">
        <v>735</v>
      </c>
      <c r="D776" t="s">
        <v>6215</v>
      </c>
      <c r="E776" t="s">
        <v>6216</v>
      </c>
      <c r="F776">
        <v>244803</v>
      </c>
      <c r="G776" s="1">
        <v>35318</v>
      </c>
      <c r="H776" s="1">
        <v>45511</v>
      </c>
      <c r="I776" s="1">
        <v>46235</v>
      </c>
      <c r="J776" t="s">
        <v>45</v>
      </c>
      <c r="K776" t="s">
        <v>45</v>
      </c>
      <c r="L776" t="s">
        <v>46</v>
      </c>
      <c r="M776" s="1">
        <v>41194</v>
      </c>
      <c r="N776" t="s">
        <v>47</v>
      </c>
      <c r="O776" t="s">
        <v>48</v>
      </c>
      <c r="P776" t="s">
        <v>49</v>
      </c>
      <c r="Q776" t="s">
        <v>6217</v>
      </c>
      <c r="R776" t="s">
        <v>6218</v>
      </c>
      <c r="S776">
        <v>6600</v>
      </c>
      <c r="T776" t="s">
        <v>52</v>
      </c>
      <c r="U776">
        <v>1</v>
      </c>
      <c r="V776" t="s">
        <v>1122</v>
      </c>
      <c r="W776" t="s">
        <v>54</v>
      </c>
      <c r="X776" t="s">
        <v>76</v>
      </c>
      <c r="Y776" t="s">
        <v>56</v>
      </c>
      <c r="Z776">
        <v>1010</v>
      </c>
      <c r="AA776">
        <v>46</v>
      </c>
      <c r="AB776">
        <v>34</v>
      </c>
      <c r="AC776" t="s">
        <v>5818</v>
      </c>
      <c r="AD776" t="s">
        <v>5819</v>
      </c>
      <c r="AE776" t="s">
        <v>5820</v>
      </c>
      <c r="AF776" t="s">
        <v>1832</v>
      </c>
      <c r="AG776" t="s">
        <v>1833</v>
      </c>
      <c r="AH776" t="s">
        <v>5821</v>
      </c>
      <c r="AI776" t="s">
        <v>5822</v>
      </c>
      <c r="AJ776" s="2">
        <v>45517.177060185182</v>
      </c>
      <c r="AK776" t="s">
        <v>717</v>
      </c>
      <c r="AL776" t="s">
        <v>65</v>
      </c>
      <c r="AM776" s="3">
        <v>1.4652777777777777</v>
      </c>
      <c r="AN776" t="s">
        <v>66</v>
      </c>
      <c r="AO776" t="s">
        <v>67</v>
      </c>
    </row>
    <row r="777" spans="1:41" x14ac:dyDescent="0.2">
      <c r="A777">
        <v>366128</v>
      </c>
      <c r="B777" t="s">
        <v>6219</v>
      </c>
      <c r="C777" t="s">
        <v>558</v>
      </c>
      <c r="D777" t="s">
        <v>1268</v>
      </c>
      <c r="E777" t="s">
        <v>6220</v>
      </c>
      <c r="F777">
        <v>260503</v>
      </c>
      <c r="G777" s="1">
        <v>31672</v>
      </c>
      <c r="H777" s="1">
        <v>45601</v>
      </c>
      <c r="I777" s="1">
        <v>45945</v>
      </c>
      <c r="J777" t="s">
        <v>45</v>
      </c>
      <c r="K777" t="s">
        <v>45</v>
      </c>
      <c r="L777" t="s">
        <v>429</v>
      </c>
      <c r="M777" s="1">
        <v>42108</v>
      </c>
      <c r="N777" t="s">
        <v>47</v>
      </c>
      <c r="O777" t="s">
        <v>48</v>
      </c>
      <c r="P777" t="s">
        <v>49</v>
      </c>
      <c r="Q777" t="s">
        <v>6221</v>
      </c>
      <c r="R777" t="s">
        <v>6222</v>
      </c>
      <c r="S777">
        <v>6152</v>
      </c>
      <c r="T777" t="s">
        <v>365</v>
      </c>
      <c r="U777" t="s">
        <v>562</v>
      </c>
      <c r="V777" t="s">
        <v>1881</v>
      </c>
      <c r="W777" t="s">
        <v>367</v>
      </c>
      <c r="X777" t="s">
        <v>493</v>
      </c>
      <c r="Y777" t="s">
        <v>434</v>
      </c>
      <c r="Z777">
        <v>240</v>
      </c>
      <c r="AA777">
        <v>60</v>
      </c>
      <c r="AB777">
        <v>166</v>
      </c>
      <c r="AC777" t="s">
        <v>1882</v>
      </c>
      <c r="AD777" t="s">
        <v>1883</v>
      </c>
      <c r="AE777" t="s">
        <v>1884</v>
      </c>
      <c r="AI777" t="s">
        <v>5342</v>
      </c>
      <c r="AJ777" s="2">
        <v>45603.876238425924</v>
      </c>
      <c r="AK777" t="s">
        <v>501</v>
      </c>
      <c r="AL777" t="s">
        <v>65</v>
      </c>
      <c r="AM777" s="3">
        <v>1.6180555555555556</v>
      </c>
      <c r="AN777" t="s">
        <v>66</v>
      </c>
      <c r="AO777" t="s">
        <v>67</v>
      </c>
    </row>
    <row r="778" spans="1:41" x14ac:dyDescent="0.2">
      <c r="A778">
        <v>368885</v>
      </c>
      <c r="B778" t="s">
        <v>6223</v>
      </c>
      <c r="C778" t="s">
        <v>182</v>
      </c>
      <c r="D778" t="s">
        <v>610</v>
      </c>
      <c r="E778" t="s">
        <v>6224</v>
      </c>
      <c r="F778">
        <v>45707</v>
      </c>
      <c r="G778" s="1">
        <v>35759</v>
      </c>
      <c r="H778" s="1">
        <v>45645</v>
      </c>
      <c r="I778" s="1">
        <v>46096</v>
      </c>
      <c r="J778" t="s">
        <v>45</v>
      </c>
      <c r="K778" t="s">
        <v>45</v>
      </c>
      <c r="L778" t="s">
        <v>429</v>
      </c>
      <c r="M778" s="1">
        <v>45054</v>
      </c>
      <c r="N778" t="s">
        <v>47</v>
      </c>
      <c r="O778" t="s">
        <v>48</v>
      </c>
      <c r="P778" t="s">
        <v>49</v>
      </c>
      <c r="Q778" t="s">
        <v>6225</v>
      </c>
      <c r="R778" t="s">
        <v>6226</v>
      </c>
      <c r="S778">
        <v>3567</v>
      </c>
      <c r="T778" t="s">
        <v>52</v>
      </c>
      <c r="U778">
        <v>5</v>
      </c>
      <c r="V778" t="s">
        <v>614</v>
      </c>
      <c r="W778" t="s">
        <v>54</v>
      </c>
      <c r="X778" t="s">
        <v>493</v>
      </c>
      <c r="Y778" t="s">
        <v>434</v>
      </c>
      <c r="Z778">
        <v>843</v>
      </c>
      <c r="AA778">
        <v>56</v>
      </c>
      <c r="AB778">
        <v>78</v>
      </c>
      <c r="AC778" t="s">
        <v>615</v>
      </c>
      <c r="AD778" t="s">
        <v>616</v>
      </c>
      <c r="AE778" t="s">
        <v>617</v>
      </c>
      <c r="AF778" t="s">
        <v>4148</v>
      </c>
      <c r="AG778" t="s">
        <v>619</v>
      </c>
      <c r="AH778" t="s">
        <v>617</v>
      </c>
      <c r="AI778" t="s">
        <v>620</v>
      </c>
      <c r="AJ778" s="2">
        <v>45722.890960648147</v>
      </c>
      <c r="AK778" t="s">
        <v>501</v>
      </c>
      <c r="AL778" t="s">
        <v>65</v>
      </c>
      <c r="AM778" s="4">
        <v>0.1736111111111111</v>
      </c>
      <c r="AN778" t="s">
        <v>66</v>
      </c>
      <c r="AO778" t="s">
        <v>67</v>
      </c>
    </row>
    <row r="779" spans="1:41" x14ac:dyDescent="0.2">
      <c r="A779">
        <v>372016</v>
      </c>
      <c r="B779" t="s">
        <v>6227</v>
      </c>
      <c r="C779" t="s">
        <v>167</v>
      </c>
      <c r="D779" t="s">
        <v>2702</v>
      </c>
      <c r="E779" t="s">
        <v>6228</v>
      </c>
      <c r="G779" s="1">
        <v>45797</v>
      </c>
      <c r="H779" s="1">
        <v>45531</v>
      </c>
      <c r="I779" s="1">
        <v>46204</v>
      </c>
      <c r="J779" t="s">
        <v>45</v>
      </c>
      <c r="K779" t="s">
        <v>45</v>
      </c>
      <c r="L779" t="s">
        <v>72</v>
      </c>
      <c r="N779" t="s">
        <v>89</v>
      </c>
      <c r="O779" t="s">
        <v>121</v>
      </c>
      <c r="P779" t="s">
        <v>49</v>
      </c>
      <c r="Q779" t="s">
        <v>6229</v>
      </c>
      <c r="R779" t="s">
        <v>6230</v>
      </c>
      <c r="S779">
        <v>4580</v>
      </c>
      <c r="T779" t="s">
        <v>52</v>
      </c>
      <c r="U779">
        <v>6</v>
      </c>
      <c r="V779" t="s">
        <v>1477</v>
      </c>
      <c r="W779" t="s">
        <v>54</v>
      </c>
      <c r="X779" t="s">
        <v>52</v>
      </c>
      <c r="Y779" t="s">
        <v>125</v>
      </c>
      <c r="Z779">
        <v>2917</v>
      </c>
      <c r="AA779">
        <v>117</v>
      </c>
      <c r="AB779">
        <v>166</v>
      </c>
      <c r="AC779" t="s">
        <v>2706</v>
      </c>
      <c r="AD779" t="s">
        <v>2707</v>
      </c>
      <c r="AE779" t="s">
        <v>2708</v>
      </c>
      <c r="AF779" t="s">
        <v>2709</v>
      </c>
      <c r="AG779" t="s">
        <v>2710</v>
      </c>
      <c r="AH779" t="s">
        <v>6231</v>
      </c>
      <c r="AI779" t="s">
        <v>6232</v>
      </c>
      <c r="AJ779" s="2">
        <v>45826.924131944441</v>
      </c>
      <c r="AK779" t="s">
        <v>276</v>
      </c>
      <c r="AL779" t="s">
        <v>65</v>
      </c>
      <c r="AM779" s="4">
        <v>0.72916666666666663</v>
      </c>
      <c r="AN779" t="s">
        <v>66</v>
      </c>
      <c r="AO779" t="s">
        <v>67</v>
      </c>
    </row>
    <row r="780" spans="1:41" x14ac:dyDescent="0.2">
      <c r="A780">
        <v>365396</v>
      </c>
      <c r="B780" t="s">
        <v>6233</v>
      </c>
      <c r="C780" t="s">
        <v>167</v>
      </c>
      <c r="D780" t="s">
        <v>5372</v>
      </c>
      <c r="E780" t="s">
        <v>6234</v>
      </c>
      <c r="G780" s="1">
        <v>45580</v>
      </c>
      <c r="H780" s="1">
        <v>45581</v>
      </c>
      <c r="I780" s="1">
        <v>45976</v>
      </c>
      <c r="J780" t="s">
        <v>45</v>
      </c>
      <c r="K780" t="s">
        <v>45</v>
      </c>
      <c r="L780" t="s">
        <v>72</v>
      </c>
      <c r="N780" t="s">
        <v>89</v>
      </c>
      <c r="O780" t="s">
        <v>121</v>
      </c>
      <c r="P780" t="s">
        <v>49</v>
      </c>
      <c r="Q780" t="s">
        <v>6235</v>
      </c>
      <c r="R780" t="s">
        <v>6236</v>
      </c>
      <c r="S780">
        <v>3568</v>
      </c>
      <c r="T780" t="s">
        <v>52</v>
      </c>
      <c r="U780">
        <v>6</v>
      </c>
      <c r="V780" t="s">
        <v>1477</v>
      </c>
      <c r="W780" t="s">
        <v>54</v>
      </c>
      <c r="X780" t="s">
        <v>52</v>
      </c>
      <c r="Y780" t="s">
        <v>125</v>
      </c>
      <c r="Z780">
        <v>12149</v>
      </c>
      <c r="AA780">
        <v>11</v>
      </c>
      <c r="AB780">
        <v>44</v>
      </c>
      <c r="AC780" t="s">
        <v>5375</v>
      </c>
      <c r="AD780" t="s">
        <v>5376</v>
      </c>
      <c r="AE780" t="s">
        <v>6237</v>
      </c>
      <c r="AF780" t="s">
        <v>6238</v>
      </c>
      <c r="AG780" t="s">
        <v>6239</v>
      </c>
      <c r="AH780" t="s">
        <v>6240</v>
      </c>
      <c r="AJ780" s="2">
        <v>45581.461099537039</v>
      </c>
      <c r="AK780" t="s">
        <v>132</v>
      </c>
      <c r="AL780" t="s">
        <v>65</v>
      </c>
      <c r="AM780" s="4">
        <v>0.87152777777777779</v>
      </c>
      <c r="AN780" t="s">
        <v>66</v>
      </c>
      <c r="AO780" t="s">
        <v>67</v>
      </c>
    </row>
    <row r="781" spans="1:41" x14ac:dyDescent="0.2">
      <c r="A781">
        <v>367224</v>
      </c>
      <c r="B781" t="s">
        <v>6241</v>
      </c>
      <c r="C781" t="s">
        <v>558</v>
      </c>
      <c r="D781" t="s">
        <v>1076</v>
      </c>
      <c r="E781" t="s">
        <v>6242</v>
      </c>
      <c r="G781" s="1">
        <v>44827</v>
      </c>
      <c r="H781" s="1">
        <v>45642</v>
      </c>
      <c r="I781" s="1">
        <v>46006</v>
      </c>
      <c r="J781" t="s">
        <v>45</v>
      </c>
      <c r="K781" t="s">
        <v>45</v>
      </c>
      <c r="L781" t="s">
        <v>72</v>
      </c>
      <c r="N781" t="s">
        <v>89</v>
      </c>
      <c r="O781" t="s">
        <v>121</v>
      </c>
      <c r="P781" t="s">
        <v>49</v>
      </c>
      <c r="Q781" t="s">
        <v>6243</v>
      </c>
      <c r="R781" t="s">
        <v>6244</v>
      </c>
      <c r="S781">
        <v>2164</v>
      </c>
      <c r="T781" t="s">
        <v>156</v>
      </c>
      <c r="U781" t="s">
        <v>1079</v>
      </c>
      <c r="V781" t="s">
        <v>6245</v>
      </c>
      <c r="W781" t="s">
        <v>159</v>
      </c>
      <c r="X781" t="s">
        <v>156</v>
      </c>
      <c r="Y781" t="s">
        <v>110</v>
      </c>
      <c r="Z781">
        <v>2792</v>
      </c>
      <c r="AA781">
        <v>43</v>
      </c>
      <c r="AB781">
        <v>160</v>
      </c>
      <c r="AC781" t="s">
        <v>1081</v>
      </c>
      <c r="AD781" t="s">
        <v>1082</v>
      </c>
      <c r="AE781" t="s">
        <v>1083</v>
      </c>
      <c r="AI781" t="s">
        <v>1084</v>
      </c>
      <c r="AJ781" s="2">
        <v>45665.954618055555</v>
      </c>
      <c r="AK781" t="s">
        <v>1081</v>
      </c>
      <c r="AL781" t="s">
        <v>65</v>
      </c>
      <c r="AM781" s="3">
        <v>1.4236111111111112</v>
      </c>
      <c r="AN781" t="s">
        <v>66</v>
      </c>
      <c r="AO781" t="s">
        <v>67</v>
      </c>
    </row>
    <row r="782" spans="1:41" x14ac:dyDescent="0.2">
      <c r="A782">
        <v>368858</v>
      </c>
      <c r="B782" t="s">
        <v>6246</v>
      </c>
      <c r="C782" t="s">
        <v>558</v>
      </c>
      <c r="D782" t="s">
        <v>1743</v>
      </c>
      <c r="E782" s="5">
        <v>3255560000</v>
      </c>
      <c r="F782">
        <v>260114</v>
      </c>
      <c r="G782" s="1">
        <v>33751</v>
      </c>
      <c r="H782" s="1">
        <v>45685</v>
      </c>
      <c r="I782" s="1">
        <v>46068</v>
      </c>
      <c r="J782" t="s">
        <v>45</v>
      </c>
      <c r="K782" t="s">
        <v>45</v>
      </c>
      <c r="L782" t="s">
        <v>429</v>
      </c>
      <c r="M782" s="1">
        <v>43515</v>
      </c>
      <c r="N782" t="s">
        <v>47</v>
      </c>
      <c r="O782" t="s">
        <v>48</v>
      </c>
      <c r="P782" t="s">
        <v>49</v>
      </c>
      <c r="Q782" t="s">
        <v>6247</v>
      </c>
      <c r="R782" t="s">
        <v>6248</v>
      </c>
      <c r="S782">
        <v>5280</v>
      </c>
      <c r="T782" t="s">
        <v>365</v>
      </c>
      <c r="U782" t="s">
        <v>562</v>
      </c>
      <c r="V782" t="s">
        <v>4944</v>
      </c>
      <c r="W782" t="s">
        <v>367</v>
      </c>
      <c r="X782" t="s">
        <v>493</v>
      </c>
      <c r="Y782" t="s">
        <v>434</v>
      </c>
      <c r="Z782">
        <v>247</v>
      </c>
      <c r="AA782">
        <v>56</v>
      </c>
      <c r="AB782">
        <v>142</v>
      </c>
      <c r="AC782" t="s">
        <v>6058</v>
      </c>
      <c r="AD782" t="s">
        <v>4946</v>
      </c>
      <c r="AE782" t="s">
        <v>4947</v>
      </c>
      <c r="AI782" t="s">
        <v>500</v>
      </c>
      <c r="AJ782" s="2">
        <v>45722.878055555557</v>
      </c>
      <c r="AK782" t="s">
        <v>1472</v>
      </c>
      <c r="AL782" t="s">
        <v>65</v>
      </c>
      <c r="AM782" s="3">
        <v>1.6875</v>
      </c>
      <c r="AN782" t="s">
        <v>66</v>
      </c>
      <c r="AO782" t="s">
        <v>67</v>
      </c>
    </row>
    <row r="783" spans="1:41" x14ac:dyDescent="0.2">
      <c r="A783">
        <v>372741</v>
      </c>
      <c r="B783" t="s">
        <v>6249</v>
      </c>
      <c r="C783" t="s">
        <v>4770</v>
      </c>
      <c r="D783" t="s">
        <v>3919</v>
      </c>
      <c r="E783">
        <v>83762600</v>
      </c>
      <c r="F783">
        <v>135501</v>
      </c>
      <c r="G783" s="1">
        <v>37568</v>
      </c>
      <c r="H783" s="1">
        <v>45582</v>
      </c>
      <c r="I783" s="1">
        <v>46266</v>
      </c>
      <c r="J783" t="s">
        <v>45</v>
      </c>
      <c r="K783" t="s">
        <v>45</v>
      </c>
      <c r="L783" t="s">
        <v>72</v>
      </c>
      <c r="M783" t="s">
        <v>6250</v>
      </c>
      <c r="N783" t="s">
        <v>47</v>
      </c>
      <c r="O783" t="s">
        <v>48</v>
      </c>
      <c r="P783" t="s">
        <v>49</v>
      </c>
      <c r="Q783" t="s">
        <v>6251</v>
      </c>
      <c r="R783" t="s">
        <v>6252</v>
      </c>
      <c r="S783">
        <v>1000</v>
      </c>
      <c r="T783" t="s">
        <v>156</v>
      </c>
      <c r="U783" t="s">
        <v>241</v>
      </c>
      <c r="V783" t="s">
        <v>6253</v>
      </c>
      <c r="W783" t="s">
        <v>159</v>
      </c>
      <c r="X783" t="s">
        <v>156</v>
      </c>
      <c r="Y783" t="s">
        <v>110</v>
      </c>
      <c r="Z783">
        <v>2330</v>
      </c>
      <c r="AA783">
        <v>36</v>
      </c>
      <c r="AB783">
        <v>45</v>
      </c>
      <c r="AC783" t="s">
        <v>6254</v>
      </c>
      <c r="AD783" t="s">
        <v>6255</v>
      </c>
      <c r="AE783" t="s">
        <v>6256</v>
      </c>
      <c r="AF783" t="s">
        <v>6257</v>
      </c>
      <c r="AG783" t="s">
        <v>6258</v>
      </c>
      <c r="AH783" t="s">
        <v>6259</v>
      </c>
      <c r="AI783" t="s">
        <v>6260</v>
      </c>
      <c r="AJ783" s="2">
        <v>45852.89203703704</v>
      </c>
      <c r="AK783" t="s">
        <v>2496</v>
      </c>
      <c r="AL783" t="s">
        <v>65</v>
      </c>
      <c r="AM783" s="3">
        <v>1.8819444444444444</v>
      </c>
      <c r="AN783" t="s">
        <v>66</v>
      </c>
      <c r="AO783" t="s">
        <v>101</v>
      </c>
    </row>
    <row r="784" spans="1:41" x14ac:dyDescent="0.2">
      <c r="A784">
        <v>368811</v>
      </c>
      <c r="B784" t="s">
        <v>6261</v>
      </c>
      <c r="C784" t="s">
        <v>236</v>
      </c>
      <c r="D784" t="s">
        <v>6262</v>
      </c>
      <c r="E784" t="s">
        <v>6263</v>
      </c>
      <c r="F784">
        <v>212201</v>
      </c>
      <c r="G784" s="1">
        <v>37554</v>
      </c>
      <c r="H784" s="1">
        <v>45597</v>
      </c>
      <c r="I784" s="1">
        <v>45931</v>
      </c>
      <c r="J784" t="s">
        <v>45</v>
      </c>
      <c r="K784" t="s">
        <v>45</v>
      </c>
      <c r="L784" t="s">
        <v>72</v>
      </c>
      <c r="M784" s="1">
        <v>45597</v>
      </c>
      <c r="N784" t="s">
        <v>47</v>
      </c>
      <c r="O784" t="s">
        <v>48</v>
      </c>
      <c r="P784" t="s">
        <v>49</v>
      </c>
      <c r="Q784" t="s">
        <v>6264</v>
      </c>
      <c r="R784" t="s">
        <v>6265</v>
      </c>
      <c r="S784">
        <v>1385</v>
      </c>
      <c r="T784" t="s">
        <v>156</v>
      </c>
      <c r="U784" t="s">
        <v>241</v>
      </c>
      <c r="V784" t="s">
        <v>6266</v>
      </c>
      <c r="W784" t="s">
        <v>159</v>
      </c>
      <c r="X784" t="s">
        <v>156</v>
      </c>
      <c r="Y784" t="s">
        <v>110</v>
      </c>
      <c r="Z784">
        <v>2333</v>
      </c>
      <c r="AA784">
        <v>36</v>
      </c>
      <c r="AB784">
        <v>160</v>
      </c>
      <c r="AC784" t="s">
        <v>243</v>
      </c>
      <c r="AD784" t="s">
        <v>6267</v>
      </c>
      <c r="AE784" t="s">
        <v>245</v>
      </c>
      <c r="AF784" t="s">
        <v>6268</v>
      </c>
      <c r="AG784" t="s">
        <v>6269</v>
      </c>
      <c r="AH784" t="s">
        <v>6270</v>
      </c>
      <c r="AI784" t="s">
        <v>249</v>
      </c>
      <c r="AJ784" s="2">
        <v>45722.632280092592</v>
      </c>
      <c r="AK784" t="s">
        <v>6271</v>
      </c>
      <c r="AL784" t="s">
        <v>65</v>
      </c>
      <c r="AM784" s="4">
        <v>0.84722222222222221</v>
      </c>
      <c r="AN784" t="s">
        <v>66</v>
      </c>
      <c r="AO784" t="s">
        <v>67</v>
      </c>
    </row>
    <row r="785" spans="1:41" x14ac:dyDescent="0.2">
      <c r="A785">
        <v>361489</v>
      </c>
      <c r="B785" t="s">
        <v>6272</v>
      </c>
      <c r="C785" t="s">
        <v>323</v>
      </c>
      <c r="E785" t="s">
        <v>6273</v>
      </c>
      <c r="G785" s="1">
        <v>40773</v>
      </c>
      <c r="H785" s="1">
        <v>45444</v>
      </c>
      <c r="J785" t="s">
        <v>72</v>
      </c>
      <c r="K785" t="s">
        <v>45</v>
      </c>
      <c r="L785" t="s">
        <v>72</v>
      </c>
      <c r="N785" t="s">
        <v>47</v>
      </c>
      <c r="O785" t="s">
        <v>48</v>
      </c>
      <c r="P785" t="s">
        <v>406</v>
      </c>
      <c r="Q785" t="s">
        <v>6274</v>
      </c>
      <c r="R785" t="s">
        <v>6275</v>
      </c>
      <c r="S785">
        <v>285</v>
      </c>
      <c r="T785" t="s">
        <v>257</v>
      </c>
      <c r="U785" t="s">
        <v>329</v>
      </c>
      <c r="V785" t="s">
        <v>6276</v>
      </c>
      <c r="W785" t="s">
        <v>723</v>
      </c>
      <c r="X785" t="s">
        <v>257</v>
      </c>
      <c r="Y785" t="s">
        <v>642</v>
      </c>
      <c r="Z785">
        <v>5088</v>
      </c>
      <c r="AA785">
        <v>27</v>
      </c>
      <c r="AB785">
        <v>152</v>
      </c>
      <c r="AC785" t="s">
        <v>1164</v>
      </c>
      <c r="AD785" t="s">
        <v>1165</v>
      </c>
      <c r="AE785" t="s">
        <v>1166</v>
      </c>
      <c r="AJ785" s="2">
        <v>45455.765902777777</v>
      </c>
      <c r="AK785" t="s">
        <v>6277</v>
      </c>
      <c r="AL785" t="s">
        <v>1168</v>
      </c>
      <c r="AM785" s="3">
        <v>1.625</v>
      </c>
      <c r="AN785" t="s">
        <v>66</v>
      </c>
      <c r="AO785" t="s">
        <v>67</v>
      </c>
    </row>
    <row r="786" spans="1:41" x14ac:dyDescent="0.2">
      <c r="A786">
        <v>366292</v>
      </c>
      <c r="B786" t="s">
        <v>6278</v>
      </c>
      <c r="C786" t="s">
        <v>345</v>
      </c>
      <c r="D786" t="s">
        <v>3608</v>
      </c>
      <c r="E786" t="s">
        <v>6279</v>
      </c>
      <c r="F786">
        <v>55901</v>
      </c>
      <c r="G786" s="1">
        <v>32716</v>
      </c>
      <c r="H786" s="1">
        <v>45484</v>
      </c>
      <c r="I786" s="1">
        <v>46218</v>
      </c>
      <c r="J786" t="s">
        <v>45</v>
      </c>
      <c r="K786" t="s">
        <v>45</v>
      </c>
      <c r="L786" t="s">
        <v>72</v>
      </c>
      <c r="M786" s="1">
        <v>40744</v>
      </c>
      <c r="N786" t="s">
        <v>47</v>
      </c>
      <c r="O786" t="s">
        <v>48</v>
      </c>
      <c r="P786" t="s">
        <v>49</v>
      </c>
      <c r="Q786" t="s">
        <v>6280</v>
      </c>
      <c r="R786" t="s">
        <v>6281</v>
      </c>
      <c r="S786">
        <v>7460</v>
      </c>
      <c r="T786" t="s">
        <v>52</v>
      </c>
      <c r="U786">
        <v>2</v>
      </c>
      <c r="V786" t="s">
        <v>2325</v>
      </c>
      <c r="W786" t="s">
        <v>54</v>
      </c>
      <c r="X786" t="s">
        <v>55</v>
      </c>
      <c r="Y786" t="s">
        <v>56</v>
      </c>
      <c r="Z786">
        <v>594</v>
      </c>
      <c r="AA786">
        <v>58</v>
      </c>
      <c r="AB786">
        <v>144</v>
      </c>
      <c r="AC786" t="s">
        <v>2326</v>
      </c>
      <c r="AD786" t="s">
        <v>2327</v>
      </c>
      <c r="AE786" t="s">
        <v>2328</v>
      </c>
      <c r="AF786" t="s">
        <v>6282</v>
      </c>
      <c r="AG786" t="s">
        <v>6283</v>
      </c>
      <c r="AH786" t="s">
        <v>6284</v>
      </c>
      <c r="AI786" t="s">
        <v>6285</v>
      </c>
      <c r="AJ786" s="2">
        <v>45611.730497685188</v>
      </c>
      <c r="AK786" t="s">
        <v>2326</v>
      </c>
      <c r="AL786" t="s">
        <v>65</v>
      </c>
      <c r="AM786" s="3">
        <v>2.4444444444444446</v>
      </c>
      <c r="AN786" t="s">
        <v>66</v>
      </c>
      <c r="AO786" t="s">
        <v>67</v>
      </c>
    </row>
    <row r="787" spans="1:41" x14ac:dyDescent="0.2">
      <c r="A787">
        <v>363188</v>
      </c>
      <c r="B787" t="s">
        <v>6286</v>
      </c>
      <c r="C787" t="s">
        <v>182</v>
      </c>
      <c r="D787" t="s">
        <v>1948</v>
      </c>
      <c r="E787" t="s">
        <v>6287</v>
      </c>
      <c r="F787">
        <v>40309</v>
      </c>
      <c r="G787" s="1">
        <v>32509</v>
      </c>
      <c r="H787" s="1">
        <v>45500</v>
      </c>
      <c r="J787" t="s">
        <v>45</v>
      </c>
      <c r="K787" t="s">
        <v>72</v>
      </c>
      <c r="L787" t="s">
        <v>72</v>
      </c>
      <c r="N787" t="s">
        <v>47</v>
      </c>
      <c r="O787" t="s">
        <v>48</v>
      </c>
      <c r="P787" t="s">
        <v>49</v>
      </c>
      <c r="Q787" t="s">
        <v>6288</v>
      </c>
      <c r="R787" t="s">
        <v>6289</v>
      </c>
      <c r="S787">
        <v>5049</v>
      </c>
      <c r="T787" t="s">
        <v>92</v>
      </c>
      <c r="U787" t="s">
        <v>187</v>
      </c>
      <c r="V787" t="s">
        <v>447</v>
      </c>
      <c r="W787" t="s">
        <v>448</v>
      </c>
      <c r="X787" t="s">
        <v>92</v>
      </c>
      <c r="Y787" t="s">
        <v>450</v>
      </c>
      <c r="Z787">
        <v>1231</v>
      </c>
      <c r="AA787">
        <v>49</v>
      </c>
      <c r="AB787">
        <v>142</v>
      </c>
      <c r="AC787" t="s">
        <v>451</v>
      </c>
      <c r="AD787" t="s">
        <v>452</v>
      </c>
      <c r="AE787" t="s">
        <v>453</v>
      </c>
      <c r="AF787" t="s">
        <v>454</v>
      </c>
      <c r="AG787" t="s">
        <v>473</v>
      </c>
      <c r="AI787" t="s">
        <v>6290</v>
      </c>
      <c r="AJ787" s="2">
        <v>45506.684942129628</v>
      </c>
      <c r="AK787" t="s">
        <v>526</v>
      </c>
      <c r="AL787" t="s">
        <v>475</v>
      </c>
      <c r="AM787" s="3">
        <v>2.3020833333333335</v>
      </c>
      <c r="AN787" t="s">
        <v>66</v>
      </c>
      <c r="AO787" t="s">
        <v>67</v>
      </c>
    </row>
    <row r="788" spans="1:41" x14ac:dyDescent="0.2">
      <c r="A788">
        <v>368164</v>
      </c>
      <c r="B788" t="s">
        <v>6291</v>
      </c>
      <c r="C788" t="s">
        <v>167</v>
      </c>
      <c r="D788" t="s">
        <v>1315</v>
      </c>
      <c r="E788" t="s">
        <v>6292</v>
      </c>
      <c r="F788">
        <v>353047</v>
      </c>
      <c r="G788" s="1">
        <v>38483</v>
      </c>
      <c r="H788" s="1">
        <v>45699</v>
      </c>
      <c r="I788" s="1">
        <v>46054</v>
      </c>
      <c r="J788" t="s">
        <v>45</v>
      </c>
      <c r="K788" t="s">
        <v>45</v>
      </c>
      <c r="L788" t="s">
        <v>72</v>
      </c>
      <c r="M788" s="1">
        <v>41570</v>
      </c>
      <c r="N788" t="s">
        <v>47</v>
      </c>
      <c r="O788" t="s">
        <v>48</v>
      </c>
      <c r="P788" t="s">
        <v>49</v>
      </c>
      <c r="Q788" t="s">
        <v>6293</v>
      </c>
      <c r="R788" t="s">
        <v>6294</v>
      </c>
      <c r="S788">
        <v>1550</v>
      </c>
      <c r="T788" t="s">
        <v>365</v>
      </c>
      <c r="U788" t="s">
        <v>532</v>
      </c>
      <c r="V788" t="s">
        <v>3729</v>
      </c>
      <c r="W788" t="s">
        <v>367</v>
      </c>
      <c r="X788" t="s">
        <v>76</v>
      </c>
      <c r="Y788" t="s">
        <v>434</v>
      </c>
      <c r="Z788">
        <v>2730</v>
      </c>
      <c r="AA788">
        <v>41</v>
      </c>
      <c r="AB788">
        <v>158</v>
      </c>
      <c r="AC788" t="s">
        <v>3730</v>
      </c>
      <c r="AD788" t="s">
        <v>3731</v>
      </c>
      <c r="AE788" t="s">
        <v>3732</v>
      </c>
      <c r="AI788" t="s">
        <v>179</v>
      </c>
      <c r="AJ788" s="2">
        <v>45702.615925925929</v>
      </c>
      <c r="AK788" t="s">
        <v>180</v>
      </c>
      <c r="AL788" t="s">
        <v>65</v>
      </c>
      <c r="AM788" s="3">
        <v>1.0138888888888888</v>
      </c>
      <c r="AN788" t="s">
        <v>66</v>
      </c>
      <c r="AO788" t="s">
        <v>67</v>
      </c>
    </row>
    <row r="789" spans="1:41" x14ac:dyDescent="0.2">
      <c r="A789">
        <v>372674</v>
      </c>
      <c r="B789" t="s">
        <v>6295</v>
      </c>
      <c r="C789" t="s">
        <v>118</v>
      </c>
      <c r="D789" t="s">
        <v>1579</v>
      </c>
      <c r="E789" t="s">
        <v>6296</v>
      </c>
      <c r="G789" s="1">
        <v>45358</v>
      </c>
      <c r="H789" s="1">
        <v>45727</v>
      </c>
      <c r="I789" s="1">
        <v>46082</v>
      </c>
      <c r="J789" t="s">
        <v>45</v>
      </c>
      <c r="K789" t="s">
        <v>45</v>
      </c>
      <c r="L789" t="s">
        <v>46</v>
      </c>
      <c r="N789" t="s">
        <v>47</v>
      </c>
      <c r="O789" t="s">
        <v>48</v>
      </c>
      <c r="P789" t="s">
        <v>49</v>
      </c>
      <c r="Q789" t="s">
        <v>6297</v>
      </c>
      <c r="R789" t="s">
        <v>6298</v>
      </c>
      <c r="S789">
        <v>836</v>
      </c>
      <c r="T789" t="s">
        <v>1328</v>
      </c>
      <c r="U789" t="s">
        <v>1583</v>
      </c>
      <c r="V789" t="s">
        <v>1584</v>
      </c>
      <c r="W789" t="s">
        <v>1585</v>
      </c>
      <c r="X789" t="s">
        <v>55</v>
      </c>
      <c r="Y789" t="s">
        <v>434</v>
      </c>
      <c r="Z789">
        <v>12210</v>
      </c>
      <c r="AA789">
        <v>9</v>
      </c>
      <c r="AB789">
        <v>44</v>
      </c>
      <c r="AC789" t="s">
        <v>1586</v>
      </c>
      <c r="AD789" t="s">
        <v>1587</v>
      </c>
      <c r="AE789" t="s">
        <v>1588</v>
      </c>
      <c r="AI789" t="s">
        <v>179</v>
      </c>
      <c r="AJ789" s="2">
        <v>45849.722071759257</v>
      </c>
      <c r="AK789" t="s">
        <v>100</v>
      </c>
      <c r="AL789" t="s">
        <v>65</v>
      </c>
      <c r="AM789" s="4">
        <v>0.96875</v>
      </c>
      <c r="AN789" t="s">
        <v>66</v>
      </c>
      <c r="AO789" t="s">
        <v>67</v>
      </c>
    </row>
    <row r="790" spans="1:41" x14ac:dyDescent="0.2">
      <c r="A790">
        <v>372984</v>
      </c>
      <c r="B790" t="s">
        <v>6299</v>
      </c>
      <c r="C790" t="s">
        <v>979</v>
      </c>
      <c r="D790" t="s">
        <v>2256</v>
      </c>
      <c r="E790" t="s">
        <v>6300</v>
      </c>
      <c r="F790">
        <v>32001</v>
      </c>
      <c r="G790" s="1">
        <v>34943</v>
      </c>
      <c r="H790" s="1">
        <v>45674</v>
      </c>
      <c r="I790" s="1">
        <v>46037</v>
      </c>
      <c r="J790" t="s">
        <v>45</v>
      </c>
      <c r="K790" t="s">
        <v>45</v>
      </c>
      <c r="L790" t="s">
        <v>46</v>
      </c>
      <c r="M790" s="1">
        <v>43920</v>
      </c>
      <c r="N790" t="s">
        <v>47</v>
      </c>
      <c r="O790" t="s">
        <v>48</v>
      </c>
      <c r="P790" t="s">
        <v>49</v>
      </c>
      <c r="Q790" t="s">
        <v>6301</v>
      </c>
      <c r="R790" t="s">
        <v>6302</v>
      </c>
      <c r="S790">
        <v>2100</v>
      </c>
      <c r="T790" t="s">
        <v>52</v>
      </c>
      <c r="U790">
        <v>8</v>
      </c>
      <c r="V790" t="s">
        <v>984</v>
      </c>
      <c r="W790" t="s">
        <v>54</v>
      </c>
      <c r="X790" t="s">
        <v>76</v>
      </c>
      <c r="Y790" t="s">
        <v>56</v>
      </c>
      <c r="Z790">
        <v>1206</v>
      </c>
      <c r="AA790">
        <v>57</v>
      </c>
      <c r="AB790">
        <v>176</v>
      </c>
      <c r="AC790" t="s">
        <v>985</v>
      </c>
      <c r="AD790" t="s">
        <v>986</v>
      </c>
      <c r="AE790" t="s">
        <v>3446</v>
      </c>
      <c r="AI790" t="s">
        <v>988</v>
      </c>
      <c r="AJ790" s="2">
        <v>45855.979178240741</v>
      </c>
      <c r="AK790" t="s">
        <v>556</v>
      </c>
      <c r="AL790" t="s">
        <v>65</v>
      </c>
      <c r="AM790" s="4">
        <v>0.36805555555555558</v>
      </c>
      <c r="AN790" t="s">
        <v>66</v>
      </c>
      <c r="AO790" t="s">
        <v>67</v>
      </c>
    </row>
    <row r="791" spans="1:41" x14ac:dyDescent="0.2">
      <c r="A791">
        <v>372220</v>
      </c>
      <c r="B791" t="s">
        <v>6303</v>
      </c>
      <c r="C791" t="s">
        <v>1013</v>
      </c>
      <c r="D791" t="s">
        <v>6304</v>
      </c>
      <c r="E791" s="5" t="s">
        <v>6305</v>
      </c>
      <c r="F791">
        <v>321401</v>
      </c>
      <c r="G791" s="1">
        <v>34558</v>
      </c>
      <c r="H791" s="1">
        <v>45833</v>
      </c>
      <c r="I791" s="1">
        <v>46174</v>
      </c>
      <c r="J791" t="s">
        <v>45</v>
      </c>
      <c r="K791" t="s">
        <v>45</v>
      </c>
      <c r="L791" t="s">
        <v>72</v>
      </c>
      <c r="M791" s="1">
        <v>34358</v>
      </c>
      <c r="N791" t="s">
        <v>47</v>
      </c>
      <c r="O791" t="s">
        <v>48</v>
      </c>
      <c r="P791" t="s">
        <v>49</v>
      </c>
      <c r="Q791" t="s">
        <v>6306</v>
      </c>
      <c r="R791" t="s">
        <v>6307</v>
      </c>
      <c r="S791">
        <v>1530</v>
      </c>
      <c r="T791" t="s">
        <v>296</v>
      </c>
      <c r="U791" t="s">
        <v>1941</v>
      </c>
      <c r="V791" t="s">
        <v>6308</v>
      </c>
      <c r="W791" t="s">
        <v>299</v>
      </c>
      <c r="X791" t="s">
        <v>76</v>
      </c>
      <c r="Y791" t="s">
        <v>56</v>
      </c>
      <c r="Z791">
        <v>12</v>
      </c>
      <c r="AA791">
        <v>56</v>
      </c>
      <c r="AB791">
        <v>160</v>
      </c>
      <c r="AC791" t="s">
        <v>6309</v>
      </c>
      <c r="AD791" t="s">
        <v>6310</v>
      </c>
      <c r="AE791" t="s">
        <v>6311</v>
      </c>
      <c r="AF791" t="s">
        <v>6312</v>
      </c>
      <c r="AG791" t="s">
        <v>6313</v>
      </c>
      <c r="AH791" t="s">
        <v>6314</v>
      </c>
      <c r="AI791" t="s">
        <v>6315</v>
      </c>
      <c r="AJ791" s="2">
        <v>45834.095659722225</v>
      </c>
      <c r="AK791" t="s">
        <v>84</v>
      </c>
      <c r="AL791" t="s">
        <v>65</v>
      </c>
      <c r="AM791" s="3">
        <v>2.1458333333333335</v>
      </c>
      <c r="AN791" t="s">
        <v>66</v>
      </c>
      <c r="AO791" t="s">
        <v>67</v>
      </c>
    </row>
    <row r="792" spans="1:41" x14ac:dyDescent="0.2">
      <c r="A792">
        <v>371036</v>
      </c>
      <c r="B792" t="s">
        <v>6316</v>
      </c>
      <c r="C792" t="s">
        <v>692</v>
      </c>
      <c r="D792" t="s">
        <v>1474</v>
      </c>
      <c r="E792" t="s">
        <v>6317</v>
      </c>
      <c r="F792">
        <v>480606</v>
      </c>
      <c r="G792" s="1">
        <v>37839</v>
      </c>
      <c r="H792" s="1">
        <v>45792</v>
      </c>
      <c r="I792" s="1">
        <v>46113</v>
      </c>
      <c r="J792" t="s">
        <v>45</v>
      </c>
      <c r="K792" t="s">
        <v>45</v>
      </c>
      <c r="L792" t="s">
        <v>72</v>
      </c>
      <c r="M792" s="1">
        <v>45531</v>
      </c>
      <c r="N792" t="s">
        <v>47</v>
      </c>
      <c r="O792" t="s">
        <v>48</v>
      </c>
      <c r="P792" t="s">
        <v>49</v>
      </c>
      <c r="Q792" t="s">
        <v>6318</v>
      </c>
      <c r="R792" t="s">
        <v>6319</v>
      </c>
      <c r="S792">
        <v>3872</v>
      </c>
      <c r="T792" t="s">
        <v>257</v>
      </c>
      <c r="U792" t="s">
        <v>258</v>
      </c>
      <c r="V792" t="s">
        <v>6320</v>
      </c>
      <c r="W792" t="s">
        <v>260</v>
      </c>
      <c r="X792" t="s">
        <v>257</v>
      </c>
      <c r="Y792" t="s">
        <v>110</v>
      </c>
      <c r="Z792">
        <v>1406</v>
      </c>
      <c r="AA792">
        <v>42</v>
      </c>
      <c r="AB792">
        <v>160</v>
      </c>
      <c r="AC792" t="s">
        <v>261</v>
      </c>
      <c r="AD792" t="s">
        <v>262</v>
      </c>
      <c r="AE792" t="s">
        <v>263</v>
      </c>
      <c r="AF792" t="s">
        <v>264</v>
      </c>
      <c r="AG792" t="s">
        <v>265</v>
      </c>
      <c r="AH792" t="s">
        <v>266</v>
      </c>
      <c r="AJ792" s="2">
        <v>45792.963159722225</v>
      </c>
      <c r="AK792" t="s">
        <v>6321</v>
      </c>
      <c r="AL792" t="s">
        <v>65</v>
      </c>
      <c r="AM792" s="4">
        <v>0.95833333333333337</v>
      </c>
      <c r="AN792" t="s">
        <v>66</v>
      </c>
      <c r="AO792" t="s">
        <v>67</v>
      </c>
    </row>
    <row r="793" spans="1:41" x14ac:dyDescent="0.2">
      <c r="A793">
        <v>370009</v>
      </c>
      <c r="B793" t="s">
        <v>6322</v>
      </c>
      <c r="C793" t="s">
        <v>182</v>
      </c>
      <c r="D793" t="s">
        <v>811</v>
      </c>
      <c r="E793" t="s">
        <v>6323</v>
      </c>
      <c r="F793">
        <v>45113</v>
      </c>
      <c r="G793" s="1">
        <v>32509</v>
      </c>
      <c r="H793" s="1">
        <v>45616</v>
      </c>
      <c r="J793" t="s">
        <v>45</v>
      </c>
      <c r="K793" t="s">
        <v>45</v>
      </c>
      <c r="L793" t="s">
        <v>72</v>
      </c>
      <c r="M793" s="1">
        <v>36325</v>
      </c>
      <c r="N793" t="s">
        <v>47</v>
      </c>
      <c r="O793" t="s">
        <v>48</v>
      </c>
      <c r="P793" t="s">
        <v>49</v>
      </c>
      <c r="Q793" t="s">
        <v>6324</v>
      </c>
      <c r="R793" t="s">
        <v>6325</v>
      </c>
      <c r="S793">
        <v>1605</v>
      </c>
      <c r="T793" t="s">
        <v>92</v>
      </c>
      <c r="U793" t="s">
        <v>187</v>
      </c>
      <c r="V793" t="s">
        <v>447</v>
      </c>
      <c r="W793" t="s">
        <v>448</v>
      </c>
      <c r="X793" t="s">
        <v>92</v>
      </c>
      <c r="Y793" t="s">
        <v>450</v>
      </c>
      <c r="Z793">
        <v>1232</v>
      </c>
      <c r="AA793">
        <v>57</v>
      </c>
      <c r="AB793">
        <v>152</v>
      </c>
      <c r="AC793" t="s">
        <v>3354</v>
      </c>
      <c r="AD793" t="s">
        <v>452</v>
      </c>
      <c r="AE793" t="s">
        <v>453</v>
      </c>
      <c r="AF793" t="s">
        <v>454</v>
      </c>
      <c r="AG793" t="s">
        <v>473</v>
      </c>
      <c r="AJ793" s="2">
        <v>45761.751111111109</v>
      </c>
      <c r="AK793" t="s">
        <v>650</v>
      </c>
      <c r="AL793" t="s">
        <v>65</v>
      </c>
      <c r="AM793" s="4">
        <v>0.4375</v>
      </c>
      <c r="AN793" t="s">
        <v>66</v>
      </c>
      <c r="AO793" t="s">
        <v>67</v>
      </c>
    </row>
    <row r="794" spans="1:41" x14ac:dyDescent="0.2">
      <c r="A794">
        <v>368958</v>
      </c>
      <c r="B794" t="s">
        <v>6326</v>
      </c>
      <c r="C794" t="s">
        <v>182</v>
      </c>
      <c r="D794" t="s">
        <v>2179</v>
      </c>
      <c r="E794">
        <v>32429650</v>
      </c>
      <c r="F794">
        <v>43711</v>
      </c>
      <c r="G794" s="1">
        <v>40074</v>
      </c>
      <c r="H794" s="1">
        <v>45531</v>
      </c>
      <c r="I794" s="1">
        <v>46157</v>
      </c>
      <c r="J794" t="s">
        <v>45</v>
      </c>
      <c r="K794" t="s">
        <v>45</v>
      </c>
      <c r="L794" t="s">
        <v>3920</v>
      </c>
      <c r="M794" s="1">
        <v>42099</v>
      </c>
      <c r="N794" t="s">
        <v>47</v>
      </c>
      <c r="O794" t="s">
        <v>48</v>
      </c>
      <c r="P794" t="s">
        <v>49</v>
      </c>
      <c r="Q794" t="s">
        <v>6327</v>
      </c>
      <c r="R794" t="s">
        <v>6328</v>
      </c>
      <c r="S794">
        <v>7981</v>
      </c>
      <c r="T794" t="s">
        <v>52</v>
      </c>
      <c r="U794">
        <v>5</v>
      </c>
      <c r="V794" t="s">
        <v>5856</v>
      </c>
      <c r="W794" t="s">
        <v>54</v>
      </c>
      <c r="X794" t="s">
        <v>493</v>
      </c>
      <c r="Y794" t="s">
        <v>434</v>
      </c>
      <c r="Z794">
        <v>689</v>
      </c>
      <c r="AA794">
        <v>51</v>
      </c>
      <c r="AB794">
        <v>160</v>
      </c>
      <c r="AC794" t="s">
        <v>5857</v>
      </c>
      <c r="AD794" t="s">
        <v>5858</v>
      </c>
      <c r="AE794" t="s">
        <v>5859</v>
      </c>
      <c r="AF794" t="s">
        <v>6329</v>
      </c>
      <c r="AG794" t="s">
        <v>6330</v>
      </c>
      <c r="AH794" t="s">
        <v>5862</v>
      </c>
      <c r="AI794" t="s">
        <v>500</v>
      </c>
      <c r="AJ794" s="2">
        <v>45722.924687500003</v>
      </c>
      <c r="AK794" t="s">
        <v>1472</v>
      </c>
      <c r="AL794" t="s">
        <v>65</v>
      </c>
      <c r="AM794" s="3">
        <v>2.2222222222222223</v>
      </c>
      <c r="AN794" t="s">
        <v>66</v>
      </c>
      <c r="AO794" t="s">
        <v>67</v>
      </c>
    </row>
    <row r="795" spans="1:41" x14ac:dyDescent="0.2">
      <c r="A795">
        <v>371068</v>
      </c>
      <c r="B795" t="s">
        <v>6331</v>
      </c>
      <c r="C795" t="s">
        <v>345</v>
      </c>
      <c r="D795" t="s">
        <v>168</v>
      </c>
      <c r="E795" t="s">
        <v>6332</v>
      </c>
      <c r="G795" s="1">
        <v>45729</v>
      </c>
      <c r="H795" s="1">
        <v>45511</v>
      </c>
      <c r="I795" s="1">
        <v>46188</v>
      </c>
      <c r="J795" t="s">
        <v>45</v>
      </c>
      <c r="K795" t="s">
        <v>45</v>
      </c>
      <c r="L795" t="s">
        <v>72</v>
      </c>
      <c r="N795" t="s">
        <v>89</v>
      </c>
      <c r="O795" t="s">
        <v>121</v>
      </c>
      <c r="P795" t="s">
        <v>49</v>
      </c>
      <c r="Q795" t="s">
        <v>6333</v>
      </c>
      <c r="R795" t="s">
        <v>6334</v>
      </c>
      <c r="S795">
        <v>8004</v>
      </c>
      <c r="T795" t="s">
        <v>92</v>
      </c>
      <c r="U795" t="s">
        <v>350</v>
      </c>
      <c r="V795" t="s">
        <v>351</v>
      </c>
      <c r="W795" t="s">
        <v>352</v>
      </c>
      <c r="X795" t="s">
        <v>92</v>
      </c>
      <c r="Y795" t="s">
        <v>110</v>
      </c>
      <c r="Z795">
        <v>10166</v>
      </c>
      <c r="AA795">
        <v>19</v>
      </c>
      <c r="AB795">
        <v>78</v>
      </c>
      <c r="AC795" t="s">
        <v>353</v>
      </c>
      <c r="AD795" t="s">
        <v>354</v>
      </c>
      <c r="AE795" t="s">
        <v>355</v>
      </c>
      <c r="AF795" t="s">
        <v>356</v>
      </c>
      <c r="AG795" t="s">
        <v>357</v>
      </c>
      <c r="AH795" t="s">
        <v>358</v>
      </c>
      <c r="AJ795" s="2">
        <v>45793.733842592592</v>
      </c>
      <c r="AK795" t="s">
        <v>84</v>
      </c>
      <c r="AL795" t="s">
        <v>65</v>
      </c>
      <c r="AM795" s="3">
        <v>1.7916666666666667</v>
      </c>
      <c r="AN795" t="s">
        <v>66</v>
      </c>
      <c r="AO795" t="s">
        <v>67</v>
      </c>
    </row>
    <row r="796" spans="1:41" x14ac:dyDescent="0.2">
      <c r="A796">
        <v>364310</v>
      </c>
      <c r="B796" t="s">
        <v>6335</v>
      </c>
      <c r="C796" t="s">
        <v>345</v>
      </c>
      <c r="D796" t="s">
        <v>6336</v>
      </c>
      <c r="E796" t="s">
        <v>6337</v>
      </c>
      <c r="G796" s="1">
        <v>44757</v>
      </c>
      <c r="H796" s="1">
        <v>45539</v>
      </c>
      <c r="I796" s="1">
        <v>46188</v>
      </c>
      <c r="J796" t="s">
        <v>45</v>
      </c>
      <c r="K796" t="s">
        <v>45</v>
      </c>
      <c r="L796" t="s">
        <v>72</v>
      </c>
      <c r="N796" t="s">
        <v>47</v>
      </c>
      <c r="O796" t="s">
        <v>121</v>
      </c>
      <c r="P796" t="s">
        <v>49</v>
      </c>
      <c r="Q796" t="s">
        <v>6338</v>
      </c>
      <c r="R796" t="s">
        <v>6339</v>
      </c>
      <c r="S796">
        <v>8797</v>
      </c>
      <c r="T796" t="s">
        <v>92</v>
      </c>
      <c r="U796" t="s">
        <v>350</v>
      </c>
      <c r="V796" t="s">
        <v>351</v>
      </c>
      <c r="W796" t="s">
        <v>352</v>
      </c>
      <c r="X796" t="s">
        <v>92</v>
      </c>
      <c r="Y796" t="s">
        <v>110</v>
      </c>
      <c r="Z796">
        <v>10167</v>
      </c>
      <c r="AA796">
        <v>19</v>
      </c>
      <c r="AB796">
        <v>78</v>
      </c>
      <c r="AC796" t="s">
        <v>353</v>
      </c>
      <c r="AD796" t="s">
        <v>354</v>
      </c>
      <c r="AE796" t="s">
        <v>355</v>
      </c>
      <c r="AF796" t="s">
        <v>356</v>
      </c>
      <c r="AG796" t="s">
        <v>357</v>
      </c>
      <c r="AH796" t="s">
        <v>358</v>
      </c>
      <c r="AJ796" s="2">
        <v>45540.752638888887</v>
      </c>
      <c r="AK796" t="s">
        <v>353</v>
      </c>
      <c r="AL796" t="s">
        <v>65</v>
      </c>
      <c r="AM796" s="3">
        <v>1.8888888888888888</v>
      </c>
      <c r="AN796" t="s">
        <v>66</v>
      </c>
      <c r="AO796" t="s">
        <v>67</v>
      </c>
    </row>
    <row r="797" spans="1:41" x14ac:dyDescent="0.2">
      <c r="A797">
        <v>371950</v>
      </c>
      <c r="B797" t="s">
        <v>6340</v>
      </c>
      <c r="C797" t="s">
        <v>182</v>
      </c>
      <c r="D797" t="s">
        <v>6341</v>
      </c>
      <c r="E797" t="s">
        <v>6342</v>
      </c>
      <c r="F797">
        <v>43502</v>
      </c>
      <c r="G797" s="1">
        <v>35930</v>
      </c>
      <c r="H797" s="1">
        <v>45818</v>
      </c>
      <c r="J797" t="s">
        <v>45</v>
      </c>
      <c r="K797" t="s">
        <v>72</v>
      </c>
      <c r="L797" t="s">
        <v>72</v>
      </c>
      <c r="N797" t="s">
        <v>47</v>
      </c>
      <c r="O797" t="s">
        <v>48</v>
      </c>
      <c r="P797" t="s">
        <v>49</v>
      </c>
      <c r="Q797" t="s">
        <v>6343</v>
      </c>
      <c r="R797" t="s">
        <v>6344</v>
      </c>
      <c r="S797">
        <v>1861</v>
      </c>
      <c r="T797" t="s">
        <v>92</v>
      </c>
      <c r="U797" t="s">
        <v>187</v>
      </c>
      <c r="V797" t="s">
        <v>447</v>
      </c>
      <c r="W797" t="s">
        <v>448</v>
      </c>
      <c r="X797" t="s">
        <v>92</v>
      </c>
      <c r="Y797" t="s">
        <v>450</v>
      </c>
      <c r="Z797">
        <v>1276</v>
      </c>
      <c r="AA797">
        <v>41</v>
      </c>
      <c r="AB797">
        <v>152</v>
      </c>
      <c r="AC797" t="s">
        <v>3354</v>
      </c>
      <c r="AD797" t="s">
        <v>452</v>
      </c>
      <c r="AE797" t="s">
        <v>453</v>
      </c>
      <c r="AF797" t="s">
        <v>454</v>
      </c>
      <c r="AG797" t="s">
        <v>473</v>
      </c>
      <c r="AH797" t="s">
        <v>474</v>
      </c>
      <c r="AJ797" s="2">
        <v>45825.693171296298</v>
      </c>
      <c r="AK797" t="s">
        <v>456</v>
      </c>
      <c r="AL797" t="s">
        <v>475</v>
      </c>
      <c r="AM797" s="4">
        <v>2.0833333333333332E-2</v>
      </c>
      <c r="AN797" t="s">
        <v>66</v>
      </c>
      <c r="AO797" t="s">
        <v>67</v>
      </c>
    </row>
    <row r="798" spans="1:41" x14ac:dyDescent="0.2">
      <c r="A798">
        <v>372213</v>
      </c>
      <c r="B798" t="s">
        <v>6345</v>
      </c>
      <c r="C798" t="s">
        <v>69</v>
      </c>
      <c r="D798" t="s">
        <v>3815</v>
      </c>
      <c r="E798" t="s">
        <v>6346</v>
      </c>
      <c r="F798">
        <v>103904</v>
      </c>
      <c r="G798" s="1">
        <v>36312</v>
      </c>
      <c r="H798" s="1">
        <v>45833</v>
      </c>
      <c r="I798" s="1">
        <v>46188</v>
      </c>
      <c r="J798" t="s">
        <v>45</v>
      </c>
      <c r="K798" t="s">
        <v>45</v>
      </c>
      <c r="L798" t="s">
        <v>72</v>
      </c>
      <c r="M798" s="1">
        <v>42170</v>
      </c>
      <c r="N798" t="s">
        <v>47</v>
      </c>
      <c r="O798" t="s">
        <v>48</v>
      </c>
      <c r="P798" t="s">
        <v>49</v>
      </c>
      <c r="Q798" t="s">
        <v>6347</v>
      </c>
      <c r="R798" t="s">
        <v>6348</v>
      </c>
      <c r="S798">
        <v>7582</v>
      </c>
      <c r="T798" t="s">
        <v>52</v>
      </c>
      <c r="U798">
        <v>4</v>
      </c>
      <c r="V798" t="s">
        <v>75</v>
      </c>
      <c r="W798" t="s">
        <v>54</v>
      </c>
      <c r="X798" t="s">
        <v>76</v>
      </c>
      <c r="Y798" t="s">
        <v>56</v>
      </c>
      <c r="Z798">
        <v>650</v>
      </c>
      <c r="AA798">
        <v>48</v>
      </c>
      <c r="AB798">
        <v>30</v>
      </c>
      <c r="AC798" t="s">
        <v>6349</v>
      </c>
      <c r="AD798" t="s">
        <v>3809</v>
      </c>
      <c r="AE798" t="s">
        <v>6350</v>
      </c>
      <c r="AF798" t="s">
        <v>80</v>
      </c>
      <c r="AG798" t="s">
        <v>81</v>
      </c>
      <c r="AH798" t="s">
        <v>82</v>
      </c>
      <c r="AI798" t="s">
        <v>6351</v>
      </c>
      <c r="AJ798" s="2">
        <v>45833.946111111109</v>
      </c>
      <c r="AK798" t="s">
        <v>84</v>
      </c>
      <c r="AL798" t="s">
        <v>65</v>
      </c>
      <c r="AM798" s="4">
        <v>0.34722222222222221</v>
      </c>
      <c r="AN798" t="s">
        <v>66</v>
      </c>
      <c r="AO798" t="s">
        <v>67</v>
      </c>
    </row>
    <row r="799" spans="1:41" x14ac:dyDescent="0.2">
      <c r="A799">
        <v>367397</v>
      </c>
      <c r="B799" t="s">
        <v>6352</v>
      </c>
      <c r="C799" t="s">
        <v>763</v>
      </c>
      <c r="D799" t="s">
        <v>3660</v>
      </c>
      <c r="E799" t="s">
        <v>6353</v>
      </c>
      <c r="F799">
        <v>471703</v>
      </c>
      <c r="G799" s="1">
        <v>38646</v>
      </c>
      <c r="H799" s="1">
        <v>45477</v>
      </c>
      <c r="J799" t="s">
        <v>45</v>
      </c>
      <c r="K799" t="s">
        <v>45</v>
      </c>
      <c r="L799" t="s">
        <v>72</v>
      </c>
      <c r="M799" s="1">
        <v>40784</v>
      </c>
      <c r="N799" t="s">
        <v>47</v>
      </c>
      <c r="O799" t="s">
        <v>48</v>
      </c>
      <c r="P799" t="s">
        <v>49</v>
      </c>
      <c r="Q799" t="s">
        <v>6354</v>
      </c>
      <c r="R799" t="s">
        <v>6355</v>
      </c>
      <c r="S799">
        <v>1317</v>
      </c>
      <c r="T799" t="s">
        <v>92</v>
      </c>
      <c r="U799" t="s">
        <v>767</v>
      </c>
      <c r="V799" t="s">
        <v>768</v>
      </c>
      <c r="W799" t="s">
        <v>769</v>
      </c>
      <c r="X799" t="s">
        <v>92</v>
      </c>
      <c r="Y799" t="s">
        <v>770</v>
      </c>
      <c r="Z799">
        <v>2639</v>
      </c>
      <c r="AA799">
        <v>36</v>
      </c>
      <c r="AB799">
        <v>152</v>
      </c>
      <c r="AC799" t="s">
        <v>1717</v>
      </c>
      <c r="AD799" t="s">
        <v>1718</v>
      </c>
      <c r="AE799" t="s">
        <v>1719</v>
      </c>
      <c r="AF799" t="s">
        <v>774</v>
      </c>
      <c r="AG799" t="s">
        <v>775</v>
      </c>
      <c r="AH799" t="s">
        <v>776</v>
      </c>
      <c r="AI799" t="s">
        <v>1720</v>
      </c>
      <c r="AJ799" s="2">
        <v>45673.588402777779</v>
      </c>
      <c r="AK799" t="s">
        <v>6356</v>
      </c>
      <c r="AL799" t="s">
        <v>65</v>
      </c>
      <c r="AM799" s="4">
        <v>0.61805555555555558</v>
      </c>
      <c r="AN799" t="s">
        <v>66</v>
      </c>
      <c r="AO799" t="s">
        <v>67</v>
      </c>
    </row>
    <row r="800" spans="1:41" x14ac:dyDescent="0.2">
      <c r="A800">
        <v>362315</v>
      </c>
      <c r="B800" t="s">
        <v>6357</v>
      </c>
      <c r="C800" t="s">
        <v>278</v>
      </c>
      <c r="D800" t="s">
        <v>6358</v>
      </c>
      <c r="E800" t="s">
        <v>6359</v>
      </c>
      <c r="F800">
        <v>421408</v>
      </c>
      <c r="G800" s="1">
        <v>30617</v>
      </c>
      <c r="H800" s="1">
        <v>45482</v>
      </c>
      <c r="I800" s="1">
        <v>46235</v>
      </c>
      <c r="J800" t="s">
        <v>45</v>
      </c>
      <c r="K800" t="s">
        <v>45</v>
      </c>
      <c r="L800" t="s">
        <v>72</v>
      </c>
      <c r="M800" s="1">
        <v>37944</v>
      </c>
      <c r="N800" t="s">
        <v>47</v>
      </c>
      <c r="O800" t="s">
        <v>48</v>
      </c>
      <c r="P800" t="s">
        <v>49</v>
      </c>
      <c r="Q800" t="s">
        <v>6360</v>
      </c>
      <c r="R800" t="s">
        <v>6361</v>
      </c>
      <c r="S800">
        <v>7730</v>
      </c>
      <c r="T800" t="s">
        <v>365</v>
      </c>
      <c r="U800" t="s">
        <v>432</v>
      </c>
      <c r="V800" t="s">
        <v>6362</v>
      </c>
      <c r="W800" t="s">
        <v>367</v>
      </c>
      <c r="X800" t="s">
        <v>55</v>
      </c>
      <c r="Y800" t="s">
        <v>434</v>
      </c>
      <c r="Z800">
        <v>368</v>
      </c>
      <c r="AA800">
        <v>53</v>
      </c>
      <c r="AB800">
        <v>78</v>
      </c>
      <c r="AC800" t="s">
        <v>6363</v>
      </c>
      <c r="AD800" t="s">
        <v>6364</v>
      </c>
      <c r="AE800" t="s">
        <v>6365</v>
      </c>
      <c r="AF800" t="s">
        <v>3498</v>
      </c>
      <c r="AG800" t="s">
        <v>2393</v>
      </c>
      <c r="AH800" t="s">
        <v>2394</v>
      </c>
      <c r="AI800" t="s">
        <v>179</v>
      </c>
      <c r="AJ800" s="2">
        <v>45483.101944444446</v>
      </c>
      <c r="AK800" t="s">
        <v>4471</v>
      </c>
      <c r="AL800" t="s">
        <v>65</v>
      </c>
      <c r="AM800" s="3">
        <v>1.125</v>
      </c>
      <c r="AN800" t="s">
        <v>66</v>
      </c>
      <c r="AO800" t="s">
        <v>67</v>
      </c>
    </row>
    <row r="801" spans="1:41" x14ac:dyDescent="0.2">
      <c r="A801">
        <v>370119</v>
      </c>
      <c r="B801" t="s">
        <v>6366</v>
      </c>
      <c r="C801" t="s">
        <v>309</v>
      </c>
      <c r="D801" t="s">
        <v>6367</v>
      </c>
      <c r="E801" t="s">
        <v>6368</v>
      </c>
      <c r="F801">
        <v>490308</v>
      </c>
      <c r="G801" s="1">
        <v>38085</v>
      </c>
      <c r="H801" s="1">
        <v>45505</v>
      </c>
      <c r="I801" s="1">
        <v>46235</v>
      </c>
      <c r="J801" t="s">
        <v>45</v>
      </c>
      <c r="K801" t="s">
        <v>45</v>
      </c>
      <c r="L801" t="s">
        <v>72</v>
      </c>
      <c r="M801" s="1">
        <v>43362</v>
      </c>
      <c r="N801" t="s">
        <v>47</v>
      </c>
      <c r="O801" t="s">
        <v>48</v>
      </c>
      <c r="P801" t="s">
        <v>49</v>
      </c>
      <c r="Q801" t="s">
        <v>6369</v>
      </c>
      <c r="R801" t="s">
        <v>6370</v>
      </c>
      <c r="S801">
        <v>102</v>
      </c>
      <c r="T801" t="s">
        <v>1328</v>
      </c>
      <c r="U801" t="s">
        <v>3114</v>
      </c>
      <c r="V801" t="s">
        <v>6371</v>
      </c>
      <c r="W801" t="s">
        <v>3116</v>
      </c>
      <c r="X801" t="s">
        <v>1328</v>
      </c>
      <c r="Y801" t="s">
        <v>110</v>
      </c>
      <c r="Z801">
        <v>2547</v>
      </c>
      <c r="AA801">
        <v>23</v>
      </c>
      <c r="AB801">
        <v>160</v>
      </c>
      <c r="AC801" t="s">
        <v>6372</v>
      </c>
      <c r="AD801" t="s">
        <v>6373</v>
      </c>
      <c r="AE801" t="s">
        <v>6374</v>
      </c>
      <c r="AF801" t="s">
        <v>6375</v>
      </c>
      <c r="AG801" t="s">
        <v>6376</v>
      </c>
      <c r="AH801" t="s">
        <v>6377</v>
      </c>
      <c r="AJ801" s="2">
        <v>45763.780243055553</v>
      </c>
      <c r="AK801" t="s">
        <v>6372</v>
      </c>
      <c r="AL801" t="s">
        <v>65</v>
      </c>
      <c r="AM801" s="3">
        <v>2.0625</v>
      </c>
      <c r="AN801" t="s">
        <v>66</v>
      </c>
      <c r="AO801" t="s">
        <v>67</v>
      </c>
    </row>
    <row r="802" spans="1:41" x14ac:dyDescent="0.2">
      <c r="A802">
        <v>370488</v>
      </c>
      <c r="B802" t="s">
        <v>6378</v>
      </c>
      <c r="C802" t="s">
        <v>735</v>
      </c>
      <c r="D802" t="s">
        <v>6379</v>
      </c>
      <c r="E802" t="s">
        <v>6380</v>
      </c>
      <c r="G802" s="1">
        <v>45320</v>
      </c>
      <c r="H802" s="1">
        <v>45733</v>
      </c>
      <c r="I802" s="1">
        <v>46037</v>
      </c>
      <c r="J802" t="s">
        <v>45</v>
      </c>
      <c r="K802" t="s">
        <v>45</v>
      </c>
      <c r="L802" t="s">
        <v>72</v>
      </c>
      <c r="M802" s="1">
        <v>39953</v>
      </c>
      <c r="N802" t="s">
        <v>47</v>
      </c>
      <c r="O802" t="s">
        <v>121</v>
      </c>
      <c r="P802" t="s">
        <v>49</v>
      </c>
      <c r="Q802" t="s">
        <v>6381</v>
      </c>
      <c r="R802" t="s">
        <v>6382</v>
      </c>
      <c r="S802">
        <v>6098</v>
      </c>
      <c r="T802" t="s">
        <v>365</v>
      </c>
      <c r="U802" t="s">
        <v>969</v>
      </c>
      <c r="V802" t="s">
        <v>6383</v>
      </c>
      <c r="W802" t="s">
        <v>367</v>
      </c>
      <c r="X802" t="s">
        <v>76</v>
      </c>
      <c r="Y802" t="s">
        <v>125</v>
      </c>
      <c r="Z802">
        <v>2543</v>
      </c>
      <c r="AA802">
        <v>109</v>
      </c>
      <c r="AB802">
        <v>160</v>
      </c>
      <c r="AC802" t="s">
        <v>6384</v>
      </c>
      <c r="AD802" t="s">
        <v>6385</v>
      </c>
      <c r="AJ802" s="2">
        <v>45776.740914351853</v>
      </c>
      <c r="AK802" t="s">
        <v>1167</v>
      </c>
      <c r="AL802" t="s">
        <v>65</v>
      </c>
      <c r="AM802" s="3">
        <v>1.8472222222222223</v>
      </c>
      <c r="AN802" t="s">
        <v>66</v>
      </c>
      <c r="AO802" t="s">
        <v>67</v>
      </c>
    </row>
    <row r="803" spans="1:41" x14ac:dyDescent="0.2">
      <c r="A803">
        <v>369206</v>
      </c>
      <c r="B803" t="s">
        <v>6386</v>
      </c>
      <c r="C803" t="s">
        <v>735</v>
      </c>
      <c r="D803" t="s">
        <v>1419</v>
      </c>
      <c r="E803" t="s">
        <v>6387</v>
      </c>
      <c r="G803" s="1">
        <v>45328</v>
      </c>
      <c r="H803" s="1">
        <v>45728</v>
      </c>
      <c r="I803" s="1">
        <v>46037</v>
      </c>
      <c r="J803" t="s">
        <v>45</v>
      </c>
      <c r="K803" t="s">
        <v>45</v>
      </c>
      <c r="L803" t="s">
        <v>72</v>
      </c>
      <c r="N803" t="s">
        <v>89</v>
      </c>
      <c r="O803" t="s">
        <v>121</v>
      </c>
      <c r="P803" t="s">
        <v>49</v>
      </c>
      <c r="Q803" t="s">
        <v>6388</v>
      </c>
      <c r="R803" t="s">
        <v>6389</v>
      </c>
      <c r="S803">
        <v>7477</v>
      </c>
      <c r="T803" t="s">
        <v>365</v>
      </c>
      <c r="U803" t="s">
        <v>969</v>
      </c>
      <c r="V803" t="s">
        <v>6383</v>
      </c>
      <c r="W803" t="s">
        <v>367</v>
      </c>
      <c r="X803" t="s">
        <v>76</v>
      </c>
      <c r="Y803" t="s">
        <v>125</v>
      </c>
      <c r="Z803">
        <v>2569</v>
      </c>
      <c r="AA803">
        <v>114</v>
      </c>
      <c r="AB803">
        <v>160</v>
      </c>
      <c r="AC803" t="s">
        <v>6384</v>
      </c>
      <c r="AD803" t="s">
        <v>6385</v>
      </c>
      <c r="AJ803" s="2">
        <v>45729.501909722225</v>
      </c>
      <c r="AK803" t="s">
        <v>800</v>
      </c>
      <c r="AL803" t="s">
        <v>65</v>
      </c>
      <c r="AM803" s="3">
        <v>2</v>
      </c>
      <c r="AN803" t="s">
        <v>66</v>
      </c>
      <c r="AO803" t="s">
        <v>67</v>
      </c>
    </row>
    <row r="804" spans="1:41" x14ac:dyDescent="0.2">
      <c r="A804">
        <v>367923</v>
      </c>
      <c r="B804" t="s">
        <v>6390</v>
      </c>
      <c r="C804" t="s">
        <v>788</v>
      </c>
      <c r="D804" t="s">
        <v>6391</v>
      </c>
      <c r="E804" s="5" t="s">
        <v>6392</v>
      </c>
      <c r="F804">
        <v>86102</v>
      </c>
      <c r="G804" s="1">
        <v>39787</v>
      </c>
      <c r="H804" s="1">
        <v>45684</v>
      </c>
      <c r="J804" t="s">
        <v>45</v>
      </c>
      <c r="K804" t="s">
        <v>72</v>
      </c>
      <c r="L804" t="s">
        <v>72</v>
      </c>
      <c r="N804" t="s">
        <v>47</v>
      </c>
      <c r="O804" t="s">
        <v>48</v>
      </c>
      <c r="P804" t="s">
        <v>49</v>
      </c>
      <c r="Q804" t="s">
        <v>6393</v>
      </c>
      <c r="R804" t="s">
        <v>6394</v>
      </c>
      <c r="S804">
        <v>10</v>
      </c>
      <c r="T804" t="s">
        <v>156</v>
      </c>
      <c r="U804" t="s">
        <v>157</v>
      </c>
      <c r="V804" t="s">
        <v>6390</v>
      </c>
      <c r="W804" t="s">
        <v>159</v>
      </c>
      <c r="X804" t="s">
        <v>156</v>
      </c>
      <c r="Y804" t="s">
        <v>450</v>
      </c>
      <c r="Z804">
        <v>2944</v>
      </c>
      <c r="AA804">
        <v>27</v>
      </c>
      <c r="AB804">
        <v>166</v>
      </c>
      <c r="AC804" t="s">
        <v>6395</v>
      </c>
      <c r="AD804" t="s">
        <v>6396</v>
      </c>
      <c r="AE804" t="s">
        <v>6397</v>
      </c>
      <c r="AI804" t="s">
        <v>6398</v>
      </c>
      <c r="AJ804" s="2">
        <v>45693.814317129632</v>
      </c>
      <c r="AK804" t="s">
        <v>526</v>
      </c>
      <c r="AL804" t="s">
        <v>65</v>
      </c>
      <c r="AM804" s="4">
        <v>0.72222222222222221</v>
      </c>
      <c r="AN804" t="s">
        <v>809</v>
      </c>
      <c r="AO804" t="s">
        <v>67</v>
      </c>
    </row>
    <row r="805" spans="1:41" x14ac:dyDescent="0.2">
      <c r="A805">
        <v>368936</v>
      </c>
      <c r="B805" t="s">
        <v>6399</v>
      </c>
      <c r="C805" t="s">
        <v>182</v>
      </c>
      <c r="D805" t="s">
        <v>443</v>
      </c>
      <c r="E805" t="s">
        <v>6400</v>
      </c>
      <c r="F805">
        <v>44521</v>
      </c>
      <c r="G805" s="1">
        <v>38679</v>
      </c>
      <c r="H805" s="1">
        <v>45546</v>
      </c>
      <c r="I805" s="1">
        <v>46188</v>
      </c>
      <c r="J805" t="s">
        <v>45</v>
      </c>
      <c r="K805" t="s">
        <v>45</v>
      </c>
      <c r="L805" t="s">
        <v>429</v>
      </c>
      <c r="M805" s="1">
        <v>45175</v>
      </c>
      <c r="N805" t="s">
        <v>47</v>
      </c>
      <c r="O805" t="s">
        <v>48</v>
      </c>
      <c r="P805" t="s">
        <v>49</v>
      </c>
      <c r="Q805" t="s">
        <v>6401</v>
      </c>
      <c r="R805" t="s">
        <v>6402</v>
      </c>
      <c r="S805">
        <v>5737</v>
      </c>
      <c r="T805" t="s">
        <v>52</v>
      </c>
      <c r="U805">
        <v>5</v>
      </c>
      <c r="V805" t="s">
        <v>1817</v>
      </c>
      <c r="W805" t="s">
        <v>54</v>
      </c>
      <c r="X805" t="s">
        <v>493</v>
      </c>
      <c r="Y805" t="s">
        <v>434</v>
      </c>
      <c r="Z805">
        <v>1600</v>
      </c>
      <c r="AA805">
        <v>73</v>
      </c>
      <c r="AB805">
        <v>146</v>
      </c>
      <c r="AC805" t="s">
        <v>1821</v>
      </c>
      <c r="AD805" t="s">
        <v>1822</v>
      </c>
      <c r="AE805" t="s">
        <v>1823</v>
      </c>
      <c r="AF805" t="s">
        <v>6403</v>
      </c>
      <c r="AG805" t="s">
        <v>6404</v>
      </c>
      <c r="AH805" t="s">
        <v>6405</v>
      </c>
      <c r="AI805" t="s">
        <v>500</v>
      </c>
      <c r="AJ805" s="2">
        <v>45722.916863425926</v>
      </c>
      <c r="AK805" t="s">
        <v>501</v>
      </c>
      <c r="AL805" t="s">
        <v>65</v>
      </c>
      <c r="AM805" s="4">
        <v>0.20833333333333334</v>
      </c>
      <c r="AN805" t="s">
        <v>66</v>
      </c>
      <c r="AO805" t="s">
        <v>67</v>
      </c>
    </row>
    <row r="806" spans="1:41" x14ac:dyDescent="0.2">
      <c r="A806">
        <v>370891</v>
      </c>
      <c r="B806" t="s">
        <v>6406</v>
      </c>
      <c r="C806" t="s">
        <v>345</v>
      </c>
      <c r="E806" t="s">
        <v>6407</v>
      </c>
      <c r="F806">
        <v>50105</v>
      </c>
      <c r="G806" s="1">
        <v>32891</v>
      </c>
      <c r="H806" s="1">
        <v>45558</v>
      </c>
      <c r="I806" s="1">
        <v>46266</v>
      </c>
      <c r="J806" t="s">
        <v>45</v>
      </c>
      <c r="K806" t="s">
        <v>45</v>
      </c>
      <c r="L806" t="s">
        <v>72</v>
      </c>
      <c r="M806" s="1">
        <v>45223</v>
      </c>
      <c r="N806" t="s">
        <v>47</v>
      </c>
      <c r="O806" t="s">
        <v>48</v>
      </c>
      <c r="P806" t="s">
        <v>49</v>
      </c>
      <c r="Q806" t="s">
        <v>6408</v>
      </c>
      <c r="R806" t="s">
        <v>6409</v>
      </c>
      <c r="S806">
        <v>5960</v>
      </c>
      <c r="T806" t="s">
        <v>257</v>
      </c>
      <c r="U806" t="s">
        <v>283</v>
      </c>
      <c r="V806" t="s">
        <v>6410</v>
      </c>
      <c r="W806" t="s">
        <v>260</v>
      </c>
      <c r="X806" t="s">
        <v>257</v>
      </c>
      <c r="Y806" t="s">
        <v>110</v>
      </c>
      <c r="Z806">
        <v>508</v>
      </c>
      <c r="AA806">
        <v>55</v>
      </c>
      <c r="AB806">
        <v>158</v>
      </c>
      <c r="AC806" t="s">
        <v>6411</v>
      </c>
      <c r="AD806" t="s">
        <v>6412</v>
      </c>
      <c r="AE806" t="s">
        <v>6413</v>
      </c>
      <c r="AF806" t="s">
        <v>6414</v>
      </c>
      <c r="AG806" t="s">
        <v>6415</v>
      </c>
      <c r="AH806" t="s">
        <v>6416</v>
      </c>
      <c r="AJ806" s="2">
        <v>45789.741226851853</v>
      </c>
      <c r="AK806" t="s">
        <v>6414</v>
      </c>
      <c r="AL806" t="s">
        <v>65</v>
      </c>
      <c r="AM806" s="4">
        <v>0.95138888888888884</v>
      </c>
      <c r="AN806" t="s">
        <v>66</v>
      </c>
      <c r="AO806" t="s">
        <v>67</v>
      </c>
    </row>
    <row r="807" spans="1:41" x14ac:dyDescent="0.2">
      <c r="A807">
        <v>365658</v>
      </c>
      <c r="B807" t="s">
        <v>6417</v>
      </c>
      <c r="C807" t="s">
        <v>542</v>
      </c>
      <c r="D807" t="s">
        <v>6418</v>
      </c>
      <c r="E807" t="s">
        <v>6419</v>
      </c>
      <c r="F807">
        <v>360051</v>
      </c>
      <c r="G807" s="1">
        <v>44463</v>
      </c>
      <c r="H807" s="1">
        <v>45588</v>
      </c>
      <c r="J807" t="s">
        <v>45</v>
      </c>
      <c r="K807" t="s">
        <v>45</v>
      </c>
      <c r="L807" t="s">
        <v>72</v>
      </c>
      <c r="M807" s="1">
        <v>44735</v>
      </c>
      <c r="N807" t="s">
        <v>47</v>
      </c>
      <c r="O807" t="s">
        <v>48</v>
      </c>
      <c r="P807" t="s">
        <v>49</v>
      </c>
      <c r="Q807" t="s">
        <v>6420</v>
      </c>
      <c r="R807" t="s">
        <v>6421</v>
      </c>
      <c r="S807">
        <v>1420</v>
      </c>
      <c r="T807" t="s">
        <v>92</v>
      </c>
      <c r="U807" t="s">
        <v>1133</v>
      </c>
      <c r="V807" t="s">
        <v>1134</v>
      </c>
      <c r="W807" t="s">
        <v>1135</v>
      </c>
      <c r="X807" t="s">
        <v>92</v>
      </c>
      <c r="Y807" t="s">
        <v>770</v>
      </c>
      <c r="Z807">
        <v>11766</v>
      </c>
      <c r="AA807">
        <v>10</v>
      </c>
      <c r="AB807">
        <v>189</v>
      </c>
      <c r="AC807" t="s">
        <v>1136</v>
      </c>
      <c r="AD807" t="s">
        <v>1137</v>
      </c>
      <c r="AE807" t="s">
        <v>1138</v>
      </c>
      <c r="AJ807" s="2">
        <v>45588.975405092591</v>
      </c>
      <c r="AK807" t="s">
        <v>1136</v>
      </c>
      <c r="AL807" t="s">
        <v>65</v>
      </c>
      <c r="AM807" s="3">
        <v>1.3333333333333333</v>
      </c>
      <c r="AN807" t="s">
        <v>66</v>
      </c>
      <c r="AO807" t="s">
        <v>101</v>
      </c>
    </row>
    <row r="808" spans="1:41" x14ac:dyDescent="0.2">
      <c r="A808">
        <v>370378</v>
      </c>
      <c r="B808" t="s">
        <v>6422</v>
      </c>
      <c r="C808" t="s">
        <v>278</v>
      </c>
      <c r="D808" t="s">
        <v>134</v>
      </c>
      <c r="E808" t="s">
        <v>6423</v>
      </c>
      <c r="G808" s="1">
        <v>41569</v>
      </c>
      <c r="H808" s="1">
        <v>45149</v>
      </c>
      <c r="J808" t="s">
        <v>45</v>
      </c>
      <c r="K808" t="s">
        <v>326</v>
      </c>
      <c r="L808" t="s">
        <v>72</v>
      </c>
      <c r="N808" t="s">
        <v>89</v>
      </c>
      <c r="O808" t="s">
        <v>121</v>
      </c>
      <c r="P808" t="s">
        <v>49</v>
      </c>
      <c r="Q808" t="s">
        <v>6424</v>
      </c>
      <c r="R808" t="s">
        <v>6425</v>
      </c>
      <c r="S808">
        <v>6585</v>
      </c>
      <c r="T808" t="s">
        <v>52</v>
      </c>
      <c r="U808">
        <v>4</v>
      </c>
      <c r="V808" t="s">
        <v>1185</v>
      </c>
      <c r="W808" t="s">
        <v>54</v>
      </c>
      <c r="X808" t="s">
        <v>52</v>
      </c>
      <c r="Y808" t="s">
        <v>642</v>
      </c>
      <c r="Z808">
        <v>2934</v>
      </c>
      <c r="AA808">
        <v>52</v>
      </c>
      <c r="AB808">
        <v>66</v>
      </c>
      <c r="AC808" t="s">
        <v>1186</v>
      </c>
      <c r="AD808" t="s">
        <v>1187</v>
      </c>
      <c r="AE808" t="s">
        <v>1188</v>
      </c>
      <c r="AF808" t="s">
        <v>6426</v>
      </c>
      <c r="AG808" t="s">
        <v>6427</v>
      </c>
      <c r="AH808" t="s">
        <v>6428</v>
      </c>
      <c r="AI808" t="s">
        <v>6427</v>
      </c>
      <c r="AJ808" s="2">
        <v>45772.756319444445</v>
      </c>
      <c r="AK808" t="s">
        <v>100</v>
      </c>
      <c r="AL808" t="s">
        <v>1168</v>
      </c>
      <c r="AM808" s="3">
        <v>2.2291666666666665</v>
      </c>
      <c r="AN808" t="s">
        <v>66</v>
      </c>
      <c r="AO808" t="s">
        <v>67</v>
      </c>
    </row>
    <row r="809" spans="1:41" x14ac:dyDescent="0.2">
      <c r="A809">
        <v>369887</v>
      </c>
      <c r="B809" t="s">
        <v>6429</v>
      </c>
      <c r="C809" t="s">
        <v>278</v>
      </c>
      <c r="D809" t="s">
        <v>279</v>
      </c>
      <c r="E809" t="s">
        <v>6430</v>
      </c>
      <c r="G809" s="1">
        <v>45414</v>
      </c>
      <c r="H809" s="1">
        <v>45700</v>
      </c>
      <c r="I809" s="1">
        <v>45992</v>
      </c>
      <c r="J809" t="s">
        <v>45</v>
      </c>
      <c r="K809" t="s">
        <v>45</v>
      </c>
      <c r="L809" t="s">
        <v>72</v>
      </c>
      <c r="N809" t="s">
        <v>47</v>
      </c>
      <c r="O809" t="s">
        <v>121</v>
      </c>
      <c r="P809" t="s">
        <v>49</v>
      </c>
      <c r="Q809" t="s">
        <v>6431</v>
      </c>
      <c r="R809" t="s">
        <v>6432</v>
      </c>
      <c r="S809">
        <v>8606</v>
      </c>
      <c r="T809" t="s">
        <v>52</v>
      </c>
      <c r="U809">
        <v>4</v>
      </c>
      <c r="V809" t="s">
        <v>1185</v>
      </c>
      <c r="W809" t="s">
        <v>54</v>
      </c>
      <c r="X809" t="s">
        <v>52</v>
      </c>
      <c r="Y809" t="s">
        <v>125</v>
      </c>
      <c r="Z809">
        <v>2933</v>
      </c>
      <c r="AA809">
        <v>92</v>
      </c>
      <c r="AB809">
        <v>66</v>
      </c>
      <c r="AC809" t="s">
        <v>1186</v>
      </c>
      <c r="AD809" t="s">
        <v>1187</v>
      </c>
      <c r="AE809" t="s">
        <v>1188</v>
      </c>
      <c r="AF809" t="s">
        <v>6433</v>
      </c>
      <c r="AG809" t="s">
        <v>6434</v>
      </c>
      <c r="AH809" t="s">
        <v>6435</v>
      </c>
      <c r="AJ809" s="2">
        <v>45756.837280092594</v>
      </c>
      <c r="AK809" t="s">
        <v>84</v>
      </c>
      <c r="AL809" t="s">
        <v>65</v>
      </c>
      <c r="AM809" s="3">
        <v>2.2222222222222223</v>
      </c>
      <c r="AN809" t="s">
        <v>66</v>
      </c>
      <c r="AO809" t="s">
        <v>67</v>
      </c>
    </row>
    <row r="810" spans="1:41" x14ac:dyDescent="0.2">
      <c r="A810">
        <v>372081</v>
      </c>
      <c r="B810" t="s">
        <v>6436</v>
      </c>
      <c r="C810" t="s">
        <v>278</v>
      </c>
      <c r="D810" t="s">
        <v>2210</v>
      </c>
      <c r="E810" t="s">
        <v>6437</v>
      </c>
      <c r="F810">
        <v>109490</v>
      </c>
      <c r="G810" s="1">
        <v>45828</v>
      </c>
      <c r="H810" s="1">
        <v>45638</v>
      </c>
      <c r="I810" s="1">
        <v>46037</v>
      </c>
      <c r="J810" t="s">
        <v>45</v>
      </c>
      <c r="K810" t="s">
        <v>45</v>
      </c>
      <c r="L810" t="s">
        <v>72</v>
      </c>
      <c r="M810" s="1">
        <v>42011</v>
      </c>
      <c r="N810" t="s">
        <v>47</v>
      </c>
      <c r="O810" t="s">
        <v>121</v>
      </c>
      <c r="P810" t="s">
        <v>49</v>
      </c>
      <c r="Q810" t="s">
        <v>6438</v>
      </c>
      <c r="R810" t="s">
        <v>6439</v>
      </c>
      <c r="S810">
        <v>9176</v>
      </c>
      <c r="T810" t="s">
        <v>52</v>
      </c>
      <c r="U810">
        <v>4</v>
      </c>
      <c r="V810" t="s">
        <v>1185</v>
      </c>
      <c r="W810" t="s">
        <v>54</v>
      </c>
      <c r="X810" t="s">
        <v>76</v>
      </c>
      <c r="Y810" t="s">
        <v>125</v>
      </c>
      <c r="Z810">
        <v>2781</v>
      </c>
      <c r="AA810">
        <v>99</v>
      </c>
      <c r="AB810">
        <v>160</v>
      </c>
      <c r="AC810" t="s">
        <v>6440</v>
      </c>
      <c r="AD810" t="s">
        <v>1187</v>
      </c>
      <c r="AE810" t="s">
        <v>6428</v>
      </c>
      <c r="AF810" t="s">
        <v>6441</v>
      </c>
      <c r="AG810" t="s">
        <v>6442</v>
      </c>
      <c r="AH810" t="s">
        <v>6443</v>
      </c>
      <c r="AJ810" s="2">
        <v>45828.833171296297</v>
      </c>
      <c r="AK810" t="s">
        <v>375</v>
      </c>
      <c r="AL810" t="s">
        <v>65</v>
      </c>
      <c r="AM810" s="3">
        <v>1.6458333333333333</v>
      </c>
      <c r="AN810" t="s">
        <v>66</v>
      </c>
      <c r="AO810" t="s">
        <v>67</v>
      </c>
    </row>
    <row r="811" spans="1:41" x14ac:dyDescent="0.2">
      <c r="A811">
        <v>366877</v>
      </c>
      <c r="B811" t="s">
        <v>6444</v>
      </c>
      <c r="C811" t="s">
        <v>278</v>
      </c>
      <c r="E811" t="s">
        <v>6445</v>
      </c>
      <c r="G811" s="1">
        <v>45642</v>
      </c>
      <c r="H811" s="1">
        <v>45643</v>
      </c>
      <c r="I811" s="1">
        <v>45992</v>
      </c>
      <c r="J811" t="s">
        <v>45</v>
      </c>
      <c r="K811" t="s">
        <v>45</v>
      </c>
      <c r="L811" t="s">
        <v>72</v>
      </c>
      <c r="N811" t="s">
        <v>89</v>
      </c>
      <c r="O811" t="s">
        <v>121</v>
      </c>
      <c r="P811" t="s">
        <v>49</v>
      </c>
      <c r="Q811" t="s">
        <v>6446</v>
      </c>
      <c r="R811" t="s">
        <v>6447</v>
      </c>
      <c r="S811">
        <v>8460</v>
      </c>
      <c r="T811" t="s">
        <v>52</v>
      </c>
      <c r="U811">
        <v>4</v>
      </c>
      <c r="V811" t="s">
        <v>1185</v>
      </c>
      <c r="W811" t="s">
        <v>54</v>
      </c>
      <c r="X811" t="s">
        <v>52</v>
      </c>
      <c r="Y811" t="s">
        <v>125</v>
      </c>
      <c r="Z811">
        <v>2780</v>
      </c>
      <c r="AA811">
        <v>99</v>
      </c>
      <c r="AB811">
        <v>160</v>
      </c>
      <c r="AC811" t="s">
        <v>6426</v>
      </c>
      <c r="AD811" t="s">
        <v>6448</v>
      </c>
      <c r="AE811" t="s">
        <v>6428</v>
      </c>
      <c r="AF811" t="s">
        <v>6449</v>
      </c>
      <c r="AG811" t="s">
        <v>6450</v>
      </c>
      <c r="AH811" t="s">
        <v>6451</v>
      </c>
      <c r="AJ811" s="2">
        <v>45643.515543981484</v>
      </c>
      <c r="AK811" t="s">
        <v>132</v>
      </c>
      <c r="AL811" t="s">
        <v>65</v>
      </c>
      <c r="AM811" s="3">
        <v>1.6041666666666667</v>
      </c>
      <c r="AN811" t="s">
        <v>66</v>
      </c>
      <c r="AO811" t="s">
        <v>67</v>
      </c>
    </row>
    <row r="812" spans="1:41" x14ac:dyDescent="0.2">
      <c r="A812">
        <v>373005</v>
      </c>
      <c r="B812" t="s">
        <v>6452</v>
      </c>
      <c r="C812" t="s">
        <v>221</v>
      </c>
      <c r="D812" t="s">
        <v>6453</v>
      </c>
      <c r="E812" t="s">
        <v>6454</v>
      </c>
      <c r="F812">
        <v>16301</v>
      </c>
      <c r="G812" s="1">
        <v>42410</v>
      </c>
      <c r="H812" s="1">
        <v>45616</v>
      </c>
      <c r="I812" s="1">
        <v>45992</v>
      </c>
      <c r="J812" t="s">
        <v>45</v>
      </c>
      <c r="K812" t="s">
        <v>45</v>
      </c>
      <c r="L812" t="s">
        <v>46</v>
      </c>
      <c r="M812" s="1">
        <v>43973</v>
      </c>
      <c r="N812" t="s">
        <v>47</v>
      </c>
      <c r="O812" t="s">
        <v>48</v>
      </c>
      <c r="P812" t="s">
        <v>49</v>
      </c>
      <c r="Q812" t="s">
        <v>6455</v>
      </c>
      <c r="R812" t="s">
        <v>6456</v>
      </c>
      <c r="S812">
        <v>321</v>
      </c>
      <c r="T812" t="s">
        <v>52</v>
      </c>
      <c r="U812">
        <v>8</v>
      </c>
      <c r="V812" t="s">
        <v>1648</v>
      </c>
      <c r="W812" t="s">
        <v>54</v>
      </c>
      <c r="X812" t="s">
        <v>76</v>
      </c>
      <c r="Y812" t="s">
        <v>56</v>
      </c>
      <c r="Z812">
        <v>8186</v>
      </c>
      <c r="AA812">
        <v>24</v>
      </c>
      <c r="AB812">
        <v>189</v>
      </c>
      <c r="AC812" t="s">
        <v>6457</v>
      </c>
      <c r="AD812" t="s">
        <v>6458</v>
      </c>
      <c r="AE812" t="s">
        <v>6459</v>
      </c>
      <c r="AF812" t="s">
        <v>6460</v>
      </c>
      <c r="AG812" t="s">
        <v>1653</v>
      </c>
      <c r="AH812" t="s">
        <v>1654</v>
      </c>
      <c r="AI812" t="s">
        <v>6461</v>
      </c>
      <c r="AJ812" s="2">
        <v>45855.996759259258</v>
      </c>
      <c r="AK812" t="s">
        <v>556</v>
      </c>
      <c r="AL812" t="s">
        <v>65</v>
      </c>
      <c r="AM812" s="3">
        <v>1.5659722222222223</v>
      </c>
      <c r="AN812" t="s">
        <v>66</v>
      </c>
      <c r="AO812" t="s">
        <v>101</v>
      </c>
    </row>
    <row r="813" spans="1:41" x14ac:dyDescent="0.2">
      <c r="A813">
        <v>372956</v>
      </c>
      <c r="B813" t="s">
        <v>6462</v>
      </c>
      <c r="C813" t="s">
        <v>1887</v>
      </c>
      <c r="D813" t="s">
        <v>980</v>
      </c>
      <c r="E813" t="s">
        <v>6463</v>
      </c>
      <c r="F813">
        <v>119501</v>
      </c>
      <c r="G813" s="1">
        <v>35740</v>
      </c>
      <c r="H813" s="1">
        <v>45728</v>
      </c>
      <c r="I813" s="1">
        <v>46096</v>
      </c>
      <c r="J813" t="s">
        <v>45</v>
      </c>
      <c r="K813" t="s">
        <v>45</v>
      </c>
      <c r="L813" t="s">
        <v>545</v>
      </c>
      <c r="M813" s="1">
        <v>42992</v>
      </c>
      <c r="N813" t="s">
        <v>47</v>
      </c>
      <c r="O813" t="s">
        <v>48</v>
      </c>
      <c r="P813" t="s">
        <v>49</v>
      </c>
      <c r="Q813" t="s">
        <v>6464</v>
      </c>
      <c r="R813" t="s">
        <v>6465</v>
      </c>
      <c r="S813">
        <v>447</v>
      </c>
      <c r="T813" t="s">
        <v>52</v>
      </c>
      <c r="U813">
        <v>9</v>
      </c>
      <c r="V813" t="s">
        <v>1892</v>
      </c>
      <c r="W813" t="s">
        <v>54</v>
      </c>
      <c r="X813" t="s">
        <v>76</v>
      </c>
      <c r="Y813" t="s">
        <v>56</v>
      </c>
      <c r="Z813">
        <v>1171</v>
      </c>
      <c r="AA813">
        <v>53</v>
      </c>
      <c r="AB813">
        <v>152</v>
      </c>
      <c r="AC813" t="s">
        <v>6466</v>
      </c>
      <c r="AD813" t="s">
        <v>6467</v>
      </c>
      <c r="AE813" t="s">
        <v>6468</v>
      </c>
      <c r="AF813" t="s">
        <v>1896</v>
      </c>
      <c r="AG813" t="s">
        <v>6469</v>
      </c>
      <c r="AH813" t="s">
        <v>1898</v>
      </c>
      <c r="AI813" t="s">
        <v>6470</v>
      </c>
      <c r="AJ813" s="2">
        <v>45855.954560185186</v>
      </c>
      <c r="AK813" t="s">
        <v>556</v>
      </c>
      <c r="AL813" t="s">
        <v>65</v>
      </c>
      <c r="AM813" s="4">
        <v>0.33333333333333331</v>
      </c>
      <c r="AN813" t="s">
        <v>66</v>
      </c>
      <c r="AO813" t="s">
        <v>67</v>
      </c>
    </row>
    <row r="814" spans="1:41" x14ac:dyDescent="0.2">
      <c r="A814">
        <v>365670</v>
      </c>
      <c r="B814" t="s">
        <v>6471</v>
      </c>
      <c r="C814" t="s">
        <v>692</v>
      </c>
      <c r="D814" t="s">
        <v>413</v>
      </c>
      <c r="E814" t="s">
        <v>6472</v>
      </c>
      <c r="F814">
        <v>482106</v>
      </c>
      <c r="G814" s="1">
        <v>33003</v>
      </c>
      <c r="H814" s="1">
        <v>45588</v>
      </c>
      <c r="I814" s="1">
        <v>46296</v>
      </c>
      <c r="J814" t="s">
        <v>45</v>
      </c>
      <c r="K814" t="s">
        <v>45</v>
      </c>
      <c r="L814" t="s">
        <v>72</v>
      </c>
      <c r="M814" s="1">
        <v>43909</v>
      </c>
      <c r="N814" t="s">
        <v>47</v>
      </c>
      <c r="O814" t="s">
        <v>48</v>
      </c>
      <c r="P814" t="s">
        <v>49</v>
      </c>
      <c r="Q814" t="s">
        <v>6473</v>
      </c>
      <c r="R814" t="s">
        <v>6474</v>
      </c>
      <c r="S814">
        <v>7100</v>
      </c>
      <c r="T814" t="s">
        <v>365</v>
      </c>
      <c r="U814" t="s">
        <v>432</v>
      </c>
      <c r="V814" t="s">
        <v>5707</v>
      </c>
      <c r="W814" t="s">
        <v>367</v>
      </c>
      <c r="X814" t="s">
        <v>76</v>
      </c>
      <c r="Y814" t="s">
        <v>434</v>
      </c>
      <c r="Z814">
        <v>379</v>
      </c>
      <c r="AA814">
        <v>60</v>
      </c>
      <c r="AB814">
        <v>158</v>
      </c>
      <c r="AC814" t="s">
        <v>5708</v>
      </c>
      <c r="AD814" t="s">
        <v>5709</v>
      </c>
      <c r="AE814" t="s">
        <v>5710</v>
      </c>
      <c r="AF814" t="s">
        <v>697</v>
      </c>
      <c r="AG814" t="s">
        <v>5711</v>
      </c>
      <c r="AH814" t="s">
        <v>699</v>
      </c>
      <c r="AI814" t="s">
        <v>5712</v>
      </c>
      <c r="AJ814" s="2">
        <v>45589.144178240742</v>
      </c>
      <c r="AK814" t="s">
        <v>704</v>
      </c>
      <c r="AL814" t="s">
        <v>65</v>
      </c>
      <c r="AM814" s="3">
        <v>1.8402777777777777</v>
      </c>
      <c r="AN814" t="s">
        <v>66</v>
      </c>
      <c r="AO814" t="s">
        <v>67</v>
      </c>
    </row>
    <row r="815" spans="1:41" x14ac:dyDescent="0.2">
      <c r="A815">
        <v>367057</v>
      </c>
      <c r="B815" t="s">
        <v>6475</v>
      </c>
      <c r="C815" t="s">
        <v>763</v>
      </c>
      <c r="D815" t="s">
        <v>4770</v>
      </c>
      <c r="E815">
        <v>53702596</v>
      </c>
      <c r="F815">
        <v>476001</v>
      </c>
      <c r="G815" s="1">
        <v>38504</v>
      </c>
      <c r="H815" s="1">
        <v>45372</v>
      </c>
      <c r="J815" t="s">
        <v>45</v>
      </c>
      <c r="K815" t="s">
        <v>45</v>
      </c>
      <c r="L815" t="s">
        <v>72</v>
      </c>
      <c r="N815" t="s">
        <v>47</v>
      </c>
      <c r="O815" t="s">
        <v>48</v>
      </c>
      <c r="P815" t="s">
        <v>49</v>
      </c>
      <c r="Q815" t="s">
        <v>6476</v>
      </c>
      <c r="R815" t="s">
        <v>6477</v>
      </c>
      <c r="S815">
        <v>1260</v>
      </c>
      <c r="T815" t="s">
        <v>92</v>
      </c>
      <c r="U815" t="s">
        <v>767</v>
      </c>
      <c r="V815" t="s">
        <v>768</v>
      </c>
      <c r="W815" t="s">
        <v>769</v>
      </c>
      <c r="X815" t="s">
        <v>92</v>
      </c>
      <c r="Y815" t="s">
        <v>770</v>
      </c>
      <c r="Z815">
        <v>2011</v>
      </c>
      <c r="AA815">
        <v>48</v>
      </c>
      <c r="AB815">
        <v>176</v>
      </c>
      <c r="AC815" t="s">
        <v>3210</v>
      </c>
      <c r="AD815" t="s">
        <v>3211</v>
      </c>
      <c r="AE815" t="s">
        <v>3212</v>
      </c>
      <c r="AF815" t="s">
        <v>774</v>
      </c>
      <c r="AG815" t="s">
        <v>775</v>
      </c>
      <c r="AH815" t="s">
        <v>776</v>
      </c>
      <c r="AI815" t="s">
        <v>3213</v>
      </c>
      <c r="AJ815" s="2">
        <v>45659.880972222221</v>
      </c>
      <c r="AK815" t="s">
        <v>3214</v>
      </c>
      <c r="AL815" t="s">
        <v>65</v>
      </c>
      <c r="AM815" s="4">
        <v>0.4861111111111111</v>
      </c>
      <c r="AN815" t="s">
        <v>66</v>
      </c>
      <c r="AO815" t="s">
        <v>67</v>
      </c>
    </row>
    <row r="816" spans="1:41" x14ac:dyDescent="0.2">
      <c r="A816">
        <v>370707</v>
      </c>
      <c r="B816" t="s">
        <v>6478</v>
      </c>
      <c r="C816" t="s">
        <v>86</v>
      </c>
      <c r="D816" t="s">
        <v>6479</v>
      </c>
      <c r="E816" t="s">
        <v>6480</v>
      </c>
      <c r="F816">
        <v>201002</v>
      </c>
      <c r="G816" s="1">
        <v>37803</v>
      </c>
      <c r="H816" s="1">
        <v>45777</v>
      </c>
      <c r="I816" s="1">
        <v>46157</v>
      </c>
      <c r="J816" t="s">
        <v>45</v>
      </c>
      <c r="K816" t="s">
        <v>45</v>
      </c>
      <c r="L816" t="s">
        <v>72</v>
      </c>
      <c r="M816" s="1">
        <v>39207</v>
      </c>
      <c r="N816" t="s">
        <v>47</v>
      </c>
      <c r="O816" t="s">
        <v>48</v>
      </c>
      <c r="P816" t="s">
        <v>49</v>
      </c>
      <c r="Q816" t="s">
        <v>6481</v>
      </c>
      <c r="R816" t="s">
        <v>6482</v>
      </c>
      <c r="S816">
        <v>815</v>
      </c>
      <c r="T816" t="s">
        <v>52</v>
      </c>
      <c r="U816">
        <v>9</v>
      </c>
      <c r="V816" t="s">
        <v>1678</v>
      </c>
      <c r="W816" t="s">
        <v>54</v>
      </c>
      <c r="X816" t="s">
        <v>76</v>
      </c>
      <c r="Y816" t="s">
        <v>56</v>
      </c>
      <c r="Z816">
        <v>1100</v>
      </c>
      <c r="AA816">
        <v>46</v>
      </c>
      <c r="AB816">
        <v>97</v>
      </c>
      <c r="AC816" t="s">
        <v>6483</v>
      </c>
      <c r="AD816" t="s">
        <v>6484</v>
      </c>
      <c r="AE816" t="s">
        <v>6485</v>
      </c>
      <c r="AJ816" s="2">
        <v>45783.565949074073</v>
      </c>
      <c r="AK816" t="s">
        <v>540</v>
      </c>
      <c r="AL816" t="s">
        <v>65</v>
      </c>
      <c r="AM816" s="3">
        <v>1.3576388888888888</v>
      </c>
      <c r="AN816" t="s">
        <v>66</v>
      </c>
      <c r="AO816" t="s">
        <v>101</v>
      </c>
    </row>
    <row r="817" spans="1:41" x14ac:dyDescent="0.2">
      <c r="A817">
        <v>289072</v>
      </c>
      <c r="B817" t="s">
        <v>6486</v>
      </c>
      <c r="C817" t="s">
        <v>788</v>
      </c>
      <c r="D817" t="s">
        <v>2859</v>
      </c>
      <c r="E817" t="s">
        <v>6487</v>
      </c>
      <c r="G817" s="1">
        <v>39856</v>
      </c>
      <c r="J817" t="s">
        <v>45</v>
      </c>
      <c r="K817" t="s">
        <v>72</v>
      </c>
      <c r="L817" t="s">
        <v>72</v>
      </c>
      <c r="N817" t="s">
        <v>89</v>
      </c>
      <c r="O817" t="s">
        <v>121</v>
      </c>
      <c r="P817" t="s">
        <v>49</v>
      </c>
      <c r="Q817" t="s">
        <v>6488</v>
      </c>
      <c r="R817" t="s">
        <v>6489</v>
      </c>
      <c r="S817">
        <v>98</v>
      </c>
      <c r="T817" t="s">
        <v>92</v>
      </c>
      <c r="U817" t="s">
        <v>2815</v>
      </c>
      <c r="V817" t="s">
        <v>590</v>
      </c>
      <c r="W817" t="s">
        <v>2817</v>
      </c>
      <c r="X817" t="s">
        <v>92</v>
      </c>
      <c r="Y817" t="s">
        <v>642</v>
      </c>
      <c r="Z817">
        <v>3039</v>
      </c>
      <c r="AA817">
        <v>14</v>
      </c>
      <c r="AB817">
        <v>141</v>
      </c>
      <c r="AC817" t="s">
        <v>2821</v>
      </c>
      <c r="AD817" t="s">
        <v>2822</v>
      </c>
      <c r="AE817" t="s">
        <v>2823</v>
      </c>
      <c r="AF817" t="s">
        <v>6490</v>
      </c>
      <c r="AG817" t="s">
        <v>6491</v>
      </c>
      <c r="AH817" t="s">
        <v>6492</v>
      </c>
      <c r="AJ817" s="2">
        <v>43957.983078703706</v>
      </c>
      <c r="AK817" t="s">
        <v>132</v>
      </c>
      <c r="AL817" t="s">
        <v>1168</v>
      </c>
      <c r="AM817" s="3">
        <v>1.6215277777777777</v>
      </c>
      <c r="AN817" t="s">
        <v>66</v>
      </c>
      <c r="AO817" t="s">
        <v>101</v>
      </c>
    </row>
    <row r="818" spans="1:41" x14ac:dyDescent="0.2">
      <c r="A818">
        <v>351535</v>
      </c>
      <c r="B818" t="s">
        <v>6493</v>
      </c>
      <c r="C818" t="s">
        <v>788</v>
      </c>
      <c r="D818" t="s">
        <v>2859</v>
      </c>
      <c r="E818" t="s">
        <v>6494</v>
      </c>
      <c r="F818">
        <v>16780</v>
      </c>
      <c r="G818" s="1">
        <v>39856</v>
      </c>
      <c r="J818" t="s">
        <v>45</v>
      </c>
      <c r="K818" t="s">
        <v>72</v>
      </c>
      <c r="L818" t="s">
        <v>72</v>
      </c>
      <c r="N818" t="s">
        <v>89</v>
      </c>
      <c r="O818" t="s">
        <v>121</v>
      </c>
      <c r="P818" t="s">
        <v>49</v>
      </c>
      <c r="Q818" t="s">
        <v>6488</v>
      </c>
      <c r="R818" t="s">
        <v>6495</v>
      </c>
      <c r="S818">
        <v>98</v>
      </c>
      <c r="T818" t="s">
        <v>92</v>
      </c>
      <c r="U818" t="s">
        <v>2815</v>
      </c>
      <c r="V818" t="s">
        <v>590</v>
      </c>
      <c r="W818" t="s">
        <v>2817</v>
      </c>
      <c r="X818" t="s">
        <v>92</v>
      </c>
      <c r="Y818" t="s">
        <v>642</v>
      </c>
      <c r="Z818">
        <v>3040</v>
      </c>
      <c r="AA818">
        <v>14</v>
      </c>
      <c r="AB818">
        <v>141</v>
      </c>
      <c r="AC818" t="s">
        <v>2821</v>
      </c>
      <c r="AD818" t="s">
        <v>2822</v>
      </c>
      <c r="AE818" t="s">
        <v>2823</v>
      </c>
      <c r="AF818" t="s">
        <v>6490</v>
      </c>
      <c r="AG818" t="s">
        <v>6496</v>
      </c>
      <c r="AH818" t="s">
        <v>6492</v>
      </c>
      <c r="AJ818" s="2">
        <v>45174.614988425928</v>
      </c>
      <c r="AK818" t="s">
        <v>6497</v>
      </c>
      <c r="AL818" t="s">
        <v>1168</v>
      </c>
      <c r="AM818" s="3">
        <v>1.6284722222222223</v>
      </c>
      <c r="AN818" t="s">
        <v>66</v>
      </c>
      <c r="AO818" t="s">
        <v>101</v>
      </c>
    </row>
    <row r="819" spans="1:41" x14ac:dyDescent="0.2">
      <c r="A819">
        <v>289374</v>
      </c>
      <c r="B819" t="s">
        <v>6498</v>
      </c>
      <c r="C819" t="s">
        <v>788</v>
      </c>
      <c r="D819" t="s">
        <v>2859</v>
      </c>
      <c r="E819" t="s">
        <v>6499</v>
      </c>
      <c r="G819" s="1">
        <v>39856</v>
      </c>
      <c r="J819" t="s">
        <v>45</v>
      </c>
      <c r="K819" t="s">
        <v>72</v>
      </c>
      <c r="L819" t="s">
        <v>72</v>
      </c>
      <c r="N819" t="s">
        <v>89</v>
      </c>
      <c r="O819" t="s">
        <v>121</v>
      </c>
      <c r="P819" t="s">
        <v>49</v>
      </c>
      <c r="Q819" t="s">
        <v>6488</v>
      </c>
      <c r="R819" t="s">
        <v>6489</v>
      </c>
      <c r="S819">
        <v>98</v>
      </c>
      <c r="T819" t="s">
        <v>92</v>
      </c>
      <c r="U819" t="s">
        <v>2815</v>
      </c>
      <c r="V819" t="s">
        <v>590</v>
      </c>
      <c r="W819" t="s">
        <v>2817</v>
      </c>
      <c r="X819" t="s">
        <v>92</v>
      </c>
      <c r="Y819" t="s">
        <v>642</v>
      </c>
      <c r="Z819">
        <v>3041</v>
      </c>
      <c r="AA819">
        <v>12</v>
      </c>
      <c r="AB819">
        <v>141</v>
      </c>
      <c r="AC819" t="s">
        <v>6500</v>
      </c>
      <c r="AD819" t="s">
        <v>2822</v>
      </c>
      <c r="AE819" t="s">
        <v>2823</v>
      </c>
      <c r="AF819" t="s">
        <v>6490</v>
      </c>
      <c r="AG819" t="s">
        <v>6496</v>
      </c>
      <c r="AH819" t="s">
        <v>6492</v>
      </c>
      <c r="AJ819" s="2">
        <v>43959.91196759259</v>
      </c>
      <c r="AK819" t="s">
        <v>132</v>
      </c>
      <c r="AL819" t="s">
        <v>1168</v>
      </c>
      <c r="AM819" s="3">
        <v>1.6354166666666667</v>
      </c>
      <c r="AN819" t="s">
        <v>66</v>
      </c>
      <c r="AO819" t="s">
        <v>101</v>
      </c>
    </row>
    <row r="820" spans="1:41" x14ac:dyDescent="0.2">
      <c r="A820">
        <v>289372</v>
      </c>
      <c r="B820" t="s">
        <v>6501</v>
      </c>
      <c r="C820" t="s">
        <v>788</v>
      </c>
      <c r="D820" t="s">
        <v>2859</v>
      </c>
      <c r="E820" t="s">
        <v>6502</v>
      </c>
      <c r="G820" s="1">
        <v>39856</v>
      </c>
      <c r="J820" t="s">
        <v>45</v>
      </c>
      <c r="K820" t="s">
        <v>72</v>
      </c>
      <c r="L820" t="s">
        <v>72</v>
      </c>
      <c r="N820" t="s">
        <v>89</v>
      </c>
      <c r="O820" t="s">
        <v>121</v>
      </c>
      <c r="P820" t="s">
        <v>49</v>
      </c>
      <c r="Q820" t="s">
        <v>6488</v>
      </c>
      <c r="R820" t="s">
        <v>6503</v>
      </c>
      <c r="S820">
        <v>98</v>
      </c>
      <c r="T820" t="s">
        <v>92</v>
      </c>
      <c r="U820" t="s">
        <v>2815</v>
      </c>
      <c r="V820" t="s">
        <v>590</v>
      </c>
      <c r="W820" t="s">
        <v>2817</v>
      </c>
      <c r="X820" t="s">
        <v>92</v>
      </c>
      <c r="Y820" t="s">
        <v>642</v>
      </c>
      <c r="Z820">
        <v>3042</v>
      </c>
      <c r="AA820">
        <v>13</v>
      </c>
      <c r="AB820">
        <v>79</v>
      </c>
      <c r="AC820" t="s">
        <v>2821</v>
      </c>
      <c r="AD820" t="s">
        <v>2822</v>
      </c>
      <c r="AE820" t="s">
        <v>2823</v>
      </c>
      <c r="AF820" t="s">
        <v>6490</v>
      </c>
      <c r="AG820" t="s">
        <v>6496</v>
      </c>
      <c r="AH820" t="s">
        <v>6492</v>
      </c>
      <c r="AJ820" s="2">
        <v>43959.910925925928</v>
      </c>
      <c r="AK820" t="s">
        <v>132</v>
      </c>
      <c r="AL820" t="s">
        <v>1168</v>
      </c>
      <c r="AM820" s="3">
        <v>1.2291666666666667</v>
      </c>
      <c r="AN820" t="s">
        <v>66</v>
      </c>
      <c r="AO820" t="s">
        <v>101</v>
      </c>
    </row>
    <row r="821" spans="1:41" x14ac:dyDescent="0.2">
      <c r="A821">
        <v>289371</v>
      </c>
      <c r="B821" t="s">
        <v>6504</v>
      </c>
      <c r="C821" t="s">
        <v>788</v>
      </c>
      <c r="D821" t="s">
        <v>2859</v>
      </c>
      <c r="E821" t="s">
        <v>6505</v>
      </c>
      <c r="G821" s="1">
        <v>39856</v>
      </c>
      <c r="J821" t="s">
        <v>45</v>
      </c>
      <c r="K821" t="s">
        <v>72</v>
      </c>
      <c r="L821" t="s">
        <v>72</v>
      </c>
      <c r="N821" t="s">
        <v>89</v>
      </c>
      <c r="O821" t="s">
        <v>121</v>
      </c>
      <c r="P821" t="s">
        <v>49</v>
      </c>
      <c r="Q821" t="s">
        <v>6488</v>
      </c>
      <c r="R821" t="s">
        <v>6489</v>
      </c>
      <c r="S821">
        <v>98</v>
      </c>
      <c r="T821" t="s">
        <v>92</v>
      </c>
      <c r="U821" t="s">
        <v>2815</v>
      </c>
      <c r="V821" t="s">
        <v>590</v>
      </c>
      <c r="W821" t="s">
        <v>2817</v>
      </c>
      <c r="X821" t="s">
        <v>92</v>
      </c>
      <c r="Y821" t="s">
        <v>642</v>
      </c>
      <c r="Z821">
        <v>3043</v>
      </c>
      <c r="AA821">
        <v>10</v>
      </c>
      <c r="AB821">
        <v>79</v>
      </c>
      <c r="AC821" t="s">
        <v>2821</v>
      </c>
      <c r="AD821" t="s">
        <v>2822</v>
      </c>
      <c r="AE821" t="s">
        <v>2823</v>
      </c>
      <c r="AF821" t="s">
        <v>6490</v>
      </c>
      <c r="AG821" t="s">
        <v>6496</v>
      </c>
      <c r="AH821" t="s">
        <v>6492</v>
      </c>
      <c r="AJ821" s="2">
        <v>43959.910370370373</v>
      </c>
      <c r="AK821" t="s">
        <v>132</v>
      </c>
      <c r="AL821" t="s">
        <v>1168</v>
      </c>
      <c r="AM821" s="3">
        <v>1.2361111111111112</v>
      </c>
      <c r="AN821" t="s">
        <v>66</v>
      </c>
      <c r="AO821" t="s">
        <v>101</v>
      </c>
    </row>
    <row r="822" spans="1:41" x14ac:dyDescent="0.2">
      <c r="A822">
        <v>289370</v>
      </c>
      <c r="B822" t="s">
        <v>6506</v>
      </c>
      <c r="C822" t="s">
        <v>788</v>
      </c>
      <c r="D822" t="s">
        <v>2859</v>
      </c>
      <c r="E822" t="s">
        <v>6507</v>
      </c>
      <c r="G822" s="1">
        <v>39856</v>
      </c>
      <c r="J822" t="s">
        <v>45</v>
      </c>
      <c r="K822" t="s">
        <v>72</v>
      </c>
      <c r="L822" t="s">
        <v>72</v>
      </c>
      <c r="N822" t="s">
        <v>89</v>
      </c>
      <c r="O822" t="s">
        <v>121</v>
      </c>
      <c r="P822" t="s">
        <v>49</v>
      </c>
      <c r="Q822" t="s">
        <v>6488</v>
      </c>
      <c r="R822" t="s">
        <v>6489</v>
      </c>
      <c r="S822">
        <v>98</v>
      </c>
      <c r="T822" t="s">
        <v>92</v>
      </c>
      <c r="U822" t="s">
        <v>2815</v>
      </c>
      <c r="V822" t="s">
        <v>590</v>
      </c>
      <c r="W822" t="s">
        <v>2817</v>
      </c>
      <c r="X822" t="s">
        <v>92</v>
      </c>
      <c r="Y822" t="s">
        <v>642</v>
      </c>
      <c r="Z822">
        <v>3044</v>
      </c>
      <c r="AA822">
        <v>10</v>
      </c>
      <c r="AB822">
        <v>79</v>
      </c>
      <c r="AC822" t="s">
        <v>2821</v>
      </c>
      <c r="AD822" t="s">
        <v>2822</v>
      </c>
      <c r="AE822" t="s">
        <v>2823</v>
      </c>
      <c r="AF822" t="s">
        <v>6490</v>
      </c>
      <c r="AG822" t="s">
        <v>6496</v>
      </c>
      <c r="AH822" t="s">
        <v>6492</v>
      </c>
      <c r="AJ822" s="2">
        <v>43959.909826388888</v>
      </c>
      <c r="AK822" t="s">
        <v>132</v>
      </c>
      <c r="AL822" t="s">
        <v>1168</v>
      </c>
      <c r="AM822" s="3">
        <v>1.2430555555555556</v>
      </c>
      <c r="AN822" t="s">
        <v>66</v>
      </c>
      <c r="AO822" t="s">
        <v>101</v>
      </c>
    </row>
    <row r="823" spans="1:41" x14ac:dyDescent="0.2">
      <c r="A823">
        <v>369483</v>
      </c>
      <c r="B823" t="s">
        <v>6508</v>
      </c>
      <c r="C823" t="s">
        <v>662</v>
      </c>
      <c r="D823" t="s">
        <v>6509</v>
      </c>
      <c r="E823" t="s">
        <v>6510</v>
      </c>
      <c r="G823" s="1">
        <v>40226</v>
      </c>
      <c r="H823" s="1">
        <v>45739</v>
      </c>
      <c r="I823" s="1">
        <v>46023</v>
      </c>
      <c r="J823" t="s">
        <v>45</v>
      </c>
      <c r="K823" t="s">
        <v>45</v>
      </c>
      <c r="L823" t="s">
        <v>46</v>
      </c>
      <c r="N823" t="s">
        <v>47</v>
      </c>
      <c r="O823" t="s">
        <v>48</v>
      </c>
      <c r="P823" t="s">
        <v>49</v>
      </c>
      <c r="Q823" t="s">
        <v>6511</v>
      </c>
      <c r="R823" t="s">
        <v>6512</v>
      </c>
      <c r="S823">
        <v>6262</v>
      </c>
      <c r="T823" t="s">
        <v>257</v>
      </c>
      <c r="U823" t="s">
        <v>283</v>
      </c>
      <c r="V823" t="s">
        <v>6513</v>
      </c>
      <c r="W823" t="s">
        <v>260</v>
      </c>
      <c r="X823" t="s">
        <v>257</v>
      </c>
      <c r="Y823" t="s">
        <v>110</v>
      </c>
      <c r="Z823">
        <v>3107</v>
      </c>
      <c r="AA823">
        <v>27</v>
      </c>
      <c r="AB823">
        <v>52</v>
      </c>
      <c r="AC823" t="s">
        <v>1805</v>
      </c>
      <c r="AD823" t="s">
        <v>1806</v>
      </c>
      <c r="AE823" t="s">
        <v>1807</v>
      </c>
      <c r="AF823" t="s">
        <v>1808</v>
      </c>
      <c r="AG823" t="s">
        <v>1809</v>
      </c>
      <c r="AH823" t="s">
        <v>1810</v>
      </c>
      <c r="AI823" t="s">
        <v>6514</v>
      </c>
      <c r="AJ823" s="2">
        <v>45742.595775462964</v>
      </c>
      <c r="AK823" t="s">
        <v>1811</v>
      </c>
      <c r="AL823" t="s">
        <v>65</v>
      </c>
      <c r="AM823" s="3">
        <v>2.25</v>
      </c>
      <c r="AN823" t="s">
        <v>66</v>
      </c>
      <c r="AO823" t="s">
        <v>67</v>
      </c>
    </row>
    <row r="824" spans="1:41" x14ac:dyDescent="0.2">
      <c r="A824">
        <v>368862</v>
      </c>
      <c r="B824" t="s">
        <v>6515</v>
      </c>
      <c r="C824" t="s">
        <v>182</v>
      </c>
      <c r="D824" t="s">
        <v>6516</v>
      </c>
      <c r="E824" t="s">
        <v>6517</v>
      </c>
      <c r="F824">
        <v>41302</v>
      </c>
      <c r="G824" s="1">
        <v>37007</v>
      </c>
      <c r="H824" s="1">
        <v>45671</v>
      </c>
      <c r="I824" s="1">
        <v>46143</v>
      </c>
      <c r="J824" t="s">
        <v>45</v>
      </c>
      <c r="K824" t="s">
        <v>45</v>
      </c>
      <c r="L824" t="s">
        <v>429</v>
      </c>
      <c r="M824" s="1">
        <v>43605</v>
      </c>
      <c r="N824" t="s">
        <v>47</v>
      </c>
      <c r="O824" t="s">
        <v>48</v>
      </c>
      <c r="P824" t="s">
        <v>49</v>
      </c>
      <c r="Q824" t="s">
        <v>6518</v>
      </c>
      <c r="R824" t="s">
        <v>6519</v>
      </c>
      <c r="S824">
        <v>5976</v>
      </c>
      <c r="T824" t="s">
        <v>52</v>
      </c>
      <c r="U824">
        <v>4</v>
      </c>
      <c r="V824" t="s">
        <v>1271</v>
      </c>
      <c r="W824" t="s">
        <v>54</v>
      </c>
      <c r="X824" t="s">
        <v>493</v>
      </c>
      <c r="Y824" t="s">
        <v>56</v>
      </c>
      <c r="Z824">
        <v>1710</v>
      </c>
      <c r="AA824">
        <v>43</v>
      </c>
      <c r="AB824">
        <v>210</v>
      </c>
      <c r="AC824" t="s">
        <v>6520</v>
      </c>
      <c r="AD824" t="s">
        <v>6521</v>
      </c>
      <c r="AE824" t="s">
        <v>6522</v>
      </c>
      <c r="AF824" t="s">
        <v>6523</v>
      </c>
      <c r="AG824" t="s">
        <v>6524</v>
      </c>
      <c r="AH824" t="s">
        <v>6525</v>
      </c>
      <c r="AI824" t="s">
        <v>6526</v>
      </c>
      <c r="AJ824" s="2">
        <v>45722.878935185188</v>
      </c>
      <c r="AK824" t="s">
        <v>1472</v>
      </c>
      <c r="AL824" t="s">
        <v>65</v>
      </c>
      <c r="AM824" s="3">
        <v>2.0486111111111112</v>
      </c>
      <c r="AN824" t="s">
        <v>66</v>
      </c>
      <c r="AO824" t="s">
        <v>67</v>
      </c>
    </row>
    <row r="825" spans="1:41" x14ac:dyDescent="0.2">
      <c r="A825">
        <v>371015</v>
      </c>
      <c r="B825" t="s">
        <v>6527</v>
      </c>
      <c r="C825" t="s">
        <v>542</v>
      </c>
      <c r="D825" t="s">
        <v>6528</v>
      </c>
      <c r="E825" t="s">
        <v>6529</v>
      </c>
      <c r="F825">
        <v>360231</v>
      </c>
      <c r="G825" s="1">
        <v>43762</v>
      </c>
      <c r="H825" s="1">
        <v>45523</v>
      </c>
      <c r="J825" t="s">
        <v>45</v>
      </c>
      <c r="K825" t="s">
        <v>45</v>
      </c>
      <c r="L825" t="s">
        <v>72</v>
      </c>
      <c r="M825" s="1">
        <v>44361</v>
      </c>
      <c r="N825" t="s">
        <v>47</v>
      </c>
      <c r="O825" t="s">
        <v>48</v>
      </c>
      <c r="P825" t="s">
        <v>49</v>
      </c>
      <c r="Q825" t="s">
        <v>6530</v>
      </c>
      <c r="R825" t="s">
        <v>6531</v>
      </c>
      <c r="S825">
        <v>2054</v>
      </c>
      <c r="T825" t="s">
        <v>92</v>
      </c>
      <c r="U825" t="s">
        <v>1133</v>
      </c>
      <c r="V825" t="s">
        <v>1134</v>
      </c>
      <c r="W825" t="s">
        <v>1135</v>
      </c>
      <c r="X825" t="s">
        <v>92</v>
      </c>
      <c r="Y825" t="s">
        <v>770</v>
      </c>
      <c r="Z825">
        <v>10547</v>
      </c>
      <c r="AA825">
        <v>20</v>
      </c>
      <c r="AB825">
        <v>45</v>
      </c>
      <c r="AC825" t="s">
        <v>1136</v>
      </c>
      <c r="AD825" t="s">
        <v>1137</v>
      </c>
      <c r="AE825" t="s">
        <v>1138</v>
      </c>
      <c r="AJ825" s="2">
        <v>45792.77076388889</v>
      </c>
      <c r="AK825" t="s">
        <v>100</v>
      </c>
      <c r="AL825" t="s">
        <v>65</v>
      </c>
      <c r="AM825" s="3">
        <v>2.0902777777777777</v>
      </c>
      <c r="AN825" t="s">
        <v>66</v>
      </c>
      <c r="AO825" t="s">
        <v>101</v>
      </c>
    </row>
    <row r="826" spans="1:41" x14ac:dyDescent="0.2">
      <c r="A826">
        <v>371989</v>
      </c>
      <c r="B826" t="s">
        <v>6532</v>
      </c>
      <c r="C826" t="s">
        <v>345</v>
      </c>
      <c r="D826" t="s">
        <v>6533</v>
      </c>
      <c r="E826" t="s">
        <v>6534</v>
      </c>
      <c r="G826" s="1">
        <v>45390</v>
      </c>
      <c r="H826" s="1">
        <v>45721</v>
      </c>
      <c r="I826" s="1">
        <v>46096</v>
      </c>
      <c r="J826" t="s">
        <v>45</v>
      </c>
      <c r="K826" t="s">
        <v>45</v>
      </c>
      <c r="L826" t="s">
        <v>72</v>
      </c>
      <c r="N826" t="s">
        <v>89</v>
      </c>
      <c r="O826" t="s">
        <v>121</v>
      </c>
      <c r="P826" t="s">
        <v>49</v>
      </c>
      <c r="Q826" t="s">
        <v>6535</v>
      </c>
      <c r="R826" t="s">
        <v>6536</v>
      </c>
      <c r="S826">
        <v>7576</v>
      </c>
      <c r="T826" t="s">
        <v>52</v>
      </c>
      <c r="U826">
        <v>2</v>
      </c>
      <c r="V826" t="s">
        <v>2325</v>
      </c>
      <c r="W826" t="s">
        <v>54</v>
      </c>
      <c r="X826" t="s">
        <v>76</v>
      </c>
      <c r="Y826" t="s">
        <v>125</v>
      </c>
      <c r="Z826">
        <v>11666</v>
      </c>
      <c r="AA826">
        <v>36</v>
      </c>
      <c r="AB826">
        <v>210</v>
      </c>
      <c r="AC826" t="s">
        <v>6537</v>
      </c>
      <c r="AD826" t="s">
        <v>6538</v>
      </c>
      <c r="AE826" t="s">
        <v>6539</v>
      </c>
      <c r="AF826" t="s">
        <v>2326</v>
      </c>
      <c r="AG826" t="s">
        <v>2327</v>
      </c>
      <c r="AH826" t="s">
        <v>2328</v>
      </c>
      <c r="AJ826" s="2">
        <v>45826.577719907407</v>
      </c>
      <c r="AK826" t="s">
        <v>132</v>
      </c>
      <c r="AL826" t="s">
        <v>65</v>
      </c>
      <c r="AM826" s="4">
        <v>0.3888888888888889</v>
      </c>
      <c r="AN826" t="s">
        <v>66</v>
      </c>
      <c r="AO826" t="s">
        <v>67</v>
      </c>
    </row>
    <row r="827" spans="1:41" x14ac:dyDescent="0.2">
      <c r="A827">
        <v>372963</v>
      </c>
      <c r="B827" t="s">
        <v>6540</v>
      </c>
      <c r="C827" t="s">
        <v>1107</v>
      </c>
      <c r="D827" t="s">
        <v>2411</v>
      </c>
      <c r="E827" t="s">
        <v>6541</v>
      </c>
      <c r="F827">
        <v>239102</v>
      </c>
      <c r="G827" s="1">
        <v>34915</v>
      </c>
      <c r="H827" s="1">
        <v>45727</v>
      </c>
      <c r="I827" s="1">
        <v>46096</v>
      </c>
      <c r="J827" t="s">
        <v>45</v>
      </c>
      <c r="K827" t="s">
        <v>45</v>
      </c>
      <c r="L827" t="s">
        <v>46</v>
      </c>
      <c r="M827" s="1">
        <v>44342</v>
      </c>
      <c r="N827" t="s">
        <v>47</v>
      </c>
      <c r="O827" t="s">
        <v>48</v>
      </c>
      <c r="P827" t="s">
        <v>49</v>
      </c>
      <c r="Q827" t="s">
        <v>6542</v>
      </c>
      <c r="R827" t="s">
        <v>6543</v>
      </c>
      <c r="S827">
        <v>635</v>
      </c>
      <c r="T827" t="s">
        <v>52</v>
      </c>
      <c r="U827">
        <v>9</v>
      </c>
      <c r="V827" t="s">
        <v>1318</v>
      </c>
      <c r="W827" t="s">
        <v>54</v>
      </c>
      <c r="X827" t="s">
        <v>76</v>
      </c>
      <c r="Y827" t="s">
        <v>56</v>
      </c>
      <c r="Z827">
        <v>1139</v>
      </c>
      <c r="AA827">
        <v>54</v>
      </c>
      <c r="AB827">
        <v>52</v>
      </c>
      <c r="AC827" t="s">
        <v>1319</v>
      </c>
      <c r="AD827" t="s">
        <v>1322</v>
      </c>
      <c r="AE827" t="s">
        <v>1321</v>
      </c>
      <c r="AJ827" s="2">
        <v>45855.961805555555</v>
      </c>
      <c r="AK827" t="s">
        <v>556</v>
      </c>
      <c r="AL827" t="s">
        <v>65</v>
      </c>
      <c r="AM827" s="3">
        <v>2.2222222222222223</v>
      </c>
      <c r="AN827" t="s">
        <v>66</v>
      </c>
      <c r="AO827" t="s">
        <v>67</v>
      </c>
    </row>
    <row r="828" spans="1:41" x14ac:dyDescent="0.2">
      <c r="A828">
        <v>371718</v>
      </c>
      <c r="B828" t="s">
        <v>6544</v>
      </c>
      <c r="C828" t="s">
        <v>323</v>
      </c>
      <c r="D828" t="s">
        <v>339</v>
      </c>
      <c r="E828" t="s">
        <v>6545</v>
      </c>
      <c r="F828">
        <v>500752</v>
      </c>
      <c r="G828" s="1">
        <v>38576</v>
      </c>
      <c r="H828" s="1">
        <v>45765</v>
      </c>
      <c r="I828" s="1">
        <v>46037</v>
      </c>
      <c r="J828" t="s">
        <v>45</v>
      </c>
      <c r="K828" t="s">
        <v>45</v>
      </c>
      <c r="L828" t="s">
        <v>72</v>
      </c>
      <c r="M828" s="1">
        <v>45374</v>
      </c>
      <c r="N828" t="s">
        <v>47</v>
      </c>
      <c r="O828" t="s">
        <v>48</v>
      </c>
      <c r="P828" t="s">
        <v>406</v>
      </c>
      <c r="Q828" t="s">
        <v>6546</v>
      </c>
      <c r="R828" t="s">
        <v>6547</v>
      </c>
      <c r="S828">
        <v>1704</v>
      </c>
      <c r="T828" t="s">
        <v>1328</v>
      </c>
      <c r="U828" t="s">
        <v>3114</v>
      </c>
      <c r="V828" t="s">
        <v>3115</v>
      </c>
      <c r="W828" t="s">
        <v>3116</v>
      </c>
      <c r="X828" t="s">
        <v>1328</v>
      </c>
      <c r="Y828" t="s">
        <v>110</v>
      </c>
      <c r="Z828">
        <v>2754</v>
      </c>
      <c r="AA828">
        <v>29</v>
      </c>
      <c r="AB828">
        <v>152</v>
      </c>
      <c r="AC828" t="s">
        <v>2833</v>
      </c>
      <c r="AD828" t="s">
        <v>2834</v>
      </c>
      <c r="AE828" t="s">
        <v>6548</v>
      </c>
      <c r="AF828" t="s">
        <v>368</v>
      </c>
      <c r="AG828" t="s">
        <v>369</v>
      </c>
      <c r="AH828" t="s">
        <v>370</v>
      </c>
      <c r="AJ828" s="2">
        <v>45818.733657407407</v>
      </c>
      <c r="AK828" t="s">
        <v>727</v>
      </c>
      <c r="AL828" t="s">
        <v>65</v>
      </c>
      <c r="AM828" s="3">
        <v>1.0277777777777777</v>
      </c>
      <c r="AN828" t="s">
        <v>66</v>
      </c>
      <c r="AO828" t="s">
        <v>67</v>
      </c>
    </row>
    <row r="829" spans="1:41" x14ac:dyDescent="0.2">
      <c r="A829">
        <v>368894</v>
      </c>
      <c r="B829" t="s">
        <v>6549</v>
      </c>
      <c r="C829" t="s">
        <v>182</v>
      </c>
      <c r="D829" t="s">
        <v>779</v>
      </c>
      <c r="E829" s="5" t="s">
        <v>6550</v>
      </c>
      <c r="F829">
        <v>109797</v>
      </c>
      <c r="G829" s="1">
        <v>40436</v>
      </c>
      <c r="H829" s="1">
        <v>45642</v>
      </c>
      <c r="I829" s="1">
        <v>46006</v>
      </c>
      <c r="J829" t="s">
        <v>45</v>
      </c>
      <c r="K829" t="s">
        <v>45</v>
      </c>
      <c r="L829" t="s">
        <v>429</v>
      </c>
      <c r="M829" s="1">
        <v>45269</v>
      </c>
      <c r="N829" t="s">
        <v>47</v>
      </c>
      <c r="O829" t="s">
        <v>48</v>
      </c>
      <c r="P829" t="s">
        <v>49</v>
      </c>
      <c r="Q829" t="s">
        <v>6551</v>
      </c>
      <c r="R829" t="s">
        <v>6552</v>
      </c>
      <c r="S829">
        <v>-95</v>
      </c>
      <c r="T829" t="s">
        <v>365</v>
      </c>
      <c r="U829" t="s">
        <v>815</v>
      </c>
      <c r="V829" t="s">
        <v>816</v>
      </c>
      <c r="W829" t="s">
        <v>367</v>
      </c>
      <c r="X829" t="s">
        <v>493</v>
      </c>
      <c r="Y829" t="s">
        <v>434</v>
      </c>
      <c r="Z829">
        <v>110</v>
      </c>
      <c r="AA829">
        <v>103</v>
      </c>
      <c r="AB829">
        <v>66</v>
      </c>
      <c r="AC829" t="s">
        <v>4600</v>
      </c>
      <c r="AD829" t="s">
        <v>818</v>
      </c>
      <c r="AE829" t="s">
        <v>819</v>
      </c>
      <c r="AI829" t="s">
        <v>179</v>
      </c>
      <c r="AJ829" s="2">
        <v>45722.895740740743</v>
      </c>
      <c r="AK829" t="s">
        <v>501</v>
      </c>
      <c r="AL829" t="s">
        <v>65</v>
      </c>
      <c r="AM829" s="4">
        <v>0.60416666666666663</v>
      </c>
      <c r="AN829" t="s">
        <v>66</v>
      </c>
      <c r="AO829" t="s">
        <v>67</v>
      </c>
    </row>
    <row r="830" spans="1:41" x14ac:dyDescent="0.2">
      <c r="A830">
        <v>372926</v>
      </c>
      <c r="B830" t="s">
        <v>6553</v>
      </c>
      <c r="C830" t="s">
        <v>558</v>
      </c>
      <c r="D830" t="s">
        <v>468</v>
      </c>
      <c r="E830" t="s">
        <v>6554</v>
      </c>
      <c r="F830">
        <v>260207</v>
      </c>
      <c r="G830" s="1">
        <v>40008</v>
      </c>
      <c r="H830" s="1">
        <v>45596</v>
      </c>
      <c r="I830" s="1">
        <v>45931</v>
      </c>
      <c r="J830" t="s">
        <v>45</v>
      </c>
      <c r="K830" t="s">
        <v>45</v>
      </c>
      <c r="L830" t="s">
        <v>429</v>
      </c>
      <c r="M830" s="1">
        <v>44034</v>
      </c>
      <c r="N830" t="s">
        <v>47</v>
      </c>
      <c r="O830" t="s">
        <v>48</v>
      </c>
      <c r="P830" t="s">
        <v>49</v>
      </c>
      <c r="Q830" t="s">
        <v>6555</v>
      </c>
      <c r="R830" t="s">
        <v>6556</v>
      </c>
      <c r="S830">
        <v>6380</v>
      </c>
      <c r="T830" t="s">
        <v>365</v>
      </c>
      <c r="U830" t="s">
        <v>562</v>
      </c>
      <c r="V830" t="s">
        <v>2987</v>
      </c>
      <c r="W830" t="s">
        <v>367</v>
      </c>
      <c r="X830" t="s">
        <v>76</v>
      </c>
      <c r="Y830" t="s">
        <v>434</v>
      </c>
      <c r="Z830">
        <v>146</v>
      </c>
      <c r="AA830">
        <v>71</v>
      </c>
      <c r="AB830">
        <v>38</v>
      </c>
      <c r="AC830" t="s">
        <v>1882</v>
      </c>
      <c r="AD830" t="s">
        <v>1883</v>
      </c>
      <c r="AE830" t="s">
        <v>2988</v>
      </c>
      <c r="AF830" t="s">
        <v>2989</v>
      </c>
      <c r="AG830" t="s">
        <v>2990</v>
      </c>
      <c r="AH830" t="s">
        <v>2991</v>
      </c>
      <c r="AI830" t="s">
        <v>2992</v>
      </c>
      <c r="AJ830" s="2">
        <v>45855.908796296295</v>
      </c>
      <c r="AK830" t="s">
        <v>556</v>
      </c>
      <c r="AL830" t="s">
        <v>65</v>
      </c>
      <c r="AM830" s="3">
        <v>1.9652777777777777</v>
      </c>
      <c r="AN830" t="s">
        <v>66</v>
      </c>
      <c r="AO830" t="s">
        <v>67</v>
      </c>
    </row>
    <row r="831" spans="1:41" x14ac:dyDescent="0.2">
      <c r="A831">
        <v>371889</v>
      </c>
      <c r="B831" t="s">
        <v>6557</v>
      </c>
      <c r="C831" t="s">
        <v>134</v>
      </c>
      <c r="D831" t="s">
        <v>1315</v>
      </c>
      <c r="E831">
        <v>32649770</v>
      </c>
      <c r="F831">
        <v>452601</v>
      </c>
      <c r="G831" s="1">
        <v>33080</v>
      </c>
      <c r="H831" s="1">
        <v>45811</v>
      </c>
      <c r="I831" s="1">
        <v>46174</v>
      </c>
      <c r="J831" t="s">
        <v>45</v>
      </c>
      <c r="K831" t="s">
        <v>45</v>
      </c>
      <c r="L831" t="s">
        <v>429</v>
      </c>
      <c r="M831" s="1">
        <v>44621</v>
      </c>
      <c r="N831" t="s">
        <v>47</v>
      </c>
      <c r="O831" t="s">
        <v>48</v>
      </c>
      <c r="P831" t="s">
        <v>49</v>
      </c>
      <c r="Q831" t="s">
        <v>6558</v>
      </c>
      <c r="R831" t="s">
        <v>6559</v>
      </c>
      <c r="S831">
        <v>2530</v>
      </c>
      <c r="T831" t="s">
        <v>365</v>
      </c>
      <c r="U831" t="s">
        <v>532</v>
      </c>
      <c r="V831" t="s">
        <v>6560</v>
      </c>
      <c r="W831" t="s">
        <v>367</v>
      </c>
      <c r="X831" t="s">
        <v>76</v>
      </c>
      <c r="Y831" t="s">
        <v>434</v>
      </c>
      <c r="Z831">
        <v>372</v>
      </c>
      <c r="AA831">
        <v>61</v>
      </c>
      <c r="AB831">
        <v>166</v>
      </c>
      <c r="AC831" t="s">
        <v>6561</v>
      </c>
      <c r="AD831" t="s">
        <v>6562</v>
      </c>
      <c r="AE831" t="s">
        <v>6563</v>
      </c>
      <c r="AI831" t="s">
        <v>179</v>
      </c>
      <c r="AJ831" s="2">
        <v>45821.921481481484</v>
      </c>
      <c r="AK831" t="s">
        <v>717</v>
      </c>
      <c r="AL831" t="s">
        <v>65</v>
      </c>
      <c r="AM831" s="3">
        <v>2.0347222222222223</v>
      </c>
      <c r="AN831" t="s">
        <v>66</v>
      </c>
      <c r="AO831" t="s">
        <v>67</v>
      </c>
    </row>
    <row r="832" spans="1:41" x14ac:dyDescent="0.2">
      <c r="A832">
        <v>362638</v>
      </c>
      <c r="B832" t="s">
        <v>6564</v>
      </c>
      <c r="C832" t="s">
        <v>134</v>
      </c>
      <c r="D832" t="s">
        <v>214</v>
      </c>
      <c r="E832" t="s">
        <v>6565</v>
      </c>
      <c r="F832">
        <v>452035</v>
      </c>
      <c r="G832" s="1">
        <v>35193</v>
      </c>
      <c r="H832" s="1">
        <v>45490</v>
      </c>
      <c r="I832" s="1">
        <v>46204</v>
      </c>
      <c r="J832" t="s">
        <v>45</v>
      </c>
      <c r="K832" t="s">
        <v>45</v>
      </c>
      <c r="L832" t="s">
        <v>429</v>
      </c>
      <c r="M832" s="1">
        <v>37462</v>
      </c>
      <c r="N832" t="s">
        <v>47</v>
      </c>
      <c r="O832" t="s">
        <v>48</v>
      </c>
      <c r="P832" t="s">
        <v>49</v>
      </c>
      <c r="Q832" t="s">
        <v>6566</v>
      </c>
      <c r="R832" t="s">
        <v>6567</v>
      </c>
      <c r="S832">
        <v>3566</v>
      </c>
      <c r="T832" t="s">
        <v>52</v>
      </c>
      <c r="U832">
        <v>6</v>
      </c>
      <c r="V832" t="s">
        <v>4158</v>
      </c>
      <c r="W832" t="s">
        <v>54</v>
      </c>
      <c r="X832" t="s">
        <v>76</v>
      </c>
      <c r="Y832" t="s">
        <v>434</v>
      </c>
      <c r="Z832">
        <v>800</v>
      </c>
      <c r="AA832">
        <v>64</v>
      </c>
      <c r="AB832">
        <v>34</v>
      </c>
      <c r="AC832" t="s">
        <v>4159</v>
      </c>
      <c r="AD832" t="s">
        <v>4160</v>
      </c>
      <c r="AE832" t="s">
        <v>4161</v>
      </c>
      <c r="AF832" t="s">
        <v>6568</v>
      </c>
      <c r="AG832" t="s">
        <v>6569</v>
      </c>
      <c r="AH832" t="s">
        <v>6570</v>
      </c>
      <c r="AI832" t="s">
        <v>6571</v>
      </c>
      <c r="AJ832" s="2">
        <v>45492.054745370369</v>
      </c>
      <c r="AK832" t="s">
        <v>2517</v>
      </c>
      <c r="AL832" t="s">
        <v>65</v>
      </c>
      <c r="AM832" s="4">
        <v>0.25694444444444442</v>
      </c>
      <c r="AN832" t="s">
        <v>66</v>
      </c>
      <c r="AO832" t="s">
        <v>67</v>
      </c>
    </row>
    <row r="833" spans="1:41" x14ac:dyDescent="0.2">
      <c r="A833">
        <v>372972</v>
      </c>
      <c r="B833" t="s">
        <v>6572</v>
      </c>
      <c r="C833" t="s">
        <v>1687</v>
      </c>
      <c r="D833" t="s">
        <v>6573</v>
      </c>
      <c r="E833" t="s">
        <v>6574</v>
      </c>
      <c r="F833">
        <v>162303</v>
      </c>
      <c r="G833" s="1">
        <v>38184</v>
      </c>
      <c r="H833" s="1">
        <v>45687</v>
      </c>
      <c r="I833" s="1">
        <v>46054</v>
      </c>
      <c r="J833" t="s">
        <v>45</v>
      </c>
      <c r="K833" t="s">
        <v>45</v>
      </c>
      <c r="L833" t="s">
        <v>545</v>
      </c>
      <c r="M833" s="1">
        <v>44180</v>
      </c>
      <c r="N833" t="s">
        <v>47</v>
      </c>
      <c r="O833" t="s">
        <v>48</v>
      </c>
      <c r="P833" t="s">
        <v>49</v>
      </c>
      <c r="Q833" t="s">
        <v>6575</v>
      </c>
      <c r="R833" t="s">
        <v>6576</v>
      </c>
      <c r="S833">
        <v>267</v>
      </c>
      <c r="T833" t="s">
        <v>52</v>
      </c>
      <c r="U833">
        <v>8</v>
      </c>
      <c r="V833" t="s">
        <v>4309</v>
      </c>
      <c r="W833" t="s">
        <v>54</v>
      </c>
      <c r="X833" t="s">
        <v>76</v>
      </c>
      <c r="Y833" t="s">
        <v>56</v>
      </c>
      <c r="Z833">
        <v>2294</v>
      </c>
      <c r="AA833">
        <v>32</v>
      </c>
      <c r="AB833">
        <v>78</v>
      </c>
      <c r="AC833" t="s">
        <v>4310</v>
      </c>
      <c r="AD833" t="s">
        <v>6577</v>
      </c>
      <c r="AE833" t="s">
        <v>4312</v>
      </c>
      <c r="AF833" t="s">
        <v>4313</v>
      </c>
      <c r="AG833" t="s">
        <v>4314</v>
      </c>
      <c r="AH833" t="s">
        <v>4315</v>
      </c>
      <c r="AJ833" s="2">
        <v>45855.968124999999</v>
      </c>
      <c r="AK833" t="s">
        <v>556</v>
      </c>
      <c r="AL833" t="s">
        <v>65</v>
      </c>
      <c r="AM833" s="3">
        <v>1.4166666666666667</v>
      </c>
      <c r="AN833" t="s">
        <v>66</v>
      </c>
      <c r="AO833" t="s">
        <v>67</v>
      </c>
    </row>
    <row r="834" spans="1:41" x14ac:dyDescent="0.2">
      <c r="A834">
        <v>364764</v>
      </c>
      <c r="B834" t="s">
        <v>6578</v>
      </c>
      <c r="C834" t="s">
        <v>345</v>
      </c>
      <c r="D834" t="s">
        <v>6579</v>
      </c>
      <c r="E834" t="s">
        <v>6580</v>
      </c>
      <c r="F834">
        <v>51606</v>
      </c>
      <c r="G834" s="1">
        <v>31705</v>
      </c>
      <c r="H834" s="1">
        <v>45558</v>
      </c>
      <c r="I834" s="1">
        <v>46249</v>
      </c>
      <c r="J834" t="s">
        <v>45</v>
      </c>
      <c r="K834" t="s">
        <v>45</v>
      </c>
      <c r="L834" t="s">
        <v>72</v>
      </c>
      <c r="N834" t="s">
        <v>47</v>
      </c>
      <c r="O834" t="s">
        <v>48</v>
      </c>
      <c r="P834" t="s">
        <v>49</v>
      </c>
      <c r="Q834" t="s">
        <v>6581</v>
      </c>
      <c r="R834" t="s">
        <v>6582</v>
      </c>
      <c r="S834">
        <v>9068</v>
      </c>
      <c r="T834" t="s">
        <v>52</v>
      </c>
      <c r="U834">
        <v>2</v>
      </c>
      <c r="V834" t="s">
        <v>6064</v>
      </c>
      <c r="W834" t="s">
        <v>54</v>
      </c>
      <c r="X834" t="s">
        <v>55</v>
      </c>
      <c r="Y834" t="s">
        <v>56</v>
      </c>
      <c r="Z834">
        <v>600</v>
      </c>
      <c r="AA834">
        <v>52</v>
      </c>
      <c r="AB834">
        <v>160</v>
      </c>
      <c r="AC834" t="s">
        <v>6065</v>
      </c>
      <c r="AD834" t="s">
        <v>6066</v>
      </c>
      <c r="AE834" t="s">
        <v>6067</v>
      </c>
      <c r="AF834" t="s">
        <v>6068</v>
      </c>
      <c r="AG834" t="s">
        <v>6069</v>
      </c>
      <c r="AH834" t="s">
        <v>6070</v>
      </c>
      <c r="AI834" t="s">
        <v>6071</v>
      </c>
      <c r="AJ834" s="2">
        <v>45559.150462962964</v>
      </c>
      <c r="AK834" t="s">
        <v>4471</v>
      </c>
      <c r="AL834" t="s">
        <v>65</v>
      </c>
      <c r="AM834" s="3">
        <v>2.3541666666666665</v>
      </c>
      <c r="AN834" t="s">
        <v>66</v>
      </c>
      <c r="AO834" t="s">
        <v>67</v>
      </c>
    </row>
    <row r="835" spans="1:41" x14ac:dyDescent="0.2">
      <c r="A835">
        <v>368794</v>
      </c>
      <c r="B835" t="s">
        <v>6583</v>
      </c>
      <c r="C835" t="s">
        <v>182</v>
      </c>
      <c r="D835" t="s">
        <v>2295</v>
      </c>
      <c r="E835" t="s">
        <v>6584</v>
      </c>
      <c r="F835">
        <v>40724</v>
      </c>
      <c r="G835" s="1">
        <v>32667</v>
      </c>
      <c r="H835" s="1">
        <v>45721</v>
      </c>
      <c r="I835" s="1">
        <v>46068</v>
      </c>
      <c r="J835" t="s">
        <v>45</v>
      </c>
      <c r="K835" t="s">
        <v>45</v>
      </c>
      <c r="L835" t="s">
        <v>429</v>
      </c>
      <c r="M835" s="1">
        <v>44209</v>
      </c>
      <c r="N835" t="s">
        <v>47</v>
      </c>
      <c r="O835" t="s">
        <v>48</v>
      </c>
      <c r="P835" t="s">
        <v>49</v>
      </c>
      <c r="Q835" t="s">
        <v>6585</v>
      </c>
      <c r="R835" t="s">
        <v>6586</v>
      </c>
      <c r="S835">
        <v>4320</v>
      </c>
      <c r="T835" t="s">
        <v>365</v>
      </c>
      <c r="U835" t="s">
        <v>562</v>
      </c>
      <c r="V835" t="s">
        <v>1746</v>
      </c>
      <c r="W835" t="s">
        <v>367</v>
      </c>
      <c r="X835" t="s">
        <v>493</v>
      </c>
      <c r="Y835" t="s">
        <v>434</v>
      </c>
      <c r="Z835">
        <v>248</v>
      </c>
      <c r="AA835">
        <v>66</v>
      </c>
      <c r="AB835">
        <v>158</v>
      </c>
      <c r="AC835" t="s">
        <v>1747</v>
      </c>
      <c r="AD835" t="s">
        <v>2887</v>
      </c>
      <c r="AE835" t="s">
        <v>3658</v>
      </c>
      <c r="AF835" t="s">
        <v>6587</v>
      </c>
      <c r="AG835" t="s">
        <v>6588</v>
      </c>
      <c r="AH835" t="s">
        <v>6589</v>
      </c>
      <c r="AI835" t="s">
        <v>500</v>
      </c>
      <c r="AJ835" s="2">
        <v>45721.97729166667</v>
      </c>
      <c r="AK835" t="s">
        <v>501</v>
      </c>
      <c r="AL835" t="s">
        <v>65</v>
      </c>
      <c r="AM835" s="4">
        <v>0.47222222222222221</v>
      </c>
      <c r="AN835" t="s">
        <v>66</v>
      </c>
      <c r="AO835" t="s">
        <v>67</v>
      </c>
    </row>
    <row r="836" spans="1:41" x14ac:dyDescent="0.2">
      <c r="A836">
        <v>363497</v>
      </c>
      <c r="B836" t="s">
        <v>6590</v>
      </c>
      <c r="C836" t="s">
        <v>345</v>
      </c>
      <c r="D836" t="s">
        <v>6060</v>
      </c>
      <c r="E836" t="s">
        <v>6591</v>
      </c>
      <c r="F836">
        <v>51407</v>
      </c>
      <c r="G836" s="1">
        <v>35983</v>
      </c>
      <c r="H836" s="1">
        <v>45504</v>
      </c>
      <c r="I836" s="1">
        <v>45931</v>
      </c>
      <c r="J836" t="s">
        <v>45</v>
      </c>
      <c r="K836" t="s">
        <v>45</v>
      </c>
      <c r="L836" t="s">
        <v>72</v>
      </c>
      <c r="M836" s="1">
        <v>35983</v>
      </c>
      <c r="N836" t="s">
        <v>47</v>
      </c>
      <c r="O836" t="s">
        <v>48</v>
      </c>
      <c r="P836" t="s">
        <v>49</v>
      </c>
      <c r="Q836" t="s">
        <v>6592</v>
      </c>
      <c r="R836" t="s">
        <v>6593</v>
      </c>
      <c r="S836">
        <v>6290</v>
      </c>
      <c r="T836" t="s">
        <v>365</v>
      </c>
      <c r="U836" t="s">
        <v>432</v>
      </c>
      <c r="V836" t="s">
        <v>4107</v>
      </c>
      <c r="W836" t="s">
        <v>367</v>
      </c>
      <c r="X836" t="s">
        <v>55</v>
      </c>
      <c r="Y836" t="s">
        <v>434</v>
      </c>
      <c r="Z836">
        <v>113</v>
      </c>
      <c r="AA836">
        <v>51</v>
      </c>
      <c r="AB836">
        <v>28</v>
      </c>
      <c r="AC836" t="s">
        <v>5835</v>
      </c>
      <c r="AD836" t="s">
        <v>4112</v>
      </c>
      <c r="AE836" t="s">
        <v>4113</v>
      </c>
      <c r="AI836" t="s">
        <v>179</v>
      </c>
      <c r="AJ836" s="2">
        <v>45513.897175925929</v>
      </c>
      <c r="AK836" t="s">
        <v>609</v>
      </c>
      <c r="AL836" t="s">
        <v>65</v>
      </c>
      <c r="AM836" s="4">
        <v>0.77083333333333337</v>
      </c>
      <c r="AN836" t="s">
        <v>66</v>
      </c>
      <c r="AO836" t="s">
        <v>67</v>
      </c>
    </row>
    <row r="837" spans="1:41" x14ac:dyDescent="0.2">
      <c r="A837">
        <v>368219</v>
      </c>
      <c r="B837" t="s">
        <v>6594</v>
      </c>
      <c r="C837" t="s">
        <v>42</v>
      </c>
      <c r="D837" t="s">
        <v>6595</v>
      </c>
      <c r="E837" t="s">
        <v>6596</v>
      </c>
      <c r="F837">
        <v>292903</v>
      </c>
      <c r="G837" s="1">
        <v>30845</v>
      </c>
      <c r="H837" s="1">
        <v>45699</v>
      </c>
      <c r="I837" s="1">
        <v>46054</v>
      </c>
      <c r="J837" t="s">
        <v>45</v>
      </c>
      <c r="K837" t="s">
        <v>45</v>
      </c>
      <c r="L837" t="s">
        <v>429</v>
      </c>
      <c r="M837" s="1">
        <v>37738</v>
      </c>
      <c r="N837" t="s">
        <v>47</v>
      </c>
      <c r="O837" t="s">
        <v>48</v>
      </c>
      <c r="P837" t="s">
        <v>49</v>
      </c>
      <c r="Q837" t="s">
        <v>6597</v>
      </c>
      <c r="R837" t="s">
        <v>6598</v>
      </c>
      <c r="S837">
        <v>5814</v>
      </c>
      <c r="T837" t="s">
        <v>365</v>
      </c>
      <c r="U837" t="s">
        <v>432</v>
      </c>
      <c r="V837" t="s">
        <v>6599</v>
      </c>
      <c r="W837" t="s">
        <v>367</v>
      </c>
      <c r="X837" t="s">
        <v>55</v>
      </c>
      <c r="Y837" t="s">
        <v>434</v>
      </c>
      <c r="Z837">
        <v>229</v>
      </c>
      <c r="AA837">
        <v>54</v>
      </c>
      <c r="AB837">
        <v>34</v>
      </c>
      <c r="AC837" t="s">
        <v>6600</v>
      </c>
      <c r="AD837" t="s">
        <v>6601</v>
      </c>
      <c r="AE837" t="s">
        <v>6602</v>
      </c>
      <c r="AF837" t="s">
        <v>6603</v>
      </c>
      <c r="AG837" t="s">
        <v>6604</v>
      </c>
      <c r="AH837" t="s">
        <v>6605</v>
      </c>
      <c r="AI837" t="s">
        <v>4342</v>
      </c>
      <c r="AJ837" s="2">
        <v>45706.724270833336</v>
      </c>
      <c r="AK837" t="s">
        <v>609</v>
      </c>
      <c r="AL837" t="s">
        <v>65</v>
      </c>
      <c r="AM837" s="3">
        <v>1.0902777777777777</v>
      </c>
      <c r="AN837" t="s">
        <v>66</v>
      </c>
      <c r="AO837" t="s">
        <v>67</v>
      </c>
    </row>
    <row r="838" spans="1:41" x14ac:dyDescent="0.2">
      <c r="A838">
        <v>368351</v>
      </c>
      <c r="B838" t="s">
        <v>6606</v>
      </c>
      <c r="C838" t="s">
        <v>662</v>
      </c>
      <c r="D838" t="s">
        <v>6607</v>
      </c>
      <c r="E838" t="s">
        <v>6608</v>
      </c>
      <c r="G838" s="1">
        <v>42969</v>
      </c>
      <c r="H838" s="1">
        <v>45609</v>
      </c>
      <c r="I838" s="1">
        <v>45931</v>
      </c>
      <c r="J838" t="s">
        <v>45</v>
      </c>
      <c r="K838" t="s">
        <v>45</v>
      </c>
      <c r="L838" t="s">
        <v>72</v>
      </c>
      <c r="M838" s="1">
        <v>43634</v>
      </c>
      <c r="N838" t="s">
        <v>47</v>
      </c>
      <c r="O838" t="s">
        <v>48</v>
      </c>
      <c r="P838" t="s">
        <v>586</v>
      </c>
      <c r="Q838" t="s">
        <v>6609</v>
      </c>
      <c r="R838" t="s">
        <v>6610</v>
      </c>
      <c r="S838">
        <v>1162</v>
      </c>
      <c r="T838" t="s">
        <v>92</v>
      </c>
      <c r="U838" t="s">
        <v>1197</v>
      </c>
      <c r="V838" t="s">
        <v>6611</v>
      </c>
      <c r="W838" t="s">
        <v>6612</v>
      </c>
      <c r="X838" t="s">
        <v>92</v>
      </c>
      <c r="Y838" t="s">
        <v>110</v>
      </c>
      <c r="Z838">
        <v>9189</v>
      </c>
      <c r="AA838">
        <v>13</v>
      </c>
      <c r="AB838">
        <v>28</v>
      </c>
      <c r="AC838" t="s">
        <v>6613</v>
      </c>
      <c r="AD838" t="s">
        <v>6614</v>
      </c>
      <c r="AE838" t="s">
        <v>6615</v>
      </c>
      <c r="AF838" t="s">
        <v>6616</v>
      </c>
      <c r="AG838" t="s">
        <v>6617</v>
      </c>
      <c r="AH838" t="s">
        <v>6618</v>
      </c>
      <c r="AJ838" s="2">
        <v>45707.706400462965</v>
      </c>
      <c r="AK838" t="s">
        <v>6613</v>
      </c>
      <c r="AL838" t="s">
        <v>65</v>
      </c>
      <c r="AM838" s="4">
        <v>3.4722222222222224E-2</v>
      </c>
      <c r="AN838" t="s">
        <v>66</v>
      </c>
      <c r="AO838" t="s">
        <v>67</v>
      </c>
    </row>
    <row r="839" spans="1:41" x14ac:dyDescent="0.2">
      <c r="A839">
        <v>370682</v>
      </c>
      <c r="B839" t="s">
        <v>6619</v>
      </c>
      <c r="C839" t="s">
        <v>323</v>
      </c>
      <c r="D839" t="s">
        <v>3298</v>
      </c>
      <c r="E839">
        <v>39622514</v>
      </c>
      <c r="G839" s="1">
        <v>42516</v>
      </c>
      <c r="H839" s="1">
        <v>45549</v>
      </c>
      <c r="J839" t="s">
        <v>326</v>
      </c>
      <c r="K839" t="s">
        <v>72</v>
      </c>
      <c r="L839" t="s">
        <v>72</v>
      </c>
      <c r="N839" t="s">
        <v>47</v>
      </c>
      <c r="O839" t="s">
        <v>48</v>
      </c>
      <c r="P839" t="s">
        <v>406</v>
      </c>
      <c r="Q839" t="s">
        <v>6620</v>
      </c>
      <c r="R839" t="s">
        <v>6621</v>
      </c>
      <c r="S839">
        <v>29</v>
      </c>
      <c r="T839" t="s">
        <v>257</v>
      </c>
      <c r="U839" t="s">
        <v>329</v>
      </c>
      <c r="V839" t="s">
        <v>3302</v>
      </c>
      <c r="W839" t="s">
        <v>3303</v>
      </c>
      <c r="X839" t="s">
        <v>257</v>
      </c>
      <c r="Y839" t="s">
        <v>410</v>
      </c>
      <c r="Z839">
        <v>8486</v>
      </c>
      <c r="AA839">
        <v>20</v>
      </c>
      <c r="AB839">
        <v>108</v>
      </c>
      <c r="AC839" t="s">
        <v>3304</v>
      </c>
      <c r="AD839" t="s">
        <v>3305</v>
      </c>
      <c r="AE839" t="s">
        <v>5011</v>
      </c>
      <c r="AF839" t="s">
        <v>3307</v>
      </c>
      <c r="AG839" t="s">
        <v>3308</v>
      </c>
      <c r="AH839" t="s">
        <v>3309</v>
      </c>
      <c r="AI839" t="s">
        <v>5012</v>
      </c>
      <c r="AJ839" s="2">
        <v>45782.962534722225</v>
      </c>
      <c r="AK839" t="s">
        <v>3304</v>
      </c>
      <c r="AL839" t="s">
        <v>1168</v>
      </c>
      <c r="AM839" s="4">
        <v>0.98611111111111116</v>
      </c>
      <c r="AN839" t="s">
        <v>66</v>
      </c>
      <c r="AO839" t="s">
        <v>67</v>
      </c>
    </row>
    <row r="840" spans="1:41" x14ac:dyDescent="0.2">
      <c r="A840">
        <v>371860</v>
      </c>
      <c r="B840" t="s">
        <v>6622</v>
      </c>
      <c r="C840" t="s">
        <v>735</v>
      </c>
      <c r="D840" t="s">
        <v>6623</v>
      </c>
      <c r="E840" t="s">
        <v>6624</v>
      </c>
      <c r="F840">
        <v>242303</v>
      </c>
      <c r="G840" s="1">
        <v>35636</v>
      </c>
      <c r="H840" s="1">
        <v>45812</v>
      </c>
      <c r="I840" s="1">
        <v>46174</v>
      </c>
      <c r="J840" t="s">
        <v>45</v>
      </c>
      <c r="K840" t="s">
        <v>45</v>
      </c>
      <c r="L840" t="s">
        <v>429</v>
      </c>
      <c r="M840" s="1">
        <v>40113</v>
      </c>
      <c r="N840" t="s">
        <v>47</v>
      </c>
      <c r="O840" t="s">
        <v>48</v>
      </c>
      <c r="P840" t="s">
        <v>49</v>
      </c>
      <c r="Q840" t="s">
        <v>6625</v>
      </c>
      <c r="R840" t="s">
        <v>6626</v>
      </c>
      <c r="S840">
        <v>3153</v>
      </c>
      <c r="T840" t="s">
        <v>365</v>
      </c>
      <c r="U840" t="s">
        <v>969</v>
      </c>
      <c r="V840" t="s">
        <v>970</v>
      </c>
      <c r="W840" t="s">
        <v>367</v>
      </c>
      <c r="X840" t="s">
        <v>76</v>
      </c>
      <c r="Y840" t="s">
        <v>434</v>
      </c>
      <c r="Z840">
        <v>1317</v>
      </c>
      <c r="AA840">
        <v>51</v>
      </c>
      <c r="AB840">
        <v>142</v>
      </c>
      <c r="AC840" t="s">
        <v>971</v>
      </c>
      <c r="AD840" t="s">
        <v>972</v>
      </c>
      <c r="AE840" t="s">
        <v>973</v>
      </c>
      <c r="AF840" t="s">
        <v>974</v>
      </c>
      <c r="AG840" t="s">
        <v>975</v>
      </c>
      <c r="AH840" t="s">
        <v>976</v>
      </c>
      <c r="AI840" t="s">
        <v>3008</v>
      </c>
      <c r="AJ840" s="2">
        <v>45821.602222222224</v>
      </c>
      <c r="AK840" t="s">
        <v>568</v>
      </c>
      <c r="AL840" t="s">
        <v>65</v>
      </c>
      <c r="AM840" s="3">
        <v>1.7152777777777777</v>
      </c>
      <c r="AN840" t="s">
        <v>66</v>
      </c>
      <c r="AO840" t="s">
        <v>67</v>
      </c>
    </row>
    <row r="841" spans="1:41" x14ac:dyDescent="0.2">
      <c r="A841">
        <v>366167</v>
      </c>
      <c r="B841" t="s">
        <v>6627</v>
      </c>
      <c r="C841" t="s">
        <v>558</v>
      </c>
      <c r="D841" t="s">
        <v>468</v>
      </c>
      <c r="E841" t="s">
        <v>6628</v>
      </c>
      <c r="F841">
        <v>260203</v>
      </c>
      <c r="G841" s="1">
        <v>31624</v>
      </c>
      <c r="H841" s="1">
        <v>45604</v>
      </c>
      <c r="I841" s="1">
        <v>45931</v>
      </c>
      <c r="J841" t="s">
        <v>45</v>
      </c>
      <c r="K841" t="s">
        <v>45</v>
      </c>
      <c r="L841" t="s">
        <v>429</v>
      </c>
      <c r="M841" s="1">
        <v>42228</v>
      </c>
      <c r="N841" t="s">
        <v>47</v>
      </c>
      <c r="O841" t="s">
        <v>48</v>
      </c>
      <c r="P841" t="s">
        <v>49</v>
      </c>
      <c r="Q841" t="s">
        <v>6629</v>
      </c>
      <c r="R841" t="s">
        <v>6630</v>
      </c>
      <c r="S841">
        <v>4980</v>
      </c>
      <c r="T841" t="s">
        <v>365</v>
      </c>
      <c r="U841" t="s">
        <v>562</v>
      </c>
      <c r="V841" t="s">
        <v>2987</v>
      </c>
      <c r="W841" t="s">
        <v>367</v>
      </c>
      <c r="X841" t="s">
        <v>493</v>
      </c>
      <c r="Y841" t="s">
        <v>434</v>
      </c>
      <c r="Z841">
        <v>282</v>
      </c>
      <c r="AA841">
        <v>63</v>
      </c>
      <c r="AB841">
        <v>166</v>
      </c>
      <c r="AC841" t="s">
        <v>1882</v>
      </c>
      <c r="AD841" t="s">
        <v>1883</v>
      </c>
      <c r="AE841" t="s">
        <v>2988</v>
      </c>
      <c r="AF841" t="s">
        <v>6631</v>
      </c>
      <c r="AG841" t="s">
        <v>2990</v>
      </c>
      <c r="AH841" t="s">
        <v>2991</v>
      </c>
      <c r="AI841" t="s">
        <v>2992</v>
      </c>
      <c r="AJ841" s="2">
        <v>45607.834907407407</v>
      </c>
      <c r="AK841" t="s">
        <v>501</v>
      </c>
      <c r="AL841" t="s">
        <v>65</v>
      </c>
      <c r="AM841" s="3">
        <v>1.5972222222222223</v>
      </c>
      <c r="AN841" t="s">
        <v>66</v>
      </c>
      <c r="AO841" t="s">
        <v>67</v>
      </c>
    </row>
    <row r="842" spans="1:41" x14ac:dyDescent="0.2">
      <c r="A842">
        <v>362553</v>
      </c>
      <c r="B842" t="s">
        <v>6632</v>
      </c>
      <c r="C842" t="s">
        <v>134</v>
      </c>
      <c r="D842" t="s">
        <v>4154</v>
      </c>
      <c r="E842" t="s">
        <v>6633</v>
      </c>
      <c r="F842">
        <v>452134</v>
      </c>
      <c r="G842" s="1">
        <v>31901</v>
      </c>
      <c r="H842" s="1">
        <v>45489</v>
      </c>
      <c r="I842" s="1">
        <v>46204</v>
      </c>
      <c r="J842" t="s">
        <v>45</v>
      </c>
      <c r="K842" t="s">
        <v>45</v>
      </c>
      <c r="L842" t="s">
        <v>429</v>
      </c>
      <c r="M842" s="1">
        <v>44469</v>
      </c>
      <c r="N842" t="s">
        <v>47</v>
      </c>
      <c r="O842" t="s">
        <v>48</v>
      </c>
      <c r="P842" t="s">
        <v>49</v>
      </c>
      <c r="Q842" t="s">
        <v>6634</v>
      </c>
      <c r="R842" t="s">
        <v>6635</v>
      </c>
      <c r="S842">
        <v>3661</v>
      </c>
      <c r="T842" t="s">
        <v>52</v>
      </c>
      <c r="U842">
        <v>6</v>
      </c>
      <c r="V842" t="s">
        <v>4158</v>
      </c>
      <c r="W842" t="s">
        <v>54</v>
      </c>
      <c r="X842" t="s">
        <v>76</v>
      </c>
      <c r="Y842" t="s">
        <v>434</v>
      </c>
      <c r="Z842">
        <v>857</v>
      </c>
      <c r="AA842">
        <v>63</v>
      </c>
      <c r="AB842">
        <v>34</v>
      </c>
      <c r="AC842" t="s">
        <v>4159</v>
      </c>
      <c r="AD842" t="s">
        <v>4160</v>
      </c>
      <c r="AE842" t="s">
        <v>4161</v>
      </c>
      <c r="AF842" t="s">
        <v>6636</v>
      </c>
      <c r="AG842" t="s">
        <v>6637</v>
      </c>
      <c r="AH842" t="s">
        <v>6638</v>
      </c>
      <c r="AI842" t="s">
        <v>6639</v>
      </c>
      <c r="AJ842" s="2">
        <v>45490.04241898148</v>
      </c>
      <c r="AK842" t="s">
        <v>2517</v>
      </c>
      <c r="AL842" t="s">
        <v>65</v>
      </c>
      <c r="AM842" s="3">
        <v>1.5416666666666667</v>
      </c>
      <c r="AN842" t="s">
        <v>66</v>
      </c>
      <c r="AO842" t="s">
        <v>67</v>
      </c>
    </row>
    <row r="843" spans="1:41" x14ac:dyDescent="0.2">
      <c r="A843">
        <v>365453</v>
      </c>
      <c r="B843" t="s">
        <v>6632</v>
      </c>
      <c r="C843" t="s">
        <v>692</v>
      </c>
      <c r="D843" t="s">
        <v>3845</v>
      </c>
      <c r="E843" t="s">
        <v>6640</v>
      </c>
      <c r="F843">
        <v>480206</v>
      </c>
      <c r="G843" s="1">
        <v>43965</v>
      </c>
      <c r="H843" s="1">
        <v>45563</v>
      </c>
      <c r="I843" s="1">
        <v>45931</v>
      </c>
      <c r="J843" t="s">
        <v>45</v>
      </c>
      <c r="K843" t="s">
        <v>45</v>
      </c>
      <c r="L843" t="s">
        <v>46</v>
      </c>
      <c r="N843" t="s">
        <v>47</v>
      </c>
      <c r="O843" t="s">
        <v>48</v>
      </c>
      <c r="P843" t="s">
        <v>586</v>
      </c>
      <c r="Q843" t="s">
        <v>6641</v>
      </c>
      <c r="R843" t="s">
        <v>6642</v>
      </c>
      <c r="S843">
        <v>5520</v>
      </c>
      <c r="T843" t="s">
        <v>365</v>
      </c>
      <c r="U843" t="s">
        <v>432</v>
      </c>
      <c r="V843" t="s">
        <v>4190</v>
      </c>
      <c r="W843" t="s">
        <v>367</v>
      </c>
      <c r="X843" t="s">
        <v>76</v>
      </c>
      <c r="Y843" t="s">
        <v>434</v>
      </c>
      <c r="Z843">
        <v>10666</v>
      </c>
      <c r="AA843">
        <v>20</v>
      </c>
      <c r="AB843">
        <v>78</v>
      </c>
      <c r="AC843" t="s">
        <v>6643</v>
      </c>
      <c r="AD843" t="s">
        <v>6644</v>
      </c>
      <c r="AE843" t="s">
        <v>6645</v>
      </c>
      <c r="AF843" t="s">
        <v>6646</v>
      </c>
      <c r="AG843" t="s">
        <v>6647</v>
      </c>
      <c r="AH843" t="s">
        <v>6648</v>
      </c>
      <c r="AI843" t="s">
        <v>6649</v>
      </c>
      <c r="AJ843" s="2">
        <v>45582.742384259262</v>
      </c>
      <c r="AK843" t="s">
        <v>6650</v>
      </c>
      <c r="AL843" t="s">
        <v>65</v>
      </c>
      <c r="AM843" s="3">
        <v>1.9444444444444444</v>
      </c>
      <c r="AN843" t="s">
        <v>66</v>
      </c>
      <c r="AO843" t="s">
        <v>67</v>
      </c>
    </row>
    <row r="844" spans="1:41" x14ac:dyDescent="0.2">
      <c r="A844">
        <v>362155</v>
      </c>
      <c r="B844" t="s">
        <v>6651</v>
      </c>
      <c r="C844" t="s">
        <v>345</v>
      </c>
      <c r="D844" t="s">
        <v>6652</v>
      </c>
      <c r="E844" t="s">
        <v>6653</v>
      </c>
      <c r="F844">
        <v>54501</v>
      </c>
      <c r="G844" s="1">
        <v>44635</v>
      </c>
      <c r="H844" s="1">
        <v>45447</v>
      </c>
      <c r="I844" s="1">
        <v>46082</v>
      </c>
      <c r="J844" t="s">
        <v>45</v>
      </c>
      <c r="K844" t="s">
        <v>45</v>
      </c>
      <c r="L844" t="s">
        <v>46</v>
      </c>
      <c r="N844" t="s">
        <v>47</v>
      </c>
      <c r="O844" t="s">
        <v>48</v>
      </c>
      <c r="P844" t="s">
        <v>49</v>
      </c>
      <c r="Q844" t="s">
        <v>6654</v>
      </c>
      <c r="R844" t="s">
        <v>6655</v>
      </c>
      <c r="S844">
        <v>6432</v>
      </c>
      <c r="T844" t="s">
        <v>365</v>
      </c>
      <c r="U844" t="s">
        <v>432</v>
      </c>
      <c r="V844" t="s">
        <v>6656</v>
      </c>
      <c r="W844" t="s">
        <v>367</v>
      </c>
      <c r="X844" t="s">
        <v>55</v>
      </c>
      <c r="Y844" t="s">
        <v>434</v>
      </c>
      <c r="Z844">
        <v>12046</v>
      </c>
      <c r="AA844">
        <v>17</v>
      </c>
      <c r="AB844">
        <v>210</v>
      </c>
      <c r="AC844" t="s">
        <v>6657</v>
      </c>
      <c r="AD844" t="s">
        <v>6658</v>
      </c>
      <c r="AE844" t="s">
        <v>6659</v>
      </c>
      <c r="AI844" t="s">
        <v>179</v>
      </c>
      <c r="AJ844" s="2">
        <v>45476.612766203703</v>
      </c>
      <c r="AK844" t="s">
        <v>2854</v>
      </c>
      <c r="AL844" t="s">
        <v>65</v>
      </c>
      <c r="AM844" s="4">
        <v>0.54166666666666663</v>
      </c>
      <c r="AN844" t="s">
        <v>66</v>
      </c>
      <c r="AO844" t="s">
        <v>67</v>
      </c>
    </row>
    <row r="845" spans="1:41" x14ac:dyDescent="0.2">
      <c r="A845">
        <v>372782</v>
      </c>
      <c r="B845" t="s">
        <v>6660</v>
      </c>
      <c r="C845" t="s">
        <v>134</v>
      </c>
      <c r="D845" t="s">
        <v>3543</v>
      </c>
      <c r="E845" t="s">
        <v>6661</v>
      </c>
      <c r="F845">
        <v>451924</v>
      </c>
      <c r="G845" s="1">
        <v>37803</v>
      </c>
      <c r="H845" s="1">
        <v>45552</v>
      </c>
      <c r="I845" s="1">
        <v>46266</v>
      </c>
      <c r="J845" t="s">
        <v>45</v>
      </c>
      <c r="K845" t="s">
        <v>45</v>
      </c>
      <c r="L845" t="s">
        <v>72</v>
      </c>
      <c r="M845" s="1">
        <v>42194</v>
      </c>
      <c r="N845" t="s">
        <v>47</v>
      </c>
      <c r="O845" t="s">
        <v>48</v>
      </c>
      <c r="P845" t="s">
        <v>49</v>
      </c>
      <c r="Q845" t="s">
        <v>6662</v>
      </c>
      <c r="R845" t="s">
        <v>6663</v>
      </c>
      <c r="S845">
        <v>2697</v>
      </c>
      <c r="T845" t="s">
        <v>52</v>
      </c>
      <c r="U845">
        <v>6</v>
      </c>
      <c r="V845" t="s">
        <v>3547</v>
      </c>
      <c r="W845" t="s">
        <v>54</v>
      </c>
      <c r="X845" t="s">
        <v>76</v>
      </c>
      <c r="Y845" t="s">
        <v>56</v>
      </c>
      <c r="Z845">
        <v>1674</v>
      </c>
      <c r="AA845">
        <v>49</v>
      </c>
      <c r="AB845">
        <v>34</v>
      </c>
      <c r="AC845" t="s">
        <v>3548</v>
      </c>
      <c r="AD845" t="s">
        <v>3549</v>
      </c>
      <c r="AE845" t="s">
        <v>3550</v>
      </c>
      <c r="AF845" t="s">
        <v>4330</v>
      </c>
      <c r="AG845" t="s">
        <v>3552</v>
      </c>
      <c r="AH845" t="s">
        <v>3553</v>
      </c>
      <c r="AI845" t="s">
        <v>179</v>
      </c>
      <c r="AJ845" s="2">
        <v>45853.759085648147</v>
      </c>
      <c r="AK845" t="s">
        <v>3554</v>
      </c>
      <c r="AL845" t="s">
        <v>65</v>
      </c>
      <c r="AM845" s="3">
        <v>1.0694444444444444</v>
      </c>
      <c r="AN845" t="s">
        <v>66</v>
      </c>
      <c r="AO845" t="s">
        <v>67</v>
      </c>
    </row>
    <row r="846" spans="1:41" x14ac:dyDescent="0.2">
      <c r="A846">
        <v>364833</v>
      </c>
      <c r="B846" t="s">
        <v>6664</v>
      </c>
      <c r="C846" t="s">
        <v>345</v>
      </c>
      <c r="D846" t="s">
        <v>950</v>
      </c>
      <c r="E846" t="s">
        <v>6665</v>
      </c>
      <c r="F846">
        <v>50407</v>
      </c>
      <c r="G846" s="1">
        <v>40073</v>
      </c>
      <c r="H846" s="1">
        <v>45560</v>
      </c>
      <c r="I846" s="1">
        <v>45931</v>
      </c>
      <c r="J846" t="s">
        <v>45</v>
      </c>
      <c r="K846" t="s">
        <v>45</v>
      </c>
      <c r="L846" t="s">
        <v>72</v>
      </c>
      <c r="N846" t="s">
        <v>47</v>
      </c>
      <c r="O846" t="s">
        <v>48</v>
      </c>
      <c r="P846" t="s">
        <v>49</v>
      </c>
      <c r="Q846" t="s">
        <v>6666</v>
      </c>
      <c r="R846" t="s">
        <v>6667</v>
      </c>
      <c r="S846">
        <v>7693</v>
      </c>
      <c r="T846" t="s">
        <v>365</v>
      </c>
      <c r="U846" t="s">
        <v>432</v>
      </c>
      <c r="V846" t="s">
        <v>4107</v>
      </c>
      <c r="W846" t="s">
        <v>367</v>
      </c>
      <c r="X846" t="s">
        <v>55</v>
      </c>
      <c r="Y846" t="s">
        <v>434</v>
      </c>
      <c r="Z846">
        <v>1523</v>
      </c>
      <c r="AA846">
        <v>57</v>
      </c>
      <c r="AB846">
        <v>80</v>
      </c>
      <c r="AC846" t="s">
        <v>5835</v>
      </c>
      <c r="AD846" t="s">
        <v>4112</v>
      </c>
      <c r="AE846" t="s">
        <v>4113</v>
      </c>
      <c r="AI846" t="s">
        <v>179</v>
      </c>
      <c r="AJ846" s="2">
        <v>45561.074247685188</v>
      </c>
      <c r="AK846" t="s">
        <v>4471</v>
      </c>
      <c r="AL846" t="s">
        <v>65</v>
      </c>
      <c r="AM846" s="3">
        <v>1.5902777777777777</v>
      </c>
      <c r="AN846" t="s">
        <v>66</v>
      </c>
      <c r="AO846" t="s">
        <v>67</v>
      </c>
    </row>
    <row r="847" spans="1:41" x14ac:dyDescent="0.2">
      <c r="A847">
        <v>364376</v>
      </c>
      <c r="B847" t="s">
        <v>6668</v>
      </c>
      <c r="C847" t="s">
        <v>345</v>
      </c>
      <c r="D847" t="s">
        <v>6669</v>
      </c>
      <c r="E847" s="5" t="s">
        <v>6670</v>
      </c>
      <c r="F847">
        <v>50207</v>
      </c>
      <c r="G847" s="1">
        <v>30873</v>
      </c>
      <c r="H847" s="1">
        <v>45516</v>
      </c>
      <c r="I847" s="1">
        <v>45915</v>
      </c>
      <c r="J847" t="s">
        <v>45</v>
      </c>
      <c r="K847" t="s">
        <v>45</v>
      </c>
      <c r="L847" t="s">
        <v>72</v>
      </c>
      <c r="N847" t="s">
        <v>47</v>
      </c>
      <c r="O847" t="s">
        <v>48</v>
      </c>
      <c r="P847" t="s">
        <v>49</v>
      </c>
      <c r="Q847" t="s">
        <v>6671</v>
      </c>
      <c r="R847" t="s">
        <v>6672</v>
      </c>
      <c r="S847">
        <v>8416</v>
      </c>
      <c r="T847" t="s">
        <v>52</v>
      </c>
      <c r="U847">
        <v>2</v>
      </c>
      <c r="V847" t="s">
        <v>6673</v>
      </c>
      <c r="W847" t="s">
        <v>54</v>
      </c>
      <c r="X847" t="s">
        <v>55</v>
      </c>
      <c r="Y847" t="s">
        <v>56</v>
      </c>
      <c r="Z847">
        <v>588</v>
      </c>
      <c r="AA847">
        <v>57</v>
      </c>
      <c r="AB847">
        <v>160</v>
      </c>
      <c r="AC847" t="s">
        <v>6674</v>
      </c>
      <c r="AD847" t="s">
        <v>6675</v>
      </c>
      <c r="AE847" t="s">
        <v>6676</v>
      </c>
      <c r="AF847" t="s">
        <v>6677</v>
      </c>
      <c r="AG847" t="s">
        <v>6678</v>
      </c>
      <c r="AH847" t="s">
        <v>6679</v>
      </c>
      <c r="AI847" t="s">
        <v>179</v>
      </c>
      <c r="AJ847" s="2">
        <v>45544.679571759261</v>
      </c>
      <c r="AK847" t="s">
        <v>132</v>
      </c>
      <c r="AL847" t="s">
        <v>65</v>
      </c>
      <c r="AM847" s="3">
        <v>2.3611111111111112</v>
      </c>
      <c r="AN847" t="s">
        <v>66</v>
      </c>
      <c r="AO847" t="s">
        <v>67</v>
      </c>
    </row>
    <row r="848" spans="1:41" x14ac:dyDescent="0.2">
      <c r="A848">
        <v>365261</v>
      </c>
      <c r="B848" t="s">
        <v>6668</v>
      </c>
      <c r="C848" t="s">
        <v>118</v>
      </c>
      <c r="D848" t="s">
        <v>2645</v>
      </c>
      <c r="E848" t="s">
        <v>6680</v>
      </c>
      <c r="F848">
        <v>21009</v>
      </c>
      <c r="G848" s="1">
        <v>35412</v>
      </c>
      <c r="H848" s="1">
        <v>45544</v>
      </c>
      <c r="I848" s="1">
        <v>46174</v>
      </c>
      <c r="J848" t="s">
        <v>45</v>
      </c>
      <c r="K848" t="s">
        <v>45</v>
      </c>
      <c r="L848" t="s">
        <v>72</v>
      </c>
      <c r="M848" s="1">
        <v>39857</v>
      </c>
      <c r="N848" t="s">
        <v>47</v>
      </c>
      <c r="O848" t="s">
        <v>48</v>
      </c>
      <c r="P848" t="s">
        <v>49</v>
      </c>
      <c r="Q848" t="s">
        <v>6681</v>
      </c>
      <c r="R848" t="s">
        <v>6682</v>
      </c>
      <c r="S848">
        <v>7405</v>
      </c>
      <c r="T848" t="s">
        <v>296</v>
      </c>
      <c r="U848" t="s">
        <v>297</v>
      </c>
      <c r="V848" t="s">
        <v>1400</v>
      </c>
      <c r="W848" t="s">
        <v>299</v>
      </c>
      <c r="X848" t="s">
        <v>55</v>
      </c>
      <c r="Y848" t="s">
        <v>56</v>
      </c>
      <c r="Z848">
        <v>1207</v>
      </c>
      <c r="AA848">
        <v>64</v>
      </c>
      <c r="AB848">
        <v>138</v>
      </c>
      <c r="AC848" t="s">
        <v>1401</v>
      </c>
      <c r="AD848" t="s">
        <v>1402</v>
      </c>
      <c r="AE848" t="s">
        <v>1403</v>
      </c>
      <c r="AF848" t="s">
        <v>303</v>
      </c>
      <c r="AG848" t="s">
        <v>304</v>
      </c>
      <c r="AH848" t="s">
        <v>305</v>
      </c>
      <c r="AI848" t="s">
        <v>306</v>
      </c>
      <c r="AJ848" s="2">
        <v>45574.83697916667</v>
      </c>
      <c r="AK848" t="s">
        <v>64</v>
      </c>
      <c r="AL848" t="s">
        <v>65</v>
      </c>
      <c r="AM848" s="3">
        <v>1.1458333333333333</v>
      </c>
      <c r="AN848" t="s">
        <v>66</v>
      </c>
      <c r="AO848" t="s">
        <v>67</v>
      </c>
    </row>
    <row r="849" spans="1:41" x14ac:dyDescent="0.2">
      <c r="A849">
        <v>366200</v>
      </c>
      <c r="B849" t="s">
        <v>6683</v>
      </c>
      <c r="C849" t="s">
        <v>118</v>
      </c>
      <c r="D849" t="s">
        <v>1410</v>
      </c>
      <c r="E849">
        <v>32390536</v>
      </c>
      <c r="F849">
        <v>20212</v>
      </c>
      <c r="G849" s="1">
        <v>35431</v>
      </c>
      <c r="H849" s="1">
        <v>45600</v>
      </c>
      <c r="I849" s="1">
        <v>45962</v>
      </c>
      <c r="J849" t="s">
        <v>45</v>
      </c>
      <c r="K849" t="s">
        <v>45</v>
      </c>
      <c r="L849" t="s">
        <v>429</v>
      </c>
      <c r="M849" s="1">
        <v>41423</v>
      </c>
      <c r="N849" t="s">
        <v>47</v>
      </c>
      <c r="O849" t="s">
        <v>48</v>
      </c>
      <c r="P849" t="s">
        <v>49</v>
      </c>
      <c r="Q849" t="s">
        <v>6684</v>
      </c>
      <c r="R849" t="s">
        <v>6685</v>
      </c>
      <c r="S849">
        <v>8700</v>
      </c>
      <c r="T849" t="s">
        <v>52</v>
      </c>
      <c r="U849">
        <v>3</v>
      </c>
      <c r="V849" t="s">
        <v>6686</v>
      </c>
      <c r="W849" t="s">
        <v>54</v>
      </c>
      <c r="X849" t="s">
        <v>55</v>
      </c>
      <c r="Y849" t="s">
        <v>56</v>
      </c>
      <c r="Z849">
        <v>621</v>
      </c>
      <c r="AA849">
        <v>68</v>
      </c>
      <c r="AB849">
        <v>160</v>
      </c>
      <c r="AC849" t="s">
        <v>6687</v>
      </c>
      <c r="AD849" t="s">
        <v>6688</v>
      </c>
      <c r="AE849" t="s">
        <v>6689</v>
      </c>
      <c r="AF849" t="s">
        <v>3402</v>
      </c>
      <c r="AG849" t="s">
        <v>3403</v>
      </c>
      <c r="AH849" t="s">
        <v>6690</v>
      </c>
      <c r="AI849" t="s">
        <v>6691</v>
      </c>
      <c r="AJ849" s="2">
        <v>45608.954895833333</v>
      </c>
      <c r="AK849" t="s">
        <v>6692</v>
      </c>
      <c r="AL849" t="s">
        <v>65</v>
      </c>
      <c r="AM849" s="3">
        <v>1.5972222222222223</v>
      </c>
      <c r="AN849" t="s">
        <v>809</v>
      </c>
      <c r="AO849" t="s">
        <v>67</v>
      </c>
    </row>
    <row r="850" spans="1:41" x14ac:dyDescent="0.2">
      <c r="A850">
        <v>362603</v>
      </c>
      <c r="B850" t="s">
        <v>6693</v>
      </c>
      <c r="C850" t="s">
        <v>278</v>
      </c>
      <c r="D850" t="s">
        <v>870</v>
      </c>
      <c r="E850" t="s">
        <v>6694</v>
      </c>
      <c r="F850">
        <v>420913</v>
      </c>
      <c r="G850" s="1">
        <v>42478</v>
      </c>
      <c r="H850" s="1">
        <v>45482</v>
      </c>
      <c r="I850" s="1">
        <v>46204</v>
      </c>
      <c r="J850" t="s">
        <v>45</v>
      </c>
      <c r="K850" t="s">
        <v>45</v>
      </c>
      <c r="L850" t="s">
        <v>46</v>
      </c>
      <c r="N850" t="s">
        <v>47</v>
      </c>
      <c r="O850" t="s">
        <v>48</v>
      </c>
      <c r="P850" t="s">
        <v>49</v>
      </c>
      <c r="Q850" t="s">
        <v>6695</v>
      </c>
      <c r="R850" t="s">
        <v>6696</v>
      </c>
      <c r="S850">
        <v>5194</v>
      </c>
      <c r="T850" t="s">
        <v>1328</v>
      </c>
      <c r="U850" t="s">
        <v>3114</v>
      </c>
      <c r="V850" t="s">
        <v>6697</v>
      </c>
      <c r="W850" t="s">
        <v>3116</v>
      </c>
      <c r="X850" t="s">
        <v>76</v>
      </c>
      <c r="Y850" t="s">
        <v>434</v>
      </c>
      <c r="Z850">
        <v>8426</v>
      </c>
      <c r="AA850">
        <v>25</v>
      </c>
      <c r="AB850">
        <v>78</v>
      </c>
      <c r="AC850" t="s">
        <v>6698</v>
      </c>
      <c r="AD850" t="s">
        <v>6699</v>
      </c>
      <c r="AE850" t="s">
        <v>6700</v>
      </c>
      <c r="AF850" t="s">
        <v>6701</v>
      </c>
      <c r="AG850" t="s">
        <v>6702</v>
      </c>
      <c r="AH850" t="s">
        <v>6703</v>
      </c>
      <c r="AI850" t="s">
        <v>6704</v>
      </c>
      <c r="AJ850" s="2">
        <v>45491.626203703701</v>
      </c>
      <c r="AK850" t="s">
        <v>717</v>
      </c>
      <c r="AL850" t="s">
        <v>65</v>
      </c>
      <c r="AM850" s="3">
        <v>1.0069444444444444</v>
      </c>
      <c r="AN850" t="s">
        <v>66</v>
      </c>
      <c r="AO850" t="s">
        <v>67</v>
      </c>
    </row>
    <row r="851" spans="1:41" x14ac:dyDescent="0.2">
      <c r="A851">
        <v>372604</v>
      </c>
      <c r="B851" t="s">
        <v>6705</v>
      </c>
      <c r="C851" t="s">
        <v>278</v>
      </c>
      <c r="D851" t="s">
        <v>870</v>
      </c>
      <c r="E851" t="s">
        <v>6706</v>
      </c>
      <c r="F851">
        <v>420916</v>
      </c>
      <c r="G851" s="1">
        <v>42479</v>
      </c>
      <c r="H851" s="1">
        <v>45846</v>
      </c>
      <c r="I851" s="1">
        <v>46204</v>
      </c>
      <c r="J851" t="s">
        <v>45</v>
      </c>
      <c r="K851" t="s">
        <v>45</v>
      </c>
      <c r="L851" t="s">
        <v>46</v>
      </c>
      <c r="M851" s="1">
        <v>45202</v>
      </c>
      <c r="N851" t="s">
        <v>47</v>
      </c>
      <c r="O851" t="s">
        <v>48</v>
      </c>
      <c r="P851" t="s">
        <v>49</v>
      </c>
      <c r="Q851" t="s">
        <v>6707</v>
      </c>
      <c r="R851" t="s">
        <v>6708</v>
      </c>
      <c r="S851">
        <v>4385</v>
      </c>
      <c r="T851" t="s">
        <v>1328</v>
      </c>
      <c r="U851" t="s">
        <v>3114</v>
      </c>
      <c r="V851" t="s">
        <v>6697</v>
      </c>
      <c r="W851" t="s">
        <v>3116</v>
      </c>
      <c r="X851" t="s">
        <v>76</v>
      </c>
      <c r="Y851" t="s">
        <v>434</v>
      </c>
      <c r="Z851">
        <v>8427</v>
      </c>
      <c r="AA851">
        <v>28</v>
      </c>
      <c r="AB851">
        <v>78</v>
      </c>
      <c r="AC851" t="s">
        <v>6698</v>
      </c>
      <c r="AD851" t="s">
        <v>6699</v>
      </c>
      <c r="AE851" t="s">
        <v>6700</v>
      </c>
      <c r="AF851" t="s">
        <v>6701</v>
      </c>
      <c r="AG851" t="s">
        <v>6702</v>
      </c>
      <c r="AH851" t="s">
        <v>6703</v>
      </c>
      <c r="AI851" t="s">
        <v>6704</v>
      </c>
      <c r="AJ851" s="2">
        <v>45846.90552083333</v>
      </c>
      <c r="AK851" t="s">
        <v>132</v>
      </c>
      <c r="AL851" t="s">
        <v>65</v>
      </c>
      <c r="AM851" s="3">
        <v>1.0138888888888888</v>
      </c>
      <c r="AN851" t="s">
        <v>66</v>
      </c>
      <c r="AO851" t="s">
        <v>67</v>
      </c>
    </row>
    <row r="852" spans="1:41" x14ac:dyDescent="0.2">
      <c r="A852">
        <v>372603</v>
      </c>
      <c r="B852" t="s">
        <v>6709</v>
      </c>
      <c r="C852" t="s">
        <v>278</v>
      </c>
      <c r="D852" t="s">
        <v>870</v>
      </c>
      <c r="E852" t="s">
        <v>6710</v>
      </c>
      <c r="F852">
        <v>420917</v>
      </c>
      <c r="G852" s="1">
        <v>42479</v>
      </c>
      <c r="H852" s="1">
        <v>45846</v>
      </c>
      <c r="I852" s="1">
        <v>46204</v>
      </c>
      <c r="J852" t="s">
        <v>45</v>
      </c>
      <c r="K852" t="s">
        <v>45</v>
      </c>
      <c r="L852" t="s">
        <v>46</v>
      </c>
      <c r="M852" s="1">
        <v>44074</v>
      </c>
      <c r="N852" t="s">
        <v>47</v>
      </c>
      <c r="O852" t="s">
        <v>48</v>
      </c>
      <c r="P852" t="s">
        <v>49</v>
      </c>
      <c r="Q852" t="s">
        <v>6711</v>
      </c>
      <c r="R852" t="s">
        <v>6712</v>
      </c>
      <c r="S852">
        <v>4348</v>
      </c>
      <c r="T852" t="s">
        <v>1328</v>
      </c>
      <c r="U852" t="s">
        <v>3114</v>
      </c>
      <c r="V852" t="s">
        <v>6697</v>
      </c>
      <c r="W852" t="s">
        <v>3116</v>
      </c>
      <c r="X852" t="s">
        <v>76</v>
      </c>
      <c r="Y852" t="s">
        <v>434</v>
      </c>
      <c r="Z852">
        <v>8428</v>
      </c>
      <c r="AA852">
        <v>31</v>
      </c>
      <c r="AB852">
        <v>78</v>
      </c>
      <c r="AC852" t="s">
        <v>6698</v>
      </c>
      <c r="AD852" t="s">
        <v>6699</v>
      </c>
      <c r="AE852" t="s">
        <v>6700</v>
      </c>
      <c r="AF852" t="s">
        <v>6701</v>
      </c>
      <c r="AG852" t="s">
        <v>6702</v>
      </c>
      <c r="AH852" t="s">
        <v>6703</v>
      </c>
      <c r="AI852" t="s">
        <v>6713</v>
      </c>
      <c r="AJ852" s="2">
        <v>45846.904270833336</v>
      </c>
      <c r="AK852" t="s">
        <v>132</v>
      </c>
      <c r="AL852" t="s">
        <v>65</v>
      </c>
      <c r="AM852" s="3">
        <v>1.0208333333333333</v>
      </c>
      <c r="AN852" t="s">
        <v>66</v>
      </c>
      <c r="AO852" t="s">
        <v>67</v>
      </c>
    </row>
    <row r="853" spans="1:41" x14ac:dyDescent="0.2">
      <c r="A853">
        <v>371079</v>
      </c>
      <c r="B853" t="s">
        <v>6714</v>
      </c>
      <c r="C853" t="s">
        <v>103</v>
      </c>
      <c r="D853" t="s">
        <v>516</v>
      </c>
      <c r="E853" s="5" t="s">
        <v>6715</v>
      </c>
      <c r="F853">
        <v>312501</v>
      </c>
      <c r="G853" s="1">
        <v>36614</v>
      </c>
      <c r="H853" s="1">
        <v>45280</v>
      </c>
      <c r="I853" s="1">
        <v>46310</v>
      </c>
      <c r="J853" t="s">
        <v>45</v>
      </c>
      <c r="K853" t="s">
        <v>45</v>
      </c>
      <c r="L853" t="s">
        <v>72</v>
      </c>
      <c r="M853" s="1">
        <v>45051</v>
      </c>
      <c r="N853" t="s">
        <v>47</v>
      </c>
      <c r="O853" t="s">
        <v>48</v>
      </c>
      <c r="P853" t="s">
        <v>49</v>
      </c>
      <c r="Q853" t="s">
        <v>6716</v>
      </c>
      <c r="R853" t="s">
        <v>6717</v>
      </c>
      <c r="S853">
        <v>565</v>
      </c>
      <c r="T853" t="s">
        <v>92</v>
      </c>
      <c r="U853" t="s">
        <v>107</v>
      </c>
      <c r="V853" t="s">
        <v>108</v>
      </c>
      <c r="W853" t="s">
        <v>109</v>
      </c>
      <c r="X853" t="s">
        <v>92</v>
      </c>
      <c r="Y853" t="s">
        <v>110</v>
      </c>
      <c r="Z853">
        <v>1594</v>
      </c>
      <c r="AA853">
        <v>48</v>
      </c>
      <c r="AB853">
        <v>160</v>
      </c>
      <c r="AC853" t="s">
        <v>4563</v>
      </c>
      <c r="AD853" t="s">
        <v>4564</v>
      </c>
      <c r="AE853" t="s">
        <v>6718</v>
      </c>
      <c r="AF853" t="s">
        <v>1464</v>
      </c>
      <c r="AG853" t="s">
        <v>4566</v>
      </c>
      <c r="AH853" t="s">
        <v>1465</v>
      </c>
      <c r="AI853" t="s">
        <v>4564</v>
      </c>
      <c r="AJ853" s="2">
        <v>45818.719537037039</v>
      </c>
      <c r="AK853" t="s">
        <v>100</v>
      </c>
      <c r="AL853" t="s">
        <v>65</v>
      </c>
      <c r="AM853" s="4">
        <v>0.6875</v>
      </c>
      <c r="AN853" t="s">
        <v>66</v>
      </c>
      <c r="AO853" t="s">
        <v>67</v>
      </c>
    </row>
    <row r="854" spans="1:41" x14ac:dyDescent="0.2">
      <c r="A854">
        <v>371111</v>
      </c>
      <c r="B854" t="s">
        <v>6719</v>
      </c>
      <c r="C854" t="s">
        <v>42</v>
      </c>
      <c r="D854" t="s">
        <v>2670</v>
      </c>
      <c r="E854">
        <v>52146036</v>
      </c>
      <c r="F854">
        <v>290205</v>
      </c>
      <c r="G854" s="1">
        <v>38540</v>
      </c>
      <c r="H854" s="1">
        <v>45791</v>
      </c>
      <c r="I854" s="1">
        <v>46174</v>
      </c>
      <c r="J854" t="s">
        <v>45</v>
      </c>
      <c r="K854" t="s">
        <v>45</v>
      </c>
      <c r="L854" t="s">
        <v>46</v>
      </c>
      <c r="N854" t="s">
        <v>47</v>
      </c>
      <c r="O854" t="s">
        <v>48</v>
      </c>
      <c r="P854" t="s">
        <v>49</v>
      </c>
      <c r="Q854" t="s">
        <v>6720</v>
      </c>
      <c r="R854" t="s">
        <v>6721</v>
      </c>
      <c r="S854">
        <v>6805</v>
      </c>
      <c r="T854" t="s">
        <v>296</v>
      </c>
      <c r="U854" t="s">
        <v>2674</v>
      </c>
      <c r="V854" t="s">
        <v>6722</v>
      </c>
      <c r="W854" t="s">
        <v>299</v>
      </c>
      <c r="X854" t="s">
        <v>55</v>
      </c>
      <c r="Y854" t="s">
        <v>56</v>
      </c>
      <c r="Z854">
        <v>2737</v>
      </c>
      <c r="AA854">
        <v>38</v>
      </c>
      <c r="AB854">
        <v>158</v>
      </c>
      <c r="AC854" t="s">
        <v>6723</v>
      </c>
      <c r="AD854" t="s">
        <v>6724</v>
      </c>
      <c r="AE854" t="s">
        <v>6725</v>
      </c>
      <c r="AF854" t="s">
        <v>6726</v>
      </c>
      <c r="AH854" t="s">
        <v>6727</v>
      </c>
      <c r="AI854" t="s">
        <v>2682</v>
      </c>
      <c r="AJ854" s="2">
        <v>45796.729421296295</v>
      </c>
      <c r="AK854" t="s">
        <v>609</v>
      </c>
      <c r="AL854" t="s">
        <v>65</v>
      </c>
      <c r="AM854" s="3">
        <v>1.1805555555555556</v>
      </c>
      <c r="AN854" t="s">
        <v>66</v>
      </c>
      <c r="AO854" t="s">
        <v>67</v>
      </c>
    </row>
    <row r="855" spans="1:41" x14ac:dyDescent="0.2">
      <c r="A855">
        <v>372686</v>
      </c>
      <c r="B855" t="s">
        <v>6728</v>
      </c>
      <c r="C855" t="s">
        <v>345</v>
      </c>
      <c r="D855" t="s">
        <v>6336</v>
      </c>
      <c r="E855" t="s">
        <v>6729</v>
      </c>
      <c r="F855">
        <v>51806</v>
      </c>
      <c r="G855" s="1">
        <v>40350</v>
      </c>
      <c r="H855" s="1">
        <v>45594</v>
      </c>
      <c r="I855" s="1">
        <v>46218</v>
      </c>
      <c r="J855" t="s">
        <v>45</v>
      </c>
      <c r="K855" t="s">
        <v>45</v>
      </c>
      <c r="L855" t="s">
        <v>72</v>
      </c>
      <c r="N855" t="s">
        <v>47</v>
      </c>
      <c r="O855" t="s">
        <v>48</v>
      </c>
      <c r="P855" t="s">
        <v>49</v>
      </c>
      <c r="Q855" t="s">
        <v>6730</v>
      </c>
      <c r="R855" t="s">
        <v>6731</v>
      </c>
      <c r="S855">
        <v>7973</v>
      </c>
      <c r="T855" t="s">
        <v>92</v>
      </c>
      <c r="U855" t="s">
        <v>350</v>
      </c>
      <c r="V855" t="s">
        <v>351</v>
      </c>
      <c r="W855" t="s">
        <v>6732</v>
      </c>
      <c r="X855" t="s">
        <v>92</v>
      </c>
      <c r="Y855" t="s">
        <v>110</v>
      </c>
      <c r="Z855">
        <v>3647</v>
      </c>
      <c r="AA855">
        <v>27</v>
      </c>
      <c r="AB855">
        <v>30</v>
      </c>
      <c r="AC855" t="s">
        <v>353</v>
      </c>
      <c r="AD855" t="s">
        <v>354</v>
      </c>
      <c r="AE855" t="s">
        <v>355</v>
      </c>
      <c r="AF855" t="s">
        <v>356</v>
      </c>
      <c r="AG855" t="s">
        <v>357</v>
      </c>
      <c r="AH855" t="s">
        <v>358</v>
      </c>
      <c r="AJ855" s="2">
        <v>45849.900300925925</v>
      </c>
      <c r="AK855" t="s">
        <v>100</v>
      </c>
      <c r="AL855" t="s">
        <v>65</v>
      </c>
      <c r="AM855" s="3">
        <v>1.2430555555555556</v>
      </c>
      <c r="AN855" t="s">
        <v>66</v>
      </c>
      <c r="AO855" t="s">
        <v>67</v>
      </c>
    </row>
    <row r="856" spans="1:41" x14ac:dyDescent="0.2">
      <c r="A856">
        <v>372681</v>
      </c>
      <c r="B856" t="s">
        <v>6733</v>
      </c>
      <c r="C856" t="s">
        <v>182</v>
      </c>
      <c r="D856" t="s">
        <v>6734</v>
      </c>
      <c r="E856" t="s">
        <v>6735</v>
      </c>
      <c r="F856">
        <v>41901</v>
      </c>
      <c r="G856" s="1">
        <v>37189</v>
      </c>
      <c r="H856" s="1">
        <v>45848</v>
      </c>
      <c r="I856" s="1">
        <v>46218</v>
      </c>
      <c r="J856" t="s">
        <v>45</v>
      </c>
      <c r="K856" t="s">
        <v>45</v>
      </c>
      <c r="L856" t="s">
        <v>429</v>
      </c>
      <c r="M856" s="1">
        <v>45812</v>
      </c>
      <c r="N856" t="s">
        <v>47</v>
      </c>
      <c r="O856" t="s">
        <v>48</v>
      </c>
      <c r="P856" t="s">
        <v>49</v>
      </c>
      <c r="Q856" t="s">
        <v>6736</v>
      </c>
      <c r="R856" t="s">
        <v>6737</v>
      </c>
      <c r="S856">
        <v>7182</v>
      </c>
      <c r="T856" t="s">
        <v>52</v>
      </c>
      <c r="U856">
        <v>5</v>
      </c>
      <c r="V856" t="s">
        <v>4389</v>
      </c>
      <c r="W856" t="s">
        <v>54</v>
      </c>
      <c r="X856" t="s">
        <v>493</v>
      </c>
      <c r="Y856" t="s">
        <v>434</v>
      </c>
      <c r="Z856">
        <v>1827</v>
      </c>
      <c r="AA856">
        <v>66</v>
      </c>
      <c r="AB856">
        <v>28</v>
      </c>
      <c r="AC856" t="s">
        <v>6738</v>
      </c>
      <c r="AD856" t="s">
        <v>6739</v>
      </c>
      <c r="AE856" t="s">
        <v>6740</v>
      </c>
      <c r="AF856" t="s">
        <v>6741</v>
      </c>
      <c r="AG856" t="s">
        <v>6742</v>
      </c>
      <c r="AH856" t="s">
        <v>6743</v>
      </c>
      <c r="AI856" t="s">
        <v>6744</v>
      </c>
      <c r="AJ856" s="2">
        <v>45849.858124999999</v>
      </c>
      <c r="AK856" t="s">
        <v>501</v>
      </c>
      <c r="AL856" t="s">
        <v>65</v>
      </c>
      <c r="AM856" s="4">
        <v>0.75694444444444442</v>
      </c>
      <c r="AN856" t="s">
        <v>66</v>
      </c>
      <c r="AO856" t="s">
        <v>67</v>
      </c>
    </row>
    <row r="857" spans="1:41" x14ac:dyDescent="0.2">
      <c r="A857">
        <v>368206</v>
      </c>
      <c r="B857" t="s">
        <v>6745</v>
      </c>
      <c r="C857" t="s">
        <v>42</v>
      </c>
      <c r="D857" t="s">
        <v>6746</v>
      </c>
      <c r="E857" t="s">
        <v>6747</v>
      </c>
      <c r="F857">
        <v>292302</v>
      </c>
      <c r="G857" s="1">
        <v>32948</v>
      </c>
      <c r="H857" s="1">
        <v>45700</v>
      </c>
      <c r="I857" s="1">
        <v>46054</v>
      </c>
      <c r="J857" t="s">
        <v>45</v>
      </c>
      <c r="K857" t="s">
        <v>45</v>
      </c>
      <c r="L857" t="s">
        <v>429</v>
      </c>
      <c r="M857" s="1">
        <v>42900</v>
      </c>
      <c r="N857" t="s">
        <v>47</v>
      </c>
      <c r="O857" t="s">
        <v>48</v>
      </c>
      <c r="P857" t="s">
        <v>49</v>
      </c>
      <c r="Q857" t="s">
        <v>6748</v>
      </c>
      <c r="R857" t="s">
        <v>6749</v>
      </c>
      <c r="S857">
        <v>5431</v>
      </c>
      <c r="T857" t="s">
        <v>365</v>
      </c>
      <c r="U857" t="s">
        <v>432</v>
      </c>
      <c r="V857" t="s">
        <v>4335</v>
      </c>
      <c r="W857" t="s">
        <v>367</v>
      </c>
      <c r="X857" t="s">
        <v>55</v>
      </c>
      <c r="Y857" t="s">
        <v>434</v>
      </c>
      <c r="Z857">
        <v>233</v>
      </c>
      <c r="AA857">
        <v>63</v>
      </c>
      <c r="AB857">
        <v>28</v>
      </c>
      <c r="AC857" t="s">
        <v>4375</v>
      </c>
      <c r="AD857" t="s">
        <v>4376</v>
      </c>
      <c r="AE857" t="s">
        <v>4377</v>
      </c>
      <c r="AF857" t="s">
        <v>4378</v>
      </c>
      <c r="AG857" t="s">
        <v>4340</v>
      </c>
      <c r="AH857" t="s">
        <v>4341</v>
      </c>
      <c r="AI857" t="s">
        <v>4342</v>
      </c>
      <c r="AJ857" s="2">
        <v>45706.688518518517</v>
      </c>
      <c r="AK857" t="s">
        <v>609</v>
      </c>
      <c r="AL857" t="s">
        <v>65</v>
      </c>
      <c r="AM857" s="3">
        <v>1.5069444444444444</v>
      </c>
      <c r="AN857" t="s">
        <v>66</v>
      </c>
      <c r="AO857" t="s">
        <v>67</v>
      </c>
    </row>
    <row r="858" spans="1:41" x14ac:dyDescent="0.2">
      <c r="A858">
        <v>372083</v>
      </c>
      <c r="B858" t="s">
        <v>6750</v>
      </c>
      <c r="C858" t="s">
        <v>323</v>
      </c>
      <c r="E858" t="s">
        <v>6751</v>
      </c>
      <c r="G858" s="1">
        <v>37480</v>
      </c>
      <c r="H858" s="1">
        <v>45827</v>
      </c>
      <c r="J858" t="s">
        <v>72</v>
      </c>
      <c r="K858" t="s">
        <v>326</v>
      </c>
      <c r="L858" t="s">
        <v>72</v>
      </c>
      <c r="N858" t="s">
        <v>47</v>
      </c>
      <c r="O858" t="s">
        <v>48</v>
      </c>
      <c r="P858" t="s">
        <v>406</v>
      </c>
      <c r="Q858" t="s">
        <v>6752</v>
      </c>
      <c r="R858" t="s">
        <v>6753</v>
      </c>
      <c r="S858">
        <v>2651</v>
      </c>
      <c r="T858" t="s">
        <v>257</v>
      </c>
      <c r="U858" t="s">
        <v>329</v>
      </c>
      <c r="V858" t="s">
        <v>6178</v>
      </c>
      <c r="W858" t="s">
        <v>3303</v>
      </c>
      <c r="X858" t="s">
        <v>257</v>
      </c>
      <c r="Y858" t="s">
        <v>642</v>
      </c>
      <c r="Z858">
        <v>2601</v>
      </c>
      <c r="AA858">
        <v>39</v>
      </c>
      <c r="AB858">
        <v>172</v>
      </c>
      <c r="AC858" t="s">
        <v>5079</v>
      </c>
      <c r="AD858" t="s">
        <v>1165</v>
      </c>
      <c r="AE858" t="s">
        <v>1166</v>
      </c>
      <c r="AF858" t="s">
        <v>4983</v>
      </c>
      <c r="AG858" t="s">
        <v>4984</v>
      </c>
      <c r="AH858" t="s">
        <v>4985</v>
      </c>
      <c r="AJ858" s="2">
        <v>45828.98741898148</v>
      </c>
      <c r="AK858" t="s">
        <v>1164</v>
      </c>
      <c r="AL858" t="s">
        <v>1168</v>
      </c>
      <c r="AM858" s="3">
        <v>1.4305555555555556</v>
      </c>
      <c r="AN858" t="s">
        <v>66</v>
      </c>
      <c r="AO858" t="s">
        <v>67</v>
      </c>
    </row>
    <row r="859" spans="1:41" x14ac:dyDescent="0.2">
      <c r="A859">
        <v>366150</v>
      </c>
      <c r="B859" t="s">
        <v>6754</v>
      </c>
      <c r="C859" t="s">
        <v>151</v>
      </c>
      <c r="D859" t="s">
        <v>6755</v>
      </c>
      <c r="E859" t="s">
        <v>6756</v>
      </c>
      <c r="F859">
        <v>380801</v>
      </c>
      <c r="G859" s="1">
        <v>43446</v>
      </c>
      <c r="H859" s="1">
        <v>45601</v>
      </c>
      <c r="I859" s="1">
        <v>45945</v>
      </c>
      <c r="J859" t="s">
        <v>45</v>
      </c>
      <c r="K859" t="s">
        <v>45</v>
      </c>
      <c r="L859" t="s">
        <v>72</v>
      </c>
      <c r="N859" t="s">
        <v>47</v>
      </c>
      <c r="O859" t="s">
        <v>48</v>
      </c>
      <c r="P859" t="s">
        <v>49</v>
      </c>
      <c r="Q859" t="s">
        <v>6757</v>
      </c>
      <c r="R859" t="s">
        <v>6758</v>
      </c>
      <c r="S859">
        <v>225</v>
      </c>
      <c r="T859" t="s">
        <v>92</v>
      </c>
      <c r="U859" t="s">
        <v>6005</v>
      </c>
      <c r="V859" t="s">
        <v>5510</v>
      </c>
      <c r="W859" t="s">
        <v>6006</v>
      </c>
      <c r="X859" t="s">
        <v>92</v>
      </c>
      <c r="Y859" t="s">
        <v>110</v>
      </c>
      <c r="Z859">
        <v>9206</v>
      </c>
      <c r="AA859">
        <v>13</v>
      </c>
      <c r="AB859">
        <v>45</v>
      </c>
      <c r="AC859" t="s">
        <v>6007</v>
      </c>
      <c r="AD859" t="s">
        <v>6008</v>
      </c>
      <c r="AE859" t="s">
        <v>6009</v>
      </c>
      <c r="AF859" t="s">
        <v>6759</v>
      </c>
      <c r="AG859" t="s">
        <v>6760</v>
      </c>
      <c r="AH859" t="s">
        <v>6761</v>
      </c>
      <c r="AJ859" s="2">
        <v>45604.555787037039</v>
      </c>
      <c r="AK859" t="s">
        <v>6007</v>
      </c>
      <c r="AL859" t="s">
        <v>65</v>
      </c>
      <c r="AM859" s="4">
        <v>0.65972222222222221</v>
      </c>
      <c r="AN859" t="s">
        <v>66</v>
      </c>
      <c r="AO859" t="s">
        <v>67</v>
      </c>
    </row>
    <row r="860" spans="1:41" x14ac:dyDescent="0.2">
      <c r="A860">
        <v>367219</v>
      </c>
      <c r="B860" t="s">
        <v>6762</v>
      </c>
      <c r="C860" t="s">
        <v>118</v>
      </c>
      <c r="D860" t="s">
        <v>1410</v>
      </c>
      <c r="E860" t="s">
        <v>6763</v>
      </c>
      <c r="G860" s="1">
        <v>45664</v>
      </c>
      <c r="H860" s="1">
        <v>45664</v>
      </c>
      <c r="I860" s="1">
        <v>46006</v>
      </c>
      <c r="J860" t="s">
        <v>45</v>
      </c>
      <c r="K860" t="s">
        <v>45</v>
      </c>
      <c r="L860" t="s">
        <v>46</v>
      </c>
      <c r="N860" t="s">
        <v>47</v>
      </c>
      <c r="O860" t="s">
        <v>48</v>
      </c>
      <c r="P860" t="s">
        <v>49</v>
      </c>
      <c r="Q860" t="s">
        <v>6764</v>
      </c>
      <c r="R860" t="s">
        <v>6765</v>
      </c>
      <c r="S860">
        <v>6505</v>
      </c>
      <c r="T860" t="s">
        <v>52</v>
      </c>
      <c r="U860">
        <v>3</v>
      </c>
      <c r="V860" t="s">
        <v>6686</v>
      </c>
      <c r="W860" t="s">
        <v>54</v>
      </c>
      <c r="X860" t="s">
        <v>55</v>
      </c>
      <c r="Y860" t="s">
        <v>56</v>
      </c>
      <c r="Z860">
        <v>12245</v>
      </c>
      <c r="AA860">
        <v>8</v>
      </c>
      <c r="AB860">
        <v>44</v>
      </c>
      <c r="AC860" t="s">
        <v>6766</v>
      </c>
      <c r="AD860" t="s">
        <v>6767</v>
      </c>
      <c r="AE860" t="s">
        <v>6768</v>
      </c>
      <c r="AF860" t="s">
        <v>6769</v>
      </c>
      <c r="AG860" t="s">
        <v>6770</v>
      </c>
      <c r="AI860" t="s">
        <v>6771</v>
      </c>
      <c r="AJ860" s="2">
        <v>45665.787847222222</v>
      </c>
      <c r="AK860" t="s">
        <v>609</v>
      </c>
      <c r="AL860" t="s">
        <v>65</v>
      </c>
      <c r="AM860" s="3">
        <v>1.6215277777777777</v>
      </c>
      <c r="AN860" t="s">
        <v>66</v>
      </c>
      <c r="AO860" t="s">
        <v>67</v>
      </c>
    </row>
    <row r="861" spans="1:41" x14ac:dyDescent="0.2">
      <c r="A861">
        <v>366992</v>
      </c>
      <c r="B861" t="s">
        <v>6772</v>
      </c>
      <c r="C861" t="s">
        <v>182</v>
      </c>
      <c r="D861" t="s">
        <v>1064</v>
      </c>
      <c r="E861" t="s">
        <v>6773</v>
      </c>
      <c r="F861">
        <v>40246</v>
      </c>
      <c r="G861" s="1">
        <v>40210</v>
      </c>
      <c r="H861" s="1">
        <v>45554</v>
      </c>
      <c r="I861" s="1">
        <v>45945</v>
      </c>
      <c r="J861" t="s">
        <v>45</v>
      </c>
      <c r="K861" t="s">
        <v>326</v>
      </c>
      <c r="L861" t="s">
        <v>46</v>
      </c>
      <c r="M861" s="1">
        <v>45191</v>
      </c>
      <c r="N861" t="s">
        <v>47</v>
      </c>
      <c r="O861" t="s">
        <v>48</v>
      </c>
      <c r="P861" t="s">
        <v>49</v>
      </c>
      <c r="Q861" t="s">
        <v>6774</v>
      </c>
      <c r="R861" t="s">
        <v>6775</v>
      </c>
      <c r="S861">
        <v>2296</v>
      </c>
      <c r="T861" t="s">
        <v>52</v>
      </c>
      <c r="U861">
        <v>5</v>
      </c>
      <c r="V861" t="s">
        <v>2947</v>
      </c>
      <c r="W861" t="s">
        <v>54</v>
      </c>
      <c r="X861" t="s">
        <v>493</v>
      </c>
      <c r="Y861" t="s">
        <v>434</v>
      </c>
      <c r="Z861">
        <v>3166</v>
      </c>
      <c r="AA861">
        <v>42</v>
      </c>
      <c r="AB861">
        <v>52</v>
      </c>
      <c r="AC861" t="s">
        <v>2948</v>
      </c>
      <c r="AD861" t="s">
        <v>2949</v>
      </c>
      <c r="AE861" t="s">
        <v>2950</v>
      </c>
      <c r="AF861" t="s">
        <v>6776</v>
      </c>
      <c r="AG861" t="s">
        <v>6777</v>
      </c>
      <c r="AH861" t="s">
        <v>6778</v>
      </c>
      <c r="AI861" t="s">
        <v>500</v>
      </c>
      <c r="AJ861" s="2">
        <v>45652.795081018521</v>
      </c>
      <c r="AK861" t="s">
        <v>501</v>
      </c>
      <c r="AL861" t="s">
        <v>65</v>
      </c>
      <c r="AM861" s="3">
        <v>2.3541666666666665</v>
      </c>
      <c r="AN861" t="s">
        <v>66</v>
      </c>
      <c r="AO861" t="s">
        <v>67</v>
      </c>
    </row>
    <row r="862" spans="1:41" x14ac:dyDescent="0.2">
      <c r="A862">
        <v>372965</v>
      </c>
      <c r="B862" t="s">
        <v>6779</v>
      </c>
      <c r="C862" t="s">
        <v>197</v>
      </c>
      <c r="D862" t="s">
        <v>6780</v>
      </c>
      <c r="E862" t="s">
        <v>6781</v>
      </c>
      <c r="F862">
        <v>93502</v>
      </c>
      <c r="G862" s="1">
        <v>41452</v>
      </c>
      <c r="H862" s="1">
        <v>45695</v>
      </c>
      <c r="I862" s="1">
        <v>46082</v>
      </c>
      <c r="J862" t="s">
        <v>45</v>
      </c>
      <c r="K862" t="s">
        <v>45</v>
      </c>
      <c r="L862" t="s">
        <v>46</v>
      </c>
      <c r="M862" s="1">
        <v>45351</v>
      </c>
      <c r="N862" t="s">
        <v>47</v>
      </c>
      <c r="O862" t="s">
        <v>48</v>
      </c>
      <c r="P862" t="s">
        <v>49</v>
      </c>
      <c r="Q862" t="s">
        <v>6782</v>
      </c>
      <c r="R862" t="s">
        <v>6783</v>
      </c>
      <c r="S862">
        <v>481</v>
      </c>
      <c r="T862" t="s">
        <v>52</v>
      </c>
      <c r="U862">
        <v>8</v>
      </c>
      <c r="V862" t="s">
        <v>993</v>
      </c>
      <c r="W862" t="s">
        <v>54</v>
      </c>
      <c r="X862" t="s">
        <v>76</v>
      </c>
      <c r="Y862" t="s">
        <v>56</v>
      </c>
      <c r="Z862">
        <v>5747</v>
      </c>
      <c r="AA862">
        <v>25</v>
      </c>
      <c r="AB862">
        <v>37</v>
      </c>
      <c r="AC862" t="s">
        <v>6784</v>
      </c>
      <c r="AD862" t="s">
        <v>6785</v>
      </c>
      <c r="AE862" t="s">
        <v>6786</v>
      </c>
      <c r="AF862" t="s">
        <v>6787</v>
      </c>
      <c r="AG862" t="s">
        <v>6788</v>
      </c>
      <c r="AH862" t="s">
        <v>6789</v>
      </c>
      <c r="AI862" t="s">
        <v>6790</v>
      </c>
      <c r="AJ862" s="2">
        <v>45855.963009259256</v>
      </c>
      <c r="AK862" t="s">
        <v>556</v>
      </c>
      <c r="AL862" t="s">
        <v>65</v>
      </c>
      <c r="AM862" s="4">
        <v>0.80555555555555558</v>
      </c>
      <c r="AN862" t="s">
        <v>66</v>
      </c>
      <c r="AO862" t="s">
        <v>101</v>
      </c>
    </row>
    <row r="863" spans="1:41" x14ac:dyDescent="0.2">
      <c r="A863">
        <v>370683</v>
      </c>
      <c r="B863" t="s">
        <v>6791</v>
      </c>
      <c r="C863" t="s">
        <v>323</v>
      </c>
      <c r="D863" t="s">
        <v>5007</v>
      </c>
      <c r="E863">
        <v>39627568</v>
      </c>
      <c r="G863" s="1">
        <v>40304</v>
      </c>
      <c r="H863" s="1">
        <v>45498</v>
      </c>
      <c r="J863" t="s">
        <v>326</v>
      </c>
      <c r="K863" t="s">
        <v>72</v>
      </c>
      <c r="L863" t="s">
        <v>72</v>
      </c>
      <c r="N863" t="s">
        <v>47</v>
      </c>
      <c r="O863" t="s">
        <v>48</v>
      </c>
      <c r="P863" t="s">
        <v>1752</v>
      </c>
      <c r="Q863" t="s">
        <v>6792</v>
      </c>
      <c r="R863" t="s">
        <v>6793</v>
      </c>
      <c r="S863">
        <v>50</v>
      </c>
      <c r="T863" t="s">
        <v>257</v>
      </c>
      <c r="U863" t="s">
        <v>329</v>
      </c>
      <c r="V863" t="s">
        <v>3302</v>
      </c>
      <c r="W863" t="s">
        <v>260</v>
      </c>
      <c r="X863" t="s">
        <v>257</v>
      </c>
      <c r="Y863" t="s">
        <v>410</v>
      </c>
      <c r="Z863">
        <v>4626</v>
      </c>
      <c r="AA863">
        <v>37</v>
      </c>
      <c r="AB863">
        <v>108</v>
      </c>
      <c r="AC863" t="s">
        <v>3304</v>
      </c>
      <c r="AD863" t="s">
        <v>3305</v>
      </c>
      <c r="AE863" t="s">
        <v>5011</v>
      </c>
      <c r="AF863" t="s">
        <v>3307</v>
      </c>
      <c r="AG863" t="s">
        <v>3308</v>
      </c>
      <c r="AH863" t="s">
        <v>3309</v>
      </c>
      <c r="AI863" t="s">
        <v>5012</v>
      </c>
      <c r="AJ863" s="2">
        <v>45782.96435185185</v>
      </c>
      <c r="AK863" t="s">
        <v>3304</v>
      </c>
      <c r="AL863" t="s">
        <v>1168</v>
      </c>
      <c r="AM863" s="3">
        <v>1.0208333333333333</v>
      </c>
      <c r="AN863" t="s">
        <v>66</v>
      </c>
      <c r="AO863" t="s">
        <v>67</v>
      </c>
    </row>
    <row r="864" spans="1:41" x14ac:dyDescent="0.2">
      <c r="A864">
        <v>367672</v>
      </c>
      <c r="B864" t="s">
        <v>6794</v>
      </c>
      <c r="C864" t="s">
        <v>1000</v>
      </c>
      <c r="D864" t="s">
        <v>6795</v>
      </c>
      <c r="E864" t="s">
        <v>6796</v>
      </c>
      <c r="F864">
        <v>403801</v>
      </c>
      <c r="G864" s="1">
        <v>39121</v>
      </c>
      <c r="H864" s="1">
        <v>45616</v>
      </c>
      <c r="J864" t="s">
        <v>45</v>
      </c>
      <c r="K864" t="s">
        <v>45</v>
      </c>
      <c r="L864" t="s">
        <v>72</v>
      </c>
      <c r="M864" s="1">
        <v>45616</v>
      </c>
      <c r="N864" t="s">
        <v>47</v>
      </c>
      <c r="O864" t="s">
        <v>48</v>
      </c>
      <c r="P864" t="s">
        <v>49</v>
      </c>
      <c r="Q864" t="s">
        <v>6797</v>
      </c>
      <c r="R864" t="s">
        <v>6798</v>
      </c>
      <c r="S864">
        <v>208</v>
      </c>
      <c r="T864" t="s">
        <v>92</v>
      </c>
      <c r="U864" t="s">
        <v>1005</v>
      </c>
      <c r="V864" t="s">
        <v>590</v>
      </c>
      <c r="W864" t="s">
        <v>1006</v>
      </c>
      <c r="X864" t="s">
        <v>52</v>
      </c>
      <c r="Y864" t="s">
        <v>770</v>
      </c>
      <c r="Z864">
        <v>2421</v>
      </c>
      <c r="AA864">
        <v>48</v>
      </c>
      <c r="AB864">
        <v>144</v>
      </c>
      <c r="AC864" t="s">
        <v>4136</v>
      </c>
      <c r="AD864" t="s">
        <v>4137</v>
      </c>
      <c r="AE864" t="s">
        <v>4138</v>
      </c>
      <c r="AI864" t="s">
        <v>1010</v>
      </c>
      <c r="AJ864" s="2">
        <v>45686.252824074072</v>
      </c>
      <c r="AK864" t="s">
        <v>1011</v>
      </c>
      <c r="AL864" t="s">
        <v>65</v>
      </c>
      <c r="AM864" s="4">
        <v>0.30555555555555558</v>
      </c>
      <c r="AN864" t="s">
        <v>66</v>
      </c>
      <c r="AO864" t="s">
        <v>67</v>
      </c>
    </row>
    <row r="865" spans="1:41" x14ac:dyDescent="0.2">
      <c r="A865">
        <v>370575</v>
      </c>
      <c r="B865" t="s">
        <v>6799</v>
      </c>
      <c r="C865" t="s">
        <v>323</v>
      </c>
      <c r="D865" t="s">
        <v>339</v>
      </c>
      <c r="E865" t="s">
        <v>6800</v>
      </c>
      <c r="F865">
        <v>500725</v>
      </c>
      <c r="G865" s="1">
        <v>33775</v>
      </c>
      <c r="H865" s="1">
        <v>45770</v>
      </c>
      <c r="I865" s="1">
        <v>46037</v>
      </c>
      <c r="J865" t="s">
        <v>45</v>
      </c>
      <c r="K865" t="s">
        <v>326</v>
      </c>
      <c r="L865" t="s">
        <v>72</v>
      </c>
      <c r="N865" t="s">
        <v>47</v>
      </c>
      <c r="O865" t="s">
        <v>48</v>
      </c>
      <c r="P865" t="s">
        <v>49</v>
      </c>
      <c r="Q865" t="s">
        <v>6801</v>
      </c>
      <c r="R865" t="s">
        <v>6802</v>
      </c>
      <c r="S865">
        <v>880</v>
      </c>
      <c r="T865" t="s">
        <v>257</v>
      </c>
      <c r="U865" t="s">
        <v>329</v>
      </c>
      <c r="V865" t="s">
        <v>2150</v>
      </c>
      <c r="W865" t="s">
        <v>260</v>
      </c>
      <c r="X865" t="s">
        <v>76</v>
      </c>
      <c r="Y865" t="s">
        <v>110</v>
      </c>
      <c r="Z865">
        <v>499</v>
      </c>
      <c r="AA865">
        <v>48</v>
      </c>
      <c r="AB865">
        <v>158</v>
      </c>
      <c r="AC865" t="s">
        <v>6803</v>
      </c>
      <c r="AD865" t="s">
        <v>337</v>
      </c>
      <c r="AE865" t="s">
        <v>6804</v>
      </c>
      <c r="AF865" t="s">
        <v>368</v>
      </c>
      <c r="AG865" t="s">
        <v>369</v>
      </c>
      <c r="AH865" t="s">
        <v>370</v>
      </c>
      <c r="AI865" t="s">
        <v>337</v>
      </c>
      <c r="AJ865" s="2">
        <v>45778.678310185183</v>
      </c>
      <c r="AK865" t="s">
        <v>368</v>
      </c>
      <c r="AL865" t="s">
        <v>65</v>
      </c>
      <c r="AM865" s="4">
        <v>0.86805555555555558</v>
      </c>
      <c r="AN865" t="s">
        <v>66</v>
      </c>
      <c r="AO865" t="s">
        <v>67</v>
      </c>
    </row>
    <row r="866" spans="1:41" x14ac:dyDescent="0.2">
      <c r="A866">
        <v>367058</v>
      </c>
      <c r="B866" t="s">
        <v>6799</v>
      </c>
      <c r="C866" t="s">
        <v>763</v>
      </c>
      <c r="D866" t="s">
        <v>6805</v>
      </c>
      <c r="E866" t="s">
        <v>6806</v>
      </c>
      <c r="F866">
        <v>476401</v>
      </c>
      <c r="G866" s="1">
        <v>43557</v>
      </c>
      <c r="H866" s="1">
        <v>45376</v>
      </c>
      <c r="J866" t="s">
        <v>45</v>
      </c>
      <c r="K866" t="s">
        <v>45</v>
      </c>
      <c r="L866" t="s">
        <v>72</v>
      </c>
      <c r="M866" s="1">
        <v>43962</v>
      </c>
      <c r="N866" t="s">
        <v>47</v>
      </c>
      <c r="O866" t="s">
        <v>48</v>
      </c>
      <c r="P866" t="s">
        <v>49</v>
      </c>
      <c r="Q866" t="s">
        <v>6807</v>
      </c>
      <c r="R866" t="s">
        <v>6808</v>
      </c>
      <c r="S866">
        <v>938</v>
      </c>
      <c r="T866" t="s">
        <v>92</v>
      </c>
      <c r="U866" t="s">
        <v>767</v>
      </c>
      <c r="V866" t="s">
        <v>768</v>
      </c>
      <c r="W866" t="s">
        <v>769</v>
      </c>
      <c r="X866" t="s">
        <v>92</v>
      </c>
      <c r="Y866" t="s">
        <v>770</v>
      </c>
      <c r="Z866">
        <v>10187</v>
      </c>
      <c r="AA866">
        <v>20</v>
      </c>
      <c r="AB866">
        <v>76</v>
      </c>
      <c r="AC866" t="s">
        <v>3210</v>
      </c>
      <c r="AD866" t="s">
        <v>3211</v>
      </c>
      <c r="AE866" t="s">
        <v>3212</v>
      </c>
      <c r="AF866" t="s">
        <v>774</v>
      </c>
      <c r="AG866" t="s">
        <v>775</v>
      </c>
      <c r="AH866" t="s">
        <v>776</v>
      </c>
      <c r="AI866" t="s">
        <v>3213</v>
      </c>
      <c r="AJ866" s="2">
        <v>45659.881631944445</v>
      </c>
      <c r="AK866" t="s">
        <v>3214</v>
      </c>
      <c r="AL866" t="s">
        <v>65</v>
      </c>
      <c r="AM866" s="4">
        <v>0.31944444444444442</v>
      </c>
      <c r="AN866" t="s">
        <v>66</v>
      </c>
      <c r="AO866" t="s">
        <v>67</v>
      </c>
    </row>
    <row r="867" spans="1:41" x14ac:dyDescent="0.2">
      <c r="A867">
        <v>372229</v>
      </c>
      <c r="B867" t="s">
        <v>6799</v>
      </c>
      <c r="C867" t="s">
        <v>69</v>
      </c>
      <c r="D867" t="s">
        <v>6193</v>
      </c>
      <c r="E867" t="s">
        <v>6809</v>
      </c>
      <c r="F867">
        <v>100717</v>
      </c>
      <c r="G867" s="1">
        <v>45833</v>
      </c>
      <c r="H867" s="1">
        <v>45515</v>
      </c>
      <c r="I867" s="1">
        <v>46204</v>
      </c>
      <c r="J867" t="s">
        <v>45</v>
      </c>
      <c r="K867" t="s">
        <v>45</v>
      </c>
      <c r="L867" t="s">
        <v>72</v>
      </c>
      <c r="M867" s="1">
        <v>44770</v>
      </c>
      <c r="N867" t="s">
        <v>47</v>
      </c>
      <c r="O867" t="s">
        <v>48</v>
      </c>
      <c r="P867" t="s">
        <v>49</v>
      </c>
      <c r="Q867" t="s">
        <v>6810</v>
      </c>
      <c r="R867" t="s">
        <v>6811</v>
      </c>
      <c r="S867">
        <v>5585</v>
      </c>
      <c r="T867" t="s">
        <v>52</v>
      </c>
      <c r="U867">
        <v>1</v>
      </c>
      <c r="V867" t="s">
        <v>4698</v>
      </c>
      <c r="W867" t="s">
        <v>54</v>
      </c>
      <c r="X867" t="s">
        <v>76</v>
      </c>
      <c r="Y867" t="s">
        <v>56</v>
      </c>
      <c r="Z867">
        <v>1629</v>
      </c>
      <c r="AA867">
        <v>85</v>
      </c>
      <c r="AB867">
        <v>152</v>
      </c>
      <c r="AC867" t="s">
        <v>6812</v>
      </c>
      <c r="AD867" t="s">
        <v>6813</v>
      </c>
      <c r="AE867" t="s">
        <v>6814</v>
      </c>
      <c r="AF867" t="s">
        <v>4702</v>
      </c>
      <c r="AG867" t="s">
        <v>4703</v>
      </c>
      <c r="AH867" t="s">
        <v>6200</v>
      </c>
      <c r="AI867" t="s">
        <v>6815</v>
      </c>
      <c r="AJ867" s="2">
        <v>45834.773263888892</v>
      </c>
      <c r="AK867" t="s">
        <v>375</v>
      </c>
      <c r="AL867" t="s">
        <v>65</v>
      </c>
      <c r="AM867" s="4">
        <v>0.28472222222222221</v>
      </c>
      <c r="AN867" t="s">
        <v>66</v>
      </c>
      <c r="AO867" t="s">
        <v>67</v>
      </c>
    </row>
    <row r="868" spans="1:41" x14ac:dyDescent="0.2">
      <c r="A868">
        <v>373042</v>
      </c>
      <c r="B868" t="s">
        <v>6799</v>
      </c>
      <c r="C868" t="s">
        <v>692</v>
      </c>
      <c r="D868" t="s">
        <v>3845</v>
      </c>
      <c r="E868" t="s">
        <v>6816</v>
      </c>
      <c r="F868">
        <v>480214</v>
      </c>
      <c r="G868" s="1">
        <v>36328</v>
      </c>
      <c r="H868" s="1">
        <v>45501</v>
      </c>
      <c r="I868" s="1">
        <v>46204</v>
      </c>
      <c r="J868" t="s">
        <v>45</v>
      </c>
      <c r="K868" t="s">
        <v>45</v>
      </c>
      <c r="L868" t="s">
        <v>429</v>
      </c>
      <c r="N868" t="s">
        <v>47</v>
      </c>
      <c r="O868" t="s">
        <v>48</v>
      </c>
      <c r="P868" t="s">
        <v>49</v>
      </c>
      <c r="Q868" t="s">
        <v>6817</v>
      </c>
      <c r="R868" t="s">
        <v>6818</v>
      </c>
      <c r="S868">
        <v>7500</v>
      </c>
      <c r="T868" t="s">
        <v>52</v>
      </c>
      <c r="U868">
        <v>2</v>
      </c>
      <c r="V868" t="s">
        <v>5779</v>
      </c>
      <c r="W868" t="s">
        <v>54</v>
      </c>
      <c r="X868" t="s">
        <v>76</v>
      </c>
      <c r="Y868" t="s">
        <v>56</v>
      </c>
      <c r="Z868">
        <v>1624</v>
      </c>
      <c r="AA868">
        <v>47</v>
      </c>
      <c r="AB868">
        <v>158</v>
      </c>
      <c r="AC868" t="s">
        <v>2252</v>
      </c>
      <c r="AD868" t="s">
        <v>5780</v>
      </c>
      <c r="AE868" t="s">
        <v>2254</v>
      </c>
      <c r="AF868" t="s">
        <v>5781</v>
      </c>
      <c r="AG868" t="s">
        <v>5782</v>
      </c>
      <c r="AH868" t="s">
        <v>6819</v>
      </c>
      <c r="AI868" t="s">
        <v>6820</v>
      </c>
      <c r="AJ868" s="2">
        <v>45856.057326388887</v>
      </c>
      <c r="AK868" t="s">
        <v>556</v>
      </c>
      <c r="AL868" t="s">
        <v>65</v>
      </c>
      <c r="AM868" s="3">
        <v>2.375</v>
      </c>
      <c r="AN868" t="s">
        <v>66</v>
      </c>
      <c r="AO868" t="s">
        <v>67</v>
      </c>
    </row>
    <row r="869" spans="1:41" x14ac:dyDescent="0.2">
      <c r="A869">
        <v>364507</v>
      </c>
      <c r="B869" t="s">
        <v>6821</v>
      </c>
      <c r="C869" t="s">
        <v>167</v>
      </c>
      <c r="D869" t="s">
        <v>6822</v>
      </c>
      <c r="E869" t="s">
        <v>6823</v>
      </c>
      <c r="F869">
        <v>350728</v>
      </c>
      <c r="G869" s="1">
        <v>38198</v>
      </c>
      <c r="H869" s="1">
        <v>45463</v>
      </c>
      <c r="I869" s="1">
        <v>46143</v>
      </c>
      <c r="J869" t="s">
        <v>45</v>
      </c>
      <c r="K869" t="s">
        <v>326</v>
      </c>
      <c r="L869" t="s">
        <v>72</v>
      </c>
      <c r="M869" s="1">
        <v>43593</v>
      </c>
      <c r="N869" t="s">
        <v>47</v>
      </c>
      <c r="O869" t="s">
        <v>48</v>
      </c>
      <c r="P869" t="s">
        <v>49</v>
      </c>
      <c r="Q869" t="s">
        <v>6824</v>
      </c>
      <c r="R869" t="s">
        <v>6825</v>
      </c>
      <c r="S869">
        <v>737</v>
      </c>
      <c r="T869" t="s">
        <v>92</v>
      </c>
      <c r="U869" t="s">
        <v>3030</v>
      </c>
      <c r="V869" t="s">
        <v>3031</v>
      </c>
      <c r="W869" t="s">
        <v>3032</v>
      </c>
      <c r="X869" t="s">
        <v>52</v>
      </c>
      <c r="Y869" t="s">
        <v>110</v>
      </c>
      <c r="Z869">
        <v>2178</v>
      </c>
      <c r="AA869">
        <v>38</v>
      </c>
      <c r="AB869">
        <v>176</v>
      </c>
      <c r="AC869" t="s">
        <v>6826</v>
      </c>
      <c r="AD869" t="s">
        <v>6827</v>
      </c>
      <c r="AE869" t="s">
        <v>6828</v>
      </c>
      <c r="AF869" t="s">
        <v>6829</v>
      </c>
      <c r="AG869" t="s">
        <v>6830</v>
      </c>
      <c r="AH869" t="s">
        <v>6831</v>
      </c>
      <c r="AI869" t="s">
        <v>6832</v>
      </c>
      <c r="AJ869" s="2">
        <v>45548.766018518516</v>
      </c>
      <c r="AK869" t="s">
        <v>6826</v>
      </c>
      <c r="AL869" t="s">
        <v>475</v>
      </c>
      <c r="AM869" s="4">
        <v>0.54861111111111116</v>
      </c>
      <c r="AN869" t="s">
        <v>66</v>
      </c>
      <c r="AO869" t="s">
        <v>67</v>
      </c>
    </row>
    <row r="870" spans="1:41" x14ac:dyDescent="0.2">
      <c r="A870">
        <v>371828</v>
      </c>
      <c r="B870" t="s">
        <v>6833</v>
      </c>
      <c r="C870" t="s">
        <v>182</v>
      </c>
      <c r="D870" t="s">
        <v>3956</v>
      </c>
      <c r="E870" t="s">
        <v>6834</v>
      </c>
      <c r="F870">
        <v>40802</v>
      </c>
      <c r="G870" s="1">
        <v>36455</v>
      </c>
      <c r="H870" s="1">
        <v>45819</v>
      </c>
      <c r="I870" s="1">
        <v>46204</v>
      </c>
      <c r="J870" t="s">
        <v>45</v>
      </c>
      <c r="K870" t="s">
        <v>45</v>
      </c>
      <c r="L870" t="s">
        <v>429</v>
      </c>
      <c r="M870" s="1">
        <v>44307</v>
      </c>
      <c r="N870" t="s">
        <v>47</v>
      </c>
      <c r="O870" t="s">
        <v>48</v>
      </c>
      <c r="P870" t="s">
        <v>49</v>
      </c>
      <c r="Q870" t="s">
        <v>6835</v>
      </c>
      <c r="R870" t="s">
        <v>6836</v>
      </c>
      <c r="S870">
        <v>3713</v>
      </c>
      <c r="T870" t="s">
        <v>52</v>
      </c>
      <c r="U870">
        <v>5</v>
      </c>
      <c r="V870" t="s">
        <v>492</v>
      </c>
      <c r="W870" t="s">
        <v>54</v>
      </c>
      <c r="X870" t="s">
        <v>493</v>
      </c>
      <c r="Y870" t="s">
        <v>434</v>
      </c>
      <c r="Z870">
        <v>1480</v>
      </c>
      <c r="AA870">
        <v>50</v>
      </c>
      <c r="AB870">
        <v>34</v>
      </c>
      <c r="AC870" t="s">
        <v>494</v>
      </c>
      <c r="AD870" t="s">
        <v>495</v>
      </c>
      <c r="AE870" t="s">
        <v>496</v>
      </c>
      <c r="AF870" t="s">
        <v>497</v>
      </c>
      <c r="AG870" t="s">
        <v>498</v>
      </c>
      <c r="AH870" t="s">
        <v>499</v>
      </c>
      <c r="AI870" t="s">
        <v>500</v>
      </c>
      <c r="AJ870" s="2">
        <v>45820.624722222223</v>
      </c>
      <c r="AK870" t="s">
        <v>501</v>
      </c>
      <c r="AL870" t="s">
        <v>65</v>
      </c>
      <c r="AM870" s="4">
        <v>0.15277777777777779</v>
      </c>
      <c r="AN870" t="s">
        <v>66</v>
      </c>
      <c r="AO870" t="s">
        <v>67</v>
      </c>
    </row>
    <row r="871" spans="1:41" x14ac:dyDescent="0.2">
      <c r="A871">
        <v>371540</v>
      </c>
      <c r="B871" t="s">
        <v>6837</v>
      </c>
      <c r="C871" t="s">
        <v>323</v>
      </c>
      <c r="D871" t="s">
        <v>4275</v>
      </c>
      <c r="E871" t="s">
        <v>6838</v>
      </c>
      <c r="F871">
        <v>500970</v>
      </c>
      <c r="G871" s="1">
        <v>39706</v>
      </c>
      <c r="H871" s="1">
        <v>45813</v>
      </c>
      <c r="I871" s="1">
        <v>46037</v>
      </c>
      <c r="J871" t="s">
        <v>45</v>
      </c>
      <c r="K871" t="s">
        <v>45</v>
      </c>
      <c r="L871" t="s">
        <v>72</v>
      </c>
      <c r="M871" s="1">
        <v>45421</v>
      </c>
      <c r="N871" t="s">
        <v>47</v>
      </c>
      <c r="O871" t="s">
        <v>48</v>
      </c>
      <c r="P871" t="s">
        <v>49</v>
      </c>
      <c r="Q871" t="s">
        <v>6839</v>
      </c>
      <c r="R871" t="s">
        <v>6840</v>
      </c>
      <c r="S871">
        <v>464</v>
      </c>
      <c r="T871" t="s">
        <v>92</v>
      </c>
      <c r="U871" t="s">
        <v>329</v>
      </c>
      <c r="V871" t="s">
        <v>722</v>
      </c>
      <c r="W871" t="s">
        <v>723</v>
      </c>
      <c r="X871" t="s">
        <v>257</v>
      </c>
      <c r="Y871" t="s">
        <v>110</v>
      </c>
      <c r="Z871">
        <v>2757</v>
      </c>
      <c r="AA871">
        <v>52</v>
      </c>
      <c r="AB871">
        <v>158</v>
      </c>
      <c r="AC871" t="s">
        <v>368</v>
      </c>
      <c r="AD871" t="s">
        <v>369</v>
      </c>
      <c r="AE871" t="s">
        <v>370</v>
      </c>
      <c r="AF871" t="s">
        <v>724</v>
      </c>
      <c r="AG871" t="s">
        <v>725</v>
      </c>
      <c r="AH871" t="s">
        <v>726</v>
      </c>
      <c r="AJ871" s="2">
        <v>45814.700844907406</v>
      </c>
      <c r="AK871" t="s">
        <v>331</v>
      </c>
      <c r="AL871" t="s">
        <v>65</v>
      </c>
      <c r="AM871" s="3">
        <v>2.3402777777777777</v>
      </c>
      <c r="AN871" t="s">
        <v>66</v>
      </c>
      <c r="AO871" t="s">
        <v>67</v>
      </c>
    </row>
    <row r="872" spans="1:41" x14ac:dyDescent="0.2">
      <c r="A872">
        <v>371578</v>
      </c>
      <c r="B872" t="s">
        <v>6841</v>
      </c>
      <c r="C872" t="s">
        <v>662</v>
      </c>
      <c r="D872" t="s">
        <v>1277</v>
      </c>
      <c r="E872" t="s">
        <v>6842</v>
      </c>
      <c r="F872">
        <v>417904</v>
      </c>
      <c r="G872" s="1">
        <v>41410</v>
      </c>
      <c r="H872" s="1">
        <v>45673</v>
      </c>
      <c r="J872" t="s">
        <v>45</v>
      </c>
      <c r="K872" t="s">
        <v>45</v>
      </c>
      <c r="L872" t="s">
        <v>72</v>
      </c>
      <c r="N872" t="s">
        <v>47</v>
      </c>
      <c r="O872" t="s">
        <v>48</v>
      </c>
      <c r="P872" t="s">
        <v>49</v>
      </c>
      <c r="Q872" t="s">
        <v>6843</v>
      </c>
      <c r="R872" t="s">
        <v>6844</v>
      </c>
      <c r="S872">
        <v>442</v>
      </c>
      <c r="T872" t="s">
        <v>92</v>
      </c>
      <c r="U872" t="s">
        <v>1197</v>
      </c>
      <c r="V872" t="s">
        <v>1198</v>
      </c>
      <c r="W872" t="s">
        <v>1199</v>
      </c>
      <c r="X872" t="s">
        <v>92</v>
      </c>
      <c r="Y872" t="s">
        <v>770</v>
      </c>
      <c r="Z872">
        <v>6206</v>
      </c>
      <c r="AA872">
        <v>19</v>
      </c>
      <c r="AB872">
        <v>78</v>
      </c>
      <c r="AC872" t="s">
        <v>6845</v>
      </c>
      <c r="AD872" t="s">
        <v>1201</v>
      </c>
      <c r="AE872" t="s">
        <v>1202</v>
      </c>
      <c r="AF872" t="s">
        <v>6846</v>
      </c>
      <c r="AG872" t="s">
        <v>6847</v>
      </c>
      <c r="AH872" t="s">
        <v>6848</v>
      </c>
      <c r="AJ872" s="2">
        <v>45816.872650462959</v>
      </c>
      <c r="AK872" t="s">
        <v>132</v>
      </c>
      <c r="AL872" t="s">
        <v>65</v>
      </c>
      <c r="AM872" s="4">
        <v>0.77777777777777779</v>
      </c>
      <c r="AN872" t="s">
        <v>66</v>
      </c>
      <c r="AO872" t="s">
        <v>67</v>
      </c>
    </row>
    <row r="873" spans="1:41" x14ac:dyDescent="0.2">
      <c r="A873">
        <v>364896</v>
      </c>
      <c r="B873" t="s">
        <v>6849</v>
      </c>
      <c r="C873" t="s">
        <v>3878</v>
      </c>
      <c r="D873" t="s">
        <v>6850</v>
      </c>
      <c r="E873" t="s">
        <v>6851</v>
      </c>
      <c r="J873" t="s">
        <v>45</v>
      </c>
      <c r="K873" t="s">
        <v>45</v>
      </c>
      <c r="L873" t="s">
        <v>72</v>
      </c>
      <c r="N873" t="s">
        <v>89</v>
      </c>
      <c r="O873" t="s">
        <v>48</v>
      </c>
      <c r="P873" t="s">
        <v>49</v>
      </c>
      <c r="Q873" t="s">
        <v>6852</v>
      </c>
      <c r="R873" t="s">
        <v>6853</v>
      </c>
      <c r="S873">
        <v>3869</v>
      </c>
      <c r="T873" t="s">
        <v>52</v>
      </c>
      <c r="U873">
        <v>8</v>
      </c>
      <c r="V873" t="s">
        <v>4254</v>
      </c>
      <c r="W873" t="s">
        <v>54</v>
      </c>
      <c r="X873" t="s">
        <v>76</v>
      </c>
      <c r="Y873" t="s">
        <v>56</v>
      </c>
      <c r="Z873">
        <v>12288</v>
      </c>
      <c r="AA873">
        <v>2</v>
      </c>
      <c r="AB873">
        <v>15</v>
      </c>
      <c r="AC873" t="s">
        <v>4576</v>
      </c>
      <c r="AD873" t="s">
        <v>4577</v>
      </c>
      <c r="AE873" t="s">
        <v>4578</v>
      </c>
      <c r="AF873" t="s">
        <v>4579</v>
      </c>
      <c r="AG873" t="s">
        <v>4580</v>
      </c>
      <c r="AH873" t="s">
        <v>4581</v>
      </c>
      <c r="AI873" t="s">
        <v>179</v>
      </c>
      <c r="AJ873" s="2">
        <v>45562.855729166666</v>
      </c>
      <c r="AK873" t="s">
        <v>100</v>
      </c>
      <c r="AL873" t="s">
        <v>65</v>
      </c>
      <c r="AM873" s="4">
        <v>0.73958333333333337</v>
      </c>
      <c r="AN873" t="s">
        <v>66</v>
      </c>
      <c r="AO873" t="s">
        <v>101</v>
      </c>
    </row>
    <row r="874" spans="1:41" x14ac:dyDescent="0.2">
      <c r="A874">
        <v>370859</v>
      </c>
      <c r="B874" t="s">
        <v>6854</v>
      </c>
      <c r="C874" t="s">
        <v>831</v>
      </c>
      <c r="D874" t="s">
        <v>5488</v>
      </c>
      <c r="E874" t="s">
        <v>6855</v>
      </c>
      <c r="G874" s="1">
        <v>45785</v>
      </c>
      <c r="H874" s="1">
        <v>45568</v>
      </c>
      <c r="I874" s="1">
        <v>45976</v>
      </c>
      <c r="J874" t="s">
        <v>45</v>
      </c>
      <c r="K874" t="s">
        <v>45</v>
      </c>
      <c r="L874" t="s">
        <v>72</v>
      </c>
      <c r="M874" s="1">
        <v>42761</v>
      </c>
      <c r="N874" t="s">
        <v>47</v>
      </c>
      <c r="O874" t="s">
        <v>121</v>
      </c>
      <c r="P874" t="s">
        <v>49</v>
      </c>
      <c r="Q874" t="s">
        <v>6856</v>
      </c>
      <c r="R874" t="s">
        <v>6857</v>
      </c>
      <c r="S874">
        <v>620</v>
      </c>
      <c r="T874" t="s">
        <v>52</v>
      </c>
      <c r="U874">
        <v>8</v>
      </c>
      <c r="V874" t="s">
        <v>4806</v>
      </c>
      <c r="W874" t="s">
        <v>54</v>
      </c>
      <c r="X874" t="s">
        <v>52</v>
      </c>
      <c r="Y874" t="s">
        <v>125</v>
      </c>
      <c r="Z874">
        <v>8386</v>
      </c>
      <c r="AA874">
        <v>63</v>
      </c>
      <c r="AB874">
        <v>45</v>
      </c>
      <c r="AC874" t="s">
        <v>5773</v>
      </c>
      <c r="AD874" t="s">
        <v>5774</v>
      </c>
      <c r="AE874" t="s">
        <v>5775</v>
      </c>
      <c r="AF874" t="s">
        <v>6858</v>
      </c>
      <c r="AG874" t="s">
        <v>6859</v>
      </c>
      <c r="AH874" t="s">
        <v>6860</v>
      </c>
      <c r="AJ874" s="2">
        <v>45785.882488425923</v>
      </c>
      <c r="AK874" t="s">
        <v>650</v>
      </c>
      <c r="AL874" t="s">
        <v>65</v>
      </c>
      <c r="AM874" s="4">
        <v>0.56944444444444442</v>
      </c>
      <c r="AN874" t="s">
        <v>66</v>
      </c>
      <c r="AO874" t="s">
        <v>101</v>
      </c>
    </row>
    <row r="875" spans="1:41" x14ac:dyDescent="0.2">
      <c r="A875">
        <v>372482</v>
      </c>
      <c r="B875" t="s">
        <v>6861</v>
      </c>
      <c r="C875" t="s">
        <v>412</v>
      </c>
      <c r="D875" t="s">
        <v>6862</v>
      </c>
      <c r="E875" t="s">
        <v>6863</v>
      </c>
      <c r="F875">
        <v>305702</v>
      </c>
      <c r="G875" s="1">
        <v>38168</v>
      </c>
      <c r="H875" s="1">
        <v>45839</v>
      </c>
      <c r="J875" t="s">
        <v>45</v>
      </c>
      <c r="K875" t="s">
        <v>45</v>
      </c>
      <c r="L875" t="s">
        <v>72</v>
      </c>
      <c r="N875" t="s">
        <v>47</v>
      </c>
      <c r="O875" t="s">
        <v>48</v>
      </c>
      <c r="P875" t="s">
        <v>49</v>
      </c>
      <c r="Q875" t="s">
        <v>6864</v>
      </c>
      <c r="R875" t="s">
        <v>6865</v>
      </c>
      <c r="S875">
        <v>100</v>
      </c>
      <c r="T875" t="s">
        <v>92</v>
      </c>
      <c r="U875" t="s">
        <v>417</v>
      </c>
      <c r="V875" t="s">
        <v>418</v>
      </c>
      <c r="W875" t="s">
        <v>419</v>
      </c>
      <c r="X875" t="s">
        <v>92</v>
      </c>
      <c r="Y875" t="s">
        <v>450</v>
      </c>
      <c r="Z875">
        <v>10386</v>
      </c>
      <c r="AA875">
        <v>12</v>
      </c>
      <c r="AB875">
        <v>45</v>
      </c>
      <c r="AC875" t="s">
        <v>6866</v>
      </c>
      <c r="AD875" t="s">
        <v>6867</v>
      </c>
      <c r="AE875" t="s">
        <v>6868</v>
      </c>
      <c r="AF875" t="s">
        <v>6869</v>
      </c>
      <c r="AG875" t="s">
        <v>6870</v>
      </c>
      <c r="AH875" t="s">
        <v>6871</v>
      </c>
      <c r="AJ875" s="2">
        <v>45840.813136574077</v>
      </c>
      <c r="AK875" t="s">
        <v>456</v>
      </c>
      <c r="AL875" t="s">
        <v>65</v>
      </c>
      <c r="AM875" s="3">
        <v>1.9027777777777777</v>
      </c>
      <c r="AN875" t="s">
        <v>66</v>
      </c>
      <c r="AO875" t="s">
        <v>67</v>
      </c>
    </row>
    <row r="876" spans="1:41" x14ac:dyDescent="0.2">
      <c r="A876">
        <v>365999</v>
      </c>
      <c r="B876" t="s">
        <v>6872</v>
      </c>
      <c r="C876" t="s">
        <v>676</v>
      </c>
      <c r="D876" t="s">
        <v>6873</v>
      </c>
      <c r="E876" t="s">
        <v>6874</v>
      </c>
      <c r="F876">
        <v>281501</v>
      </c>
      <c r="G876" s="1">
        <v>37554</v>
      </c>
      <c r="H876" s="1">
        <v>45596</v>
      </c>
      <c r="I876" s="1">
        <v>45962</v>
      </c>
      <c r="J876" t="s">
        <v>45</v>
      </c>
      <c r="K876" t="s">
        <v>45</v>
      </c>
      <c r="L876" t="s">
        <v>72</v>
      </c>
      <c r="M876" s="1">
        <v>45271</v>
      </c>
      <c r="N876" t="s">
        <v>47</v>
      </c>
      <c r="O876" t="s">
        <v>48</v>
      </c>
      <c r="P876" t="s">
        <v>49</v>
      </c>
      <c r="Q876" t="s">
        <v>6875</v>
      </c>
      <c r="R876" t="s">
        <v>6876</v>
      </c>
      <c r="S876">
        <v>20</v>
      </c>
      <c r="T876" t="s">
        <v>156</v>
      </c>
      <c r="U876" t="s">
        <v>1446</v>
      </c>
      <c r="V876" t="s">
        <v>6877</v>
      </c>
      <c r="W876" t="s">
        <v>159</v>
      </c>
      <c r="X876" t="s">
        <v>156</v>
      </c>
      <c r="Y876" t="s">
        <v>110</v>
      </c>
      <c r="Z876">
        <v>1544</v>
      </c>
      <c r="AA876">
        <v>40</v>
      </c>
      <c r="AB876">
        <v>37</v>
      </c>
      <c r="AC876" t="s">
        <v>6878</v>
      </c>
      <c r="AD876" t="s">
        <v>6879</v>
      </c>
      <c r="AE876" t="s">
        <v>6880</v>
      </c>
      <c r="AF876" t="s">
        <v>6881</v>
      </c>
      <c r="AG876" t="s">
        <v>2808</v>
      </c>
      <c r="AH876" t="s">
        <v>2809</v>
      </c>
      <c r="AI876" t="s">
        <v>1454</v>
      </c>
      <c r="AJ876" s="2">
        <v>45600.724421296298</v>
      </c>
      <c r="AK876" t="s">
        <v>6881</v>
      </c>
      <c r="AL876" t="s">
        <v>65</v>
      </c>
      <c r="AM876" s="3">
        <v>1.3020833333333333</v>
      </c>
      <c r="AN876" t="s">
        <v>66</v>
      </c>
      <c r="AO876" t="s">
        <v>101</v>
      </c>
    </row>
    <row r="877" spans="1:41" x14ac:dyDescent="0.2">
      <c r="A877">
        <v>364967</v>
      </c>
      <c r="B877" t="s">
        <v>6882</v>
      </c>
      <c r="C877" t="s">
        <v>692</v>
      </c>
      <c r="D877" t="s">
        <v>4533</v>
      </c>
      <c r="E877" t="s">
        <v>6883</v>
      </c>
      <c r="F877">
        <v>480501</v>
      </c>
      <c r="G877" s="1">
        <v>32364</v>
      </c>
      <c r="H877" s="1">
        <v>45560</v>
      </c>
      <c r="I877" s="1">
        <v>46296</v>
      </c>
      <c r="J877" t="s">
        <v>45</v>
      </c>
      <c r="K877" t="s">
        <v>45</v>
      </c>
      <c r="L877" t="s">
        <v>429</v>
      </c>
      <c r="M877" s="1">
        <v>40845</v>
      </c>
      <c r="N877" t="s">
        <v>47</v>
      </c>
      <c r="O877" t="s">
        <v>48</v>
      </c>
      <c r="P877" t="s">
        <v>49</v>
      </c>
      <c r="Q877" t="s">
        <v>6884</v>
      </c>
      <c r="R877" t="s">
        <v>6885</v>
      </c>
      <c r="S877">
        <v>4397</v>
      </c>
      <c r="T877" t="s">
        <v>365</v>
      </c>
      <c r="U877" t="s">
        <v>432</v>
      </c>
      <c r="V877" t="s">
        <v>3668</v>
      </c>
      <c r="W877" t="s">
        <v>367</v>
      </c>
      <c r="X877" t="s">
        <v>76</v>
      </c>
      <c r="Y877" t="s">
        <v>434</v>
      </c>
      <c r="Z877">
        <v>375</v>
      </c>
      <c r="AA877">
        <v>58</v>
      </c>
      <c r="AB877">
        <v>158</v>
      </c>
      <c r="AC877" t="s">
        <v>6886</v>
      </c>
      <c r="AD877" t="s">
        <v>3670</v>
      </c>
      <c r="AE877" t="s">
        <v>3671</v>
      </c>
      <c r="AF877" t="s">
        <v>4528</v>
      </c>
      <c r="AG877" t="s">
        <v>4529</v>
      </c>
      <c r="AH877" t="s">
        <v>4530</v>
      </c>
      <c r="AI877" t="s">
        <v>6887</v>
      </c>
      <c r="AJ877" s="2">
        <v>45566.534270833334</v>
      </c>
      <c r="AK877" t="s">
        <v>568</v>
      </c>
      <c r="AL877" t="s">
        <v>65</v>
      </c>
      <c r="AM877" s="3">
        <v>2.125</v>
      </c>
      <c r="AN877" t="s">
        <v>66</v>
      </c>
      <c r="AO877" t="s">
        <v>67</v>
      </c>
    </row>
    <row r="878" spans="1:41" x14ac:dyDescent="0.2">
      <c r="A878">
        <v>373000</v>
      </c>
      <c r="B878" t="s">
        <v>6888</v>
      </c>
      <c r="C878" t="s">
        <v>788</v>
      </c>
      <c r="D878" t="s">
        <v>2871</v>
      </c>
      <c r="E878">
        <v>32876570</v>
      </c>
      <c r="F878">
        <v>81302</v>
      </c>
      <c r="G878" s="1">
        <v>34205</v>
      </c>
      <c r="H878" s="1">
        <v>45628</v>
      </c>
      <c r="I878" s="1">
        <v>45992</v>
      </c>
      <c r="J878" t="s">
        <v>45</v>
      </c>
      <c r="K878" t="s">
        <v>45</v>
      </c>
      <c r="L878" t="s">
        <v>46</v>
      </c>
      <c r="M878" s="1">
        <v>44830</v>
      </c>
      <c r="N878" t="s">
        <v>47</v>
      </c>
      <c r="O878" t="s">
        <v>48</v>
      </c>
      <c r="P878" t="s">
        <v>49</v>
      </c>
      <c r="Q878" t="s">
        <v>6889</v>
      </c>
      <c r="R878" t="s">
        <v>6890</v>
      </c>
      <c r="S878">
        <v>131</v>
      </c>
      <c r="T878" t="s">
        <v>52</v>
      </c>
      <c r="U878">
        <v>8</v>
      </c>
      <c r="V878" t="s">
        <v>793</v>
      </c>
      <c r="W878" t="s">
        <v>54</v>
      </c>
      <c r="X878" t="s">
        <v>76</v>
      </c>
      <c r="Y878" t="s">
        <v>56</v>
      </c>
      <c r="Z878">
        <v>1056</v>
      </c>
      <c r="AA878">
        <v>49</v>
      </c>
      <c r="AB878">
        <v>45</v>
      </c>
      <c r="AC878" t="s">
        <v>2863</v>
      </c>
      <c r="AD878" t="s">
        <v>2864</v>
      </c>
      <c r="AE878" t="s">
        <v>6891</v>
      </c>
      <c r="AF878" t="s">
        <v>6892</v>
      </c>
      <c r="AG878" t="s">
        <v>6893</v>
      </c>
      <c r="AH878" t="s">
        <v>6894</v>
      </c>
      <c r="AJ878" s="2">
        <v>45855.993263888886</v>
      </c>
      <c r="AK878" t="s">
        <v>556</v>
      </c>
      <c r="AL878" t="s">
        <v>65</v>
      </c>
      <c r="AM878" s="3">
        <v>2.3541666666666665</v>
      </c>
      <c r="AN878" t="s">
        <v>66</v>
      </c>
      <c r="AO878" t="s">
        <v>101</v>
      </c>
    </row>
    <row r="879" spans="1:41" x14ac:dyDescent="0.2">
      <c r="A879">
        <v>367619</v>
      </c>
      <c r="B879" t="s">
        <v>6895</v>
      </c>
      <c r="C879" t="s">
        <v>167</v>
      </c>
      <c r="D879" t="s">
        <v>6896</v>
      </c>
      <c r="E879" t="s">
        <v>6897</v>
      </c>
      <c r="F879">
        <v>351518</v>
      </c>
      <c r="G879" s="1">
        <v>29668</v>
      </c>
      <c r="H879" s="1">
        <v>45554</v>
      </c>
      <c r="I879" s="1">
        <v>46266</v>
      </c>
      <c r="J879" t="s">
        <v>45</v>
      </c>
      <c r="K879" t="s">
        <v>45</v>
      </c>
      <c r="L879" t="s">
        <v>429</v>
      </c>
      <c r="M879" s="1">
        <v>38483</v>
      </c>
      <c r="N879" t="s">
        <v>47</v>
      </c>
      <c r="O879" t="s">
        <v>48</v>
      </c>
      <c r="P879" t="s">
        <v>49</v>
      </c>
      <c r="Q879" t="s">
        <v>6898</v>
      </c>
      <c r="R879" t="s">
        <v>6899</v>
      </c>
      <c r="S879">
        <v>4200</v>
      </c>
      <c r="T879" t="s">
        <v>52</v>
      </c>
      <c r="U879">
        <v>6</v>
      </c>
      <c r="V879" t="s">
        <v>480</v>
      </c>
      <c r="W879" t="s">
        <v>54</v>
      </c>
      <c r="X879" t="s">
        <v>76</v>
      </c>
      <c r="Y879" t="s">
        <v>56</v>
      </c>
      <c r="Z879">
        <v>847</v>
      </c>
      <c r="AA879">
        <v>67</v>
      </c>
      <c r="AB879">
        <v>152</v>
      </c>
      <c r="AC879" t="s">
        <v>481</v>
      </c>
      <c r="AD879" t="s">
        <v>482</v>
      </c>
      <c r="AE879" t="s">
        <v>483</v>
      </c>
      <c r="AF879" t="s">
        <v>481</v>
      </c>
      <c r="AG879" t="s">
        <v>482</v>
      </c>
      <c r="AH879" t="s">
        <v>2696</v>
      </c>
      <c r="AI879" t="s">
        <v>2697</v>
      </c>
      <c r="AJ879" s="2">
        <v>45684.777627314812</v>
      </c>
      <c r="AK879" t="s">
        <v>568</v>
      </c>
      <c r="AL879" t="s">
        <v>65</v>
      </c>
      <c r="AM879" s="4">
        <v>0.40972222222222221</v>
      </c>
      <c r="AN879" t="s">
        <v>66</v>
      </c>
      <c r="AO879" t="s">
        <v>67</v>
      </c>
    </row>
    <row r="880" spans="1:41" x14ac:dyDescent="0.2">
      <c r="A880">
        <v>370240</v>
      </c>
      <c r="B880" t="s">
        <v>6900</v>
      </c>
      <c r="C880" t="s">
        <v>182</v>
      </c>
      <c r="D880" t="s">
        <v>183</v>
      </c>
      <c r="E880" t="s">
        <v>6901</v>
      </c>
      <c r="G880" t="s">
        <v>6902</v>
      </c>
      <c r="H880" s="1">
        <v>45762</v>
      </c>
      <c r="I880" s="1">
        <v>46113</v>
      </c>
      <c r="J880" t="s">
        <v>45</v>
      </c>
      <c r="K880" t="s">
        <v>45</v>
      </c>
      <c r="L880" t="s">
        <v>46</v>
      </c>
      <c r="M880" s="1">
        <v>44835</v>
      </c>
      <c r="N880" t="s">
        <v>47</v>
      </c>
      <c r="O880" t="s">
        <v>48</v>
      </c>
      <c r="P880" t="s">
        <v>49</v>
      </c>
      <c r="Q880" t="s">
        <v>6903</v>
      </c>
      <c r="R880" t="s">
        <v>6904</v>
      </c>
      <c r="S880">
        <v>93</v>
      </c>
      <c r="T880" t="s">
        <v>1328</v>
      </c>
      <c r="U880" t="s">
        <v>6905</v>
      </c>
      <c r="V880" t="s">
        <v>6906</v>
      </c>
      <c r="W880" t="s">
        <v>6907</v>
      </c>
      <c r="X880" t="s">
        <v>493</v>
      </c>
      <c r="Y880" t="s">
        <v>434</v>
      </c>
      <c r="Z880">
        <v>3049</v>
      </c>
      <c r="AA880">
        <v>24</v>
      </c>
      <c r="AB880">
        <v>138</v>
      </c>
      <c r="AC880" t="s">
        <v>6908</v>
      </c>
      <c r="AD880" t="s">
        <v>6909</v>
      </c>
      <c r="AE880" t="s">
        <v>6910</v>
      </c>
      <c r="AF880" t="s">
        <v>6911</v>
      </c>
      <c r="AG880" t="s">
        <v>6912</v>
      </c>
      <c r="AH880" t="s">
        <v>6913</v>
      </c>
      <c r="AJ880" s="2">
        <v>45768.603819444441</v>
      </c>
      <c r="AK880" t="s">
        <v>1472</v>
      </c>
      <c r="AL880" t="s">
        <v>65</v>
      </c>
      <c r="AM880" s="3">
        <v>1.7916666666666667</v>
      </c>
      <c r="AN880" t="s">
        <v>66</v>
      </c>
      <c r="AO880" t="s">
        <v>67</v>
      </c>
    </row>
    <row r="881" spans="1:41" x14ac:dyDescent="0.2">
      <c r="A881">
        <v>372427</v>
      </c>
      <c r="B881" t="s">
        <v>6914</v>
      </c>
      <c r="C881" t="s">
        <v>182</v>
      </c>
      <c r="D881" t="s">
        <v>3180</v>
      </c>
      <c r="E881" t="s">
        <v>6915</v>
      </c>
      <c r="F881">
        <v>41005</v>
      </c>
      <c r="G881" s="1">
        <v>33739</v>
      </c>
      <c r="H881" s="1">
        <v>45818</v>
      </c>
      <c r="I881" s="1">
        <v>46157</v>
      </c>
      <c r="J881" t="s">
        <v>45</v>
      </c>
      <c r="K881" t="s">
        <v>45</v>
      </c>
      <c r="L881" t="s">
        <v>429</v>
      </c>
      <c r="M881" s="1">
        <v>44728</v>
      </c>
      <c r="N881" t="s">
        <v>47</v>
      </c>
      <c r="O881" t="s">
        <v>48</v>
      </c>
      <c r="P881" t="s">
        <v>49</v>
      </c>
      <c r="Q881" t="s">
        <v>6916</v>
      </c>
      <c r="R881" t="s">
        <v>6917</v>
      </c>
      <c r="S881">
        <v>1500</v>
      </c>
      <c r="T881" t="s">
        <v>52</v>
      </c>
      <c r="U881">
        <v>5</v>
      </c>
      <c r="V881" t="s">
        <v>492</v>
      </c>
      <c r="W881" t="s">
        <v>54</v>
      </c>
      <c r="X881" t="s">
        <v>493</v>
      </c>
      <c r="Y881" t="s">
        <v>434</v>
      </c>
      <c r="Z881">
        <v>712</v>
      </c>
      <c r="AA881">
        <v>52</v>
      </c>
      <c r="AB881">
        <v>158</v>
      </c>
      <c r="AC881" t="s">
        <v>6918</v>
      </c>
      <c r="AD881" t="s">
        <v>6919</v>
      </c>
      <c r="AE881" t="s">
        <v>6920</v>
      </c>
      <c r="AF881" t="s">
        <v>6921</v>
      </c>
      <c r="AG881" t="s">
        <v>6922</v>
      </c>
      <c r="AH881" t="s">
        <v>6923</v>
      </c>
      <c r="AI881" t="s">
        <v>6924</v>
      </c>
      <c r="AJ881" s="2">
        <v>45839.662685185183</v>
      </c>
      <c r="AK881" t="s">
        <v>501</v>
      </c>
      <c r="AL881" t="s">
        <v>65</v>
      </c>
      <c r="AM881" s="3">
        <v>1.8958333333333333</v>
      </c>
      <c r="AN881" t="s">
        <v>66</v>
      </c>
      <c r="AO881" t="s">
        <v>67</v>
      </c>
    </row>
    <row r="882" spans="1:41" x14ac:dyDescent="0.2">
      <c r="A882">
        <v>370470</v>
      </c>
      <c r="B882" t="s">
        <v>6925</v>
      </c>
      <c r="C882" t="s">
        <v>182</v>
      </c>
      <c r="D882" t="s">
        <v>468</v>
      </c>
      <c r="E882" t="s">
        <v>6926</v>
      </c>
      <c r="F882">
        <v>40421</v>
      </c>
      <c r="G882" s="1">
        <v>37082</v>
      </c>
      <c r="H882" s="1">
        <v>45773</v>
      </c>
      <c r="J882" t="s">
        <v>45</v>
      </c>
      <c r="K882" t="s">
        <v>72</v>
      </c>
      <c r="L882" t="s">
        <v>72</v>
      </c>
      <c r="N882" t="s">
        <v>47</v>
      </c>
      <c r="O882" t="s">
        <v>48</v>
      </c>
      <c r="P882" t="s">
        <v>49</v>
      </c>
      <c r="Q882" t="s">
        <v>6927</v>
      </c>
      <c r="R882" t="s">
        <v>6928</v>
      </c>
      <c r="S882">
        <v>476</v>
      </c>
      <c r="T882" t="s">
        <v>92</v>
      </c>
      <c r="U882" t="s">
        <v>187</v>
      </c>
      <c r="V882" t="s">
        <v>447</v>
      </c>
      <c r="W882" t="s">
        <v>448</v>
      </c>
      <c r="X882" t="s">
        <v>92</v>
      </c>
      <c r="Y882" t="s">
        <v>450</v>
      </c>
      <c r="Z882">
        <v>1926</v>
      </c>
      <c r="AA882">
        <v>38</v>
      </c>
      <c r="AB882">
        <v>66</v>
      </c>
      <c r="AC882" t="s">
        <v>3354</v>
      </c>
      <c r="AD882" t="s">
        <v>452</v>
      </c>
      <c r="AE882" t="s">
        <v>453</v>
      </c>
      <c r="AF882" t="s">
        <v>454</v>
      </c>
      <c r="AG882" t="s">
        <v>473</v>
      </c>
      <c r="AH882" t="s">
        <v>474</v>
      </c>
      <c r="AJ882" s="2">
        <v>45776.63486111111</v>
      </c>
      <c r="AK882" t="s">
        <v>456</v>
      </c>
      <c r="AL882" t="s">
        <v>65</v>
      </c>
      <c r="AM882" s="3">
        <v>1.1736111111111112</v>
      </c>
      <c r="AN882" t="s">
        <v>66</v>
      </c>
      <c r="AO882" t="s">
        <v>67</v>
      </c>
    </row>
    <row r="883" spans="1:41" x14ac:dyDescent="0.2">
      <c r="A883">
        <v>368087</v>
      </c>
      <c r="B883" t="s">
        <v>6929</v>
      </c>
      <c r="C883" t="s">
        <v>236</v>
      </c>
      <c r="D883" t="s">
        <v>5957</v>
      </c>
      <c r="E883" t="s">
        <v>6930</v>
      </c>
      <c r="F883">
        <v>211004</v>
      </c>
      <c r="G883" s="1">
        <v>34851</v>
      </c>
      <c r="H883" s="1">
        <v>45573</v>
      </c>
      <c r="J883" t="s">
        <v>45</v>
      </c>
      <c r="K883" t="s">
        <v>45</v>
      </c>
      <c r="L883" t="s">
        <v>72</v>
      </c>
      <c r="M883" s="1">
        <v>43571</v>
      </c>
      <c r="N883" t="s">
        <v>47</v>
      </c>
      <c r="O883" t="s">
        <v>48</v>
      </c>
      <c r="P883" t="s">
        <v>49</v>
      </c>
      <c r="Q883" t="s">
        <v>6931</v>
      </c>
      <c r="R883" t="s">
        <v>6932</v>
      </c>
      <c r="S883">
        <v>1340</v>
      </c>
      <c r="T883" t="s">
        <v>92</v>
      </c>
      <c r="U883" t="s">
        <v>1509</v>
      </c>
      <c r="V883" t="s">
        <v>506</v>
      </c>
      <c r="W883" t="s">
        <v>1510</v>
      </c>
      <c r="X883" t="s">
        <v>92</v>
      </c>
      <c r="Y883" t="s">
        <v>410</v>
      </c>
      <c r="Z883">
        <v>1390</v>
      </c>
      <c r="AA883">
        <v>44</v>
      </c>
      <c r="AB883">
        <v>174</v>
      </c>
      <c r="AC883" t="s">
        <v>1511</v>
      </c>
      <c r="AD883" t="s">
        <v>1512</v>
      </c>
      <c r="AE883" t="s">
        <v>1513</v>
      </c>
      <c r="AF883" t="s">
        <v>6933</v>
      </c>
      <c r="AG883" t="s">
        <v>6934</v>
      </c>
      <c r="AH883" t="s">
        <v>6935</v>
      </c>
      <c r="AI883" t="s">
        <v>6936</v>
      </c>
      <c r="AJ883" s="2">
        <v>45791.806805555556</v>
      </c>
      <c r="AK883" t="s">
        <v>100</v>
      </c>
      <c r="AL883" t="s">
        <v>65</v>
      </c>
      <c r="AM883" s="4">
        <v>0.29166666666666669</v>
      </c>
      <c r="AN883" t="s">
        <v>66</v>
      </c>
      <c r="AO883" t="s">
        <v>67</v>
      </c>
    </row>
    <row r="884" spans="1:41" x14ac:dyDescent="0.2">
      <c r="A884">
        <v>364388</v>
      </c>
      <c r="B884" t="s">
        <v>6937</v>
      </c>
      <c r="C884" t="s">
        <v>323</v>
      </c>
      <c r="D884" t="s">
        <v>6174</v>
      </c>
      <c r="E884">
        <v>39604506</v>
      </c>
      <c r="G884" s="1">
        <v>38505</v>
      </c>
      <c r="H884" s="1">
        <v>45517</v>
      </c>
      <c r="J884" t="s">
        <v>72</v>
      </c>
      <c r="K884" t="s">
        <v>45</v>
      </c>
      <c r="L884" t="s">
        <v>72</v>
      </c>
      <c r="N884" t="s">
        <v>47</v>
      </c>
      <c r="O884" t="s">
        <v>48</v>
      </c>
      <c r="P884" t="s">
        <v>406</v>
      </c>
      <c r="Q884" t="s">
        <v>6938</v>
      </c>
      <c r="R884" t="s">
        <v>6939</v>
      </c>
      <c r="S884">
        <v>3653</v>
      </c>
      <c r="T884" t="s">
        <v>257</v>
      </c>
      <c r="U884" t="s">
        <v>329</v>
      </c>
      <c r="V884" t="s">
        <v>6178</v>
      </c>
      <c r="W884" t="s">
        <v>3303</v>
      </c>
      <c r="X884" t="s">
        <v>257</v>
      </c>
      <c r="Y884" t="s">
        <v>642</v>
      </c>
      <c r="Z884">
        <v>2763</v>
      </c>
      <c r="AA884">
        <v>40</v>
      </c>
      <c r="AB884">
        <v>172</v>
      </c>
      <c r="AC884" t="s">
        <v>5079</v>
      </c>
      <c r="AD884" t="s">
        <v>1165</v>
      </c>
      <c r="AE884" t="s">
        <v>1166</v>
      </c>
      <c r="AF884" t="s">
        <v>4983</v>
      </c>
      <c r="AG884" t="s">
        <v>4984</v>
      </c>
      <c r="AH884" t="s">
        <v>4985</v>
      </c>
      <c r="AJ884" s="2">
        <v>45544.802997685183</v>
      </c>
      <c r="AK884" t="s">
        <v>1164</v>
      </c>
      <c r="AL884" t="s">
        <v>1168</v>
      </c>
      <c r="AM884" s="3">
        <v>1.3819444444444444</v>
      </c>
      <c r="AN884" t="s">
        <v>66</v>
      </c>
      <c r="AO884" t="s">
        <v>67</v>
      </c>
    </row>
    <row r="885" spans="1:41" x14ac:dyDescent="0.2">
      <c r="A885">
        <v>357457</v>
      </c>
      <c r="B885" t="s">
        <v>6940</v>
      </c>
      <c r="C885" t="s">
        <v>167</v>
      </c>
      <c r="D885" t="s">
        <v>6941</v>
      </c>
      <c r="E885" t="s">
        <v>6942</v>
      </c>
      <c r="J885" t="s">
        <v>45</v>
      </c>
      <c r="K885" t="s">
        <v>45</v>
      </c>
      <c r="L885" t="s">
        <v>72</v>
      </c>
      <c r="N885" t="s">
        <v>89</v>
      </c>
      <c r="O885" t="s">
        <v>48</v>
      </c>
      <c r="P885" t="s">
        <v>49</v>
      </c>
      <c r="Q885" t="s">
        <v>6943</v>
      </c>
      <c r="R885" t="s">
        <v>6944</v>
      </c>
      <c r="T885" t="s">
        <v>449</v>
      </c>
      <c r="U885" t="s">
        <v>3030</v>
      </c>
      <c r="V885" t="s">
        <v>6945</v>
      </c>
      <c r="W885" t="s">
        <v>6946</v>
      </c>
      <c r="X885" t="s">
        <v>449</v>
      </c>
      <c r="Y885" t="s">
        <v>96</v>
      </c>
      <c r="Z885">
        <v>11326</v>
      </c>
      <c r="AA885">
        <v>3</v>
      </c>
      <c r="AB885">
        <v>210</v>
      </c>
      <c r="AC885" t="s">
        <v>6947</v>
      </c>
      <c r="AD885" t="s">
        <v>6948</v>
      </c>
      <c r="AE885" t="s">
        <v>6949</v>
      </c>
      <c r="AF885" t="s">
        <v>6950</v>
      </c>
      <c r="AG885" t="s">
        <v>6951</v>
      </c>
      <c r="AH885" t="s">
        <v>6952</v>
      </c>
      <c r="AJ885" s="2">
        <v>45330.712118055555</v>
      </c>
      <c r="AK885" t="s">
        <v>149</v>
      </c>
      <c r="AL885" t="s">
        <v>65</v>
      </c>
      <c r="AM885" s="4">
        <v>0.33333333333333331</v>
      </c>
      <c r="AN885" t="s">
        <v>66</v>
      </c>
      <c r="AO885" t="s">
        <v>67</v>
      </c>
    </row>
    <row r="886" spans="1:41" x14ac:dyDescent="0.2">
      <c r="A886">
        <v>368198</v>
      </c>
      <c r="B886" t="s">
        <v>6953</v>
      </c>
      <c r="C886" t="s">
        <v>42</v>
      </c>
      <c r="D886" t="s">
        <v>6746</v>
      </c>
      <c r="E886" t="s">
        <v>6954</v>
      </c>
      <c r="F886">
        <v>292301</v>
      </c>
      <c r="G886" s="1">
        <v>31204</v>
      </c>
      <c r="H886" s="1">
        <v>45700</v>
      </c>
      <c r="I886" s="1">
        <v>46054</v>
      </c>
      <c r="J886" t="s">
        <v>45</v>
      </c>
      <c r="K886" t="s">
        <v>45</v>
      </c>
      <c r="L886" t="s">
        <v>429</v>
      </c>
      <c r="M886" s="1">
        <v>40044</v>
      </c>
      <c r="N886" t="s">
        <v>47</v>
      </c>
      <c r="O886" t="s">
        <v>48</v>
      </c>
      <c r="P886" t="s">
        <v>49</v>
      </c>
      <c r="Q886" t="s">
        <v>6955</v>
      </c>
      <c r="R886" t="s">
        <v>6956</v>
      </c>
      <c r="S886">
        <v>3626</v>
      </c>
      <c r="T886" t="s">
        <v>365</v>
      </c>
      <c r="U886" t="s">
        <v>432</v>
      </c>
      <c r="V886" t="s">
        <v>6957</v>
      </c>
      <c r="W886" t="s">
        <v>367</v>
      </c>
      <c r="X886" t="s">
        <v>55</v>
      </c>
      <c r="Y886" t="s">
        <v>434</v>
      </c>
      <c r="Z886">
        <v>236</v>
      </c>
      <c r="AA886">
        <v>60</v>
      </c>
      <c r="AB886">
        <v>30</v>
      </c>
      <c r="AC886" t="s">
        <v>4336</v>
      </c>
      <c r="AD886" t="s">
        <v>4337</v>
      </c>
      <c r="AE886" t="s">
        <v>4338</v>
      </c>
      <c r="AF886" t="s">
        <v>4378</v>
      </c>
      <c r="AG886" t="s">
        <v>4340</v>
      </c>
      <c r="AH886" t="s">
        <v>4341</v>
      </c>
      <c r="AI886" t="s">
        <v>4342</v>
      </c>
      <c r="AJ886" s="2">
        <v>45706.656550925924</v>
      </c>
      <c r="AK886" t="s">
        <v>609</v>
      </c>
      <c r="AL886" t="s">
        <v>65</v>
      </c>
      <c r="AM886" s="3">
        <v>1.5555555555555556</v>
      </c>
      <c r="AN886" t="s">
        <v>66</v>
      </c>
      <c r="AO886" t="s">
        <v>67</v>
      </c>
    </row>
    <row r="887" spans="1:41" x14ac:dyDescent="0.2">
      <c r="A887">
        <v>372336</v>
      </c>
      <c r="B887" t="s">
        <v>6958</v>
      </c>
      <c r="C887" t="s">
        <v>735</v>
      </c>
      <c r="D887" t="s">
        <v>2479</v>
      </c>
      <c r="E887" t="s">
        <v>6959</v>
      </c>
      <c r="F887">
        <v>245303</v>
      </c>
      <c r="G887" s="1">
        <v>40351</v>
      </c>
      <c r="H887" s="1">
        <v>45835</v>
      </c>
      <c r="I887" s="1">
        <v>46174</v>
      </c>
      <c r="J887" t="s">
        <v>45</v>
      </c>
      <c r="K887" t="s">
        <v>45</v>
      </c>
      <c r="L887" t="s">
        <v>72</v>
      </c>
      <c r="M887" s="1">
        <v>42138</v>
      </c>
      <c r="N887" t="s">
        <v>47</v>
      </c>
      <c r="O887" t="s">
        <v>48</v>
      </c>
      <c r="P887" t="s">
        <v>49</v>
      </c>
      <c r="Q887" t="s">
        <v>6960</v>
      </c>
      <c r="R887" t="s">
        <v>6961</v>
      </c>
      <c r="S887">
        <v>3996</v>
      </c>
      <c r="T887" t="s">
        <v>365</v>
      </c>
      <c r="U887" t="s">
        <v>969</v>
      </c>
      <c r="V887" t="s">
        <v>2473</v>
      </c>
      <c r="W887" t="s">
        <v>367</v>
      </c>
      <c r="X887" t="s">
        <v>76</v>
      </c>
      <c r="Y887" t="s">
        <v>434</v>
      </c>
      <c r="Z887">
        <v>2099</v>
      </c>
      <c r="AA887">
        <v>65</v>
      </c>
      <c r="AB887">
        <v>52</v>
      </c>
      <c r="AC887" t="s">
        <v>2474</v>
      </c>
      <c r="AD887" t="s">
        <v>2475</v>
      </c>
      <c r="AE887" t="s">
        <v>2477</v>
      </c>
      <c r="AF887" t="s">
        <v>2474</v>
      </c>
      <c r="AH887" t="s">
        <v>2476</v>
      </c>
      <c r="AI887" t="s">
        <v>179</v>
      </c>
      <c r="AJ887" s="2">
        <v>45838.608101851853</v>
      </c>
      <c r="AK887" t="s">
        <v>540</v>
      </c>
      <c r="AL887" t="s">
        <v>65</v>
      </c>
      <c r="AM887" s="3">
        <v>2.2847222222222223</v>
      </c>
      <c r="AN887" t="s">
        <v>66</v>
      </c>
      <c r="AO887" t="s">
        <v>67</v>
      </c>
    </row>
    <row r="888" spans="1:41" x14ac:dyDescent="0.2">
      <c r="A888">
        <v>369627</v>
      </c>
      <c r="B888" t="s">
        <v>6962</v>
      </c>
      <c r="C888" t="s">
        <v>182</v>
      </c>
      <c r="D888" t="s">
        <v>779</v>
      </c>
      <c r="E888" t="s">
        <v>6963</v>
      </c>
      <c r="F888">
        <v>45619</v>
      </c>
      <c r="G888" s="1">
        <v>34806</v>
      </c>
      <c r="H888" s="1">
        <v>45643</v>
      </c>
      <c r="I888" s="1">
        <v>46143</v>
      </c>
      <c r="J888" t="s">
        <v>45</v>
      </c>
      <c r="K888" t="s">
        <v>45</v>
      </c>
      <c r="L888" t="s">
        <v>429</v>
      </c>
      <c r="M888" s="1">
        <v>45643</v>
      </c>
      <c r="N888" t="s">
        <v>47</v>
      </c>
      <c r="O888" t="s">
        <v>48</v>
      </c>
      <c r="P888" t="s">
        <v>49</v>
      </c>
      <c r="Q888" t="s">
        <v>6964</v>
      </c>
      <c r="R888" t="s">
        <v>6965</v>
      </c>
      <c r="S888">
        <v>2733</v>
      </c>
      <c r="T888" t="s">
        <v>52</v>
      </c>
      <c r="U888">
        <v>5</v>
      </c>
      <c r="V888" t="s">
        <v>614</v>
      </c>
      <c r="W888" t="s">
        <v>54</v>
      </c>
      <c r="X888" t="s">
        <v>493</v>
      </c>
      <c r="Y888" t="s">
        <v>434</v>
      </c>
      <c r="Z888">
        <v>942</v>
      </c>
      <c r="AA888">
        <v>56</v>
      </c>
      <c r="AB888">
        <v>34</v>
      </c>
      <c r="AC888" t="s">
        <v>615</v>
      </c>
      <c r="AD888" t="s">
        <v>616</v>
      </c>
      <c r="AE888" t="s">
        <v>617</v>
      </c>
      <c r="AF888" t="s">
        <v>4148</v>
      </c>
      <c r="AG888" t="s">
        <v>619</v>
      </c>
      <c r="AH888" t="s">
        <v>617</v>
      </c>
      <c r="AI888" t="s">
        <v>5541</v>
      </c>
      <c r="AJ888" s="2">
        <v>45747.715995370374</v>
      </c>
      <c r="AK888" t="s">
        <v>403</v>
      </c>
      <c r="AL888" t="s">
        <v>65</v>
      </c>
      <c r="AM888" s="4">
        <v>0.85416666666666663</v>
      </c>
      <c r="AN888" t="s">
        <v>66</v>
      </c>
      <c r="AO888" t="s">
        <v>67</v>
      </c>
    </row>
    <row r="889" spans="1:41" x14ac:dyDescent="0.2">
      <c r="A889">
        <v>339452</v>
      </c>
      <c r="B889" t="s">
        <v>6966</v>
      </c>
      <c r="C889" t="s">
        <v>182</v>
      </c>
      <c r="D889" t="s">
        <v>811</v>
      </c>
      <c r="E889" t="s">
        <v>6967</v>
      </c>
      <c r="G889" s="1">
        <v>35754</v>
      </c>
      <c r="H889" s="1">
        <v>40884</v>
      </c>
      <c r="J889" t="s">
        <v>326</v>
      </c>
      <c r="K889" t="s">
        <v>45</v>
      </c>
      <c r="L889" t="s">
        <v>72</v>
      </c>
      <c r="M889" s="1">
        <v>38736</v>
      </c>
      <c r="N889" t="s">
        <v>47</v>
      </c>
      <c r="O889" t="s">
        <v>48</v>
      </c>
      <c r="P889" t="s">
        <v>1752</v>
      </c>
      <c r="Q889" t="s">
        <v>6968</v>
      </c>
      <c r="R889" t="s">
        <v>6969</v>
      </c>
      <c r="S889">
        <v>2880</v>
      </c>
      <c r="T889" t="s">
        <v>365</v>
      </c>
      <c r="U889" t="s">
        <v>815</v>
      </c>
      <c r="V889" t="s">
        <v>816</v>
      </c>
      <c r="W889" t="s">
        <v>409</v>
      </c>
      <c r="X889" t="s">
        <v>76</v>
      </c>
      <c r="Y889" t="s">
        <v>410</v>
      </c>
      <c r="Z889">
        <v>124</v>
      </c>
      <c r="AA889">
        <v>32</v>
      </c>
      <c r="AB889">
        <v>210</v>
      </c>
      <c r="AC889" t="s">
        <v>817</v>
      </c>
      <c r="AD889" t="s">
        <v>818</v>
      </c>
      <c r="AE889" t="s">
        <v>819</v>
      </c>
      <c r="AI889" t="s">
        <v>818</v>
      </c>
      <c r="AJ889" s="2">
        <v>44686.663865740738</v>
      </c>
      <c r="AK889" t="s">
        <v>149</v>
      </c>
      <c r="AL889" t="s">
        <v>65</v>
      </c>
      <c r="AM889" s="3">
        <v>1.0833333333333333</v>
      </c>
      <c r="AN889" t="s">
        <v>66</v>
      </c>
      <c r="AO889" t="s">
        <v>67</v>
      </c>
    </row>
    <row r="890" spans="1:41" x14ac:dyDescent="0.2">
      <c r="A890">
        <v>368940</v>
      </c>
      <c r="B890" t="s">
        <v>6970</v>
      </c>
      <c r="C890" t="s">
        <v>182</v>
      </c>
      <c r="D890" t="s">
        <v>4083</v>
      </c>
      <c r="E890" t="s">
        <v>6971</v>
      </c>
      <c r="F890">
        <v>44112</v>
      </c>
      <c r="G890" s="1">
        <v>38895</v>
      </c>
      <c r="H890" s="1">
        <v>45544</v>
      </c>
      <c r="I890" s="1">
        <v>46174</v>
      </c>
      <c r="J890" t="s">
        <v>45</v>
      </c>
      <c r="K890" t="s">
        <v>45</v>
      </c>
      <c r="L890" t="s">
        <v>429</v>
      </c>
      <c r="N890" t="s">
        <v>47</v>
      </c>
      <c r="O890" t="s">
        <v>48</v>
      </c>
      <c r="P890" t="s">
        <v>49</v>
      </c>
      <c r="Q890" t="s">
        <v>6972</v>
      </c>
      <c r="R890" t="s">
        <v>6973</v>
      </c>
      <c r="S890">
        <v>2073</v>
      </c>
      <c r="T890" t="s">
        <v>257</v>
      </c>
      <c r="U890" t="s">
        <v>640</v>
      </c>
      <c r="V890" t="s">
        <v>5789</v>
      </c>
      <c r="W890" t="s">
        <v>260</v>
      </c>
      <c r="X890" t="s">
        <v>493</v>
      </c>
      <c r="Y890" t="s">
        <v>56</v>
      </c>
      <c r="Z890">
        <v>2848</v>
      </c>
      <c r="AA890">
        <v>42</v>
      </c>
      <c r="AB890">
        <v>204</v>
      </c>
      <c r="AC890" t="s">
        <v>5790</v>
      </c>
      <c r="AD890" t="s">
        <v>5791</v>
      </c>
      <c r="AE890" t="s">
        <v>5792</v>
      </c>
      <c r="AF890" t="s">
        <v>5793</v>
      </c>
      <c r="AG890" t="s">
        <v>5794</v>
      </c>
      <c r="AH890" t="s">
        <v>5795</v>
      </c>
      <c r="AI890" t="s">
        <v>5796</v>
      </c>
      <c r="AJ890" s="2">
        <v>45722.918310185189</v>
      </c>
      <c r="AK890" t="s">
        <v>501</v>
      </c>
      <c r="AL890" t="s">
        <v>65</v>
      </c>
      <c r="AM890" t="s">
        <v>6974</v>
      </c>
      <c r="AN890" t="s">
        <v>66</v>
      </c>
      <c r="AO890" t="s">
        <v>67</v>
      </c>
    </row>
    <row r="891" spans="1:41" x14ac:dyDescent="0.2">
      <c r="A891">
        <v>370584</v>
      </c>
      <c r="B891" t="s">
        <v>6975</v>
      </c>
      <c r="C891" t="s">
        <v>662</v>
      </c>
      <c r="D891" t="s">
        <v>6976</v>
      </c>
      <c r="E891" t="s">
        <v>6977</v>
      </c>
      <c r="F891">
        <v>417404</v>
      </c>
      <c r="G891" s="1">
        <v>41534</v>
      </c>
      <c r="H891" s="1">
        <v>45776</v>
      </c>
      <c r="I891" s="1">
        <v>46127</v>
      </c>
      <c r="J891" t="s">
        <v>45</v>
      </c>
      <c r="K891" t="s">
        <v>45</v>
      </c>
      <c r="L891" t="s">
        <v>72</v>
      </c>
      <c r="M891" s="1">
        <v>43087</v>
      </c>
      <c r="N891" t="s">
        <v>47</v>
      </c>
      <c r="O891" t="s">
        <v>48</v>
      </c>
      <c r="P891" t="s">
        <v>49</v>
      </c>
      <c r="Q891" t="s">
        <v>6978</v>
      </c>
      <c r="R891" t="s">
        <v>6979</v>
      </c>
      <c r="S891">
        <v>4476</v>
      </c>
      <c r="T891" t="s">
        <v>92</v>
      </c>
      <c r="U891" t="s">
        <v>1197</v>
      </c>
      <c r="V891" t="s">
        <v>1198</v>
      </c>
      <c r="W891" t="s">
        <v>1199</v>
      </c>
      <c r="X891" t="s">
        <v>92</v>
      </c>
      <c r="Y891" t="s">
        <v>110</v>
      </c>
      <c r="Z891">
        <v>6429</v>
      </c>
      <c r="AA891">
        <v>24</v>
      </c>
      <c r="AB891">
        <v>28</v>
      </c>
      <c r="AC891" t="s">
        <v>1200</v>
      </c>
      <c r="AD891" t="s">
        <v>1201</v>
      </c>
      <c r="AE891" t="s">
        <v>1202</v>
      </c>
      <c r="AF891" t="s">
        <v>4740</v>
      </c>
      <c r="AG891" t="s">
        <v>4741</v>
      </c>
      <c r="AH891" t="s">
        <v>4742</v>
      </c>
      <c r="AJ891" s="2">
        <v>45778.785567129627</v>
      </c>
      <c r="AK891" t="s">
        <v>4740</v>
      </c>
      <c r="AL891" t="s">
        <v>65</v>
      </c>
      <c r="AM891" s="3">
        <v>2.0763888888888888</v>
      </c>
      <c r="AN891" t="s">
        <v>66</v>
      </c>
      <c r="AO891" t="s">
        <v>67</v>
      </c>
    </row>
    <row r="892" spans="1:41" x14ac:dyDescent="0.2">
      <c r="A892">
        <v>357974</v>
      </c>
      <c r="B892" t="s">
        <v>6980</v>
      </c>
      <c r="C892" t="s">
        <v>103</v>
      </c>
      <c r="D892" t="s">
        <v>6981</v>
      </c>
      <c r="E892">
        <v>40725390</v>
      </c>
      <c r="F892">
        <v>311503</v>
      </c>
      <c r="G892" s="1">
        <v>38796</v>
      </c>
      <c r="H892" s="1">
        <v>45341</v>
      </c>
      <c r="I892" s="1">
        <v>46327</v>
      </c>
      <c r="J892" t="s">
        <v>45</v>
      </c>
      <c r="K892" t="s">
        <v>45</v>
      </c>
      <c r="L892" t="s">
        <v>72</v>
      </c>
      <c r="M892" s="1">
        <v>44812</v>
      </c>
      <c r="N892" t="s">
        <v>47</v>
      </c>
      <c r="O892" t="s">
        <v>48</v>
      </c>
      <c r="P892" t="s">
        <v>49</v>
      </c>
      <c r="Q892" t="s">
        <v>6982</v>
      </c>
      <c r="R892" t="s">
        <v>6983</v>
      </c>
      <c r="S892">
        <v>15</v>
      </c>
      <c r="T892" t="s">
        <v>92</v>
      </c>
      <c r="U892" t="s">
        <v>107</v>
      </c>
      <c r="V892" t="s">
        <v>108</v>
      </c>
      <c r="W892" t="s">
        <v>109</v>
      </c>
      <c r="X892" t="s">
        <v>52</v>
      </c>
      <c r="Y892" t="s">
        <v>110</v>
      </c>
      <c r="Z892">
        <v>2825</v>
      </c>
      <c r="AA892">
        <v>33</v>
      </c>
      <c r="AB892">
        <v>152</v>
      </c>
      <c r="AC892" t="s">
        <v>5994</v>
      </c>
      <c r="AD892" t="s">
        <v>5995</v>
      </c>
      <c r="AE892" t="s">
        <v>5996</v>
      </c>
      <c r="AF892" t="s">
        <v>6984</v>
      </c>
      <c r="AG892" t="s">
        <v>6985</v>
      </c>
      <c r="AH892" t="s">
        <v>6986</v>
      </c>
      <c r="AI892" t="s">
        <v>5995</v>
      </c>
      <c r="AJ892" s="2">
        <v>45818.719537037039</v>
      </c>
      <c r="AK892" t="s">
        <v>100</v>
      </c>
      <c r="AL892" t="s">
        <v>65</v>
      </c>
      <c r="AM892" s="4">
        <v>0.57638888888888884</v>
      </c>
      <c r="AN892" t="s">
        <v>66</v>
      </c>
      <c r="AO892" t="s">
        <v>67</v>
      </c>
    </row>
    <row r="893" spans="1:41" x14ac:dyDescent="0.2">
      <c r="A893">
        <v>371282</v>
      </c>
      <c r="B893" t="s">
        <v>6987</v>
      </c>
      <c r="C893" t="s">
        <v>167</v>
      </c>
      <c r="D893" t="s">
        <v>2871</v>
      </c>
      <c r="E893" t="s">
        <v>6988</v>
      </c>
      <c r="F893">
        <v>352126</v>
      </c>
      <c r="G893" s="1">
        <v>36714</v>
      </c>
      <c r="H893" s="1">
        <v>45801</v>
      </c>
      <c r="I893" s="1">
        <v>46143</v>
      </c>
      <c r="J893" t="s">
        <v>45</v>
      </c>
      <c r="K893" t="s">
        <v>45</v>
      </c>
      <c r="L893" t="s">
        <v>429</v>
      </c>
      <c r="M893" s="1">
        <v>42150</v>
      </c>
      <c r="N893" t="s">
        <v>47</v>
      </c>
      <c r="O893" t="s">
        <v>48</v>
      </c>
      <c r="P893" t="s">
        <v>49</v>
      </c>
      <c r="Q893" t="s">
        <v>6989</v>
      </c>
      <c r="R893" t="s">
        <v>6990</v>
      </c>
      <c r="S893">
        <v>6576</v>
      </c>
      <c r="T893" t="s">
        <v>52</v>
      </c>
      <c r="U893">
        <v>6</v>
      </c>
      <c r="V893" t="s">
        <v>2875</v>
      </c>
      <c r="W893" t="s">
        <v>54</v>
      </c>
      <c r="X893" t="s">
        <v>76</v>
      </c>
      <c r="Y893" t="s">
        <v>56</v>
      </c>
      <c r="Z893">
        <v>1587</v>
      </c>
      <c r="AA893">
        <v>45</v>
      </c>
      <c r="AB893">
        <v>160</v>
      </c>
      <c r="AC893" t="s">
        <v>2876</v>
      </c>
      <c r="AD893" t="s">
        <v>2877</v>
      </c>
      <c r="AE893" t="s">
        <v>2878</v>
      </c>
      <c r="AF893" t="s">
        <v>2879</v>
      </c>
      <c r="AG893" t="s">
        <v>2880</v>
      </c>
      <c r="AH893" t="s">
        <v>2881</v>
      </c>
      <c r="AI893" t="s">
        <v>2882</v>
      </c>
      <c r="AJ893" s="2">
        <v>45804.670289351852</v>
      </c>
      <c r="AK893" t="s">
        <v>568</v>
      </c>
      <c r="AL893" t="s">
        <v>65</v>
      </c>
      <c r="AM893" s="3">
        <v>2.2916666666666665</v>
      </c>
      <c r="AN893" t="s">
        <v>66</v>
      </c>
      <c r="AO893" t="s">
        <v>67</v>
      </c>
    </row>
    <row r="894" spans="1:41" x14ac:dyDescent="0.2">
      <c r="A894">
        <v>371835</v>
      </c>
      <c r="B894" t="s">
        <v>6991</v>
      </c>
      <c r="C894" t="s">
        <v>182</v>
      </c>
      <c r="D894" t="s">
        <v>1628</v>
      </c>
      <c r="E894" t="s">
        <v>6992</v>
      </c>
      <c r="F894">
        <v>41403</v>
      </c>
      <c r="G894" s="1">
        <v>45267</v>
      </c>
      <c r="H894" s="1">
        <v>45817</v>
      </c>
      <c r="I894" s="1">
        <v>46204</v>
      </c>
      <c r="J894" t="s">
        <v>45</v>
      </c>
      <c r="K894" t="s">
        <v>45</v>
      </c>
      <c r="L894" t="s">
        <v>46</v>
      </c>
      <c r="N894" t="s">
        <v>47</v>
      </c>
      <c r="O894" t="s">
        <v>48</v>
      </c>
      <c r="P894" t="s">
        <v>49</v>
      </c>
      <c r="Q894" t="s">
        <v>6993</v>
      </c>
      <c r="R894" t="s">
        <v>6994</v>
      </c>
      <c r="S894">
        <v>3740</v>
      </c>
      <c r="T894" t="s">
        <v>52</v>
      </c>
      <c r="U894">
        <v>5</v>
      </c>
      <c r="V894" t="s">
        <v>492</v>
      </c>
      <c r="W894" t="s">
        <v>54</v>
      </c>
      <c r="X894" t="s">
        <v>493</v>
      </c>
      <c r="Y894" t="s">
        <v>434</v>
      </c>
      <c r="Z894">
        <v>12186</v>
      </c>
      <c r="AA894">
        <v>18</v>
      </c>
      <c r="AB894">
        <v>44</v>
      </c>
      <c r="AC894" t="s">
        <v>6995</v>
      </c>
      <c r="AD894" t="s">
        <v>6919</v>
      </c>
      <c r="AE894" t="s">
        <v>6920</v>
      </c>
      <c r="AF894" t="s">
        <v>6921</v>
      </c>
      <c r="AG894" t="s">
        <v>6922</v>
      </c>
      <c r="AH894" t="s">
        <v>6923</v>
      </c>
      <c r="AI894" t="s">
        <v>6996</v>
      </c>
      <c r="AJ894" s="2">
        <v>45820.653854166667</v>
      </c>
      <c r="AK894" t="s">
        <v>501</v>
      </c>
      <c r="AL894" t="s">
        <v>65</v>
      </c>
      <c r="AM894" s="3">
        <v>1.3784722222222223</v>
      </c>
      <c r="AN894" t="s">
        <v>66</v>
      </c>
      <c r="AO894" t="s">
        <v>67</v>
      </c>
    </row>
    <row r="895" spans="1:41" x14ac:dyDescent="0.2">
      <c r="A895">
        <v>367161</v>
      </c>
      <c r="B895" t="s">
        <v>6997</v>
      </c>
      <c r="C895" t="s">
        <v>134</v>
      </c>
      <c r="D895" t="s">
        <v>135</v>
      </c>
      <c r="E895">
        <v>30005622</v>
      </c>
      <c r="F895">
        <v>451208</v>
      </c>
      <c r="G895" s="1">
        <v>32509</v>
      </c>
      <c r="H895" s="1">
        <v>45587</v>
      </c>
      <c r="I895" s="1">
        <v>45962</v>
      </c>
      <c r="J895" t="s">
        <v>45</v>
      </c>
      <c r="K895" t="s">
        <v>45</v>
      </c>
      <c r="L895" t="s">
        <v>72</v>
      </c>
      <c r="N895" t="s">
        <v>47</v>
      </c>
      <c r="O895" t="s">
        <v>48</v>
      </c>
      <c r="P895" t="s">
        <v>49</v>
      </c>
      <c r="Q895" t="s">
        <v>6998</v>
      </c>
      <c r="R895" t="s">
        <v>6999</v>
      </c>
      <c r="S895">
        <v>2500</v>
      </c>
      <c r="T895" t="s">
        <v>92</v>
      </c>
      <c r="U895" t="s">
        <v>139</v>
      </c>
      <c r="V895" t="s">
        <v>140</v>
      </c>
      <c r="W895" t="s">
        <v>141</v>
      </c>
      <c r="X895" t="s">
        <v>92</v>
      </c>
      <c r="Y895" t="s">
        <v>110</v>
      </c>
      <c r="Z895">
        <v>403</v>
      </c>
      <c r="AA895">
        <v>57</v>
      </c>
      <c r="AB895">
        <v>144</v>
      </c>
      <c r="AC895" t="s">
        <v>142</v>
      </c>
      <c r="AD895" t="s">
        <v>143</v>
      </c>
      <c r="AE895" t="s">
        <v>144</v>
      </c>
      <c r="AF895" t="s">
        <v>145</v>
      </c>
      <c r="AG895" t="s">
        <v>7000</v>
      </c>
      <c r="AH895" t="s">
        <v>147</v>
      </c>
      <c r="AI895" t="s">
        <v>148</v>
      </c>
      <c r="AJ895" s="2">
        <v>45664.701157407406</v>
      </c>
      <c r="AK895" t="s">
        <v>149</v>
      </c>
      <c r="AL895" t="s">
        <v>65</v>
      </c>
      <c r="AM895" s="4">
        <v>7.6388888888888895E-2</v>
      </c>
      <c r="AN895" t="s">
        <v>66</v>
      </c>
      <c r="AO895" t="s">
        <v>67</v>
      </c>
    </row>
    <row r="896" spans="1:41" x14ac:dyDescent="0.2">
      <c r="A896">
        <v>366971</v>
      </c>
      <c r="B896" t="s">
        <v>7001</v>
      </c>
      <c r="C896" t="s">
        <v>1244</v>
      </c>
      <c r="D896" t="s">
        <v>7002</v>
      </c>
      <c r="E896" s="5">
        <v>900043000000</v>
      </c>
      <c r="F896">
        <v>465201</v>
      </c>
      <c r="G896" s="1">
        <v>38566</v>
      </c>
      <c r="H896" s="1">
        <v>45638</v>
      </c>
      <c r="J896" t="s">
        <v>45</v>
      </c>
      <c r="K896" t="s">
        <v>45</v>
      </c>
      <c r="L896" t="s">
        <v>72</v>
      </c>
      <c r="M896" s="1">
        <v>43579</v>
      </c>
      <c r="N896" t="s">
        <v>47</v>
      </c>
      <c r="O896" t="s">
        <v>48</v>
      </c>
      <c r="P896" t="s">
        <v>49</v>
      </c>
      <c r="Q896" t="s">
        <v>7003</v>
      </c>
      <c r="R896" t="s">
        <v>7004</v>
      </c>
      <c r="S896">
        <v>2100</v>
      </c>
      <c r="T896" t="s">
        <v>92</v>
      </c>
      <c r="U896" t="s">
        <v>1249</v>
      </c>
      <c r="V896" t="s">
        <v>1250</v>
      </c>
      <c r="W896" t="s">
        <v>1251</v>
      </c>
      <c r="X896" t="s">
        <v>92</v>
      </c>
      <c r="Y896" t="s">
        <v>770</v>
      </c>
      <c r="Z896">
        <v>2696</v>
      </c>
      <c r="AA896">
        <v>29</v>
      </c>
      <c r="AB896">
        <v>144</v>
      </c>
      <c r="AC896" t="s">
        <v>1252</v>
      </c>
      <c r="AD896" t="s">
        <v>1256</v>
      </c>
      <c r="AE896" t="s">
        <v>1254</v>
      </c>
      <c r="AF896" t="s">
        <v>1255</v>
      </c>
      <c r="AG896" t="s">
        <v>1256</v>
      </c>
      <c r="AH896" t="s">
        <v>1257</v>
      </c>
      <c r="AI896" t="s">
        <v>1256</v>
      </c>
      <c r="AJ896" s="2">
        <v>45649.667094907411</v>
      </c>
      <c r="AK896" t="s">
        <v>1255</v>
      </c>
      <c r="AL896" t="s">
        <v>65</v>
      </c>
      <c r="AM896" s="4">
        <v>0.70833333333333337</v>
      </c>
      <c r="AN896" t="s">
        <v>66</v>
      </c>
      <c r="AO896" t="s">
        <v>67</v>
      </c>
    </row>
    <row r="897" spans="1:41" x14ac:dyDescent="0.2">
      <c r="A897">
        <v>367575</v>
      </c>
      <c r="B897" t="s">
        <v>7001</v>
      </c>
      <c r="C897" t="s">
        <v>692</v>
      </c>
      <c r="D897" t="s">
        <v>1927</v>
      </c>
      <c r="E897" t="s">
        <v>7005</v>
      </c>
      <c r="F897">
        <v>481410</v>
      </c>
      <c r="G897" s="1">
        <v>32637</v>
      </c>
      <c r="H897" s="1">
        <v>45491</v>
      </c>
      <c r="I897" s="1">
        <v>46204</v>
      </c>
      <c r="J897" t="s">
        <v>45</v>
      </c>
      <c r="K897" t="s">
        <v>45</v>
      </c>
      <c r="L897" t="s">
        <v>72</v>
      </c>
      <c r="N897" t="s">
        <v>47</v>
      </c>
      <c r="O897" t="s">
        <v>48</v>
      </c>
      <c r="P897" t="s">
        <v>49</v>
      </c>
      <c r="Q897" t="s">
        <v>7006</v>
      </c>
      <c r="R897" t="s">
        <v>7007</v>
      </c>
      <c r="S897">
        <v>8085</v>
      </c>
      <c r="T897" t="s">
        <v>52</v>
      </c>
      <c r="U897">
        <v>2</v>
      </c>
      <c r="V897" t="s">
        <v>5779</v>
      </c>
      <c r="W897" t="s">
        <v>54</v>
      </c>
      <c r="X897" t="s">
        <v>76</v>
      </c>
      <c r="Y897" t="s">
        <v>56</v>
      </c>
      <c r="Z897">
        <v>595</v>
      </c>
      <c r="AA897">
        <v>50</v>
      </c>
      <c r="AB897">
        <v>160</v>
      </c>
      <c r="AC897" t="s">
        <v>2252</v>
      </c>
      <c r="AD897" t="s">
        <v>5780</v>
      </c>
      <c r="AE897" t="s">
        <v>2254</v>
      </c>
      <c r="AF897" t="s">
        <v>5781</v>
      </c>
      <c r="AG897" t="s">
        <v>5782</v>
      </c>
      <c r="AH897" t="s">
        <v>5783</v>
      </c>
      <c r="AI897" t="s">
        <v>6820</v>
      </c>
      <c r="AJ897" s="2">
        <v>45681.631539351853</v>
      </c>
      <c r="AK897" t="s">
        <v>800</v>
      </c>
      <c r="AL897" t="s">
        <v>65</v>
      </c>
      <c r="AM897" s="3">
        <v>2.4097222222222223</v>
      </c>
      <c r="AN897" t="s">
        <v>66</v>
      </c>
      <c r="AO897" t="s">
        <v>67</v>
      </c>
    </row>
    <row r="898" spans="1:41" x14ac:dyDescent="0.2">
      <c r="A898">
        <v>365000</v>
      </c>
      <c r="B898" t="s">
        <v>7001</v>
      </c>
      <c r="C898" t="s">
        <v>735</v>
      </c>
      <c r="D898" t="s">
        <v>7008</v>
      </c>
      <c r="E898" t="s">
        <v>7009</v>
      </c>
      <c r="F898">
        <v>243303</v>
      </c>
      <c r="G898" s="1">
        <v>39352</v>
      </c>
      <c r="H898" s="1">
        <v>45564</v>
      </c>
      <c r="I898" s="1">
        <v>46249</v>
      </c>
      <c r="J898" t="s">
        <v>45</v>
      </c>
      <c r="K898" t="s">
        <v>45</v>
      </c>
      <c r="L898" t="s">
        <v>429</v>
      </c>
      <c r="M898" s="1">
        <v>41126</v>
      </c>
      <c r="N898" t="s">
        <v>47</v>
      </c>
      <c r="O898" t="s">
        <v>48</v>
      </c>
      <c r="P898" t="s">
        <v>49</v>
      </c>
      <c r="Q898" t="s">
        <v>7010</v>
      </c>
      <c r="R898" t="s">
        <v>7011</v>
      </c>
      <c r="S898">
        <v>6144</v>
      </c>
      <c r="T898" t="s">
        <v>52</v>
      </c>
      <c r="U898">
        <v>1</v>
      </c>
      <c r="V898" t="s">
        <v>7012</v>
      </c>
      <c r="W898" t="s">
        <v>54</v>
      </c>
      <c r="X898" t="s">
        <v>76</v>
      </c>
      <c r="Y898" t="s">
        <v>56</v>
      </c>
      <c r="Z898">
        <v>2937</v>
      </c>
      <c r="AA898">
        <v>34</v>
      </c>
      <c r="AB898">
        <v>66</v>
      </c>
      <c r="AC898" t="s">
        <v>7013</v>
      </c>
      <c r="AD898" t="s">
        <v>7014</v>
      </c>
      <c r="AE898" t="s">
        <v>7015</v>
      </c>
      <c r="AI898" t="s">
        <v>7016</v>
      </c>
      <c r="AJ898" s="2">
        <v>45566.665023148147</v>
      </c>
      <c r="AK898" t="s">
        <v>717</v>
      </c>
      <c r="AL898" t="s">
        <v>65</v>
      </c>
      <c r="AM898" s="3">
        <v>2.2569444444444446</v>
      </c>
      <c r="AN898" t="s">
        <v>66</v>
      </c>
      <c r="AO898" t="s">
        <v>67</v>
      </c>
    </row>
    <row r="899" spans="1:41" x14ac:dyDescent="0.2">
      <c r="A899">
        <v>371197</v>
      </c>
      <c r="B899" t="s">
        <v>7017</v>
      </c>
      <c r="C899" t="s">
        <v>134</v>
      </c>
      <c r="D899" t="s">
        <v>3560</v>
      </c>
      <c r="E899" t="s">
        <v>7018</v>
      </c>
      <c r="F899">
        <v>450130</v>
      </c>
      <c r="G899" s="1">
        <v>41386</v>
      </c>
      <c r="H899" s="1">
        <v>45758</v>
      </c>
      <c r="I899" s="1">
        <v>46157</v>
      </c>
      <c r="J899" t="s">
        <v>45</v>
      </c>
      <c r="K899" t="s">
        <v>45</v>
      </c>
      <c r="L899" t="s">
        <v>72</v>
      </c>
      <c r="M899" s="1">
        <v>45415</v>
      </c>
      <c r="N899" t="s">
        <v>47</v>
      </c>
      <c r="O899" t="s">
        <v>48</v>
      </c>
      <c r="P899" t="s">
        <v>49</v>
      </c>
      <c r="Q899" t="s">
        <v>7019</v>
      </c>
      <c r="R899" t="s">
        <v>7020</v>
      </c>
      <c r="S899">
        <v>2305</v>
      </c>
      <c r="T899" t="s">
        <v>92</v>
      </c>
      <c r="U899" t="s">
        <v>139</v>
      </c>
      <c r="V899" t="s">
        <v>140</v>
      </c>
      <c r="W899" t="s">
        <v>141</v>
      </c>
      <c r="X899" t="s">
        <v>92</v>
      </c>
      <c r="Y899" t="s">
        <v>110</v>
      </c>
      <c r="Z899">
        <v>398</v>
      </c>
      <c r="AA899">
        <v>65</v>
      </c>
      <c r="AB899">
        <v>144</v>
      </c>
      <c r="AC899" t="s">
        <v>3564</v>
      </c>
      <c r="AD899" t="s">
        <v>3565</v>
      </c>
      <c r="AE899" t="s">
        <v>3566</v>
      </c>
      <c r="AF899" t="s">
        <v>145</v>
      </c>
      <c r="AG899" t="s">
        <v>146</v>
      </c>
      <c r="AH899" t="s">
        <v>147</v>
      </c>
      <c r="AI899" t="s">
        <v>148</v>
      </c>
      <c r="AJ899" s="2">
        <v>45798.61209490741</v>
      </c>
      <c r="AK899" t="s">
        <v>3564</v>
      </c>
      <c r="AL899" t="s">
        <v>65</v>
      </c>
      <c r="AM899" s="4">
        <v>2.0833333333333332E-2</v>
      </c>
      <c r="AN899" t="s">
        <v>66</v>
      </c>
      <c r="AO899" t="s">
        <v>67</v>
      </c>
    </row>
    <row r="900" spans="1:41" x14ac:dyDescent="0.2">
      <c r="A900">
        <v>372939</v>
      </c>
      <c r="B900" t="s">
        <v>7021</v>
      </c>
      <c r="C900" t="s">
        <v>7022</v>
      </c>
      <c r="D900" t="s">
        <v>7023</v>
      </c>
      <c r="E900" t="s">
        <v>7024</v>
      </c>
      <c r="F900">
        <v>430601</v>
      </c>
      <c r="G900" s="1">
        <v>34516</v>
      </c>
      <c r="H900" s="1">
        <v>45779</v>
      </c>
      <c r="I900" s="1">
        <v>46143</v>
      </c>
      <c r="J900" t="s">
        <v>45</v>
      </c>
      <c r="K900" t="s">
        <v>45</v>
      </c>
      <c r="L900" t="s">
        <v>46</v>
      </c>
      <c r="M900" s="1">
        <v>42909</v>
      </c>
      <c r="N900" t="s">
        <v>47</v>
      </c>
      <c r="O900" t="s">
        <v>48</v>
      </c>
      <c r="P900" t="s">
        <v>49</v>
      </c>
      <c r="Q900" t="s">
        <v>7025</v>
      </c>
      <c r="R900" t="s">
        <v>7026</v>
      </c>
      <c r="S900">
        <v>1164</v>
      </c>
      <c r="T900" t="s">
        <v>52</v>
      </c>
      <c r="U900">
        <v>9</v>
      </c>
      <c r="V900" t="s">
        <v>3122</v>
      </c>
      <c r="W900" t="s">
        <v>54</v>
      </c>
      <c r="X900" t="s">
        <v>76</v>
      </c>
      <c r="Y900" t="s">
        <v>56</v>
      </c>
      <c r="Z900">
        <v>2016</v>
      </c>
      <c r="AA900">
        <v>46</v>
      </c>
      <c r="AB900">
        <v>45</v>
      </c>
      <c r="AC900" t="s">
        <v>7027</v>
      </c>
      <c r="AD900" t="s">
        <v>7028</v>
      </c>
      <c r="AE900" t="s">
        <v>7029</v>
      </c>
      <c r="AF900" t="s">
        <v>7030</v>
      </c>
      <c r="AG900" t="s">
        <v>7031</v>
      </c>
      <c r="AH900" t="s">
        <v>7032</v>
      </c>
      <c r="AI900" t="s">
        <v>7033</v>
      </c>
      <c r="AJ900" s="2">
        <v>45855.9296875</v>
      </c>
      <c r="AK900" t="s">
        <v>556</v>
      </c>
      <c r="AL900" t="s">
        <v>65</v>
      </c>
      <c r="AM900" s="3">
        <v>2.0208333333333335</v>
      </c>
      <c r="AN900" t="s">
        <v>66</v>
      </c>
      <c r="AO900" t="s">
        <v>101</v>
      </c>
    </row>
    <row r="901" spans="1:41" x14ac:dyDescent="0.2">
      <c r="A901">
        <v>365820</v>
      </c>
      <c r="B901" t="s">
        <v>563</v>
      </c>
      <c r="C901" t="s">
        <v>236</v>
      </c>
      <c r="D901" t="s">
        <v>7034</v>
      </c>
      <c r="E901" t="s">
        <v>7035</v>
      </c>
      <c r="F901">
        <v>210509</v>
      </c>
      <c r="G901" s="1">
        <v>34820</v>
      </c>
      <c r="H901" s="1">
        <v>45588</v>
      </c>
      <c r="I901" s="1">
        <v>45931</v>
      </c>
      <c r="J901" t="s">
        <v>45</v>
      </c>
      <c r="K901" t="s">
        <v>45</v>
      </c>
      <c r="L901" t="s">
        <v>3920</v>
      </c>
      <c r="M901" s="1">
        <v>41655</v>
      </c>
      <c r="N901" t="s">
        <v>47</v>
      </c>
      <c r="O901" t="s">
        <v>48</v>
      </c>
      <c r="P901" t="s">
        <v>49</v>
      </c>
      <c r="Q901" t="s">
        <v>7036</v>
      </c>
      <c r="R901" t="s">
        <v>7037</v>
      </c>
      <c r="S901">
        <v>1455</v>
      </c>
      <c r="T901" t="s">
        <v>52</v>
      </c>
      <c r="U901">
        <v>9</v>
      </c>
      <c r="V901" t="s">
        <v>7038</v>
      </c>
      <c r="W901" t="s">
        <v>54</v>
      </c>
      <c r="X901" t="s">
        <v>76</v>
      </c>
      <c r="Y901" t="s">
        <v>56</v>
      </c>
      <c r="Z901">
        <v>1104</v>
      </c>
      <c r="AA901">
        <v>57</v>
      </c>
      <c r="AB901">
        <v>146</v>
      </c>
      <c r="AC901" t="s">
        <v>7039</v>
      </c>
      <c r="AD901" t="s">
        <v>7040</v>
      </c>
      <c r="AE901" t="s">
        <v>7041</v>
      </c>
      <c r="AF901" t="s">
        <v>7042</v>
      </c>
      <c r="AG901" t="s">
        <v>7043</v>
      </c>
      <c r="AH901" t="s">
        <v>7044</v>
      </c>
      <c r="AI901" t="s">
        <v>5961</v>
      </c>
      <c r="AJ901" s="2">
        <v>45593.934432870374</v>
      </c>
      <c r="AK901" t="s">
        <v>717</v>
      </c>
      <c r="AL901" t="s">
        <v>65</v>
      </c>
      <c r="AM901" s="4">
        <v>0.1736111111111111</v>
      </c>
      <c r="AN901" t="s">
        <v>66</v>
      </c>
      <c r="AO901" t="s">
        <v>67</v>
      </c>
    </row>
    <row r="902" spans="1:41" x14ac:dyDescent="0.2">
      <c r="A902">
        <v>368801</v>
      </c>
      <c r="B902" t="s">
        <v>7045</v>
      </c>
      <c r="C902" t="s">
        <v>558</v>
      </c>
      <c r="D902" t="s">
        <v>1849</v>
      </c>
      <c r="E902" t="s">
        <v>7046</v>
      </c>
      <c r="G902" s="1">
        <v>44841</v>
      </c>
      <c r="H902" s="1">
        <v>44841</v>
      </c>
      <c r="I902" s="1">
        <v>45992</v>
      </c>
      <c r="J902" t="s">
        <v>45</v>
      </c>
      <c r="K902" t="s">
        <v>45</v>
      </c>
      <c r="L902" t="s">
        <v>72</v>
      </c>
      <c r="N902" t="s">
        <v>89</v>
      </c>
      <c r="O902" t="s">
        <v>121</v>
      </c>
      <c r="P902" t="s">
        <v>49</v>
      </c>
      <c r="Q902" t="s">
        <v>7047</v>
      </c>
      <c r="R902" t="s">
        <v>7048</v>
      </c>
      <c r="S902">
        <v>8521</v>
      </c>
      <c r="T902" t="s">
        <v>365</v>
      </c>
      <c r="U902" t="s">
        <v>562</v>
      </c>
      <c r="V902" t="s">
        <v>563</v>
      </c>
      <c r="W902" t="s">
        <v>367</v>
      </c>
      <c r="X902" t="s">
        <v>76</v>
      </c>
      <c r="Y902" t="s">
        <v>125</v>
      </c>
      <c r="Z902">
        <v>2573</v>
      </c>
      <c r="AA902">
        <v>77</v>
      </c>
      <c r="AB902">
        <v>160</v>
      </c>
      <c r="AC902" t="s">
        <v>564</v>
      </c>
      <c r="AD902" t="s">
        <v>565</v>
      </c>
      <c r="AE902" t="s">
        <v>566</v>
      </c>
      <c r="AI902" t="s">
        <v>4396</v>
      </c>
      <c r="AJ902" s="2">
        <v>45722.582754629628</v>
      </c>
      <c r="AK902" t="s">
        <v>100</v>
      </c>
      <c r="AL902" t="s">
        <v>65</v>
      </c>
      <c r="AM902" s="3">
        <v>1.2916666666666667</v>
      </c>
      <c r="AN902" t="s">
        <v>66</v>
      </c>
      <c r="AO902" t="s">
        <v>67</v>
      </c>
    </row>
    <row r="903" spans="1:41" x14ac:dyDescent="0.2">
      <c r="A903">
        <v>368802</v>
      </c>
      <c r="B903" t="s">
        <v>7049</v>
      </c>
      <c r="C903" t="s">
        <v>558</v>
      </c>
      <c r="E903">
        <v>32690174</v>
      </c>
      <c r="G903" s="1">
        <v>45098</v>
      </c>
      <c r="H903" s="1">
        <v>45099</v>
      </c>
      <c r="I903" s="1">
        <v>46068</v>
      </c>
      <c r="J903" t="s">
        <v>45</v>
      </c>
      <c r="K903" t="s">
        <v>45</v>
      </c>
      <c r="L903" t="s">
        <v>72</v>
      </c>
      <c r="N903" t="s">
        <v>89</v>
      </c>
      <c r="O903" t="s">
        <v>121</v>
      </c>
      <c r="P903" t="s">
        <v>49</v>
      </c>
      <c r="Q903" t="s">
        <v>7050</v>
      </c>
      <c r="R903" t="s">
        <v>7051</v>
      </c>
      <c r="S903">
        <v>8860</v>
      </c>
      <c r="T903" t="s">
        <v>365</v>
      </c>
      <c r="U903" t="s">
        <v>562</v>
      </c>
      <c r="V903" t="s">
        <v>563</v>
      </c>
      <c r="W903" t="s">
        <v>367</v>
      </c>
      <c r="X903" t="s">
        <v>76</v>
      </c>
      <c r="Y903" t="s">
        <v>125</v>
      </c>
      <c r="Z903">
        <v>2688</v>
      </c>
      <c r="AA903">
        <v>68</v>
      </c>
      <c r="AB903">
        <v>158</v>
      </c>
      <c r="AC903" t="s">
        <v>564</v>
      </c>
      <c r="AD903" t="s">
        <v>565</v>
      </c>
      <c r="AE903" t="s">
        <v>566</v>
      </c>
      <c r="AI903" t="s">
        <v>4396</v>
      </c>
      <c r="AJ903" s="2">
        <v>45722.582754629628</v>
      </c>
      <c r="AK903" t="s">
        <v>100</v>
      </c>
      <c r="AL903" t="s">
        <v>65</v>
      </c>
      <c r="AM903" s="4">
        <v>0.72222222222222221</v>
      </c>
      <c r="AN903" t="s">
        <v>66</v>
      </c>
      <c r="AO903" t="s">
        <v>67</v>
      </c>
    </row>
    <row r="904" spans="1:41" x14ac:dyDescent="0.2">
      <c r="A904">
        <v>372451</v>
      </c>
      <c r="B904" t="s">
        <v>7052</v>
      </c>
      <c r="C904" t="s">
        <v>167</v>
      </c>
      <c r="D904" t="s">
        <v>3504</v>
      </c>
      <c r="E904" t="s">
        <v>7053</v>
      </c>
      <c r="F904">
        <v>352558</v>
      </c>
      <c r="G904" s="1">
        <v>33136</v>
      </c>
      <c r="H904" s="1">
        <v>45510</v>
      </c>
      <c r="I904" s="1">
        <v>46218</v>
      </c>
      <c r="J904" t="s">
        <v>45</v>
      </c>
      <c r="K904" t="s">
        <v>45</v>
      </c>
      <c r="L904" t="s">
        <v>72</v>
      </c>
      <c r="M904" s="1">
        <v>40870</v>
      </c>
      <c r="N904" t="s">
        <v>47</v>
      </c>
      <c r="O904" t="s">
        <v>48</v>
      </c>
      <c r="P904" t="s">
        <v>49</v>
      </c>
      <c r="Q904" t="s">
        <v>7054</v>
      </c>
      <c r="R904" t="s">
        <v>7055</v>
      </c>
      <c r="S904">
        <v>3773</v>
      </c>
      <c r="T904" t="s">
        <v>52</v>
      </c>
      <c r="U904">
        <v>6</v>
      </c>
      <c r="V904" t="s">
        <v>3253</v>
      </c>
      <c r="W904" t="s">
        <v>54</v>
      </c>
      <c r="X904" t="s">
        <v>76</v>
      </c>
      <c r="Y904" t="s">
        <v>56</v>
      </c>
      <c r="Z904">
        <v>865</v>
      </c>
      <c r="AA904">
        <v>57</v>
      </c>
      <c r="AB904">
        <v>160</v>
      </c>
      <c r="AC904" t="s">
        <v>7056</v>
      </c>
      <c r="AD904" t="s">
        <v>7057</v>
      </c>
      <c r="AE904" t="s">
        <v>7058</v>
      </c>
      <c r="AF904" t="s">
        <v>7059</v>
      </c>
      <c r="AG904" t="s">
        <v>7060</v>
      </c>
      <c r="AH904" t="s">
        <v>7061</v>
      </c>
      <c r="AI904" t="s">
        <v>179</v>
      </c>
      <c r="AJ904" s="2">
        <v>45839.85528935185</v>
      </c>
      <c r="AK904" t="s">
        <v>556</v>
      </c>
      <c r="AL904" t="s">
        <v>65</v>
      </c>
      <c r="AM904" s="3">
        <v>2.2291666666666665</v>
      </c>
      <c r="AN904" t="s">
        <v>66</v>
      </c>
      <c r="AO904" t="s">
        <v>67</v>
      </c>
    </row>
    <row r="905" spans="1:41" x14ac:dyDescent="0.2">
      <c r="A905">
        <v>357458</v>
      </c>
      <c r="B905" t="s">
        <v>7062</v>
      </c>
      <c r="C905" t="s">
        <v>167</v>
      </c>
      <c r="D905" t="s">
        <v>168</v>
      </c>
      <c r="E905" t="s">
        <v>7063</v>
      </c>
      <c r="J905" t="s">
        <v>45</v>
      </c>
      <c r="K905" t="s">
        <v>45</v>
      </c>
      <c r="L905" t="s">
        <v>72</v>
      </c>
      <c r="N905" t="s">
        <v>89</v>
      </c>
      <c r="O905" t="s">
        <v>48</v>
      </c>
      <c r="P905" t="s">
        <v>49</v>
      </c>
      <c r="T905" t="s">
        <v>449</v>
      </c>
      <c r="U905" t="s">
        <v>3030</v>
      </c>
      <c r="V905" t="s">
        <v>6945</v>
      </c>
      <c r="W905" t="s">
        <v>6946</v>
      </c>
      <c r="X905" t="s">
        <v>449</v>
      </c>
      <c r="Y905" t="s">
        <v>96</v>
      </c>
      <c r="Z905">
        <v>11426</v>
      </c>
      <c r="AA905">
        <v>3</v>
      </c>
      <c r="AB905">
        <v>210</v>
      </c>
      <c r="AC905" t="s">
        <v>7064</v>
      </c>
      <c r="AD905" t="s">
        <v>7065</v>
      </c>
      <c r="AE905" t="s">
        <v>7066</v>
      </c>
      <c r="AF905" t="s">
        <v>7067</v>
      </c>
      <c r="AG905" t="s">
        <v>7068</v>
      </c>
      <c r="AH905" t="s">
        <v>7069</v>
      </c>
      <c r="AJ905" s="2">
        <v>45330.712511574071</v>
      </c>
      <c r="AK905" t="s">
        <v>149</v>
      </c>
      <c r="AL905" t="s">
        <v>65</v>
      </c>
      <c r="AM905" s="4">
        <v>0.30555555555555558</v>
      </c>
      <c r="AN905" t="s">
        <v>66</v>
      </c>
      <c r="AO905" t="s">
        <v>67</v>
      </c>
    </row>
    <row r="906" spans="1:41" x14ac:dyDescent="0.2">
      <c r="A906">
        <v>365540</v>
      </c>
      <c r="B906" t="s">
        <v>7070</v>
      </c>
      <c r="C906" t="s">
        <v>118</v>
      </c>
      <c r="D906" t="s">
        <v>7071</v>
      </c>
      <c r="E906" t="s">
        <v>7072</v>
      </c>
      <c r="F906">
        <v>21205</v>
      </c>
      <c r="G906" s="1">
        <v>32478</v>
      </c>
      <c r="H906" s="1">
        <v>45582</v>
      </c>
      <c r="I906" s="1">
        <v>45915</v>
      </c>
      <c r="J906" t="s">
        <v>45</v>
      </c>
      <c r="K906" t="s">
        <v>45</v>
      </c>
      <c r="L906" t="s">
        <v>429</v>
      </c>
      <c r="M906" s="1">
        <v>45511</v>
      </c>
      <c r="N906" t="s">
        <v>47</v>
      </c>
      <c r="O906" t="s">
        <v>48</v>
      </c>
      <c r="P906" t="s">
        <v>49</v>
      </c>
      <c r="Q906" t="s">
        <v>7073</v>
      </c>
      <c r="R906" t="s">
        <v>7074</v>
      </c>
      <c r="S906">
        <v>4650</v>
      </c>
      <c r="T906" t="s">
        <v>365</v>
      </c>
      <c r="U906" t="s">
        <v>815</v>
      </c>
      <c r="V906" t="s">
        <v>2649</v>
      </c>
      <c r="W906" t="s">
        <v>367</v>
      </c>
      <c r="X906" t="s">
        <v>55</v>
      </c>
      <c r="Y906" t="s">
        <v>434</v>
      </c>
      <c r="Z906">
        <v>60</v>
      </c>
      <c r="AA906">
        <v>54</v>
      </c>
      <c r="AB906">
        <v>166</v>
      </c>
      <c r="AC906" t="s">
        <v>2650</v>
      </c>
      <c r="AD906" t="s">
        <v>2651</v>
      </c>
      <c r="AE906" t="s">
        <v>2652</v>
      </c>
      <c r="AF906" t="s">
        <v>2653</v>
      </c>
      <c r="AG906" t="s">
        <v>2654</v>
      </c>
      <c r="AH906" t="s">
        <v>2655</v>
      </c>
      <c r="AI906" t="s">
        <v>179</v>
      </c>
      <c r="AJ906" s="2">
        <v>45586.780706018515</v>
      </c>
      <c r="AK906" t="s">
        <v>64</v>
      </c>
      <c r="AL906" t="s">
        <v>65</v>
      </c>
      <c r="AM906" s="3">
        <v>2.2430555555555554</v>
      </c>
      <c r="AN906" t="s">
        <v>66</v>
      </c>
      <c r="AO906" t="s">
        <v>67</v>
      </c>
    </row>
    <row r="907" spans="1:41" x14ac:dyDescent="0.2">
      <c r="A907">
        <v>365398</v>
      </c>
      <c r="B907" t="s">
        <v>7075</v>
      </c>
      <c r="C907" t="s">
        <v>182</v>
      </c>
      <c r="D907" t="s">
        <v>1616</v>
      </c>
      <c r="E907" t="s">
        <v>7076</v>
      </c>
      <c r="G907" s="1">
        <v>45580</v>
      </c>
      <c r="H907" s="1">
        <v>45581</v>
      </c>
      <c r="I907" s="1">
        <v>45962</v>
      </c>
      <c r="J907" t="s">
        <v>45</v>
      </c>
      <c r="K907" t="s">
        <v>45</v>
      </c>
      <c r="L907" t="s">
        <v>72</v>
      </c>
      <c r="M907" s="1">
        <v>43700</v>
      </c>
      <c r="N907" t="s">
        <v>89</v>
      </c>
      <c r="O907" t="s">
        <v>121</v>
      </c>
      <c r="P907" t="s">
        <v>49</v>
      </c>
      <c r="Q907" t="s">
        <v>7077</v>
      </c>
      <c r="R907" t="s">
        <v>7078</v>
      </c>
      <c r="S907">
        <v>3520</v>
      </c>
      <c r="T907" t="s">
        <v>52</v>
      </c>
      <c r="U907">
        <v>5</v>
      </c>
      <c r="V907" t="s">
        <v>1619</v>
      </c>
      <c r="W907" t="s">
        <v>54</v>
      </c>
      <c r="X907" t="s">
        <v>52</v>
      </c>
      <c r="Y907" t="s">
        <v>125</v>
      </c>
      <c r="Z907">
        <v>986</v>
      </c>
      <c r="AA907">
        <v>83</v>
      </c>
      <c r="AB907">
        <v>160</v>
      </c>
      <c r="AC907" t="s">
        <v>7079</v>
      </c>
      <c r="AD907" t="s">
        <v>7080</v>
      </c>
      <c r="AE907" t="s">
        <v>7081</v>
      </c>
      <c r="AF907" t="s">
        <v>7079</v>
      </c>
      <c r="AG907" t="s">
        <v>7080</v>
      </c>
      <c r="AH907" t="s">
        <v>7081</v>
      </c>
      <c r="AI907" t="s">
        <v>7082</v>
      </c>
      <c r="AJ907" s="2">
        <v>45770.735196759262</v>
      </c>
      <c r="AK907" t="s">
        <v>2038</v>
      </c>
      <c r="AL907" t="s">
        <v>65</v>
      </c>
      <c r="AM907" s="3">
        <v>1.2013888888888888</v>
      </c>
      <c r="AN907" t="s">
        <v>66</v>
      </c>
      <c r="AO907" t="s">
        <v>67</v>
      </c>
    </row>
    <row r="908" spans="1:41" x14ac:dyDescent="0.2">
      <c r="A908">
        <v>370340</v>
      </c>
      <c r="B908" t="s">
        <v>7083</v>
      </c>
      <c r="C908" t="s">
        <v>182</v>
      </c>
      <c r="D908" t="s">
        <v>2034</v>
      </c>
      <c r="E908" t="s">
        <v>7084</v>
      </c>
      <c r="G908" s="1">
        <v>44944</v>
      </c>
      <c r="H908" s="1">
        <v>45701</v>
      </c>
      <c r="I908" s="1">
        <v>46068</v>
      </c>
      <c r="J908" t="s">
        <v>45</v>
      </c>
      <c r="K908" t="s">
        <v>45</v>
      </c>
      <c r="L908" t="s">
        <v>72</v>
      </c>
      <c r="M908" s="1">
        <v>43746</v>
      </c>
      <c r="N908" t="s">
        <v>89</v>
      </c>
      <c r="O908" t="s">
        <v>121</v>
      </c>
      <c r="P908" t="s">
        <v>49</v>
      </c>
      <c r="Q908" t="s">
        <v>7085</v>
      </c>
      <c r="R908" t="s">
        <v>7086</v>
      </c>
      <c r="S908">
        <v>7098</v>
      </c>
      <c r="T908" t="s">
        <v>52</v>
      </c>
      <c r="U908">
        <v>5</v>
      </c>
      <c r="V908" t="s">
        <v>1619</v>
      </c>
      <c r="W908" t="s">
        <v>54</v>
      </c>
      <c r="X908" t="s">
        <v>52</v>
      </c>
      <c r="Y908" t="s">
        <v>125</v>
      </c>
      <c r="Z908">
        <v>987</v>
      </c>
      <c r="AA908">
        <v>81</v>
      </c>
      <c r="AB908">
        <v>160</v>
      </c>
      <c r="AC908" t="s">
        <v>2038</v>
      </c>
      <c r="AD908" t="s">
        <v>2039</v>
      </c>
      <c r="AE908" t="s">
        <v>2040</v>
      </c>
      <c r="AF908" t="s">
        <v>2041</v>
      </c>
      <c r="AG908" t="s">
        <v>2042</v>
      </c>
      <c r="AH908" t="s">
        <v>2043</v>
      </c>
      <c r="AI908" t="s">
        <v>7087</v>
      </c>
      <c r="AJ908" s="2">
        <v>45770.74722222222</v>
      </c>
      <c r="AK908" t="s">
        <v>2038</v>
      </c>
      <c r="AL908" t="s">
        <v>65</v>
      </c>
      <c r="AM908" s="3">
        <v>1.5347222222222223</v>
      </c>
      <c r="AN908" t="s">
        <v>66</v>
      </c>
      <c r="AO908" t="s">
        <v>67</v>
      </c>
    </row>
    <row r="909" spans="1:41" x14ac:dyDescent="0.2">
      <c r="A909">
        <v>372518</v>
      </c>
      <c r="B909" t="s">
        <v>7088</v>
      </c>
      <c r="C909" t="s">
        <v>182</v>
      </c>
      <c r="D909" t="s">
        <v>1616</v>
      </c>
      <c r="E909" t="s">
        <v>7089</v>
      </c>
      <c r="G909" s="1">
        <v>45840</v>
      </c>
      <c r="H909" s="1">
        <v>45792</v>
      </c>
      <c r="I909" s="1">
        <v>46143</v>
      </c>
      <c r="J909" t="s">
        <v>45</v>
      </c>
      <c r="K909" t="s">
        <v>45</v>
      </c>
      <c r="L909" t="s">
        <v>72</v>
      </c>
      <c r="M909" s="1">
        <v>45208</v>
      </c>
      <c r="N909" t="s">
        <v>47</v>
      </c>
      <c r="O909" t="s">
        <v>121</v>
      </c>
      <c r="P909" t="s">
        <v>49</v>
      </c>
      <c r="Q909" t="s">
        <v>7090</v>
      </c>
      <c r="R909" t="s">
        <v>7091</v>
      </c>
      <c r="S909">
        <v>4140</v>
      </c>
      <c r="T909" t="s">
        <v>52</v>
      </c>
      <c r="U909">
        <v>5</v>
      </c>
      <c r="V909" t="s">
        <v>1619</v>
      </c>
      <c r="W909" t="s">
        <v>54</v>
      </c>
      <c r="X909" t="s">
        <v>52</v>
      </c>
      <c r="Y909" t="s">
        <v>125</v>
      </c>
      <c r="Z909">
        <v>3266</v>
      </c>
      <c r="AA909">
        <v>54</v>
      </c>
      <c r="AB909">
        <v>30</v>
      </c>
      <c r="AC909" t="s">
        <v>1620</v>
      </c>
      <c r="AD909" t="s">
        <v>1621</v>
      </c>
      <c r="AE909" t="s">
        <v>1622</v>
      </c>
      <c r="AF909" t="s">
        <v>1623</v>
      </c>
      <c r="AG909" t="s">
        <v>1624</v>
      </c>
      <c r="AH909" t="s">
        <v>1625</v>
      </c>
      <c r="AI909" t="s">
        <v>7082</v>
      </c>
      <c r="AJ909" s="2">
        <v>45841.733240740738</v>
      </c>
      <c r="AK909" t="s">
        <v>1167</v>
      </c>
      <c r="AL909" t="s">
        <v>65</v>
      </c>
      <c r="AM909" s="3">
        <v>1.5486111111111112</v>
      </c>
      <c r="AN909" t="s">
        <v>66</v>
      </c>
      <c r="AO909" t="s">
        <v>67</v>
      </c>
    </row>
    <row r="910" spans="1:41" x14ac:dyDescent="0.2">
      <c r="A910">
        <v>370509</v>
      </c>
      <c r="B910" t="s">
        <v>7092</v>
      </c>
      <c r="C910" t="s">
        <v>182</v>
      </c>
      <c r="D910" t="s">
        <v>1616</v>
      </c>
      <c r="E910" t="s">
        <v>7093</v>
      </c>
      <c r="G910" s="1">
        <v>45460</v>
      </c>
      <c r="H910" s="1">
        <v>45461</v>
      </c>
      <c r="I910" s="1">
        <v>46143</v>
      </c>
      <c r="J910" t="s">
        <v>45</v>
      </c>
      <c r="K910" t="s">
        <v>45</v>
      </c>
      <c r="L910" t="s">
        <v>72</v>
      </c>
      <c r="M910" s="1">
        <v>42664</v>
      </c>
      <c r="N910" t="s">
        <v>47</v>
      </c>
      <c r="O910" t="s">
        <v>121</v>
      </c>
      <c r="P910" t="s">
        <v>49</v>
      </c>
      <c r="Q910" t="s">
        <v>7094</v>
      </c>
      <c r="R910" t="s">
        <v>7095</v>
      </c>
      <c r="S910">
        <v>4020</v>
      </c>
      <c r="T910" t="s">
        <v>52</v>
      </c>
      <c r="U910">
        <v>5</v>
      </c>
      <c r="V910" t="s">
        <v>1619</v>
      </c>
      <c r="W910" t="s">
        <v>54</v>
      </c>
      <c r="Y910" t="s">
        <v>125</v>
      </c>
      <c r="Z910">
        <v>6946</v>
      </c>
      <c r="AA910">
        <v>42</v>
      </c>
      <c r="AB910">
        <v>78</v>
      </c>
      <c r="AC910" t="s">
        <v>7096</v>
      </c>
      <c r="AD910" t="s">
        <v>7097</v>
      </c>
      <c r="AE910" t="s">
        <v>7098</v>
      </c>
      <c r="AF910" t="s">
        <v>7099</v>
      </c>
      <c r="AG910" t="s">
        <v>7100</v>
      </c>
      <c r="AH910" t="s">
        <v>7101</v>
      </c>
      <c r="AI910" t="s">
        <v>7102</v>
      </c>
      <c r="AJ910" s="2">
        <v>45776.909733796296</v>
      </c>
      <c r="AK910" t="s">
        <v>1167</v>
      </c>
      <c r="AL910" t="s">
        <v>65</v>
      </c>
      <c r="AM910" s="3">
        <v>1.2222222222222223</v>
      </c>
      <c r="AN910" t="s">
        <v>66</v>
      </c>
      <c r="AO910" t="s">
        <v>67</v>
      </c>
    </row>
    <row r="911" spans="1:41" x14ac:dyDescent="0.2">
      <c r="A911">
        <v>365118</v>
      </c>
      <c r="B911" t="s">
        <v>7103</v>
      </c>
      <c r="C911" t="s">
        <v>735</v>
      </c>
      <c r="D911" t="s">
        <v>104</v>
      </c>
      <c r="E911" t="s">
        <v>7104</v>
      </c>
      <c r="F911">
        <v>245501</v>
      </c>
      <c r="G911" s="1">
        <v>42543</v>
      </c>
      <c r="H911" s="1">
        <v>45568</v>
      </c>
      <c r="I911" s="1">
        <v>46280</v>
      </c>
      <c r="J911" t="s">
        <v>45</v>
      </c>
      <c r="K911" t="s">
        <v>45</v>
      </c>
      <c r="L911" t="s">
        <v>72</v>
      </c>
      <c r="M911" s="1">
        <v>42559</v>
      </c>
      <c r="N911" t="s">
        <v>47</v>
      </c>
      <c r="O911" t="s">
        <v>48</v>
      </c>
      <c r="P911" t="s">
        <v>49</v>
      </c>
      <c r="Q911" t="s">
        <v>7105</v>
      </c>
      <c r="R911" t="s">
        <v>7106</v>
      </c>
      <c r="S911">
        <v>5056</v>
      </c>
      <c r="T911" t="s">
        <v>52</v>
      </c>
      <c r="U911">
        <v>1</v>
      </c>
      <c r="V911" t="s">
        <v>740</v>
      </c>
      <c r="W911" t="s">
        <v>54</v>
      </c>
      <c r="X911" t="s">
        <v>76</v>
      </c>
      <c r="Y911" t="s">
        <v>56</v>
      </c>
      <c r="Z911">
        <v>1005</v>
      </c>
      <c r="AA911">
        <v>50</v>
      </c>
      <c r="AB911">
        <v>166</v>
      </c>
      <c r="AC911" t="s">
        <v>3720</v>
      </c>
      <c r="AD911" t="s">
        <v>3721</v>
      </c>
      <c r="AE911" t="s">
        <v>3722</v>
      </c>
      <c r="AF911" t="s">
        <v>741</v>
      </c>
      <c r="AG911" t="s">
        <v>742</v>
      </c>
      <c r="AH911" t="s">
        <v>743</v>
      </c>
      <c r="AI911" t="s">
        <v>7107</v>
      </c>
      <c r="AJ911" s="2">
        <v>45569.174317129633</v>
      </c>
      <c r="AK911" t="s">
        <v>704</v>
      </c>
      <c r="AL911" t="s">
        <v>65</v>
      </c>
      <c r="AM911" s="4">
        <v>0.66666666666666663</v>
      </c>
      <c r="AN911" t="s">
        <v>66</v>
      </c>
      <c r="AO911" t="s">
        <v>67</v>
      </c>
    </row>
    <row r="912" spans="1:41" x14ac:dyDescent="0.2">
      <c r="A912">
        <v>372355</v>
      </c>
      <c r="B912" t="s">
        <v>7108</v>
      </c>
      <c r="C912" t="s">
        <v>278</v>
      </c>
      <c r="D912" t="s">
        <v>134</v>
      </c>
      <c r="E912" t="s">
        <v>7109</v>
      </c>
      <c r="F912">
        <v>422803</v>
      </c>
      <c r="G912" s="1">
        <v>37392</v>
      </c>
      <c r="H912" s="1">
        <v>45831</v>
      </c>
      <c r="I912" s="1">
        <v>46113</v>
      </c>
      <c r="J912" t="s">
        <v>45</v>
      </c>
      <c r="K912" t="s">
        <v>45</v>
      </c>
      <c r="L912" t="s">
        <v>429</v>
      </c>
      <c r="M912" s="1">
        <v>41582</v>
      </c>
      <c r="N912" t="s">
        <v>47</v>
      </c>
      <c r="O912" t="s">
        <v>48</v>
      </c>
      <c r="P912" t="s">
        <v>49</v>
      </c>
      <c r="Q912" t="s">
        <v>7110</v>
      </c>
      <c r="R912" t="s">
        <v>7111</v>
      </c>
      <c r="S912">
        <v>5399</v>
      </c>
      <c r="T912" t="s">
        <v>52</v>
      </c>
      <c r="U912">
        <v>4</v>
      </c>
      <c r="V912" t="s">
        <v>1185</v>
      </c>
      <c r="W912" t="s">
        <v>54</v>
      </c>
      <c r="X912" t="s">
        <v>55</v>
      </c>
      <c r="Y912" t="s">
        <v>56</v>
      </c>
      <c r="Z912">
        <v>2055</v>
      </c>
      <c r="AA912">
        <v>45</v>
      </c>
      <c r="AB912">
        <v>152</v>
      </c>
      <c r="AC912" t="s">
        <v>1186</v>
      </c>
      <c r="AD912" t="s">
        <v>1187</v>
      </c>
      <c r="AE912" t="s">
        <v>6428</v>
      </c>
      <c r="AF912" t="s">
        <v>1189</v>
      </c>
      <c r="AG912" t="s">
        <v>1190</v>
      </c>
      <c r="AH912" t="s">
        <v>1191</v>
      </c>
      <c r="AI912" t="s">
        <v>1192</v>
      </c>
      <c r="AJ912" s="2">
        <v>45838.7419212963</v>
      </c>
      <c r="AK912" t="s">
        <v>307</v>
      </c>
      <c r="AL912" t="s">
        <v>65</v>
      </c>
      <c r="AM912" s="4">
        <v>0.14583333333333334</v>
      </c>
      <c r="AN912" t="s">
        <v>66</v>
      </c>
      <c r="AO912" t="s">
        <v>67</v>
      </c>
    </row>
    <row r="913" spans="1:41" x14ac:dyDescent="0.2">
      <c r="A913">
        <v>365843</v>
      </c>
      <c r="B913" t="s">
        <v>7112</v>
      </c>
      <c r="C913" t="s">
        <v>134</v>
      </c>
      <c r="D913" t="s">
        <v>4154</v>
      </c>
      <c r="E913" t="s">
        <v>7113</v>
      </c>
      <c r="F913">
        <v>452138</v>
      </c>
      <c r="G913" s="1">
        <v>41576</v>
      </c>
      <c r="H913" s="1">
        <v>45492</v>
      </c>
      <c r="I913" s="1">
        <v>46204</v>
      </c>
      <c r="J913" t="s">
        <v>45</v>
      </c>
      <c r="K913" t="s">
        <v>45</v>
      </c>
      <c r="L913" t="s">
        <v>46</v>
      </c>
      <c r="N913" t="s">
        <v>47</v>
      </c>
      <c r="O913" t="s">
        <v>48</v>
      </c>
      <c r="P913" t="s">
        <v>49</v>
      </c>
      <c r="Q913" t="s">
        <v>7114</v>
      </c>
      <c r="R913" t="s">
        <v>7115</v>
      </c>
      <c r="S913">
        <v>2825</v>
      </c>
      <c r="T913" t="s">
        <v>52</v>
      </c>
      <c r="U913">
        <v>6</v>
      </c>
      <c r="V913" t="s">
        <v>4158</v>
      </c>
      <c r="W913" t="s">
        <v>54</v>
      </c>
      <c r="X913" t="s">
        <v>76</v>
      </c>
      <c r="Y913" t="s">
        <v>434</v>
      </c>
      <c r="Z913">
        <v>6706</v>
      </c>
      <c r="AA913">
        <v>29</v>
      </c>
      <c r="AB913">
        <v>78</v>
      </c>
      <c r="AC913" t="s">
        <v>4159</v>
      </c>
      <c r="AD913" t="s">
        <v>4160</v>
      </c>
      <c r="AE913" t="s">
        <v>4161</v>
      </c>
      <c r="AF913" t="s">
        <v>7116</v>
      </c>
      <c r="AG913" t="s">
        <v>7117</v>
      </c>
      <c r="AH913" t="s">
        <v>7118</v>
      </c>
      <c r="AI913" t="s">
        <v>179</v>
      </c>
      <c r="AJ913" s="2">
        <v>45594.623553240737</v>
      </c>
      <c r="AK913" t="s">
        <v>132</v>
      </c>
      <c r="AL913" t="s">
        <v>65</v>
      </c>
      <c r="AM913" s="3">
        <v>1.4861111111111112</v>
      </c>
      <c r="AN913" t="s">
        <v>66</v>
      </c>
      <c r="AO913" t="s">
        <v>67</v>
      </c>
    </row>
    <row r="914" spans="1:41" x14ac:dyDescent="0.2">
      <c r="A914">
        <v>373063</v>
      </c>
      <c r="B914" t="s">
        <v>7119</v>
      </c>
      <c r="C914" t="s">
        <v>134</v>
      </c>
      <c r="D914" t="s">
        <v>7120</v>
      </c>
      <c r="E914" t="s">
        <v>7121</v>
      </c>
      <c r="F914">
        <v>451702</v>
      </c>
      <c r="G914" s="1">
        <v>38166</v>
      </c>
      <c r="H914" s="1">
        <v>45800</v>
      </c>
      <c r="I914" s="1">
        <v>46157</v>
      </c>
      <c r="J914" t="s">
        <v>45</v>
      </c>
      <c r="K914" t="s">
        <v>45</v>
      </c>
      <c r="L914" t="s">
        <v>72</v>
      </c>
      <c r="M914" s="1">
        <v>41792</v>
      </c>
      <c r="N914" t="s">
        <v>47</v>
      </c>
      <c r="O914" t="s">
        <v>48</v>
      </c>
      <c r="P914" t="s">
        <v>49</v>
      </c>
      <c r="Q914" t="s">
        <v>7122</v>
      </c>
      <c r="R914" t="s">
        <v>7123</v>
      </c>
      <c r="S914">
        <v>756</v>
      </c>
      <c r="T914" t="s">
        <v>92</v>
      </c>
      <c r="U914" t="s">
        <v>139</v>
      </c>
      <c r="V914" t="s">
        <v>140</v>
      </c>
      <c r="W914" t="s">
        <v>141</v>
      </c>
      <c r="X914" t="s">
        <v>92</v>
      </c>
      <c r="Y914" t="s">
        <v>110</v>
      </c>
      <c r="Z914">
        <v>2392</v>
      </c>
      <c r="AA914">
        <v>56</v>
      </c>
      <c r="AB914">
        <v>158</v>
      </c>
      <c r="AC914" t="s">
        <v>1103</v>
      </c>
      <c r="AD914" t="s">
        <v>1104</v>
      </c>
      <c r="AE914" t="s">
        <v>1105</v>
      </c>
      <c r="AF914" t="s">
        <v>145</v>
      </c>
      <c r="AG914" t="s">
        <v>146</v>
      </c>
      <c r="AH914" t="s">
        <v>147</v>
      </c>
      <c r="AI914" t="s">
        <v>148</v>
      </c>
      <c r="AJ914" s="2">
        <v>45856.604131944441</v>
      </c>
      <c r="AK914" t="s">
        <v>1103</v>
      </c>
      <c r="AL914" t="s">
        <v>65</v>
      </c>
      <c r="AM914" s="4">
        <v>0.36805555555555558</v>
      </c>
      <c r="AN914" t="s">
        <v>66</v>
      </c>
      <c r="AO914" t="s">
        <v>67</v>
      </c>
    </row>
    <row r="915" spans="1:41" x14ac:dyDescent="0.2">
      <c r="A915">
        <v>339356</v>
      </c>
      <c r="B915" t="s">
        <v>7124</v>
      </c>
      <c r="C915" t="s">
        <v>278</v>
      </c>
      <c r="D915" t="s">
        <v>279</v>
      </c>
      <c r="E915" t="s">
        <v>7125</v>
      </c>
      <c r="J915" t="s">
        <v>45</v>
      </c>
      <c r="K915" t="s">
        <v>45</v>
      </c>
      <c r="L915" t="s">
        <v>72</v>
      </c>
      <c r="N915" t="s">
        <v>89</v>
      </c>
      <c r="O915" t="s">
        <v>48</v>
      </c>
      <c r="P915" t="s">
        <v>406</v>
      </c>
      <c r="Q915" t="s">
        <v>7126</v>
      </c>
      <c r="R915" t="s">
        <v>7127</v>
      </c>
      <c r="S915">
        <v>5917</v>
      </c>
      <c r="T915" t="s">
        <v>365</v>
      </c>
      <c r="U915" t="s">
        <v>432</v>
      </c>
      <c r="V915" t="s">
        <v>6141</v>
      </c>
      <c r="W915" t="s">
        <v>409</v>
      </c>
      <c r="X915" t="s">
        <v>76</v>
      </c>
      <c r="Y915" t="s">
        <v>96</v>
      </c>
      <c r="Z915">
        <v>9786</v>
      </c>
      <c r="AA915">
        <v>2</v>
      </c>
      <c r="AB915">
        <v>146</v>
      </c>
      <c r="AC915" t="s">
        <v>7128</v>
      </c>
      <c r="AD915" t="s">
        <v>7129</v>
      </c>
      <c r="AE915" t="s">
        <v>7130</v>
      </c>
      <c r="AJ915" s="2">
        <v>44686.569085648145</v>
      </c>
      <c r="AK915" t="s">
        <v>149</v>
      </c>
      <c r="AL915" t="s">
        <v>1168</v>
      </c>
      <c r="AM915" s="3">
        <v>1.8263888888888888</v>
      </c>
      <c r="AN915" t="s">
        <v>66</v>
      </c>
      <c r="AO915" t="s">
        <v>67</v>
      </c>
    </row>
    <row r="916" spans="1:41" x14ac:dyDescent="0.2">
      <c r="A916">
        <v>371887</v>
      </c>
      <c r="B916" t="s">
        <v>7131</v>
      </c>
      <c r="C916" t="s">
        <v>134</v>
      </c>
      <c r="D916" t="s">
        <v>7132</v>
      </c>
      <c r="E916" t="s">
        <v>7133</v>
      </c>
      <c r="F916">
        <v>453601</v>
      </c>
      <c r="G916" s="1">
        <v>37119</v>
      </c>
      <c r="H916" s="1">
        <v>45816</v>
      </c>
      <c r="I916" s="1">
        <v>46174</v>
      </c>
      <c r="J916" t="s">
        <v>45</v>
      </c>
      <c r="K916" t="s">
        <v>45</v>
      </c>
      <c r="L916" t="s">
        <v>429</v>
      </c>
      <c r="M916" s="1">
        <v>40381</v>
      </c>
      <c r="N916" t="s">
        <v>47</v>
      </c>
      <c r="O916" t="s">
        <v>48</v>
      </c>
      <c r="P916" t="s">
        <v>49</v>
      </c>
      <c r="Q916" t="s">
        <v>7134</v>
      </c>
      <c r="R916" t="s">
        <v>7135</v>
      </c>
      <c r="S916">
        <v>1740</v>
      </c>
      <c r="T916" t="s">
        <v>365</v>
      </c>
      <c r="U916" t="s">
        <v>532</v>
      </c>
      <c r="V916" t="s">
        <v>6560</v>
      </c>
      <c r="W916" t="s">
        <v>367</v>
      </c>
      <c r="X916" t="s">
        <v>76</v>
      </c>
      <c r="Y916" t="s">
        <v>434</v>
      </c>
      <c r="Z916">
        <v>1442</v>
      </c>
      <c r="AA916">
        <v>65</v>
      </c>
      <c r="AB916">
        <v>142</v>
      </c>
      <c r="AC916" t="s">
        <v>6561</v>
      </c>
      <c r="AD916" t="s">
        <v>6562</v>
      </c>
      <c r="AE916" t="s">
        <v>6563</v>
      </c>
      <c r="AI916" t="s">
        <v>179</v>
      </c>
      <c r="AJ916" s="2">
        <v>45821.917858796296</v>
      </c>
      <c r="AK916" t="s">
        <v>717</v>
      </c>
      <c r="AL916" t="s">
        <v>65</v>
      </c>
      <c r="AM916" s="3">
        <v>1.7430555555555556</v>
      </c>
      <c r="AN916" t="s">
        <v>66</v>
      </c>
      <c r="AO916" t="s">
        <v>67</v>
      </c>
    </row>
    <row r="917" spans="1:41" x14ac:dyDescent="0.2">
      <c r="A917">
        <v>372940</v>
      </c>
      <c r="B917" t="s">
        <v>7136</v>
      </c>
      <c r="C917" t="s">
        <v>7022</v>
      </c>
      <c r="D917" t="s">
        <v>7137</v>
      </c>
      <c r="E917" t="s">
        <v>7138</v>
      </c>
      <c r="F917">
        <v>430501</v>
      </c>
      <c r="G917" s="1">
        <v>36617</v>
      </c>
      <c r="H917" s="1">
        <v>45779</v>
      </c>
      <c r="I917" s="1">
        <v>46143</v>
      </c>
      <c r="J917" t="s">
        <v>45</v>
      </c>
      <c r="K917" t="s">
        <v>45</v>
      </c>
      <c r="L917" t="s">
        <v>46</v>
      </c>
      <c r="M917" s="1">
        <v>41682</v>
      </c>
      <c r="N917" t="s">
        <v>47</v>
      </c>
      <c r="O917" t="s">
        <v>48</v>
      </c>
      <c r="P917" t="s">
        <v>49</v>
      </c>
      <c r="Q917" t="s">
        <v>7139</v>
      </c>
      <c r="R917" t="s">
        <v>7140</v>
      </c>
      <c r="S917">
        <v>343</v>
      </c>
      <c r="T917" t="s">
        <v>52</v>
      </c>
      <c r="U917">
        <v>9</v>
      </c>
      <c r="V917" t="s">
        <v>3122</v>
      </c>
      <c r="W917" t="s">
        <v>54</v>
      </c>
      <c r="X917" t="s">
        <v>76</v>
      </c>
      <c r="Y917" t="s">
        <v>56</v>
      </c>
      <c r="Z917">
        <v>1797</v>
      </c>
      <c r="AA917">
        <v>47</v>
      </c>
      <c r="AB917">
        <v>37</v>
      </c>
      <c r="AC917" t="s">
        <v>7027</v>
      </c>
      <c r="AD917" t="s">
        <v>7028</v>
      </c>
      <c r="AE917" t="s">
        <v>7029</v>
      </c>
      <c r="AF917" t="s">
        <v>7030</v>
      </c>
      <c r="AG917" t="s">
        <v>7031</v>
      </c>
      <c r="AH917" t="s">
        <v>7032</v>
      </c>
      <c r="AI917" t="s">
        <v>7028</v>
      </c>
      <c r="AJ917" s="2">
        <v>45855.93109953704</v>
      </c>
      <c r="AK917" t="s">
        <v>556</v>
      </c>
      <c r="AL917" t="s">
        <v>65</v>
      </c>
      <c r="AM917" s="4">
        <v>0.95138888888888884</v>
      </c>
      <c r="AN917" t="s">
        <v>66</v>
      </c>
      <c r="AO917" t="s">
        <v>67</v>
      </c>
    </row>
    <row r="918" spans="1:41" x14ac:dyDescent="0.2">
      <c r="A918">
        <v>373023</v>
      </c>
      <c r="B918" t="s">
        <v>7141</v>
      </c>
      <c r="C918" t="s">
        <v>692</v>
      </c>
      <c r="D918" t="s">
        <v>7142</v>
      </c>
      <c r="E918" t="s">
        <v>7143</v>
      </c>
      <c r="F918">
        <v>482102</v>
      </c>
      <c r="G918" s="1">
        <v>32399</v>
      </c>
      <c r="H918" s="1">
        <v>45548</v>
      </c>
      <c r="I918" s="1">
        <v>45931</v>
      </c>
      <c r="J918" t="s">
        <v>45</v>
      </c>
      <c r="K918" t="s">
        <v>45</v>
      </c>
      <c r="L918" t="s">
        <v>429</v>
      </c>
      <c r="M918" s="1">
        <v>44585</v>
      </c>
      <c r="N918" t="s">
        <v>47</v>
      </c>
      <c r="O918" t="s">
        <v>48</v>
      </c>
      <c r="P918" t="s">
        <v>49</v>
      </c>
      <c r="Q918" t="s">
        <v>7144</v>
      </c>
      <c r="R918" t="s">
        <v>7145</v>
      </c>
      <c r="S918">
        <v>6597</v>
      </c>
      <c r="T918" t="s">
        <v>52</v>
      </c>
      <c r="U918">
        <v>2</v>
      </c>
      <c r="V918" t="s">
        <v>7146</v>
      </c>
      <c r="W918" t="s">
        <v>54</v>
      </c>
      <c r="X918" t="s">
        <v>76</v>
      </c>
      <c r="Y918" t="s">
        <v>56</v>
      </c>
      <c r="Z918">
        <v>579</v>
      </c>
      <c r="AA918">
        <v>57</v>
      </c>
      <c r="AB918">
        <v>38</v>
      </c>
      <c r="AC918" t="s">
        <v>6674</v>
      </c>
      <c r="AD918" t="s">
        <v>6675</v>
      </c>
      <c r="AE918" t="s">
        <v>6676</v>
      </c>
      <c r="AF918" t="s">
        <v>7147</v>
      </c>
      <c r="AG918" t="s">
        <v>7148</v>
      </c>
      <c r="AH918" t="s">
        <v>7149</v>
      </c>
      <c r="AI918" t="s">
        <v>179</v>
      </c>
      <c r="AJ918" s="2">
        <v>45856.028969907406</v>
      </c>
      <c r="AK918" t="s">
        <v>556</v>
      </c>
      <c r="AL918" t="s">
        <v>65</v>
      </c>
      <c r="AM918" s="3">
        <v>2.1736111111111112</v>
      </c>
      <c r="AN918" t="s">
        <v>66</v>
      </c>
      <c r="AO918" t="s">
        <v>67</v>
      </c>
    </row>
    <row r="919" spans="1:41" x14ac:dyDescent="0.2">
      <c r="A919">
        <v>363659</v>
      </c>
      <c r="B919" t="s">
        <v>7150</v>
      </c>
      <c r="C919" t="s">
        <v>345</v>
      </c>
      <c r="D919" t="s">
        <v>3579</v>
      </c>
      <c r="E919" t="s">
        <v>7151</v>
      </c>
      <c r="F919">
        <v>50507</v>
      </c>
      <c r="G919" s="1">
        <v>36963</v>
      </c>
      <c r="H919" s="1">
        <v>45518</v>
      </c>
      <c r="I919" s="1">
        <v>45962</v>
      </c>
      <c r="J919" t="s">
        <v>45</v>
      </c>
      <c r="K919" t="s">
        <v>45</v>
      </c>
      <c r="L919" t="s">
        <v>72</v>
      </c>
      <c r="M919" s="1">
        <v>41983</v>
      </c>
      <c r="N919" t="s">
        <v>47</v>
      </c>
      <c r="O919" t="s">
        <v>48</v>
      </c>
      <c r="P919" t="s">
        <v>49</v>
      </c>
      <c r="Q919" t="s">
        <v>7152</v>
      </c>
      <c r="R919" t="s">
        <v>7153</v>
      </c>
      <c r="S919">
        <v>7892</v>
      </c>
      <c r="T919" t="s">
        <v>52</v>
      </c>
      <c r="U919">
        <v>2</v>
      </c>
      <c r="V919" t="s">
        <v>945</v>
      </c>
      <c r="W919" t="s">
        <v>54</v>
      </c>
      <c r="X919" t="s">
        <v>55</v>
      </c>
      <c r="Y919" t="s">
        <v>56</v>
      </c>
      <c r="Z919">
        <v>1590</v>
      </c>
      <c r="AA919">
        <v>51</v>
      </c>
      <c r="AB919">
        <v>30</v>
      </c>
      <c r="AC919" t="s">
        <v>946</v>
      </c>
      <c r="AD919" t="s">
        <v>947</v>
      </c>
      <c r="AE919" t="s">
        <v>948</v>
      </c>
      <c r="AI919" t="s">
        <v>5572</v>
      </c>
      <c r="AJ919" s="2">
        <v>45519.186793981484</v>
      </c>
      <c r="AK919" t="s">
        <v>4471</v>
      </c>
      <c r="AL919" t="s">
        <v>65</v>
      </c>
      <c r="AM919" s="3">
        <v>1</v>
      </c>
      <c r="AN919" t="s">
        <v>66</v>
      </c>
      <c r="AO919" t="s">
        <v>67</v>
      </c>
    </row>
    <row r="920" spans="1:41" x14ac:dyDescent="0.2">
      <c r="A920">
        <v>367911</v>
      </c>
      <c r="B920" t="s">
        <v>7154</v>
      </c>
      <c r="C920" t="s">
        <v>221</v>
      </c>
      <c r="D920" t="s">
        <v>7155</v>
      </c>
      <c r="E920" t="s">
        <v>7156</v>
      </c>
      <c r="F920">
        <v>15602</v>
      </c>
      <c r="G920" s="1">
        <v>44956</v>
      </c>
      <c r="H920" s="1">
        <v>45681</v>
      </c>
      <c r="J920" t="s">
        <v>45</v>
      </c>
      <c r="K920" t="s">
        <v>45</v>
      </c>
      <c r="L920" t="s">
        <v>72</v>
      </c>
      <c r="N920" t="s">
        <v>47</v>
      </c>
      <c r="O920" t="s">
        <v>48</v>
      </c>
      <c r="P920" t="s">
        <v>49</v>
      </c>
      <c r="Q920" t="s">
        <v>7157</v>
      </c>
      <c r="R920" t="s">
        <v>7158</v>
      </c>
      <c r="S920">
        <v>225</v>
      </c>
      <c r="T920" t="s">
        <v>156</v>
      </c>
      <c r="U920" t="s">
        <v>157</v>
      </c>
      <c r="V920" t="s">
        <v>7159</v>
      </c>
      <c r="W920" t="s">
        <v>159</v>
      </c>
      <c r="X920" t="s">
        <v>156</v>
      </c>
      <c r="Y920" t="s">
        <v>450</v>
      </c>
      <c r="Z920">
        <v>12135</v>
      </c>
      <c r="AA920">
        <v>12</v>
      </c>
      <c r="AB920">
        <v>39</v>
      </c>
      <c r="AC920" t="s">
        <v>7160</v>
      </c>
      <c r="AD920" t="s">
        <v>7161</v>
      </c>
      <c r="AE920" t="s">
        <v>7162</v>
      </c>
      <c r="AF920" t="s">
        <v>7163</v>
      </c>
      <c r="AG920" t="s">
        <v>7164</v>
      </c>
      <c r="AH920" t="s">
        <v>7165</v>
      </c>
      <c r="AJ920" s="2">
        <v>45693.798564814817</v>
      </c>
      <c r="AK920" t="s">
        <v>526</v>
      </c>
      <c r="AL920" t="s">
        <v>65</v>
      </c>
      <c r="AM920" s="3">
        <v>2.0659722222222223</v>
      </c>
      <c r="AN920" t="s">
        <v>66</v>
      </c>
      <c r="AO920" t="s">
        <v>101</v>
      </c>
    </row>
    <row r="921" spans="1:41" x14ac:dyDescent="0.2">
      <c r="A921">
        <v>364149</v>
      </c>
      <c r="B921" t="s">
        <v>7166</v>
      </c>
      <c r="C921" t="s">
        <v>735</v>
      </c>
      <c r="D921" t="s">
        <v>1849</v>
      </c>
      <c r="E921" t="s">
        <v>7167</v>
      </c>
      <c r="F921">
        <v>240110</v>
      </c>
      <c r="G921" s="1">
        <v>32994</v>
      </c>
      <c r="H921" s="1">
        <v>45519</v>
      </c>
      <c r="I921" s="1">
        <v>46235</v>
      </c>
      <c r="J921" t="s">
        <v>45</v>
      </c>
      <c r="K921" t="s">
        <v>45</v>
      </c>
      <c r="L921" t="s">
        <v>429</v>
      </c>
      <c r="M921" s="1">
        <v>45161</v>
      </c>
      <c r="N921" t="s">
        <v>47</v>
      </c>
      <c r="O921" t="s">
        <v>48</v>
      </c>
      <c r="P921" t="s">
        <v>49</v>
      </c>
      <c r="Q921" t="s">
        <v>7168</v>
      </c>
      <c r="R921" t="s">
        <v>7169</v>
      </c>
      <c r="S921">
        <v>2632</v>
      </c>
      <c r="T921" t="s">
        <v>52</v>
      </c>
      <c r="U921">
        <v>1</v>
      </c>
      <c r="V921" t="s">
        <v>1853</v>
      </c>
      <c r="W921" t="s">
        <v>54</v>
      </c>
      <c r="X921" t="s">
        <v>76</v>
      </c>
      <c r="Y921" t="s">
        <v>56</v>
      </c>
      <c r="Z921">
        <v>959</v>
      </c>
      <c r="AA921">
        <v>47</v>
      </c>
      <c r="AB921">
        <v>160</v>
      </c>
      <c r="AC921" t="s">
        <v>7170</v>
      </c>
      <c r="AD921" t="s">
        <v>3866</v>
      </c>
      <c r="AE921" t="s">
        <v>3867</v>
      </c>
      <c r="AF921" t="s">
        <v>7171</v>
      </c>
      <c r="AG921" t="s">
        <v>7172</v>
      </c>
      <c r="AH921" t="s">
        <v>7173</v>
      </c>
      <c r="AI921" t="s">
        <v>3871</v>
      </c>
      <c r="AJ921" s="2">
        <v>45533.818206018521</v>
      </c>
      <c r="AK921" t="s">
        <v>568</v>
      </c>
      <c r="AL921" t="s">
        <v>65</v>
      </c>
      <c r="AM921" s="4">
        <v>0.64583333333333337</v>
      </c>
      <c r="AN921" t="s">
        <v>66</v>
      </c>
      <c r="AO921" t="s">
        <v>67</v>
      </c>
    </row>
    <row r="922" spans="1:41" x14ac:dyDescent="0.2">
      <c r="A922">
        <v>369641</v>
      </c>
      <c r="B922" t="s">
        <v>7174</v>
      </c>
      <c r="C922" t="s">
        <v>182</v>
      </c>
      <c r="D922" t="s">
        <v>4074</v>
      </c>
      <c r="E922" t="s">
        <v>7175</v>
      </c>
      <c r="G922" s="1">
        <v>41361</v>
      </c>
      <c r="H922" s="1">
        <v>45740</v>
      </c>
      <c r="J922" t="s">
        <v>45</v>
      </c>
      <c r="K922" t="s">
        <v>45</v>
      </c>
      <c r="L922" t="s">
        <v>72</v>
      </c>
      <c r="M922" s="1">
        <v>45026</v>
      </c>
      <c r="N922" t="s">
        <v>47</v>
      </c>
      <c r="O922" t="s">
        <v>48</v>
      </c>
      <c r="P922" t="s">
        <v>1752</v>
      </c>
      <c r="Q922" t="s">
        <v>7176</v>
      </c>
      <c r="R922" t="s">
        <v>7177</v>
      </c>
      <c r="S922">
        <v>2975</v>
      </c>
      <c r="T922" t="s">
        <v>257</v>
      </c>
      <c r="U922" t="s">
        <v>640</v>
      </c>
      <c r="V922" t="s">
        <v>7178</v>
      </c>
      <c r="W922" t="s">
        <v>260</v>
      </c>
      <c r="X922" t="s">
        <v>257</v>
      </c>
      <c r="Y922" t="s">
        <v>642</v>
      </c>
      <c r="Z922">
        <v>6067</v>
      </c>
      <c r="AA922">
        <v>23</v>
      </c>
      <c r="AB922">
        <v>28</v>
      </c>
      <c r="AC922" t="s">
        <v>6100</v>
      </c>
      <c r="AD922" t="s">
        <v>6101</v>
      </c>
      <c r="AE922" t="s">
        <v>6102</v>
      </c>
      <c r="AF922" t="s">
        <v>6103</v>
      </c>
      <c r="AG922" t="s">
        <v>7179</v>
      </c>
      <c r="AH922" t="s">
        <v>6105</v>
      </c>
      <c r="AI922" t="s">
        <v>6106</v>
      </c>
      <c r="AJ922" s="2">
        <v>45747.919305555559</v>
      </c>
      <c r="AK922" t="s">
        <v>650</v>
      </c>
      <c r="AL922" t="s">
        <v>1168</v>
      </c>
      <c r="AM922" s="3">
        <v>1.4375</v>
      </c>
      <c r="AN922" t="s">
        <v>66</v>
      </c>
      <c r="AO922" t="s">
        <v>67</v>
      </c>
    </row>
    <row r="923" spans="1:41" x14ac:dyDescent="0.2">
      <c r="A923">
        <v>361031</v>
      </c>
      <c r="B923" t="s">
        <v>7180</v>
      </c>
      <c r="C923" t="s">
        <v>221</v>
      </c>
      <c r="D923" t="s">
        <v>6780</v>
      </c>
      <c r="E923" t="s">
        <v>7181</v>
      </c>
      <c r="F923">
        <v>13001</v>
      </c>
      <c r="G923" s="1">
        <v>42614</v>
      </c>
      <c r="H923" s="1">
        <v>45440</v>
      </c>
      <c r="I923" s="1">
        <v>46113</v>
      </c>
      <c r="J923" t="s">
        <v>45</v>
      </c>
      <c r="K923" t="s">
        <v>45</v>
      </c>
      <c r="L923" t="s">
        <v>72</v>
      </c>
      <c r="N923" t="s">
        <v>47</v>
      </c>
      <c r="O923" t="s">
        <v>48</v>
      </c>
      <c r="P923" t="s">
        <v>49</v>
      </c>
      <c r="Q923" t="s">
        <v>7182</v>
      </c>
      <c r="R923" t="s">
        <v>7183</v>
      </c>
      <c r="S923">
        <v>372</v>
      </c>
      <c r="T923" t="s">
        <v>92</v>
      </c>
      <c r="U923" t="s">
        <v>226</v>
      </c>
      <c r="V923" t="s">
        <v>227</v>
      </c>
      <c r="W923" t="s">
        <v>228</v>
      </c>
      <c r="X923" t="s">
        <v>92</v>
      </c>
      <c r="Y923" t="s">
        <v>110</v>
      </c>
      <c r="Z923">
        <v>8471</v>
      </c>
      <c r="AA923">
        <v>18</v>
      </c>
      <c r="AB923">
        <v>78</v>
      </c>
      <c r="AC923" t="s">
        <v>229</v>
      </c>
      <c r="AD923" t="s">
        <v>230</v>
      </c>
      <c r="AE923" t="s">
        <v>231</v>
      </c>
      <c r="AF923" t="s">
        <v>232</v>
      </c>
      <c r="AG923" t="s">
        <v>233</v>
      </c>
      <c r="AH923" t="s">
        <v>234</v>
      </c>
      <c r="AJ923" s="2">
        <v>45443.903692129628</v>
      </c>
      <c r="AK923" t="s">
        <v>229</v>
      </c>
      <c r="AL923" t="s">
        <v>65</v>
      </c>
      <c r="AM923" s="3">
        <v>1.0902777777777777</v>
      </c>
      <c r="AN923" t="s">
        <v>66</v>
      </c>
      <c r="AO923" t="s">
        <v>67</v>
      </c>
    </row>
    <row r="924" spans="1:41" x14ac:dyDescent="0.2">
      <c r="A924">
        <v>372973</v>
      </c>
      <c r="B924" t="s">
        <v>7184</v>
      </c>
      <c r="C924" t="s">
        <v>1687</v>
      </c>
      <c r="D924" t="s">
        <v>7185</v>
      </c>
      <c r="E924" t="s">
        <v>7186</v>
      </c>
      <c r="F924">
        <v>162401</v>
      </c>
      <c r="G924" s="1">
        <v>36281</v>
      </c>
      <c r="H924" s="1">
        <v>45687</v>
      </c>
      <c r="I924" s="1">
        <v>46054</v>
      </c>
      <c r="J924" t="s">
        <v>45</v>
      </c>
      <c r="K924" t="s">
        <v>45</v>
      </c>
      <c r="L924" t="s">
        <v>46</v>
      </c>
      <c r="M924" s="1">
        <v>44173</v>
      </c>
      <c r="N924" t="s">
        <v>47</v>
      </c>
      <c r="O924" t="s">
        <v>48</v>
      </c>
      <c r="P924" t="s">
        <v>49</v>
      </c>
      <c r="Q924" t="s">
        <v>7187</v>
      </c>
      <c r="R924" t="s">
        <v>7188</v>
      </c>
      <c r="S924">
        <v>185</v>
      </c>
      <c r="T924" t="s">
        <v>52</v>
      </c>
      <c r="U924">
        <v>8</v>
      </c>
      <c r="V924" t="s">
        <v>4309</v>
      </c>
      <c r="W924" t="s">
        <v>54</v>
      </c>
      <c r="X924" t="s">
        <v>76</v>
      </c>
      <c r="Y924" t="s">
        <v>56</v>
      </c>
      <c r="Z924">
        <v>1080</v>
      </c>
      <c r="AA924">
        <v>50</v>
      </c>
      <c r="AB924">
        <v>45</v>
      </c>
      <c r="AC924" t="s">
        <v>4310</v>
      </c>
      <c r="AD924" t="s">
        <v>4311</v>
      </c>
      <c r="AE924" t="s">
        <v>4312</v>
      </c>
      <c r="AF924" t="s">
        <v>4313</v>
      </c>
      <c r="AG924" t="s">
        <v>4314</v>
      </c>
      <c r="AH924" t="s">
        <v>4315</v>
      </c>
      <c r="AJ924" s="2">
        <v>45855.969548611109</v>
      </c>
      <c r="AK924" t="s">
        <v>556</v>
      </c>
      <c r="AL924" t="s">
        <v>65</v>
      </c>
      <c r="AM924" s="3">
        <v>1.7986111111111112</v>
      </c>
      <c r="AN924" t="s">
        <v>66</v>
      </c>
      <c r="AO924" t="s">
        <v>101</v>
      </c>
    </row>
    <row r="925" spans="1:41" x14ac:dyDescent="0.2">
      <c r="A925">
        <v>372914</v>
      </c>
      <c r="B925" t="s">
        <v>7189</v>
      </c>
      <c r="C925" t="s">
        <v>167</v>
      </c>
      <c r="D925" t="s">
        <v>168</v>
      </c>
      <c r="E925" t="s">
        <v>7190</v>
      </c>
      <c r="F925">
        <v>353228</v>
      </c>
      <c r="G925" s="1">
        <v>34493</v>
      </c>
      <c r="H925" s="1">
        <v>45714</v>
      </c>
      <c r="I925" s="1">
        <v>46054</v>
      </c>
      <c r="J925" t="s">
        <v>45</v>
      </c>
      <c r="K925" t="s">
        <v>45</v>
      </c>
      <c r="L925" t="s">
        <v>429</v>
      </c>
      <c r="M925" s="1">
        <v>39366</v>
      </c>
      <c r="N925" t="s">
        <v>47</v>
      </c>
      <c r="O925" t="s">
        <v>48</v>
      </c>
      <c r="P925" t="s">
        <v>49</v>
      </c>
      <c r="Q925" t="s">
        <v>7191</v>
      </c>
      <c r="R925" t="s">
        <v>7192</v>
      </c>
      <c r="S925">
        <v>3257</v>
      </c>
      <c r="T925" t="s">
        <v>365</v>
      </c>
      <c r="U925" t="s">
        <v>532</v>
      </c>
      <c r="V925" t="s">
        <v>3595</v>
      </c>
      <c r="W925" t="s">
        <v>367</v>
      </c>
      <c r="X925" t="s">
        <v>76</v>
      </c>
      <c r="Y925" t="s">
        <v>434</v>
      </c>
      <c r="Z925">
        <v>313</v>
      </c>
      <c r="AA925">
        <v>84</v>
      </c>
      <c r="AB925">
        <v>146</v>
      </c>
      <c r="AC925" t="s">
        <v>3596</v>
      </c>
      <c r="AD925" t="s">
        <v>3597</v>
      </c>
      <c r="AE925" t="s">
        <v>3598</v>
      </c>
      <c r="AF925" t="s">
        <v>3599</v>
      </c>
      <c r="AG925" t="s">
        <v>3600</v>
      </c>
      <c r="AH925" t="s">
        <v>3601</v>
      </c>
      <c r="AI925" t="s">
        <v>179</v>
      </c>
      <c r="AJ925" s="2">
        <v>45855.895358796297</v>
      </c>
      <c r="AK925" t="s">
        <v>556</v>
      </c>
      <c r="AL925" t="s">
        <v>65</v>
      </c>
      <c r="AM925" s="3">
        <v>2.4444444444444446</v>
      </c>
      <c r="AN925" t="s">
        <v>66</v>
      </c>
      <c r="AO925" t="s">
        <v>67</v>
      </c>
    </row>
    <row r="926" spans="1:41" x14ac:dyDescent="0.2">
      <c r="A926">
        <v>371600</v>
      </c>
      <c r="B926" t="s">
        <v>7193</v>
      </c>
      <c r="C926" t="s">
        <v>86</v>
      </c>
      <c r="D926" t="s">
        <v>7194</v>
      </c>
      <c r="E926">
        <v>8007552</v>
      </c>
      <c r="F926">
        <v>203202</v>
      </c>
      <c r="G926" s="1">
        <v>32964</v>
      </c>
      <c r="H926" s="1">
        <v>45780</v>
      </c>
      <c r="I926" s="1">
        <v>46143</v>
      </c>
      <c r="J926" t="s">
        <v>45</v>
      </c>
      <c r="K926" t="s">
        <v>45</v>
      </c>
      <c r="L926" t="s">
        <v>72</v>
      </c>
      <c r="M926" s="1">
        <v>43746</v>
      </c>
      <c r="N926" t="s">
        <v>47</v>
      </c>
      <c r="O926" t="s">
        <v>48</v>
      </c>
      <c r="P926" t="s">
        <v>49</v>
      </c>
      <c r="Q926" t="s">
        <v>7195</v>
      </c>
      <c r="R926" t="s">
        <v>7196</v>
      </c>
      <c r="S926">
        <v>1112</v>
      </c>
      <c r="T926" t="s">
        <v>92</v>
      </c>
      <c r="U926" t="s">
        <v>93</v>
      </c>
      <c r="V926" t="s">
        <v>506</v>
      </c>
      <c r="W926" t="s">
        <v>507</v>
      </c>
      <c r="X926" t="s">
        <v>92</v>
      </c>
      <c r="Y926" t="s">
        <v>110</v>
      </c>
      <c r="Z926">
        <v>1971</v>
      </c>
      <c r="AA926">
        <v>42</v>
      </c>
      <c r="AB926">
        <v>144</v>
      </c>
      <c r="AC926" t="s">
        <v>508</v>
      </c>
      <c r="AD926" t="s">
        <v>509</v>
      </c>
      <c r="AE926" t="s">
        <v>510</v>
      </c>
      <c r="AF926" t="s">
        <v>7197</v>
      </c>
      <c r="AG926" t="s">
        <v>7198</v>
      </c>
      <c r="AH926" t="s">
        <v>7199</v>
      </c>
      <c r="AI926" t="s">
        <v>509</v>
      </c>
      <c r="AJ926" s="2">
        <v>45817.702407407407</v>
      </c>
      <c r="AK926" t="s">
        <v>100</v>
      </c>
      <c r="AL926" t="s">
        <v>65</v>
      </c>
      <c r="AM926" s="4">
        <v>0.54166666666666663</v>
      </c>
      <c r="AN926" t="s">
        <v>66</v>
      </c>
      <c r="AO926" t="s">
        <v>67</v>
      </c>
    </row>
    <row r="927" spans="1:41" x14ac:dyDescent="0.2">
      <c r="A927">
        <v>371311</v>
      </c>
      <c r="B927" t="s">
        <v>7200</v>
      </c>
      <c r="C927" t="s">
        <v>788</v>
      </c>
      <c r="D927" t="s">
        <v>3886</v>
      </c>
      <c r="E927" t="s">
        <v>7201</v>
      </c>
      <c r="F927">
        <v>88001</v>
      </c>
      <c r="G927" s="1">
        <v>45770</v>
      </c>
      <c r="H927" s="1">
        <v>45706</v>
      </c>
      <c r="I927" s="1">
        <v>46068</v>
      </c>
      <c r="J927" t="s">
        <v>45</v>
      </c>
      <c r="K927" t="s">
        <v>72</v>
      </c>
      <c r="L927" t="s">
        <v>72</v>
      </c>
      <c r="M927" s="1">
        <v>44265</v>
      </c>
      <c r="N927" t="s">
        <v>89</v>
      </c>
      <c r="O927" t="s">
        <v>121</v>
      </c>
      <c r="P927" t="s">
        <v>49</v>
      </c>
      <c r="Q927" t="s">
        <v>7202</v>
      </c>
      <c r="R927" t="s">
        <v>7203</v>
      </c>
      <c r="S927">
        <v>6</v>
      </c>
      <c r="T927" t="s">
        <v>257</v>
      </c>
      <c r="U927" t="s">
        <v>1691</v>
      </c>
      <c r="V927" t="s">
        <v>3890</v>
      </c>
      <c r="W927" t="s">
        <v>260</v>
      </c>
      <c r="X927" t="s">
        <v>257</v>
      </c>
      <c r="Y927" t="s">
        <v>110</v>
      </c>
      <c r="Z927">
        <v>5466</v>
      </c>
      <c r="AA927">
        <v>35</v>
      </c>
      <c r="AB927">
        <v>45</v>
      </c>
      <c r="AC927" t="s">
        <v>4898</v>
      </c>
      <c r="AD927" t="s">
        <v>3892</v>
      </c>
      <c r="AE927" t="s">
        <v>3893</v>
      </c>
      <c r="AI927" t="s">
        <v>3892</v>
      </c>
      <c r="AJ927" s="2">
        <v>45804.760439814818</v>
      </c>
      <c r="AK927" t="s">
        <v>276</v>
      </c>
      <c r="AL927" t="s">
        <v>65</v>
      </c>
      <c r="AM927" s="4">
        <v>6.9444444444444441E-3</v>
      </c>
      <c r="AN927" t="s">
        <v>66</v>
      </c>
      <c r="AO927" t="s">
        <v>101</v>
      </c>
    </row>
    <row r="928" spans="1:41" x14ac:dyDescent="0.2">
      <c r="A928">
        <v>364185</v>
      </c>
      <c r="B928" t="s">
        <v>7204</v>
      </c>
      <c r="C928" t="s">
        <v>69</v>
      </c>
      <c r="D928" t="s">
        <v>7205</v>
      </c>
      <c r="E928" t="s">
        <v>7206</v>
      </c>
      <c r="F928">
        <v>101314</v>
      </c>
      <c r="G928" s="1">
        <v>33078</v>
      </c>
      <c r="H928" s="1">
        <v>45532</v>
      </c>
      <c r="I928" s="1">
        <v>46249</v>
      </c>
      <c r="J928" t="s">
        <v>45</v>
      </c>
      <c r="K928" t="s">
        <v>45</v>
      </c>
      <c r="L928" t="s">
        <v>72</v>
      </c>
      <c r="M928" s="1">
        <v>40344</v>
      </c>
      <c r="N928" t="s">
        <v>47</v>
      </c>
      <c r="O928" t="s">
        <v>48</v>
      </c>
      <c r="P928" t="s">
        <v>49</v>
      </c>
      <c r="Q928" t="s">
        <v>7207</v>
      </c>
      <c r="R928" t="s">
        <v>7208</v>
      </c>
      <c r="S928">
        <v>6405</v>
      </c>
      <c r="T928" t="s">
        <v>52</v>
      </c>
      <c r="U928">
        <v>4</v>
      </c>
      <c r="V928" t="s">
        <v>3135</v>
      </c>
      <c r="W928" t="s">
        <v>54</v>
      </c>
      <c r="X928" t="s">
        <v>76</v>
      </c>
      <c r="Y928" t="s">
        <v>56</v>
      </c>
      <c r="Z928">
        <v>178</v>
      </c>
      <c r="AA928">
        <v>52</v>
      </c>
      <c r="AB928">
        <v>30</v>
      </c>
      <c r="AC928" t="s">
        <v>7209</v>
      </c>
      <c r="AD928" t="s">
        <v>7210</v>
      </c>
      <c r="AE928" t="s">
        <v>7211</v>
      </c>
      <c r="AF928" t="s">
        <v>7212</v>
      </c>
      <c r="AG928" t="s">
        <v>7213</v>
      </c>
      <c r="AH928" t="s">
        <v>7214</v>
      </c>
      <c r="AI928" t="s">
        <v>7215</v>
      </c>
      <c r="AJ928" s="2">
        <v>45534.729421296295</v>
      </c>
      <c r="AK928" t="s">
        <v>2517</v>
      </c>
      <c r="AL928" t="s">
        <v>65</v>
      </c>
      <c r="AM928" s="3">
        <v>1.0902777777777777</v>
      </c>
      <c r="AN928" t="s">
        <v>66</v>
      </c>
      <c r="AO928" t="s">
        <v>67</v>
      </c>
    </row>
    <row r="929" spans="1:41" x14ac:dyDescent="0.2">
      <c r="A929">
        <v>372556</v>
      </c>
      <c r="B929" t="s">
        <v>7216</v>
      </c>
      <c r="C929" t="s">
        <v>69</v>
      </c>
      <c r="D929" t="s">
        <v>3081</v>
      </c>
      <c r="E929" t="s">
        <v>7217</v>
      </c>
      <c r="G929" s="1">
        <v>45838</v>
      </c>
      <c r="H929" s="1">
        <v>45838</v>
      </c>
      <c r="J929" t="s">
        <v>45</v>
      </c>
      <c r="K929" t="s">
        <v>45</v>
      </c>
      <c r="L929" t="s">
        <v>46</v>
      </c>
      <c r="N929" t="s">
        <v>47</v>
      </c>
      <c r="O929" t="s">
        <v>48</v>
      </c>
      <c r="P929" t="s">
        <v>406</v>
      </c>
      <c r="Q929" t="s">
        <v>2851</v>
      </c>
      <c r="R929" t="s">
        <v>7218</v>
      </c>
      <c r="S929">
        <v>3539</v>
      </c>
      <c r="T929" t="s">
        <v>365</v>
      </c>
      <c r="U929" t="s">
        <v>532</v>
      </c>
      <c r="V929" t="s">
        <v>2853</v>
      </c>
      <c r="W929" t="s">
        <v>409</v>
      </c>
      <c r="X929" t="s">
        <v>76</v>
      </c>
      <c r="Y929" t="s">
        <v>410</v>
      </c>
      <c r="Z929">
        <v>12309</v>
      </c>
      <c r="AA929">
        <v>7</v>
      </c>
      <c r="AB929">
        <v>44</v>
      </c>
      <c r="AC929" t="s">
        <v>660</v>
      </c>
      <c r="AD929" t="s">
        <v>3088</v>
      </c>
      <c r="AE929" t="s">
        <v>2856</v>
      </c>
      <c r="AF929" t="s">
        <v>132</v>
      </c>
      <c r="AG929" t="s">
        <v>6209</v>
      </c>
      <c r="AH929" t="s">
        <v>2856</v>
      </c>
      <c r="AI929" t="s">
        <v>7219</v>
      </c>
      <c r="AJ929" s="2">
        <v>45845.620405092595</v>
      </c>
      <c r="AK929" t="s">
        <v>660</v>
      </c>
      <c r="AL929" t="s">
        <v>65</v>
      </c>
      <c r="AM929" s="3">
        <v>2.0520833333333335</v>
      </c>
      <c r="AN929" t="s">
        <v>66</v>
      </c>
      <c r="AO929" t="s">
        <v>67</v>
      </c>
    </row>
    <row r="930" spans="1:41" x14ac:dyDescent="0.2">
      <c r="A930">
        <v>371775</v>
      </c>
      <c r="B930" t="s">
        <v>7220</v>
      </c>
      <c r="C930" t="s">
        <v>323</v>
      </c>
      <c r="D930" t="s">
        <v>324</v>
      </c>
      <c r="E930">
        <v>32433452</v>
      </c>
      <c r="F930">
        <v>500741</v>
      </c>
      <c r="G930" s="1">
        <v>36398</v>
      </c>
      <c r="H930" s="1">
        <v>45762</v>
      </c>
      <c r="I930" s="1">
        <v>46037</v>
      </c>
      <c r="J930" t="s">
        <v>45</v>
      </c>
      <c r="K930" t="s">
        <v>45</v>
      </c>
      <c r="L930" t="s">
        <v>72</v>
      </c>
      <c r="M930" s="1">
        <v>45374</v>
      </c>
      <c r="N930" t="s">
        <v>47</v>
      </c>
      <c r="O930" t="s">
        <v>48</v>
      </c>
      <c r="P930" t="s">
        <v>49</v>
      </c>
      <c r="Q930" t="s">
        <v>7221</v>
      </c>
      <c r="R930" t="s">
        <v>7222</v>
      </c>
      <c r="S930">
        <v>449</v>
      </c>
      <c r="T930" t="s">
        <v>365</v>
      </c>
      <c r="U930" t="s">
        <v>366</v>
      </c>
      <c r="V930" t="s">
        <v>330</v>
      </c>
      <c r="W930" t="s">
        <v>367</v>
      </c>
      <c r="X930" t="s">
        <v>76</v>
      </c>
      <c r="Y930" t="s">
        <v>110</v>
      </c>
      <c r="Z930">
        <v>28</v>
      </c>
      <c r="AA930">
        <v>52</v>
      </c>
      <c r="AB930">
        <v>158</v>
      </c>
      <c r="AC930" t="s">
        <v>368</v>
      </c>
      <c r="AD930" t="s">
        <v>369</v>
      </c>
      <c r="AE930" t="s">
        <v>370</v>
      </c>
      <c r="AF930" t="s">
        <v>384</v>
      </c>
      <c r="AG930" t="s">
        <v>385</v>
      </c>
      <c r="AH930" t="s">
        <v>386</v>
      </c>
      <c r="AJ930" s="2">
        <v>45818.957337962966</v>
      </c>
      <c r="AK930" t="s">
        <v>727</v>
      </c>
      <c r="AL930" t="s">
        <v>65</v>
      </c>
      <c r="AM930" s="4">
        <v>0.75694444444444442</v>
      </c>
      <c r="AN930" t="s">
        <v>66</v>
      </c>
      <c r="AO930" t="s">
        <v>67</v>
      </c>
    </row>
    <row r="931" spans="1:41" x14ac:dyDescent="0.2">
      <c r="A931">
        <v>370677</v>
      </c>
      <c r="B931" t="s">
        <v>7223</v>
      </c>
      <c r="C931" t="s">
        <v>134</v>
      </c>
      <c r="D931" t="s">
        <v>6133</v>
      </c>
      <c r="E931" t="s">
        <v>7224</v>
      </c>
      <c r="G931" s="1">
        <v>40381</v>
      </c>
      <c r="H931" s="1">
        <v>41395</v>
      </c>
      <c r="J931" t="s">
        <v>326</v>
      </c>
      <c r="K931" t="s">
        <v>72</v>
      </c>
      <c r="L931" t="s">
        <v>72</v>
      </c>
      <c r="M931" s="1">
        <v>40726</v>
      </c>
      <c r="N931" t="s">
        <v>47</v>
      </c>
      <c r="O931" t="s">
        <v>48</v>
      </c>
      <c r="P931" t="s">
        <v>586</v>
      </c>
      <c r="Q931" t="s">
        <v>7225</v>
      </c>
      <c r="R931" t="s">
        <v>7226</v>
      </c>
      <c r="S931">
        <v>2450</v>
      </c>
      <c r="T931" t="s">
        <v>1328</v>
      </c>
      <c r="U931" t="s">
        <v>1329</v>
      </c>
      <c r="V931" t="s">
        <v>7227</v>
      </c>
      <c r="W931" t="s">
        <v>1331</v>
      </c>
      <c r="Y931" t="s">
        <v>410</v>
      </c>
      <c r="Z931">
        <v>3786</v>
      </c>
      <c r="AA931">
        <v>28</v>
      </c>
      <c r="AB931">
        <v>160</v>
      </c>
      <c r="AC931" t="s">
        <v>7228</v>
      </c>
      <c r="AD931" t="s">
        <v>7229</v>
      </c>
      <c r="AE931" t="s">
        <v>7230</v>
      </c>
      <c r="AF931" t="s">
        <v>7231</v>
      </c>
      <c r="AG931" t="s">
        <v>7232</v>
      </c>
      <c r="AH931" t="s">
        <v>7233</v>
      </c>
      <c r="AJ931" s="2">
        <v>45782.952557870369</v>
      </c>
      <c r="AK931" t="s">
        <v>375</v>
      </c>
      <c r="AL931" t="s">
        <v>5305</v>
      </c>
      <c r="AM931" s="3">
        <v>2.2986111111111112</v>
      </c>
      <c r="AN931" t="s">
        <v>66</v>
      </c>
      <c r="AO931" t="s">
        <v>67</v>
      </c>
    </row>
    <row r="932" spans="1:41" x14ac:dyDescent="0.2">
      <c r="A932">
        <v>357975</v>
      </c>
      <c r="B932" t="s">
        <v>7234</v>
      </c>
      <c r="C932" t="s">
        <v>103</v>
      </c>
      <c r="D932" t="s">
        <v>7235</v>
      </c>
      <c r="E932">
        <v>40704512</v>
      </c>
      <c r="F932">
        <v>317901</v>
      </c>
      <c r="G932" s="1">
        <v>39087</v>
      </c>
      <c r="H932" s="1">
        <v>45343</v>
      </c>
      <c r="I932" s="1">
        <v>46296</v>
      </c>
      <c r="J932" t="s">
        <v>45</v>
      </c>
      <c r="K932" t="s">
        <v>45</v>
      </c>
      <c r="L932" t="s">
        <v>72</v>
      </c>
      <c r="M932" s="1">
        <v>44950</v>
      </c>
      <c r="N932" t="s">
        <v>47</v>
      </c>
      <c r="O932" t="s">
        <v>48</v>
      </c>
      <c r="P932" t="s">
        <v>49</v>
      </c>
      <c r="Q932" t="s">
        <v>7236</v>
      </c>
      <c r="R932" t="s">
        <v>7237</v>
      </c>
      <c r="S932">
        <v>5</v>
      </c>
      <c r="T932" t="s">
        <v>92</v>
      </c>
      <c r="U932" t="s">
        <v>107</v>
      </c>
      <c r="V932" t="s">
        <v>108</v>
      </c>
      <c r="W932" t="s">
        <v>109</v>
      </c>
      <c r="X932" t="s">
        <v>52</v>
      </c>
      <c r="Y932" t="s">
        <v>110</v>
      </c>
      <c r="Z932">
        <v>1199</v>
      </c>
      <c r="AA932">
        <v>42</v>
      </c>
      <c r="AB932">
        <v>160</v>
      </c>
      <c r="AC932" t="s">
        <v>5994</v>
      </c>
      <c r="AD932" t="s">
        <v>5995</v>
      </c>
      <c r="AE932" t="s">
        <v>5996</v>
      </c>
      <c r="AF932" t="s">
        <v>5997</v>
      </c>
      <c r="AG932" t="s">
        <v>5998</v>
      </c>
      <c r="AH932" t="s">
        <v>5999</v>
      </c>
      <c r="AI932" t="s">
        <v>5995</v>
      </c>
      <c r="AJ932" s="2">
        <v>45818.719537037039</v>
      </c>
      <c r="AK932" t="s">
        <v>100</v>
      </c>
      <c r="AL932" t="s">
        <v>65</v>
      </c>
      <c r="AM932" s="4">
        <v>0.72222222222222221</v>
      </c>
      <c r="AN932" t="s">
        <v>66</v>
      </c>
      <c r="AO932" t="s">
        <v>67</v>
      </c>
    </row>
    <row r="933" spans="1:41" x14ac:dyDescent="0.2">
      <c r="A933">
        <v>365712</v>
      </c>
      <c r="B933" t="s">
        <v>7238</v>
      </c>
      <c r="C933" t="s">
        <v>692</v>
      </c>
      <c r="D933" t="s">
        <v>4524</v>
      </c>
      <c r="E933" t="s">
        <v>7239</v>
      </c>
      <c r="F933">
        <v>481504</v>
      </c>
      <c r="G933" s="1">
        <v>33821</v>
      </c>
      <c r="H933" s="1">
        <v>45589</v>
      </c>
      <c r="I933" s="1">
        <v>46296</v>
      </c>
      <c r="J933" t="s">
        <v>45</v>
      </c>
      <c r="K933" t="s">
        <v>45</v>
      </c>
      <c r="L933" t="s">
        <v>72</v>
      </c>
      <c r="M933" s="1">
        <v>42174</v>
      </c>
      <c r="N933" t="s">
        <v>47</v>
      </c>
      <c r="O933" t="s">
        <v>48</v>
      </c>
      <c r="P933" t="s">
        <v>49</v>
      </c>
      <c r="Q933" t="s">
        <v>7240</v>
      </c>
      <c r="R933" t="s">
        <v>7241</v>
      </c>
      <c r="S933">
        <v>6380</v>
      </c>
      <c r="T933" t="s">
        <v>365</v>
      </c>
      <c r="U933" t="s">
        <v>432</v>
      </c>
      <c r="V933" t="s">
        <v>3668</v>
      </c>
      <c r="W933" t="s">
        <v>367</v>
      </c>
      <c r="X933" t="s">
        <v>76</v>
      </c>
      <c r="Y933" t="s">
        <v>434</v>
      </c>
      <c r="Z933">
        <v>377</v>
      </c>
      <c r="AA933">
        <v>60</v>
      </c>
      <c r="AB933">
        <v>80</v>
      </c>
      <c r="AC933" t="s">
        <v>3669</v>
      </c>
      <c r="AD933" t="s">
        <v>3670</v>
      </c>
      <c r="AE933" t="s">
        <v>3671</v>
      </c>
      <c r="AF933" t="s">
        <v>4528</v>
      </c>
      <c r="AG933" t="s">
        <v>4529</v>
      </c>
      <c r="AH933" t="s">
        <v>4530</v>
      </c>
      <c r="AI933" t="s">
        <v>7242</v>
      </c>
      <c r="AJ933" s="2">
        <v>45590.112627314818</v>
      </c>
      <c r="AK933" t="s">
        <v>704</v>
      </c>
      <c r="AL933" t="s">
        <v>65</v>
      </c>
      <c r="AM933" s="4">
        <v>0.4375</v>
      </c>
      <c r="AN933" t="s">
        <v>66</v>
      </c>
      <c r="AO933" t="s">
        <v>67</v>
      </c>
    </row>
    <row r="934" spans="1:41" x14ac:dyDescent="0.2">
      <c r="A934">
        <v>371292</v>
      </c>
      <c r="B934" t="s">
        <v>7243</v>
      </c>
      <c r="C934" t="s">
        <v>662</v>
      </c>
      <c r="D934" t="s">
        <v>7244</v>
      </c>
      <c r="E934" t="s">
        <v>7245</v>
      </c>
      <c r="F934">
        <v>418507</v>
      </c>
      <c r="G934" s="1">
        <v>45265</v>
      </c>
      <c r="H934" s="1">
        <v>45783</v>
      </c>
      <c r="I934" s="1">
        <v>46127</v>
      </c>
      <c r="J934" t="s">
        <v>45</v>
      </c>
      <c r="K934" t="s">
        <v>45</v>
      </c>
      <c r="L934" t="s">
        <v>72</v>
      </c>
      <c r="M934" s="1">
        <v>44053</v>
      </c>
      <c r="N934" t="s">
        <v>47</v>
      </c>
      <c r="O934" t="s">
        <v>48</v>
      </c>
      <c r="P934" t="s">
        <v>49</v>
      </c>
      <c r="Q934" t="s">
        <v>7246</v>
      </c>
      <c r="R934" t="s">
        <v>7247</v>
      </c>
      <c r="S934">
        <v>24</v>
      </c>
      <c r="T934" t="s">
        <v>92</v>
      </c>
      <c r="U934" t="s">
        <v>1197</v>
      </c>
      <c r="V934" t="s">
        <v>1198</v>
      </c>
      <c r="W934" t="s">
        <v>1199</v>
      </c>
      <c r="X934" t="s">
        <v>52</v>
      </c>
      <c r="Y934" t="s">
        <v>110</v>
      </c>
      <c r="Z934">
        <v>2133</v>
      </c>
      <c r="AA934">
        <v>42</v>
      </c>
      <c r="AB934">
        <v>158</v>
      </c>
      <c r="AC934" t="s">
        <v>1200</v>
      </c>
      <c r="AD934" t="s">
        <v>1201</v>
      </c>
      <c r="AE934" t="s">
        <v>1202</v>
      </c>
      <c r="AF934" t="s">
        <v>1786</v>
      </c>
      <c r="AG934" t="s">
        <v>1787</v>
      </c>
      <c r="AH934" t="s">
        <v>1788</v>
      </c>
      <c r="AJ934" s="2">
        <v>45804.68644675926</v>
      </c>
      <c r="AK934" t="s">
        <v>1786</v>
      </c>
      <c r="AL934" t="s">
        <v>65</v>
      </c>
      <c r="AM934" s="4">
        <v>0.1875</v>
      </c>
      <c r="AN934" t="s">
        <v>66</v>
      </c>
      <c r="AO934" t="s">
        <v>67</v>
      </c>
    </row>
    <row r="935" spans="1:41" x14ac:dyDescent="0.2">
      <c r="A935">
        <v>371054</v>
      </c>
      <c r="B935" t="s">
        <v>7248</v>
      </c>
      <c r="C935" t="s">
        <v>167</v>
      </c>
      <c r="D935" t="s">
        <v>3018</v>
      </c>
      <c r="E935" t="s">
        <v>7249</v>
      </c>
      <c r="F935">
        <v>352327</v>
      </c>
      <c r="G935" s="1">
        <v>31413</v>
      </c>
      <c r="H935" s="1">
        <v>45790</v>
      </c>
      <c r="I935" s="1">
        <v>46157</v>
      </c>
      <c r="J935" t="s">
        <v>45</v>
      </c>
      <c r="K935" t="s">
        <v>45</v>
      </c>
      <c r="L935" t="s">
        <v>72</v>
      </c>
      <c r="M935" s="1">
        <v>39640</v>
      </c>
      <c r="N935" t="s">
        <v>47</v>
      </c>
      <c r="O935" t="s">
        <v>48</v>
      </c>
      <c r="P935" t="s">
        <v>49</v>
      </c>
      <c r="Q935" t="s">
        <v>7250</v>
      </c>
      <c r="R935" t="s">
        <v>7251</v>
      </c>
      <c r="S935">
        <v>5949</v>
      </c>
      <c r="T935" t="s">
        <v>52</v>
      </c>
      <c r="U935">
        <v>6</v>
      </c>
      <c r="V935" t="s">
        <v>574</v>
      </c>
      <c r="W935" t="s">
        <v>54</v>
      </c>
      <c r="X935" t="s">
        <v>76</v>
      </c>
      <c r="Y935" t="s">
        <v>56</v>
      </c>
      <c r="Z935">
        <v>776</v>
      </c>
      <c r="AA935">
        <v>51</v>
      </c>
      <c r="AB935">
        <v>38</v>
      </c>
      <c r="AC935" t="s">
        <v>578</v>
      </c>
      <c r="AD935" t="s">
        <v>579</v>
      </c>
      <c r="AE935" t="s">
        <v>580</v>
      </c>
      <c r="AF935" t="s">
        <v>3022</v>
      </c>
      <c r="AG935" t="s">
        <v>3023</v>
      </c>
      <c r="AH935" t="s">
        <v>3024</v>
      </c>
      <c r="AI935" t="s">
        <v>3025</v>
      </c>
      <c r="AJ935" s="2">
        <v>45793.705474537041</v>
      </c>
      <c r="AK935" t="s">
        <v>540</v>
      </c>
      <c r="AL935" t="s">
        <v>65</v>
      </c>
      <c r="AM935" s="3">
        <v>1.2013888888888888</v>
      </c>
      <c r="AN935" t="s">
        <v>66</v>
      </c>
      <c r="AO935" t="s">
        <v>67</v>
      </c>
    </row>
    <row r="936" spans="1:41" x14ac:dyDescent="0.2">
      <c r="A936">
        <v>371399</v>
      </c>
      <c r="B936" t="s">
        <v>7252</v>
      </c>
      <c r="C936" t="s">
        <v>182</v>
      </c>
      <c r="D936" t="s">
        <v>610</v>
      </c>
      <c r="E936" t="s">
        <v>7253</v>
      </c>
      <c r="G936" s="1">
        <v>42993</v>
      </c>
      <c r="H936" s="1">
        <v>45763</v>
      </c>
      <c r="I936" s="1">
        <v>45931</v>
      </c>
      <c r="J936" t="s">
        <v>45</v>
      </c>
      <c r="K936" t="s">
        <v>45</v>
      </c>
      <c r="L936" t="s">
        <v>429</v>
      </c>
      <c r="M936" s="1">
        <v>44371</v>
      </c>
      <c r="N936" t="s">
        <v>47</v>
      </c>
      <c r="O936" t="s">
        <v>48</v>
      </c>
      <c r="P936" t="s">
        <v>49</v>
      </c>
      <c r="Q936" t="s">
        <v>7254</v>
      </c>
      <c r="R936" t="s">
        <v>7255</v>
      </c>
      <c r="S936">
        <v>879</v>
      </c>
      <c r="T936" t="s">
        <v>1328</v>
      </c>
      <c r="U936" t="s">
        <v>1583</v>
      </c>
      <c r="V936" t="s">
        <v>4498</v>
      </c>
      <c r="W936" t="s">
        <v>1585</v>
      </c>
      <c r="X936" t="s">
        <v>493</v>
      </c>
      <c r="Y936" t="s">
        <v>434</v>
      </c>
      <c r="Z936">
        <v>9346</v>
      </c>
      <c r="AA936">
        <v>26</v>
      </c>
      <c r="AB936">
        <v>24</v>
      </c>
      <c r="AC936" t="s">
        <v>7256</v>
      </c>
      <c r="AD936" t="s">
        <v>7257</v>
      </c>
      <c r="AE936" t="s">
        <v>7258</v>
      </c>
      <c r="AF936" t="s">
        <v>6908</v>
      </c>
      <c r="AG936" t="s">
        <v>6909</v>
      </c>
      <c r="AH936" t="s">
        <v>6910</v>
      </c>
      <c r="AJ936" s="2">
        <v>45807.717870370368</v>
      </c>
      <c r="AK936" t="s">
        <v>100</v>
      </c>
      <c r="AL936" t="s">
        <v>65</v>
      </c>
      <c r="AM936" s="4">
        <v>0.91666666666666663</v>
      </c>
      <c r="AN936" t="s">
        <v>66</v>
      </c>
      <c r="AO936" t="s">
        <v>67</v>
      </c>
    </row>
    <row r="937" spans="1:41" x14ac:dyDescent="0.2">
      <c r="A937">
        <v>369531</v>
      </c>
      <c r="B937" t="s">
        <v>7259</v>
      </c>
      <c r="C937" t="s">
        <v>182</v>
      </c>
      <c r="D937" t="s">
        <v>443</v>
      </c>
      <c r="E937" t="s">
        <v>7260</v>
      </c>
      <c r="F937">
        <v>44516</v>
      </c>
      <c r="G937" s="1">
        <v>32509</v>
      </c>
      <c r="H937" s="1">
        <v>45738</v>
      </c>
      <c r="J937" t="s">
        <v>45</v>
      </c>
      <c r="K937" t="s">
        <v>45</v>
      </c>
      <c r="L937" t="s">
        <v>72</v>
      </c>
      <c r="N937" t="s">
        <v>47</v>
      </c>
      <c r="O937" t="s">
        <v>48</v>
      </c>
      <c r="P937" t="s">
        <v>49</v>
      </c>
      <c r="Q937" t="s">
        <v>7261</v>
      </c>
      <c r="R937" t="s">
        <v>7262</v>
      </c>
      <c r="S937">
        <v>916</v>
      </c>
      <c r="T937" t="s">
        <v>92</v>
      </c>
      <c r="U937" t="s">
        <v>187</v>
      </c>
      <c r="V937" t="s">
        <v>447</v>
      </c>
      <c r="W937" t="s">
        <v>448</v>
      </c>
      <c r="X937" t="s">
        <v>92</v>
      </c>
      <c r="Y937" t="s">
        <v>450</v>
      </c>
      <c r="Z937">
        <v>1235</v>
      </c>
      <c r="AA937">
        <v>50</v>
      </c>
      <c r="AB937">
        <v>152</v>
      </c>
      <c r="AC937" t="s">
        <v>451</v>
      </c>
      <c r="AD937" t="s">
        <v>452</v>
      </c>
      <c r="AE937" t="s">
        <v>453</v>
      </c>
      <c r="AF937" t="s">
        <v>454</v>
      </c>
      <c r="AG937" t="s">
        <v>473</v>
      </c>
      <c r="AH937" t="s">
        <v>474</v>
      </c>
      <c r="AJ937" s="2">
        <v>45743.635729166665</v>
      </c>
      <c r="AK937" t="s">
        <v>526</v>
      </c>
      <c r="AL937" t="s">
        <v>65</v>
      </c>
      <c r="AM937" s="4">
        <v>2.7777777777777776E-2</v>
      </c>
      <c r="AN937" t="s">
        <v>66</v>
      </c>
      <c r="AO937" t="s">
        <v>67</v>
      </c>
    </row>
    <row r="938" spans="1:41" x14ac:dyDescent="0.2">
      <c r="A938">
        <v>364881</v>
      </c>
      <c r="B938" t="s">
        <v>7263</v>
      </c>
      <c r="C938" t="s">
        <v>831</v>
      </c>
      <c r="D938" t="s">
        <v>7264</v>
      </c>
      <c r="E938" t="s">
        <v>7265</v>
      </c>
      <c r="F938">
        <v>443301</v>
      </c>
      <c r="G938" s="1">
        <v>41872</v>
      </c>
      <c r="H938" s="1">
        <v>45561</v>
      </c>
      <c r="J938" t="s">
        <v>45</v>
      </c>
      <c r="K938" t="s">
        <v>45</v>
      </c>
      <c r="L938" t="s">
        <v>72</v>
      </c>
      <c r="N938" t="s">
        <v>47</v>
      </c>
      <c r="O938" t="s">
        <v>48</v>
      </c>
      <c r="P938" t="s">
        <v>586</v>
      </c>
      <c r="Q938" t="s">
        <v>7266</v>
      </c>
      <c r="R938" t="s">
        <v>7267</v>
      </c>
      <c r="S938">
        <v>196</v>
      </c>
      <c r="T938" t="s">
        <v>1328</v>
      </c>
      <c r="U938" t="s">
        <v>3114</v>
      </c>
      <c r="V938" t="s">
        <v>7268</v>
      </c>
      <c r="W938" t="s">
        <v>3116</v>
      </c>
      <c r="X938" t="s">
        <v>1328</v>
      </c>
      <c r="Y938" t="s">
        <v>450</v>
      </c>
      <c r="Z938">
        <v>6367</v>
      </c>
      <c r="AA938">
        <v>20</v>
      </c>
      <c r="AB938">
        <v>78</v>
      </c>
      <c r="AC938" t="s">
        <v>7269</v>
      </c>
      <c r="AD938" t="s">
        <v>7270</v>
      </c>
      <c r="AE938" t="s">
        <v>7271</v>
      </c>
      <c r="AF938" t="s">
        <v>7272</v>
      </c>
      <c r="AG938" t="s">
        <v>7273</v>
      </c>
      <c r="AH938" t="s">
        <v>7274</v>
      </c>
      <c r="AJ938" s="2">
        <v>45562.649571759262</v>
      </c>
      <c r="AK938" t="s">
        <v>456</v>
      </c>
      <c r="AL938" t="s">
        <v>65</v>
      </c>
      <c r="AM938" s="4">
        <v>0.28472222222222221</v>
      </c>
      <c r="AN938" t="s">
        <v>66</v>
      </c>
      <c r="AO938" t="s">
        <v>67</v>
      </c>
    </row>
    <row r="939" spans="1:41" x14ac:dyDescent="0.2">
      <c r="A939">
        <v>364878</v>
      </c>
      <c r="B939" t="s">
        <v>7275</v>
      </c>
      <c r="C939" t="s">
        <v>831</v>
      </c>
      <c r="D939" t="s">
        <v>7264</v>
      </c>
      <c r="E939" t="s">
        <v>7276</v>
      </c>
      <c r="F939">
        <v>443302</v>
      </c>
      <c r="G939" s="1">
        <v>41871</v>
      </c>
      <c r="H939" s="1">
        <v>45561</v>
      </c>
      <c r="J939" t="s">
        <v>45</v>
      </c>
      <c r="K939" t="s">
        <v>45</v>
      </c>
      <c r="L939" t="s">
        <v>72</v>
      </c>
      <c r="N939" t="s">
        <v>47</v>
      </c>
      <c r="O939" t="s">
        <v>48</v>
      </c>
      <c r="P939" t="s">
        <v>586</v>
      </c>
      <c r="Q939" t="s">
        <v>7277</v>
      </c>
      <c r="R939" t="s">
        <v>7278</v>
      </c>
      <c r="S939">
        <v>80</v>
      </c>
      <c r="T939" t="s">
        <v>1328</v>
      </c>
      <c r="U939" t="s">
        <v>3114</v>
      </c>
      <c r="V939" t="s">
        <v>7268</v>
      </c>
      <c r="W939" t="s">
        <v>3116</v>
      </c>
      <c r="X939" t="s">
        <v>1328</v>
      </c>
      <c r="Y939" t="s">
        <v>450</v>
      </c>
      <c r="Z939">
        <v>6306</v>
      </c>
      <c r="AA939">
        <v>22</v>
      </c>
      <c r="AB939">
        <v>78</v>
      </c>
      <c r="AC939" t="s">
        <v>7269</v>
      </c>
      <c r="AD939" t="s">
        <v>7270</v>
      </c>
      <c r="AE939" t="s">
        <v>7271</v>
      </c>
      <c r="AF939" t="s">
        <v>7272</v>
      </c>
      <c r="AG939" t="s">
        <v>7279</v>
      </c>
      <c r="AH939" t="s">
        <v>7274</v>
      </c>
      <c r="AJ939" s="2">
        <v>45562.648009259261</v>
      </c>
      <c r="AK939" t="s">
        <v>456</v>
      </c>
      <c r="AL939" t="s">
        <v>65</v>
      </c>
      <c r="AM939" s="4">
        <v>0.27083333333333331</v>
      </c>
      <c r="AN939" t="s">
        <v>66</v>
      </c>
      <c r="AO939" t="s">
        <v>67</v>
      </c>
    </row>
    <row r="940" spans="1:41" x14ac:dyDescent="0.2">
      <c r="A940">
        <v>364877</v>
      </c>
      <c r="B940" t="s">
        <v>7280</v>
      </c>
      <c r="C940" t="s">
        <v>831</v>
      </c>
      <c r="D940" t="s">
        <v>7264</v>
      </c>
      <c r="E940" t="s">
        <v>7281</v>
      </c>
      <c r="F940">
        <v>443303</v>
      </c>
      <c r="G940" s="1">
        <v>42038</v>
      </c>
      <c r="H940" s="1">
        <v>45561</v>
      </c>
      <c r="J940" t="s">
        <v>45</v>
      </c>
      <c r="K940" t="s">
        <v>45</v>
      </c>
      <c r="L940" t="s">
        <v>72</v>
      </c>
      <c r="N940" t="s">
        <v>47</v>
      </c>
      <c r="O940" t="s">
        <v>48</v>
      </c>
      <c r="P940" t="s">
        <v>586</v>
      </c>
      <c r="Q940" t="s">
        <v>7282</v>
      </c>
      <c r="R940" t="s">
        <v>7283</v>
      </c>
      <c r="S940">
        <v>201</v>
      </c>
      <c r="T940" t="s">
        <v>1328</v>
      </c>
      <c r="U940" t="s">
        <v>3114</v>
      </c>
      <c r="V940" t="s">
        <v>7268</v>
      </c>
      <c r="W940" t="s">
        <v>3116</v>
      </c>
      <c r="X940" t="s">
        <v>1328</v>
      </c>
      <c r="Y940" t="s">
        <v>450</v>
      </c>
      <c r="Z940">
        <v>7226</v>
      </c>
      <c r="AA940">
        <v>15</v>
      </c>
      <c r="AB940">
        <v>78</v>
      </c>
      <c r="AC940" t="s">
        <v>7269</v>
      </c>
      <c r="AD940" t="s">
        <v>7270</v>
      </c>
      <c r="AE940" t="s">
        <v>7271</v>
      </c>
      <c r="AF940" t="s">
        <v>7284</v>
      </c>
      <c r="AG940" t="s">
        <v>7273</v>
      </c>
      <c r="AH940" t="s">
        <v>7274</v>
      </c>
      <c r="AJ940" s="2">
        <v>45562.647233796299</v>
      </c>
      <c r="AK940" t="s">
        <v>456</v>
      </c>
      <c r="AL940" t="s">
        <v>65</v>
      </c>
      <c r="AM940" s="4">
        <v>0.25694444444444442</v>
      </c>
      <c r="AN940" t="s">
        <v>66</v>
      </c>
      <c r="AO940" t="s">
        <v>67</v>
      </c>
    </row>
    <row r="941" spans="1:41" x14ac:dyDescent="0.2">
      <c r="A941">
        <v>364879</v>
      </c>
      <c r="B941" t="s">
        <v>7285</v>
      </c>
      <c r="C941" t="s">
        <v>831</v>
      </c>
      <c r="D941" t="s">
        <v>7264</v>
      </c>
      <c r="E941" t="s">
        <v>7286</v>
      </c>
      <c r="G941" s="1">
        <v>42151</v>
      </c>
      <c r="H941" s="1">
        <v>45561</v>
      </c>
      <c r="J941" t="s">
        <v>72</v>
      </c>
      <c r="K941" t="s">
        <v>45</v>
      </c>
      <c r="L941" t="s">
        <v>72</v>
      </c>
      <c r="N941" t="s">
        <v>47</v>
      </c>
      <c r="O941" t="s">
        <v>121</v>
      </c>
      <c r="P941" t="s">
        <v>586</v>
      </c>
      <c r="Q941" t="s">
        <v>7287</v>
      </c>
      <c r="R941" t="s">
        <v>7288</v>
      </c>
      <c r="S941">
        <v>116</v>
      </c>
      <c r="T941" t="s">
        <v>1328</v>
      </c>
      <c r="U941" t="s">
        <v>3114</v>
      </c>
      <c r="V941" t="s">
        <v>7268</v>
      </c>
      <c r="W941" t="s">
        <v>3116</v>
      </c>
      <c r="X941" t="s">
        <v>1328</v>
      </c>
      <c r="Y941" t="s">
        <v>450</v>
      </c>
      <c r="Z941">
        <v>6368</v>
      </c>
      <c r="AA941">
        <v>17</v>
      </c>
      <c r="AB941">
        <v>78</v>
      </c>
      <c r="AC941" t="s">
        <v>7269</v>
      </c>
      <c r="AD941" t="s">
        <v>7270</v>
      </c>
      <c r="AE941" t="s">
        <v>7271</v>
      </c>
      <c r="AF941" t="s">
        <v>7272</v>
      </c>
      <c r="AG941" t="s">
        <v>7273</v>
      </c>
      <c r="AH941" t="s">
        <v>7274</v>
      </c>
      <c r="AJ941" s="2">
        <v>45562.648773148147</v>
      </c>
      <c r="AK941" t="s">
        <v>456</v>
      </c>
      <c r="AL941" t="s">
        <v>65</v>
      </c>
      <c r="AM941" s="4">
        <v>0.29166666666666669</v>
      </c>
      <c r="AN941" t="s">
        <v>66</v>
      </c>
      <c r="AO941" t="s">
        <v>67</v>
      </c>
    </row>
    <row r="942" spans="1:41" x14ac:dyDescent="0.2">
      <c r="A942">
        <v>364882</v>
      </c>
      <c r="B942" t="s">
        <v>7289</v>
      </c>
      <c r="C942" t="s">
        <v>831</v>
      </c>
      <c r="D942" t="s">
        <v>7264</v>
      </c>
      <c r="E942" t="s">
        <v>7290</v>
      </c>
      <c r="F942">
        <v>443304</v>
      </c>
      <c r="G942" s="1">
        <v>42038</v>
      </c>
      <c r="H942" s="1">
        <v>45561</v>
      </c>
      <c r="J942" t="s">
        <v>45</v>
      </c>
      <c r="K942" t="s">
        <v>45</v>
      </c>
      <c r="L942" t="s">
        <v>72</v>
      </c>
      <c r="N942" t="s">
        <v>47</v>
      </c>
      <c r="O942" t="s">
        <v>48</v>
      </c>
      <c r="P942" t="s">
        <v>49</v>
      </c>
      <c r="Q942" t="s">
        <v>7291</v>
      </c>
      <c r="R942" t="s">
        <v>7292</v>
      </c>
      <c r="S942">
        <v>206</v>
      </c>
      <c r="T942" t="s">
        <v>1328</v>
      </c>
      <c r="U942" t="s">
        <v>3114</v>
      </c>
      <c r="V942" t="s">
        <v>7268</v>
      </c>
      <c r="W942" t="s">
        <v>3116</v>
      </c>
      <c r="X942" t="s">
        <v>1328</v>
      </c>
      <c r="Y942" t="s">
        <v>450</v>
      </c>
      <c r="Z942">
        <v>6366</v>
      </c>
      <c r="AA942">
        <v>21</v>
      </c>
      <c r="AB942">
        <v>78</v>
      </c>
      <c r="AC942" t="s">
        <v>7269</v>
      </c>
      <c r="AD942" t="s">
        <v>7270</v>
      </c>
      <c r="AE942" t="s">
        <v>7271</v>
      </c>
      <c r="AF942" t="s">
        <v>7272</v>
      </c>
      <c r="AG942" t="s">
        <v>7273</v>
      </c>
      <c r="AH942" t="s">
        <v>7274</v>
      </c>
      <c r="AJ942" s="2">
        <v>45562.650555555556</v>
      </c>
      <c r="AK942" t="s">
        <v>456</v>
      </c>
      <c r="AL942" t="s">
        <v>65</v>
      </c>
      <c r="AM942" s="4">
        <v>0.27777777777777779</v>
      </c>
      <c r="AN942" t="s">
        <v>66</v>
      </c>
      <c r="AO942" t="s">
        <v>67</v>
      </c>
    </row>
    <row r="943" spans="1:41" x14ac:dyDescent="0.2">
      <c r="A943">
        <v>371793</v>
      </c>
      <c r="B943" t="s">
        <v>7293</v>
      </c>
      <c r="C943" t="s">
        <v>323</v>
      </c>
      <c r="D943" t="s">
        <v>372</v>
      </c>
      <c r="E943" t="s">
        <v>7294</v>
      </c>
      <c r="F943">
        <v>500624</v>
      </c>
      <c r="G943" s="1">
        <v>35304</v>
      </c>
      <c r="H943" s="1">
        <v>45781</v>
      </c>
      <c r="I943" s="1">
        <v>46037</v>
      </c>
      <c r="J943" t="s">
        <v>45</v>
      </c>
      <c r="K943" t="s">
        <v>326</v>
      </c>
      <c r="L943" t="s">
        <v>72</v>
      </c>
      <c r="M943" s="1">
        <v>44324</v>
      </c>
      <c r="N943" t="s">
        <v>47</v>
      </c>
      <c r="O943" t="s">
        <v>48</v>
      </c>
      <c r="P943" t="s">
        <v>49</v>
      </c>
      <c r="Q943" t="s">
        <v>7295</v>
      </c>
      <c r="R943" t="s">
        <v>7296</v>
      </c>
      <c r="S943">
        <v>723</v>
      </c>
      <c r="T943" t="s">
        <v>365</v>
      </c>
      <c r="U943" t="s">
        <v>366</v>
      </c>
      <c r="V943" t="s">
        <v>330</v>
      </c>
      <c r="W943" t="s">
        <v>367</v>
      </c>
      <c r="X943" t="s">
        <v>76</v>
      </c>
      <c r="Y943" t="s">
        <v>110</v>
      </c>
      <c r="Z943">
        <v>39</v>
      </c>
      <c r="AA943">
        <v>47</v>
      </c>
      <c r="AB943">
        <v>152</v>
      </c>
      <c r="AC943" t="s">
        <v>368</v>
      </c>
      <c r="AD943" t="s">
        <v>369</v>
      </c>
      <c r="AE943" t="s">
        <v>370</v>
      </c>
      <c r="AF943" t="s">
        <v>384</v>
      </c>
      <c r="AG943" t="s">
        <v>385</v>
      </c>
      <c r="AH943" t="s">
        <v>386</v>
      </c>
      <c r="AJ943" s="2">
        <v>45819.715729166666</v>
      </c>
      <c r="AK943" t="s">
        <v>727</v>
      </c>
      <c r="AL943" t="s">
        <v>65</v>
      </c>
      <c r="AM943" s="3">
        <v>2.2361111111111112</v>
      </c>
      <c r="AN943" t="s">
        <v>66</v>
      </c>
      <c r="AO943" t="s">
        <v>67</v>
      </c>
    </row>
    <row r="944" spans="1:41" x14ac:dyDescent="0.2">
      <c r="A944">
        <v>363124</v>
      </c>
      <c r="B944" t="s">
        <v>433</v>
      </c>
      <c r="C944" t="s">
        <v>1107</v>
      </c>
      <c r="D944" t="s">
        <v>7297</v>
      </c>
      <c r="E944" t="s">
        <v>7298</v>
      </c>
      <c r="F944">
        <v>236601</v>
      </c>
      <c r="G944" s="1">
        <v>38124</v>
      </c>
      <c r="H944" s="1">
        <v>45502</v>
      </c>
      <c r="I944" s="1">
        <v>46235</v>
      </c>
      <c r="J944" t="s">
        <v>45</v>
      </c>
      <c r="K944" t="s">
        <v>45</v>
      </c>
      <c r="L944" t="s">
        <v>72</v>
      </c>
      <c r="M944" s="1">
        <v>45502</v>
      </c>
      <c r="N944" t="s">
        <v>47</v>
      </c>
      <c r="O944" t="s">
        <v>48</v>
      </c>
      <c r="P944" t="s">
        <v>49</v>
      </c>
      <c r="Q944" t="s">
        <v>7299</v>
      </c>
      <c r="R944" t="s">
        <v>7300</v>
      </c>
      <c r="S944">
        <v>946</v>
      </c>
      <c r="T944" t="s">
        <v>92</v>
      </c>
      <c r="U944" t="s">
        <v>1111</v>
      </c>
      <c r="V944" t="s">
        <v>1112</v>
      </c>
      <c r="W944" t="s">
        <v>1113</v>
      </c>
      <c r="X944" t="s">
        <v>52</v>
      </c>
      <c r="Y944" t="s">
        <v>110</v>
      </c>
      <c r="Z944">
        <v>1145</v>
      </c>
      <c r="AA944">
        <v>36</v>
      </c>
      <c r="AB944">
        <v>158</v>
      </c>
      <c r="AC944" t="s">
        <v>1114</v>
      </c>
      <c r="AD944" t="s">
        <v>7301</v>
      </c>
      <c r="AE944" t="s">
        <v>1116</v>
      </c>
      <c r="AJ944" s="2">
        <v>45504.893414351849</v>
      </c>
      <c r="AK944" t="s">
        <v>1114</v>
      </c>
      <c r="AL944" t="s">
        <v>65</v>
      </c>
      <c r="AM944" s="4">
        <v>6.9444444444444441E-3</v>
      </c>
      <c r="AN944" t="s">
        <v>66</v>
      </c>
      <c r="AO944" t="s">
        <v>67</v>
      </c>
    </row>
    <row r="945" spans="1:41" x14ac:dyDescent="0.2">
      <c r="A945">
        <v>369048</v>
      </c>
      <c r="B945" t="s">
        <v>7302</v>
      </c>
      <c r="C945" t="s">
        <v>42</v>
      </c>
      <c r="D945" t="s">
        <v>427</v>
      </c>
      <c r="E945" t="s">
        <v>7303</v>
      </c>
      <c r="G945" s="1">
        <v>43496</v>
      </c>
      <c r="H945" s="1">
        <v>43959</v>
      </c>
      <c r="J945" t="s">
        <v>45</v>
      </c>
      <c r="K945" t="s">
        <v>326</v>
      </c>
      <c r="L945" t="s">
        <v>72</v>
      </c>
      <c r="N945" t="s">
        <v>89</v>
      </c>
      <c r="O945" t="s">
        <v>121</v>
      </c>
      <c r="P945" t="s">
        <v>49</v>
      </c>
      <c r="Q945" t="s">
        <v>7304</v>
      </c>
      <c r="R945" t="s">
        <v>7305</v>
      </c>
      <c r="S945">
        <v>5182</v>
      </c>
      <c r="T945" t="s">
        <v>365</v>
      </c>
      <c r="U945" t="s">
        <v>432</v>
      </c>
      <c r="V945" t="s">
        <v>433</v>
      </c>
      <c r="W945" t="s">
        <v>367</v>
      </c>
      <c r="X945" t="s">
        <v>76</v>
      </c>
      <c r="Y945" t="s">
        <v>1306</v>
      </c>
      <c r="Z945">
        <v>3035</v>
      </c>
      <c r="AA945">
        <v>62</v>
      </c>
      <c r="AB945">
        <v>80</v>
      </c>
      <c r="AC945" t="s">
        <v>7306</v>
      </c>
      <c r="AD945" t="s">
        <v>7307</v>
      </c>
      <c r="AE945" t="s">
        <v>7308</v>
      </c>
      <c r="AF945" t="s">
        <v>7309</v>
      </c>
      <c r="AG945" t="s">
        <v>7310</v>
      </c>
      <c r="AH945" t="s">
        <v>7311</v>
      </c>
      <c r="AJ945" s="2">
        <v>45726.616863425923</v>
      </c>
      <c r="AK945" t="s">
        <v>100</v>
      </c>
      <c r="AL945" t="s">
        <v>65</v>
      </c>
      <c r="AM945" s="4">
        <v>0.625</v>
      </c>
      <c r="AN945" t="s">
        <v>66</v>
      </c>
      <c r="AO945" t="s">
        <v>67</v>
      </c>
    </row>
    <row r="946" spans="1:41" x14ac:dyDescent="0.2">
      <c r="A946">
        <v>368384</v>
      </c>
      <c r="B946" t="s">
        <v>7312</v>
      </c>
      <c r="C946" t="s">
        <v>182</v>
      </c>
      <c r="D946" t="s">
        <v>811</v>
      </c>
      <c r="E946" t="s">
        <v>7313</v>
      </c>
      <c r="F946">
        <v>45101</v>
      </c>
      <c r="G946" s="1">
        <v>34815</v>
      </c>
      <c r="H946" s="1">
        <v>45700</v>
      </c>
      <c r="I946" s="1">
        <v>46082</v>
      </c>
      <c r="J946" t="s">
        <v>45</v>
      </c>
      <c r="K946" t="s">
        <v>45</v>
      </c>
      <c r="L946" t="s">
        <v>429</v>
      </c>
      <c r="M946" s="1">
        <v>43616</v>
      </c>
      <c r="N946" t="s">
        <v>47</v>
      </c>
      <c r="O946" t="s">
        <v>48</v>
      </c>
      <c r="P946" t="s">
        <v>49</v>
      </c>
      <c r="Q946" t="s">
        <v>7314</v>
      </c>
      <c r="R946" t="s">
        <v>7315</v>
      </c>
      <c r="S946">
        <v>6900</v>
      </c>
      <c r="T946" t="s">
        <v>52</v>
      </c>
      <c r="U946">
        <v>5</v>
      </c>
      <c r="V946" t="s">
        <v>1665</v>
      </c>
      <c r="W946" t="s">
        <v>54</v>
      </c>
      <c r="X946" t="s">
        <v>493</v>
      </c>
      <c r="Y946" t="s">
        <v>434</v>
      </c>
      <c r="Z946">
        <v>947</v>
      </c>
      <c r="AA946">
        <v>48</v>
      </c>
      <c r="AB946">
        <v>34</v>
      </c>
      <c r="AC946" t="s">
        <v>1666</v>
      </c>
      <c r="AD946" t="s">
        <v>1667</v>
      </c>
      <c r="AE946" t="s">
        <v>1668</v>
      </c>
      <c r="AF946" t="s">
        <v>2424</v>
      </c>
      <c r="AG946" t="s">
        <v>2425</v>
      </c>
      <c r="AH946" t="s">
        <v>2426</v>
      </c>
      <c r="AI946" t="s">
        <v>7316</v>
      </c>
      <c r="AJ946" s="2">
        <v>45708.860590277778</v>
      </c>
      <c r="AK946" t="s">
        <v>403</v>
      </c>
      <c r="AL946" t="s">
        <v>65</v>
      </c>
      <c r="AM946" s="3">
        <v>1.4513888888888888</v>
      </c>
      <c r="AN946" t="s">
        <v>66</v>
      </c>
      <c r="AO946" t="s">
        <v>67</v>
      </c>
    </row>
    <row r="947" spans="1:41" x14ac:dyDescent="0.2">
      <c r="A947">
        <v>370131</v>
      </c>
      <c r="B947" t="s">
        <v>7317</v>
      </c>
      <c r="C947" t="s">
        <v>1000</v>
      </c>
      <c r="D947" t="s">
        <v>7318</v>
      </c>
      <c r="E947" s="5">
        <v>3.1999999999999999E+91</v>
      </c>
      <c r="G947" s="1">
        <v>45120</v>
      </c>
      <c r="H947" s="1">
        <v>45751</v>
      </c>
      <c r="J947" t="s">
        <v>45</v>
      </c>
      <c r="K947" t="s">
        <v>45</v>
      </c>
      <c r="L947" t="s">
        <v>72</v>
      </c>
      <c r="N947" t="s">
        <v>47</v>
      </c>
      <c r="O947" t="s">
        <v>48</v>
      </c>
      <c r="P947" t="s">
        <v>49</v>
      </c>
      <c r="Q947" t="s">
        <v>7319</v>
      </c>
      <c r="R947" t="s">
        <v>7320</v>
      </c>
      <c r="S947">
        <v>640</v>
      </c>
      <c r="T947" t="s">
        <v>1328</v>
      </c>
      <c r="U947" t="s">
        <v>3114</v>
      </c>
      <c r="V947" t="s">
        <v>7321</v>
      </c>
      <c r="W947" t="s">
        <v>7322</v>
      </c>
      <c r="X947" t="s">
        <v>1328</v>
      </c>
      <c r="Y947" t="s">
        <v>96</v>
      </c>
      <c r="Z947">
        <v>12146</v>
      </c>
      <c r="AA947">
        <v>11</v>
      </c>
      <c r="AB947">
        <v>37</v>
      </c>
      <c r="AC947" t="s">
        <v>7323</v>
      </c>
      <c r="AD947" t="s">
        <v>7324</v>
      </c>
      <c r="AE947" t="s">
        <v>7325</v>
      </c>
      <c r="AF947" t="s">
        <v>7326</v>
      </c>
      <c r="AG947" t="s">
        <v>7327</v>
      </c>
      <c r="AH947" t="s">
        <v>7328</v>
      </c>
      <c r="AJ947" s="2">
        <v>45763.808472222219</v>
      </c>
      <c r="AK947" t="s">
        <v>7323</v>
      </c>
      <c r="AL947" t="s">
        <v>65</v>
      </c>
      <c r="AM947" s="3">
        <v>1.1979166666666667</v>
      </c>
      <c r="AN947" t="s">
        <v>66</v>
      </c>
      <c r="AO947" t="s">
        <v>101</v>
      </c>
    </row>
    <row r="948" spans="1:41" x14ac:dyDescent="0.2">
      <c r="A948">
        <v>370133</v>
      </c>
      <c r="B948" t="s">
        <v>7329</v>
      </c>
      <c r="C948" t="s">
        <v>1000</v>
      </c>
      <c r="D948" t="s">
        <v>5488</v>
      </c>
      <c r="E948" t="s">
        <v>7330</v>
      </c>
      <c r="F948">
        <v>400201</v>
      </c>
      <c r="G948" s="1">
        <v>38343</v>
      </c>
      <c r="H948" s="1">
        <v>45740</v>
      </c>
      <c r="J948" t="s">
        <v>45</v>
      </c>
      <c r="K948" t="s">
        <v>45</v>
      </c>
      <c r="L948" t="s">
        <v>72</v>
      </c>
      <c r="N948" t="s">
        <v>47</v>
      </c>
      <c r="O948" t="s">
        <v>48</v>
      </c>
      <c r="P948" t="s">
        <v>49</v>
      </c>
      <c r="Q948" t="s">
        <v>7331</v>
      </c>
      <c r="R948" t="s">
        <v>7332</v>
      </c>
      <c r="S948">
        <v>540</v>
      </c>
      <c r="T948" t="s">
        <v>1328</v>
      </c>
      <c r="U948" t="s">
        <v>3114</v>
      </c>
      <c r="V948" t="s">
        <v>7321</v>
      </c>
      <c r="W948" t="s">
        <v>7322</v>
      </c>
      <c r="X948" t="s">
        <v>449</v>
      </c>
      <c r="Y948" t="s">
        <v>770</v>
      </c>
      <c r="Z948">
        <v>2714</v>
      </c>
      <c r="AA948">
        <v>23</v>
      </c>
      <c r="AB948">
        <v>144</v>
      </c>
      <c r="AC948" t="s">
        <v>7323</v>
      </c>
      <c r="AD948" t="s">
        <v>7324</v>
      </c>
      <c r="AE948" t="s">
        <v>7325</v>
      </c>
      <c r="AF948" t="s">
        <v>7333</v>
      </c>
      <c r="AG948" t="s">
        <v>7334</v>
      </c>
      <c r="AH948" t="s">
        <v>7328</v>
      </c>
      <c r="AI948" t="s">
        <v>7335</v>
      </c>
      <c r="AJ948" s="2">
        <v>45763.815208333333</v>
      </c>
      <c r="AK948" t="s">
        <v>7323</v>
      </c>
      <c r="AL948" t="s">
        <v>65</v>
      </c>
      <c r="AM948" s="4">
        <v>0.625</v>
      </c>
      <c r="AN948" t="s">
        <v>66</v>
      </c>
      <c r="AO948" t="s">
        <v>67</v>
      </c>
    </row>
    <row r="949" spans="1:41" x14ac:dyDescent="0.2">
      <c r="A949">
        <v>370132</v>
      </c>
      <c r="B949" t="s">
        <v>7336</v>
      </c>
      <c r="C949" t="s">
        <v>583</v>
      </c>
      <c r="D949" t="s">
        <v>7337</v>
      </c>
      <c r="E949" t="s">
        <v>7338</v>
      </c>
      <c r="G949" s="1">
        <v>45121</v>
      </c>
      <c r="H949" s="1">
        <v>45751</v>
      </c>
      <c r="J949" t="s">
        <v>45</v>
      </c>
      <c r="K949" t="s">
        <v>45</v>
      </c>
      <c r="L949" t="s">
        <v>72</v>
      </c>
      <c r="N949" t="s">
        <v>47</v>
      </c>
      <c r="O949" t="s">
        <v>48</v>
      </c>
      <c r="P949" t="s">
        <v>49</v>
      </c>
      <c r="Q949" t="s">
        <v>7339</v>
      </c>
      <c r="R949" t="s">
        <v>7340</v>
      </c>
      <c r="S949">
        <v>540</v>
      </c>
      <c r="T949" t="s">
        <v>1328</v>
      </c>
      <c r="U949" t="s">
        <v>3114</v>
      </c>
      <c r="V949" t="s">
        <v>7321</v>
      </c>
      <c r="W949" t="s">
        <v>7322</v>
      </c>
      <c r="X949" t="s">
        <v>1328</v>
      </c>
      <c r="Y949" t="s">
        <v>96</v>
      </c>
      <c r="Z949">
        <v>12145</v>
      </c>
      <c r="AA949">
        <v>11</v>
      </c>
      <c r="AB949">
        <v>37</v>
      </c>
      <c r="AC949" t="s">
        <v>7341</v>
      </c>
      <c r="AD949" t="s">
        <v>7324</v>
      </c>
      <c r="AE949" t="s">
        <v>7325</v>
      </c>
      <c r="AF949" t="s">
        <v>7326</v>
      </c>
      <c r="AG949" t="s">
        <v>7327</v>
      </c>
      <c r="AH949" t="s">
        <v>7342</v>
      </c>
      <c r="AJ949" s="2">
        <v>45763.811238425929</v>
      </c>
      <c r="AK949" t="s">
        <v>7323</v>
      </c>
      <c r="AL949" t="s">
        <v>65</v>
      </c>
      <c r="AM949" s="3">
        <v>1.2048611111111112</v>
      </c>
      <c r="AN949" t="s">
        <v>66</v>
      </c>
      <c r="AO949" t="s">
        <v>101</v>
      </c>
    </row>
    <row r="950" spans="1:41" x14ac:dyDescent="0.2">
      <c r="A950">
        <v>372514</v>
      </c>
      <c r="B950" t="s">
        <v>7343</v>
      </c>
      <c r="C950" t="s">
        <v>979</v>
      </c>
      <c r="D950" t="s">
        <v>3344</v>
      </c>
      <c r="E950" t="s">
        <v>7344</v>
      </c>
      <c r="F950">
        <v>37302</v>
      </c>
      <c r="G950" s="1">
        <v>38461</v>
      </c>
      <c r="H950" s="1">
        <v>45686</v>
      </c>
      <c r="J950" t="s">
        <v>45</v>
      </c>
      <c r="K950" t="s">
        <v>72</v>
      </c>
      <c r="L950" t="s">
        <v>72</v>
      </c>
      <c r="N950" t="s">
        <v>47</v>
      </c>
      <c r="O950" t="s">
        <v>48</v>
      </c>
      <c r="P950" t="s">
        <v>49</v>
      </c>
      <c r="Q950" t="s">
        <v>7345</v>
      </c>
      <c r="R950" t="s">
        <v>7346</v>
      </c>
      <c r="S950">
        <v>105</v>
      </c>
      <c r="T950" t="s">
        <v>156</v>
      </c>
      <c r="U950" t="s">
        <v>157</v>
      </c>
      <c r="V950" t="s">
        <v>7343</v>
      </c>
      <c r="W950" t="s">
        <v>159</v>
      </c>
      <c r="X950" t="s">
        <v>156</v>
      </c>
      <c r="Y950" t="s">
        <v>450</v>
      </c>
      <c r="Z950">
        <v>2726</v>
      </c>
      <c r="AA950">
        <v>29</v>
      </c>
      <c r="AB950">
        <v>158</v>
      </c>
      <c r="AC950" t="s">
        <v>7347</v>
      </c>
      <c r="AD950" t="s">
        <v>7348</v>
      </c>
      <c r="AE950" t="s">
        <v>7349</v>
      </c>
      <c r="AI950" t="s">
        <v>7348</v>
      </c>
      <c r="AJ950" s="2">
        <v>45841.657986111109</v>
      </c>
      <c r="AK950" t="s">
        <v>100</v>
      </c>
      <c r="AL950" t="s">
        <v>65</v>
      </c>
      <c r="AM950" s="4">
        <v>0.98611111111111116</v>
      </c>
      <c r="AN950" t="s">
        <v>66</v>
      </c>
      <c r="AO950" t="s">
        <v>67</v>
      </c>
    </row>
    <row r="951" spans="1:41" x14ac:dyDescent="0.2">
      <c r="A951">
        <v>368970</v>
      </c>
      <c r="B951" t="s">
        <v>7350</v>
      </c>
      <c r="C951" t="s">
        <v>182</v>
      </c>
      <c r="D951" t="s">
        <v>443</v>
      </c>
      <c r="E951" t="s">
        <v>7351</v>
      </c>
      <c r="F951">
        <v>44503</v>
      </c>
      <c r="G951" s="1">
        <v>38859</v>
      </c>
      <c r="H951" s="1">
        <v>45490</v>
      </c>
      <c r="I951" s="1">
        <v>46188</v>
      </c>
      <c r="J951" t="s">
        <v>45</v>
      </c>
      <c r="K951" t="s">
        <v>45</v>
      </c>
      <c r="L951" t="s">
        <v>46</v>
      </c>
      <c r="M951" s="1">
        <v>45450</v>
      </c>
      <c r="N951" t="s">
        <v>47</v>
      </c>
      <c r="O951" t="s">
        <v>48</v>
      </c>
      <c r="P951" t="s">
        <v>49</v>
      </c>
      <c r="Q951" t="s">
        <v>7352</v>
      </c>
      <c r="R951" t="s">
        <v>7353</v>
      </c>
      <c r="S951">
        <v>5240</v>
      </c>
      <c r="T951" t="s">
        <v>52</v>
      </c>
      <c r="U951">
        <v>5</v>
      </c>
      <c r="V951" t="s">
        <v>1817</v>
      </c>
      <c r="W951" t="s">
        <v>54</v>
      </c>
      <c r="X951" t="s">
        <v>493</v>
      </c>
      <c r="Y951" t="s">
        <v>434</v>
      </c>
      <c r="Z951">
        <v>1341</v>
      </c>
      <c r="AA951">
        <v>74</v>
      </c>
      <c r="AB951">
        <v>146</v>
      </c>
      <c r="AC951" t="s">
        <v>1821</v>
      </c>
      <c r="AD951" t="s">
        <v>1822</v>
      </c>
      <c r="AE951" t="s">
        <v>1823</v>
      </c>
      <c r="AF951" t="s">
        <v>6403</v>
      </c>
      <c r="AG951" t="s">
        <v>6404</v>
      </c>
      <c r="AH951" t="s">
        <v>6405</v>
      </c>
      <c r="AI951" t="s">
        <v>500</v>
      </c>
      <c r="AJ951" s="2">
        <v>45722.93341435185</v>
      </c>
      <c r="AK951" t="s">
        <v>501</v>
      </c>
      <c r="AL951" t="s">
        <v>65</v>
      </c>
      <c r="AM951" s="4">
        <v>3.4722222222222224E-2</v>
      </c>
      <c r="AN951" t="s">
        <v>66</v>
      </c>
      <c r="AO951" t="s">
        <v>67</v>
      </c>
    </row>
    <row r="952" spans="1:41" x14ac:dyDescent="0.2">
      <c r="A952">
        <v>369911</v>
      </c>
      <c r="B952" t="s">
        <v>7354</v>
      </c>
      <c r="C952" t="s">
        <v>69</v>
      </c>
      <c r="D952" t="s">
        <v>69</v>
      </c>
      <c r="E952">
        <v>32400814</v>
      </c>
      <c r="F952">
        <v>101013</v>
      </c>
      <c r="G952" s="1">
        <v>41089</v>
      </c>
      <c r="H952" s="1">
        <v>45755</v>
      </c>
      <c r="I952" s="1">
        <v>46127</v>
      </c>
      <c r="J952" t="s">
        <v>45</v>
      </c>
      <c r="K952" t="s">
        <v>45</v>
      </c>
      <c r="L952" t="s">
        <v>429</v>
      </c>
      <c r="M952" s="1">
        <v>43581</v>
      </c>
      <c r="N952" t="s">
        <v>47</v>
      </c>
      <c r="O952" t="s">
        <v>48</v>
      </c>
      <c r="P952" t="s">
        <v>49</v>
      </c>
      <c r="Q952" t="s">
        <v>7355</v>
      </c>
      <c r="R952" t="s">
        <v>7356</v>
      </c>
      <c r="S952">
        <v>1520</v>
      </c>
      <c r="T952" t="s">
        <v>52</v>
      </c>
      <c r="U952">
        <v>1</v>
      </c>
      <c r="V952" t="s">
        <v>4698</v>
      </c>
      <c r="W952" t="s">
        <v>54</v>
      </c>
      <c r="X952" t="s">
        <v>76</v>
      </c>
      <c r="Y952" t="s">
        <v>56</v>
      </c>
      <c r="Z952">
        <v>631</v>
      </c>
      <c r="AA952">
        <v>77</v>
      </c>
      <c r="AB952">
        <v>176</v>
      </c>
      <c r="AC952" t="s">
        <v>7357</v>
      </c>
      <c r="AD952" t="s">
        <v>7358</v>
      </c>
      <c r="AE952" t="s">
        <v>7359</v>
      </c>
      <c r="AF952" t="s">
        <v>4702</v>
      </c>
      <c r="AG952" t="s">
        <v>4703</v>
      </c>
      <c r="AH952" t="s">
        <v>6200</v>
      </c>
      <c r="AI952" t="s">
        <v>6201</v>
      </c>
      <c r="AJ952" s="2">
        <v>45757.706354166665</v>
      </c>
      <c r="AK952" t="s">
        <v>180</v>
      </c>
      <c r="AL952" t="s">
        <v>65</v>
      </c>
      <c r="AM952" s="4">
        <v>0.44444444444444442</v>
      </c>
      <c r="AN952" t="s">
        <v>66</v>
      </c>
      <c r="AO952" t="s">
        <v>67</v>
      </c>
    </row>
    <row r="953" spans="1:41" x14ac:dyDescent="0.2">
      <c r="A953">
        <v>365822</v>
      </c>
      <c r="B953" t="s">
        <v>7360</v>
      </c>
      <c r="C953" t="s">
        <v>236</v>
      </c>
      <c r="D953" t="s">
        <v>1628</v>
      </c>
      <c r="E953" t="s">
        <v>7361</v>
      </c>
      <c r="F953">
        <v>210607</v>
      </c>
      <c r="G953" s="1">
        <v>37141</v>
      </c>
      <c r="H953" s="1">
        <v>45587</v>
      </c>
      <c r="I953" s="1">
        <v>45931</v>
      </c>
      <c r="J953" t="s">
        <v>45</v>
      </c>
      <c r="K953" t="s">
        <v>326</v>
      </c>
      <c r="L953" t="s">
        <v>46</v>
      </c>
      <c r="N953" t="s">
        <v>47</v>
      </c>
      <c r="O953" t="s">
        <v>48</v>
      </c>
      <c r="P953" t="s">
        <v>49</v>
      </c>
      <c r="Q953" t="s">
        <v>7362</v>
      </c>
      <c r="R953" t="s">
        <v>7363</v>
      </c>
      <c r="S953">
        <v>1609</v>
      </c>
      <c r="T953" t="s">
        <v>52</v>
      </c>
      <c r="U953">
        <v>9</v>
      </c>
      <c r="V953" t="s">
        <v>7038</v>
      </c>
      <c r="W953" t="s">
        <v>54</v>
      </c>
      <c r="X953" t="s">
        <v>76</v>
      </c>
      <c r="Y953" t="s">
        <v>56</v>
      </c>
      <c r="Z953">
        <v>1876</v>
      </c>
      <c r="AA953">
        <v>47</v>
      </c>
      <c r="AB953">
        <v>160</v>
      </c>
      <c r="AC953" t="s">
        <v>7364</v>
      </c>
      <c r="AD953" t="s">
        <v>7040</v>
      </c>
      <c r="AE953" t="s">
        <v>7365</v>
      </c>
      <c r="AF953" t="s">
        <v>7042</v>
      </c>
      <c r="AG953" t="s">
        <v>7366</v>
      </c>
      <c r="AH953" t="s">
        <v>7044</v>
      </c>
      <c r="AI953" t="s">
        <v>5961</v>
      </c>
      <c r="AJ953" s="2">
        <v>45593.940960648149</v>
      </c>
      <c r="AK953" t="s">
        <v>717</v>
      </c>
      <c r="AL953" t="s">
        <v>65</v>
      </c>
      <c r="AM953" s="4">
        <v>0.57638888888888884</v>
      </c>
      <c r="AN953" t="s">
        <v>66</v>
      </c>
      <c r="AO953" t="s">
        <v>67</v>
      </c>
    </row>
    <row r="954" spans="1:41" x14ac:dyDescent="0.2">
      <c r="A954">
        <v>367877</v>
      </c>
      <c r="B954" t="s">
        <v>7367</v>
      </c>
      <c r="C954" t="s">
        <v>788</v>
      </c>
      <c r="E954" t="s">
        <v>7368</v>
      </c>
      <c r="F954">
        <v>80890</v>
      </c>
      <c r="G954" s="1">
        <v>44378</v>
      </c>
      <c r="H954" s="1">
        <v>45615</v>
      </c>
      <c r="J954" t="s">
        <v>45</v>
      </c>
      <c r="K954" t="s">
        <v>45</v>
      </c>
      <c r="L954" t="s">
        <v>72</v>
      </c>
      <c r="N954" t="s">
        <v>47</v>
      </c>
      <c r="O954" t="s">
        <v>121</v>
      </c>
      <c r="P954" t="s">
        <v>49</v>
      </c>
      <c r="Q954" t="s">
        <v>7369</v>
      </c>
      <c r="R954" t="s">
        <v>7370</v>
      </c>
      <c r="S954">
        <v>201</v>
      </c>
      <c r="T954" t="s">
        <v>92</v>
      </c>
      <c r="U954" t="s">
        <v>2815</v>
      </c>
      <c r="V954" t="s">
        <v>2816</v>
      </c>
      <c r="W954" t="s">
        <v>2817</v>
      </c>
      <c r="X954" t="s">
        <v>92</v>
      </c>
      <c r="Y954" t="s">
        <v>410</v>
      </c>
      <c r="Z954">
        <v>11586</v>
      </c>
      <c r="AA954">
        <v>13</v>
      </c>
      <c r="AB954">
        <v>45</v>
      </c>
      <c r="AC954" t="s">
        <v>2821</v>
      </c>
      <c r="AD954" t="s">
        <v>2822</v>
      </c>
      <c r="AE954" t="s">
        <v>2823</v>
      </c>
      <c r="AF954" t="s">
        <v>7371</v>
      </c>
      <c r="AG954" t="s">
        <v>7372</v>
      </c>
      <c r="AH954" t="s">
        <v>7373</v>
      </c>
      <c r="AJ954" s="2">
        <v>45693.648252314815</v>
      </c>
      <c r="AK954" t="s">
        <v>149</v>
      </c>
      <c r="AL954" t="s">
        <v>65</v>
      </c>
      <c r="AM954" s="3">
        <v>2.4722222222222223</v>
      </c>
      <c r="AN954" t="s">
        <v>66</v>
      </c>
      <c r="AO954" t="s">
        <v>101</v>
      </c>
    </row>
    <row r="955" spans="1:41" x14ac:dyDescent="0.2">
      <c r="A955">
        <v>363470</v>
      </c>
      <c r="B955" t="s">
        <v>7374</v>
      </c>
      <c r="C955" t="s">
        <v>735</v>
      </c>
      <c r="D955" t="s">
        <v>2790</v>
      </c>
      <c r="E955" t="s">
        <v>7375</v>
      </c>
      <c r="F955">
        <v>240225</v>
      </c>
      <c r="G955" s="1">
        <v>38239</v>
      </c>
      <c r="H955" s="1">
        <v>45505</v>
      </c>
      <c r="I955" s="1">
        <v>46218</v>
      </c>
      <c r="J955" t="s">
        <v>45</v>
      </c>
      <c r="K955" t="s">
        <v>45</v>
      </c>
      <c r="L955" t="s">
        <v>72</v>
      </c>
      <c r="M955" s="1">
        <v>45084</v>
      </c>
      <c r="N955" t="s">
        <v>47</v>
      </c>
      <c r="O955" t="s">
        <v>48</v>
      </c>
      <c r="P955" t="s">
        <v>49</v>
      </c>
      <c r="Q955" t="s">
        <v>7376</v>
      </c>
      <c r="R955" t="s">
        <v>7377</v>
      </c>
      <c r="S955">
        <v>4641</v>
      </c>
      <c r="T955" t="s">
        <v>257</v>
      </c>
      <c r="U955" t="s">
        <v>283</v>
      </c>
      <c r="V955" t="s">
        <v>7378</v>
      </c>
      <c r="W955" t="s">
        <v>260</v>
      </c>
      <c r="X955" t="s">
        <v>257</v>
      </c>
      <c r="Y955" t="s">
        <v>110</v>
      </c>
      <c r="Z955">
        <v>2479</v>
      </c>
      <c r="AA955">
        <v>39</v>
      </c>
      <c r="AB955">
        <v>160</v>
      </c>
      <c r="AC955" t="s">
        <v>7379</v>
      </c>
      <c r="AD955" t="s">
        <v>7380</v>
      </c>
      <c r="AE955" t="s">
        <v>7381</v>
      </c>
      <c r="AI955" t="s">
        <v>7380</v>
      </c>
      <c r="AJ955" s="2">
        <v>45512.758437500001</v>
      </c>
      <c r="AK955" t="s">
        <v>7382</v>
      </c>
      <c r="AL955" t="s">
        <v>65</v>
      </c>
      <c r="AM955" s="3">
        <v>1.75</v>
      </c>
      <c r="AN955" t="s">
        <v>66</v>
      </c>
      <c r="AO955" t="s">
        <v>67</v>
      </c>
    </row>
    <row r="956" spans="1:41" x14ac:dyDescent="0.2">
      <c r="A956">
        <v>372449</v>
      </c>
      <c r="B956" t="s">
        <v>7383</v>
      </c>
      <c r="C956" t="s">
        <v>167</v>
      </c>
      <c r="D956" t="s">
        <v>3504</v>
      </c>
      <c r="E956" t="s">
        <v>7384</v>
      </c>
      <c r="F956">
        <v>352557</v>
      </c>
      <c r="G956" s="1">
        <v>31615</v>
      </c>
      <c r="H956" s="1">
        <v>45504</v>
      </c>
      <c r="I956" s="1">
        <v>46218</v>
      </c>
      <c r="J956" t="s">
        <v>45</v>
      </c>
      <c r="K956" t="s">
        <v>45</v>
      </c>
      <c r="L956" t="s">
        <v>72</v>
      </c>
      <c r="M956" s="1">
        <v>42606</v>
      </c>
      <c r="N956" t="s">
        <v>47</v>
      </c>
      <c r="O956" t="s">
        <v>48</v>
      </c>
      <c r="P956" t="s">
        <v>49</v>
      </c>
      <c r="Q956" t="s">
        <v>7385</v>
      </c>
      <c r="R956" t="s">
        <v>7386</v>
      </c>
      <c r="S956">
        <v>3354</v>
      </c>
      <c r="T956" t="s">
        <v>52</v>
      </c>
      <c r="U956">
        <v>6</v>
      </c>
      <c r="V956" t="s">
        <v>3253</v>
      </c>
      <c r="W956" t="s">
        <v>54</v>
      </c>
      <c r="X956" t="s">
        <v>76</v>
      </c>
      <c r="Y956" t="s">
        <v>56</v>
      </c>
      <c r="Z956">
        <v>863</v>
      </c>
      <c r="AA956">
        <v>62</v>
      </c>
      <c r="AB956">
        <v>28</v>
      </c>
      <c r="AC956" t="s">
        <v>7387</v>
      </c>
      <c r="AD956" t="s">
        <v>7388</v>
      </c>
      <c r="AE956" t="s">
        <v>7389</v>
      </c>
      <c r="AF956" t="s">
        <v>7059</v>
      </c>
      <c r="AG956" t="s">
        <v>7060</v>
      </c>
      <c r="AH956" t="s">
        <v>7061</v>
      </c>
      <c r="AI956" t="s">
        <v>179</v>
      </c>
      <c r="AJ956" s="2">
        <v>45839.848414351851</v>
      </c>
      <c r="AK956" t="s">
        <v>556</v>
      </c>
      <c r="AL956" t="s">
        <v>65</v>
      </c>
      <c r="AM956" s="4">
        <v>0.72916666666666663</v>
      </c>
      <c r="AN956" t="s">
        <v>66</v>
      </c>
      <c r="AO956" t="s">
        <v>67</v>
      </c>
    </row>
    <row r="957" spans="1:41" x14ac:dyDescent="0.2">
      <c r="A957">
        <v>369426</v>
      </c>
      <c r="B957" t="s">
        <v>7390</v>
      </c>
      <c r="C957" t="s">
        <v>182</v>
      </c>
      <c r="D957" t="s">
        <v>4421</v>
      </c>
      <c r="E957" t="s">
        <v>7391</v>
      </c>
      <c r="F957">
        <v>45201</v>
      </c>
      <c r="G957" s="1">
        <v>37074</v>
      </c>
      <c r="H957" s="1">
        <v>45734</v>
      </c>
      <c r="I957" s="1">
        <v>46082</v>
      </c>
      <c r="J957" t="s">
        <v>45</v>
      </c>
      <c r="K957" t="s">
        <v>45</v>
      </c>
      <c r="L957" t="s">
        <v>429</v>
      </c>
      <c r="M957" s="1">
        <v>45142</v>
      </c>
      <c r="N957" t="s">
        <v>47</v>
      </c>
      <c r="O957" t="s">
        <v>48</v>
      </c>
      <c r="P957" t="s">
        <v>49</v>
      </c>
      <c r="Q957" t="s">
        <v>7392</v>
      </c>
      <c r="R957" t="s">
        <v>7393</v>
      </c>
      <c r="S957">
        <v>3183</v>
      </c>
      <c r="T957" t="s">
        <v>52</v>
      </c>
      <c r="U957">
        <v>5</v>
      </c>
      <c r="V957" t="s">
        <v>1030</v>
      </c>
      <c r="W957" t="s">
        <v>54</v>
      </c>
      <c r="X957" t="s">
        <v>493</v>
      </c>
      <c r="Y957" t="s">
        <v>434</v>
      </c>
      <c r="Z957">
        <v>1685</v>
      </c>
      <c r="AA957">
        <v>46</v>
      </c>
      <c r="AB957">
        <v>28</v>
      </c>
      <c r="AC957" t="s">
        <v>1034</v>
      </c>
      <c r="AD957" t="s">
        <v>1035</v>
      </c>
      <c r="AE957" t="s">
        <v>1036</v>
      </c>
      <c r="AF957" t="s">
        <v>7394</v>
      </c>
      <c r="AG957" t="s">
        <v>7395</v>
      </c>
      <c r="AH957" t="s">
        <v>7396</v>
      </c>
      <c r="AI957" t="s">
        <v>500</v>
      </c>
      <c r="AJ957" s="2">
        <v>45740.742928240739</v>
      </c>
      <c r="AK957" t="s">
        <v>2668</v>
      </c>
      <c r="AL957" t="s">
        <v>65</v>
      </c>
      <c r="AM957" s="3">
        <v>1.4861111111111112</v>
      </c>
      <c r="AN957" t="s">
        <v>66</v>
      </c>
      <c r="AO957" t="s">
        <v>67</v>
      </c>
    </row>
    <row r="958" spans="1:41" x14ac:dyDescent="0.2">
      <c r="A958">
        <v>356583</v>
      </c>
      <c r="B958" t="s">
        <v>7397</v>
      </c>
      <c r="C958" t="s">
        <v>278</v>
      </c>
      <c r="E958">
        <v>32938426</v>
      </c>
      <c r="G958" s="1">
        <v>42478</v>
      </c>
      <c r="H958" s="1">
        <v>42444</v>
      </c>
      <c r="J958" t="s">
        <v>326</v>
      </c>
      <c r="K958" t="s">
        <v>326</v>
      </c>
      <c r="L958" t="s">
        <v>72</v>
      </c>
      <c r="N958" t="s">
        <v>89</v>
      </c>
      <c r="O958" t="s">
        <v>121</v>
      </c>
      <c r="P958" t="s">
        <v>49</v>
      </c>
      <c r="Q958" t="s">
        <v>7398</v>
      </c>
      <c r="R958" t="s">
        <v>7399</v>
      </c>
      <c r="S958">
        <v>6118</v>
      </c>
      <c r="T958" t="s">
        <v>365</v>
      </c>
      <c r="U958" t="s">
        <v>432</v>
      </c>
      <c r="V958" t="s">
        <v>5393</v>
      </c>
      <c r="W958" t="s">
        <v>367</v>
      </c>
      <c r="X958" t="s">
        <v>76</v>
      </c>
      <c r="Y958" t="s">
        <v>410</v>
      </c>
      <c r="Z958">
        <v>2971</v>
      </c>
      <c r="AA958">
        <v>33</v>
      </c>
      <c r="AB958">
        <v>66</v>
      </c>
      <c r="AC958" t="s">
        <v>3169</v>
      </c>
      <c r="AD958" t="s">
        <v>3170</v>
      </c>
      <c r="AE958" t="s">
        <v>3171</v>
      </c>
      <c r="AI958" t="s">
        <v>7400</v>
      </c>
      <c r="AJ958" s="2">
        <v>45313.650277777779</v>
      </c>
      <c r="AK958" t="s">
        <v>149</v>
      </c>
      <c r="AL958" t="s">
        <v>475</v>
      </c>
      <c r="AM958" s="3">
        <v>2.4027777777777777</v>
      </c>
      <c r="AN958" t="s">
        <v>66</v>
      </c>
      <c r="AO958" t="s">
        <v>67</v>
      </c>
    </row>
    <row r="959" spans="1:41" x14ac:dyDescent="0.2">
      <c r="A959">
        <v>372594</v>
      </c>
      <c r="B959" t="s">
        <v>7401</v>
      </c>
      <c r="C959" t="s">
        <v>103</v>
      </c>
      <c r="D959" t="s">
        <v>2095</v>
      </c>
      <c r="E959">
        <v>40723676</v>
      </c>
      <c r="F959">
        <v>317501</v>
      </c>
      <c r="G959" s="1">
        <v>38700</v>
      </c>
      <c r="H959" s="1">
        <v>45336</v>
      </c>
      <c r="I959" s="1">
        <v>46327</v>
      </c>
      <c r="J959" t="s">
        <v>45</v>
      </c>
      <c r="K959" t="s">
        <v>45</v>
      </c>
      <c r="L959" t="s">
        <v>72</v>
      </c>
      <c r="M959" s="1">
        <v>45496</v>
      </c>
      <c r="N959" t="s">
        <v>47</v>
      </c>
      <c r="O959" t="s">
        <v>48</v>
      </c>
      <c r="P959" t="s">
        <v>49</v>
      </c>
      <c r="Q959" t="s">
        <v>7402</v>
      </c>
      <c r="R959" t="s">
        <v>7403</v>
      </c>
      <c r="S959">
        <v>87</v>
      </c>
      <c r="T959" t="s">
        <v>92</v>
      </c>
      <c r="U959" t="s">
        <v>107</v>
      </c>
      <c r="V959" t="s">
        <v>108</v>
      </c>
      <c r="W959" t="s">
        <v>109</v>
      </c>
      <c r="X959" t="s">
        <v>52</v>
      </c>
      <c r="Y959" t="s">
        <v>110</v>
      </c>
      <c r="Z959">
        <v>2818</v>
      </c>
      <c r="AA959">
        <v>62</v>
      </c>
      <c r="AB959">
        <v>15</v>
      </c>
      <c r="AC959" t="s">
        <v>7404</v>
      </c>
      <c r="AD959" t="s">
        <v>7405</v>
      </c>
      <c r="AE959" t="s">
        <v>7406</v>
      </c>
      <c r="AF959" t="s">
        <v>7407</v>
      </c>
      <c r="AG959" t="s">
        <v>7408</v>
      </c>
      <c r="AH959" t="s">
        <v>7409</v>
      </c>
      <c r="AI959" t="s">
        <v>7408</v>
      </c>
      <c r="AJ959" s="2">
        <v>45846.804189814815</v>
      </c>
      <c r="AK959" t="s">
        <v>132</v>
      </c>
      <c r="AL959" t="s">
        <v>65</v>
      </c>
      <c r="AM959" s="4">
        <v>0.26041666666666669</v>
      </c>
      <c r="AN959" t="s">
        <v>66</v>
      </c>
      <c r="AO959" t="s">
        <v>101</v>
      </c>
    </row>
    <row r="960" spans="1:41" x14ac:dyDescent="0.2">
      <c r="A960">
        <v>362095</v>
      </c>
      <c r="B960" t="s">
        <v>7410</v>
      </c>
      <c r="C960" t="s">
        <v>134</v>
      </c>
      <c r="D960" t="s">
        <v>7411</v>
      </c>
      <c r="E960" t="s">
        <v>7412</v>
      </c>
      <c r="F960">
        <v>451509</v>
      </c>
      <c r="G960" s="1">
        <v>32676</v>
      </c>
      <c r="H960" s="1">
        <v>45469</v>
      </c>
      <c r="I960" s="1">
        <v>46188</v>
      </c>
      <c r="J960" t="s">
        <v>45</v>
      </c>
      <c r="K960" t="s">
        <v>45</v>
      </c>
      <c r="L960" t="s">
        <v>429</v>
      </c>
      <c r="M960" s="1">
        <v>42852</v>
      </c>
      <c r="N960" t="s">
        <v>47</v>
      </c>
      <c r="O960" t="s">
        <v>48</v>
      </c>
      <c r="P960" t="s">
        <v>49</v>
      </c>
      <c r="Q960" t="s">
        <v>7413</v>
      </c>
      <c r="R960" t="s">
        <v>7414</v>
      </c>
      <c r="S960">
        <v>2160</v>
      </c>
      <c r="T960" t="s">
        <v>52</v>
      </c>
      <c r="U960">
        <v>6</v>
      </c>
      <c r="V960" t="s">
        <v>7415</v>
      </c>
      <c r="W960" t="s">
        <v>54</v>
      </c>
      <c r="X960" t="s">
        <v>76</v>
      </c>
      <c r="Y960" t="s">
        <v>56</v>
      </c>
      <c r="Z960">
        <v>780</v>
      </c>
      <c r="AA960">
        <v>51</v>
      </c>
      <c r="AB960">
        <v>28</v>
      </c>
      <c r="AC960" t="s">
        <v>7416</v>
      </c>
      <c r="AD960" t="s">
        <v>7417</v>
      </c>
      <c r="AE960" t="s">
        <v>7418</v>
      </c>
      <c r="AF960" t="s">
        <v>7419</v>
      </c>
      <c r="AG960" t="s">
        <v>7420</v>
      </c>
      <c r="AH960" t="s">
        <v>7421</v>
      </c>
      <c r="AI960" t="s">
        <v>7422</v>
      </c>
      <c r="AJ960" s="2">
        <v>45474.078877314816</v>
      </c>
      <c r="AK960" t="s">
        <v>717</v>
      </c>
      <c r="AL960" t="s">
        <v>65</v>
      </c>
      <c r="AM960" s="3">
        <v>1.1875</v>
      </c>
      <c r="AN960" t="s">
        <v>66</v>
      </c>
      <c r="AO960" t="s">
        <v>67</v>
      </c>
    </row>
    <row r="961" spans="1:41" x14ac:dyDescent="0.2">
      <c r="A961">
        <v>373059</v>
      </c>
      <c r="B961" t="s">
        <v>7423</v>
      </c>
      <c r="C961" t="s">
        <v>735</v>
      </c>
      <c r="D961" t="s">
        <v>2922</v>
      </c>
      <c r="E961" t="s">
        <v>7424</v>
      </c>
      <c r="F961">
        <v>241595</v>
      </c>
      <c r="G961" s="1">
        <v>36956</v>
      </c>
      <c r="H961" s="1">
        <v>45854</v>
      </c>
      <c r="I961" s="1">
        <v>46218</v>
      </c>
      <c r="J961" t="s">
        <v>45</v>
      </c>
      <c r="K961" t="s">
        <v>45</v>
      </c>
      <c r="L961" t="s">
        <v>72</v>
      </c>
      <c r="M961" s="1">
        <v>44382</v>
      </c>
      <c r="N961" t="s">
        <v>89</v>
      </c>
      <c r="O961" t="s">
        <v>121</v>
      </c>
      <c r="P961" t="s">
        <v>49</v>
      </c>
      <c r="Q961" t="s">
        <v>7425</v>
      </c>
      <c r="R961" t="s">
        <v>7426</v>
      </c>
      <c r="S961">
        <v>4441</v>
      </c>
      <c r="T961" t="s">
        <v>52</v>
      </c>
      <c r="U961">
        <v>1</v>
      </c>
      <c r="V961" t="s">
        <v>7427</v>
      </c>
      <c r="W961" t="s">
        <v>54</v>
      </c>
      <c r="X961" t="s">
        <v>52</v>
      </c>
      <c r="Y961" t="s">
        <v>125</v>
      </c>
      <c r="Z961">
        <v>1619</v>
      </c>
      <c r="AA961">
        <v>65</v>
      </c>
      <c r="AB961">
        <v>158</v>
      </c>
      <c r="AC961" t="s">
        <v>7428</v>
      </c>
      <c r="AD961" t="s">
        <v>7429</v>
      </c>
      <c r="AE961" t="s">
        <v>7430</v>
      </c>
      <c r="AJ961" s="2">
        <v>45856.583182870374</v>
      </c>
      <c r="AK961" t="s">
        <v>800</v>
      </c>
      <c r="AL961" t="s">
        <v>65</v>
      </c>
      <c r="AM961" s="3">
        <v>1.1666666666666667</v>
      </c>
      <c r="AN961" t="s">
        <v>66</v>
      </c>
      <c r="AO961" t="s">
        <v>67</v>
      </c>
    </row>
    <row r="962" spans="1:41" x14ac:dyDescent="0.2">
      <c r="A962">
        <v>362099</v>
      </c>
      <c r="B962" t="s">
        <v>7431</v>
      </c>
      <c r="C962" t="s">
        <v>134</v>
      </c>
      <c r="D962" t="s">
        <v>7120</v>
      </c>
      <c r="E962" t="s">
        <v>7432</v>
      </c>
      <c r="F962">
        <v>451721</v>
      </c>
      <c r="G962" s="1">
        <v>33455</v>
      </c>
      <c r="H962" s="1">
        <v>45468</v>
      </c>
      <c r="I962" s="1">
        <v>46188</v>
      </c>
      <c r="J962" t="s">
        <v>45</v>
      </c>
      <c r="K962" t="s">
        <v>45</v>
      </c>
      <c r="L962" t="s">
        <v>429</v>
      </c>
      <c r="M962" s="1">
        <v>41626</v>
      </c>
      <c r="N962" t="s">
        <v>47</v>
      </c>
      <c r="O962" t="s">
        <v>48</v>
      </c>
      <c r="P962" t="s">
        <v>49</v>
      </c>
      <c r="Q962" t="s">
        <v>7433</v>
      </c>
      <c r="R962" t="s">
        <v>7434</v>
      </c>
      <c r="S962">
        <v>1580</v>
      </c>
      <c r="T962" t="s">
        <v>52</v>
      </c>
      <c r="U962">
        <v>6</v>
      </c>
      <c r="V962" t="s">
        <v>7415</v>
      </c>
      <c r="W962" t="s">
        <v>54</v>
      </c>
      <c r="X962" t="s">
        <v>76</v>
      </c>
      <c r="Y962" t="s">
        <v>56</v>
      </c>
      <c r="Z962">
        <v>779</v>
      </c>
      <c r="AA962">
        <v>50</v>
      </c>
      <c r="AB962">
        <v>28</v>
      </c>
      <c r="AC962" t="s">
        <v>7435</v>
      </c>
      <c r="AD962" t="s">
        <v>7436</v>
      </c>
      <c r="AE962" t="s">
        <v>7437</v>
      </c>
      <c r="AF962" t="s">
        <v>7438</v>
      </c>
      <c r="AG962" t="s">
        <v>7439</v>
      </c>
      <c r="AH962" t="s">
        <v>7440</v>
      </c>
      <c r="AI962" t="s">
        <v>179</v>
      </c>
      <c r="AJ962" s="2">
        <v>45474.098761574074</v>
      </c>
      <c r="AK962" t="s">
        <v>717</v>
      </c>
      <c r="AL962" t="s">
        <v>65</v>
      </c>
      <c r="AM962" s="4">
        <v>0.31944444444444442</v>
      </c>
      <c r="AN962" t="s">
        <v>66</v>
      </c>
      <c r="AO962" t="s">
        <v>67</v>
      </c>
    </row>
    <row r="963" spans="1:41" x14ac:dyDescent="0.2">
      <c r="A963">
        <v>370851</v>
      </c>
      <c r="B963" t="s">
        <v>7441</v>
      </c>
      <c r="C963" t="s">
        <v>735</v>
      </c>
      <c r="D963" t="s">
        <v>2922</v>
      </c>
      <c r="E963" t="s">
        <v>7442</v>
      </c>
      <c r="F963">
        <v>241390</v>
      </c>
      <c r="G963" s="1">
        <v>43378</v>
      </c>
      <c r="H963" s="1">
        <v>44475</v>
      </c>
      <c r="J963" t="s">
        <v>45</v>
      </c>
      <c r="K963" t="s">
        <v>45</v>
      </c>
      <c r="L963" t="s">
        <v>72</v>
      </c>
      <c r="M963" s="1">
        <v>43732</v>
      </c>
      <c r="N963" t="s">
        <v>89</v>
      </c>
      <c r="O963" t="s">
        <v>121</v>
      </c>
      <c r="P963" t="s">
        <v>49</v>
      </c>
      <c r="Q963" t="s">
        <v>7443</v>
      </c>
      <c r="R963" t="s">
        <v>7444</v>
      </c>
      <c r="S963">
        <v>7389</v>
      </c>
      <c r="T963" t="s">
        <v>52</v>
      </c>
      <c r="U963">
        <v>1</v>
      </c>
      <c r="V963" t="s">
        <v>7427</v>
      </c>
      <c r="W963" t="s">
        <v>54</v>
      </c>
      <c r="X963" t="s">
        <v>52</v>
      </c>
      <c r="Y963" t="s">
        <v>125</v>
      </c>
      <c r="Z963">
        <v>8566</v>
      </c>
      <c r="AA963">
        <v>17</v>
      </c>
      <c r="AB963">
        <v>78</v>
      </c>
      <c r="AC963" t="s">
        <v>7428</v>
      </c>
      <c r="AD963" t="s">
        <v>7429</v>
      </c>
      <c r="AE963" t="s">
        <v>7430</v>
      </c>
      <c r="AJ963" s="2">
        <v>45785.827777777777</v>
      </c>
      <c r="AK963" t="s">
        <v>100</v>
      </c>
      <c r="AL963" t="s">
        <v>65</v>
      </c>
      <c r="AM963" s="3">
        <v>1.3680555555555556</v>
      </c>
      <c r="AN963" t="s">
        <v>66</v>
      </c>
      <c r="AO963" t="s">
        <v>67</v>
      </c>
    </row>
    <row r="964" spans="1:41" x14ac:dyDescent="0.2">
      <c r="A964">
        <v>362636</v>
      </c>
      <c r="B964" t="s">
        <v>7445</v>
      </c>
      <c r="C964" t="s">
        <v>134</v>
      </c>
      <c r="D964" t="s">
        <v>214</v>
      </c>
      <c r="E964" t="s">
        <v>7446</v>
      </c>
      <c r="F964">
        <v>452006</v>
      </c>
      <c r="G964" s="1">
        <v>33448</v>
      </c>
      <c r="H964" s="1">
        <v>45491</v>
      </c>
      <c r="I964" s="1">
        <v>46204</v>
      </c>
      <c r="J964" t="s">
        <v>45</v>
      </c>
      <c r="K964" t="s">
        <v>45</v>
      </c>
      <c r="L964" t="s">
        <v>429</v>
      </c>
      <c r="M964" s="1">
        <v>44720</v>
      </c>
      <c r="N964" t="s">
        <v>47</v>
      </c>
      <c r="O964" t="s">
        <v>48</v>
      </c>
      <c r="P964" t="s">
        <v>49</v>
      </c>
      <c r="Q964" t="s">
        <v>7447</v>
      </c>
      <c r="R964" t="s">
        <v>7448</v>
      </c>
      <c r="S964">
        <v>5509</v>
      </c>
      <c r="T964" t="s">
        <v>52</v>
      </c>
      <c r="U964">
        <v>6</v>
      </c>
      <c r="V964" t="s">
        <v>4158</v>
      </c>
      <c r="W964" t="s">
        <v>54</v>
      </c>
      <c r="X964" t="s">
        <v>76</v>
      </c>
      <c r="Y964" t="s">
        <v>434</v>
      </c>
      <c r="Z964">
        <v>801</v>
      </c>
      <c r="AA964">
        <v>70</v>
      </c>
      <c r="AB964">
        <v>34</v>
      </c>
      <c r="AC964" t="s">
        <v>4159</v>
      </c>
      <c r="AD964" t="s">
        <v>4160</v>
      </c>
      <c r="AE964" t="s">
        <v>4161</v>
      </c>
      <c r="AF964" t="s">
        <v>6568</v>
      </c>
      <c r="AG964" t="s">
        <v>6569</v>
      </c>
      <c r="AH964" t="s">
        <v>6570</v>
      </c>
      <c r="AI964" t="s">
        <v>6571</v>
      </c>
      <c r="AJ964" s="2">
        <v>45492.048055555555</v>
      </c>
      <c r="AK964" t="s">
        <v>2517</v>
      </c>
      <c r="AL964" t="s">
        <v>65</v>
      </c>
      <c r="AM964" s="3">
        <v>1.5277777777777777</v>
      </c>
      <c r="AN964" t="s">
        <v>66</v>
      </c>
      <c r="AO964" t="s">
        <v>67</v>
      </c>
    </row>
    <row r="965" spans="1:41" x14ac:dyDescent="0.2">
      <c r="A965">
        <v>368882</v>
      </c>
      <c r="B965" t="s">
        <v>7449</v>
      </c>
      <c r="C965" t="s">
        <v>182</v>
      </c>
      <c r="D965" t="s">
        <v>3779</v>
      </c>
      <c r="E965" t="s">
        <v>7450</v>
      </c>
      <c r="F965">
        <v>45802</v>
      </c>
      <c r="G965" s="1">
        <v>32197</v>
      </c>
      <c r="H965" s="1">
        <v>45644</v>
      </c>
      <c r="I965" s="1">
        <v>45992</v>
      </c>
      <c r="J965" t="s">
        <v>45</v>
      </c>
      <c r="K965" t="s">
        <v>45</v>
      </c>
      <c r="L965" t="s">
        <v>429</v>
      </c>
      <c r="M965" s="1">
        <v>43962</v>
      </c>
      <c r="N965" t="s">
        <v>47</v>
      </c>
      <c r="O965" t="s">
        <v>48</v>
      </c>
      <c r="P965" t="s">
        <v>49</v>
      </c>
      <c r="Q965" t="s">
        <v>7451</v>
      </c>
      <c r="R965" t="s">
        <v>7452</v>
      </c>
      <c r="S965">
        <v>781</v>
      </c>
      <c r="T965" t="s">
        <v>365</v>
      </c>
      <c r="U965" t="s">
        <v>815</v>
      </c>
      <c r="V965" t="s">
        <v>816</v>
      </c>
      <c r="W965" t="s">
        <v>367</v>
      </c>
      <c r="X965" t="s">
        <v>493</v>
      </c>
      <c r="Y965" t="s">
        <v>434</v>
      </c>
      <c r="Z965">
        <v>97</v>
      </c>
      <c r="AA965">
        <v>55</v>
      </c>
      <c r="AB965">
        <v>210</v>
      </c>
      <c r="AC965" t="s">
        <v>817</v>
      </c>
      <c r="AD965" t="s">
        <v>818</v>
      </c>
      <c r="AE965" t="s">
        <v>819</v>
      </c>
      <c r="AI965" t="s">
        <v>179</v>
      </c>
      <c r="AJ965" s="2">
        <v>45722.889814814815</v>
      </c>
      <c r="AK965" t="s">
        <v>501</v>
      </c>
      <c r="AL965" t="s">
        <v>65</v>
      </c>
      <c r="AM965" s="3">
        <v>1.0902777777777777</v>
      </c>
      <c r="AN965" t="s">
        <v>66</v>
      </c>
      <c r="AO965" t="s">
        <v>67</v>
      </c>
    </row>
    <row r="966" spans="1:41" x14ac:dyDescent="0.2">
      <c r="A966">
        <v>371490</v>
      </c>
      <c r="B966" t="s">
        <v>7453</v>
      </c>
      <c r="C966" t="s">
        <v>167</v>
      </c>
      <c r="D966" t="s">
        <v>570</v>
      </c>
      <c r="E966" t="s">
        <v>7454</v>
      </c>
      <c r="F966">
        <v>353516</v>
      </c>
      <c r="G966" s="1">
        <v>31685</v>
      </c>
      <c r="H966" s="1">
        <v>45812</v>
      </c>
      <c r="I966" s="1">
        <v>46143</v>
      </c>
      <c r="J966" t="s">
        <v>45</v>
      </c>
      <c r="K966" t="s">
        <v>45</v>
      </c>
      <c r="L966" t="s">
        <v>72</v>
      </c>
      <c r="M966" s="1">
        <v>42546</v>
      </c>
      <c r="N966" t="s">
        <v>47</v>
      </c>
      <c r="O966" t="s">
        <v>48</v>
      </c>
      <c r="P966" t="s">
        <v>49</v>
      </c>
      <c r="Q966" t="s">
        <v>7455</v>
      </c>
      <c r="R966" t="s">
        <v>7456</v>
      </c>
      <c r="S966">
        <v>4907</v>
      </c>
      <c r="T966" t="s">
        <v>365</v>
      </c>
      <c r="U966" t="s">
        <v>562</v>
      </c>
      <c r="V966" t="s">
        <v>5324</v>
      </c>
      <c r="W966" t="s">
        <v>367</v>
      </c>
      <c r="X966" t="s">
        <v>76</v>
      </c>
      <c r="Y966" t="s">
        <v>434</v>
      </c>
      <c r="Z966">
        <v>306</v>
      </c>
      <c r="AA966">
        <v>51</v>
      </c>
      <c r="AB966">
        <v>166</v>
      </c>
      <c r="AC966" t="s">
        <v>4117</v>
      </c>
      <c r="AD966" t="s">
        <v>4118</v>
      </c>
      <c r="AE966" t="s">
        <v>4119</v>
      </c>
      <c r="AF966" t="s">
        <v>4120</v>
      </c>
      <c r="AG966" t="s">
        <v>4121</v>
      </c>
      <c r="AH966" t="s">
        <v>4122</v>
      </c>
      <c r="AI966" t="s">
        <v>500</v>
      </c>
      <c r="AJ966" s="2">
        <v>45813.093240740738</v>
      </c>
      <c r="AK966" t="s">
        <v>84</v>
      </c>
      <c r="AL966" t="s">
        <v>65</v>
      </c>
      <c r="AM966" s="3">
        <v>2.2638888888888888</v>
      </c>
      <c r="AN966" t="s">
        <v>66</v>
      </c>
      <c r="AO966" t="s">
        <v>67</v>
      </c>
    </row>
    <row r="967" spans="1:41" x14ac:dyDescent="0.2">
      <c r="A967">
        <v>373076</v>
      </c>
      <c r="B967" t="s">
        <v>7457</v>
      </c>
      <c r="C967" t="s">
        <v>69</v>
      </c>
      <c r="D967" t="s">
        <v>7458</v>
      </c>
      <c r="E967" t="s">
        <v>7459</v>
      </c>
      <c r="F967">
        <v>100421</v>
      </c>
      <c r="G967" s="1">
        <v>31454</v>
      </c>
      <c r="H967" s="1">
        <v>45856</v>
      </c>
      <c r="I967" s="1">
        <v>46204</v>
      </c>
      <c r="J967" t="s">
        <v>45</v>
      </c>
      <c r="K967" t="s">
        <v>45</v>
      </c>
      <c r="L967" t="s">
        <v>46</v>
      </c>
      <c r="M967" s="1">
        <v>42891</v>
      </c>
      <c r="N967" t="s">
        <v>47</v>
      </c>
      <c r="O967" t="s">
        <v>48</v>
      </c>
      <c r="P967" t="s">
        <v>49</v>
      </c>
      <c r="Q967" t="s">
        <v>7460</v>
      </c>
      <c r="R967" t="s">
        <v>7461</v>
      </c>
      <c r="S967">
        <v>4270</v>
      </c>
      <c r="T967" t="s">
        <v>52</v>
      </c>
      <c r="U967">
        <v>1</v>
      </c>
      <c r="V967" t="s">
        <v>3148</v>
      </c>
      <c r="W967" t="s">
        <v>54</v>
      </c>
      <c r="X967" t="s">
        <v>76</v>
      </c>
      <c r="Y967" t="s">
        <v>56</v>
      </c>
      <c r="Z967">
        <v>565</v>
      </c>
      <c r="AA967">
        <v>64</v>
      </c>
      <c r="AB967">
        <v>146</v>
      </c>
      <c r="AC967" t="s">
        <v>3149</v>
      </c>
      <c r="AD967" t="s">
        <v>3150</v>
      </c>
      <c r="AE967" t="s">
        <v>3151</v>
      </c>
      <c r="AI967" t="s">
        <v>179</v>
      </c>
      <c r="AJ967" s="2">
        <v>45856.763368055559</v>
      </c>
      <c r="AK967" t="s">
        <v>375</v>
      </c>
      <c r="AL967" t="s">
        <v>65</v>
      </c>
      <c r="AM967" s="4">
        <v>0.35416666666666669</v>
      </c>
      <c r="AN967" t="s">
        <v>66</v>
      </c>
      <c r="AO967" t="s">
        <v>67</v>
      </c>
    </row>
    <row r="968" spans="1:41" x14ac:dyDescent="0.2">
      <c r="A968">
        <v>368860</v>
      </c>
      <c r="B968" t="s">
        <v>7462</v>
      </c>
      <c r="C968" t="s">
        <v>558</v>
      </c>
      <c r="D968" t="s">
        <v>1315</v>
      </c>
      <c r="E968">
        <v>32541714</v>
      </c>
      <c r="F968">
        <v>261204</v>
      </c>
      <c r="G968" s="1">
        <v>32668</v>
      </c>
      <c r="H968" s="1">
        <v>45685</v>
      </c>
      <c r="I968" s="1">
        <v>46068</v>
      </c>
      <c r="J968" t="s">
        <v>45</v>
      </c>
      <c r="K968" t="s">
        <v>45</v>
      </c>
      <c r="L968" t="s">
        <v>429</v>
      </c>
      <c r="M968" s="1">
        <v>40614</v>
      </c>
      <c r="N968" t="s">
        <v>47</v>
      </c>
      <c r="O968" t="s">
        <v>48</v>
      </c>
      <c r="P968" t="s">
        <v>49</v>
      </c>
      <c r="Q968" t="s">
        <v>7463</v>
      </c>
      <c r="R968" t="s">
        <v>7464</v>
      </c>
      <c r="S968">
        <v>5230</v>
      </c>
      <c r="T968" t="s">
        <v>365</v>
      </c>
      <c r="U968" t="s">
        <v>562</v>
      </c>
      <c r="V968" t="s">
        <v>4944</v>
      </c>
      <c r="W968" t="s">
        <v>367</v>
      </c>
      <c r="X968" t="s">
        <v>493</v>
      </c>
      <c r="Y968" t="s">
        <v>434</v>
      </c>
      <c r="Z968">
        <v>246</v>
      </c>
      <c r="AA968">
        <v>54</v>
      </c>
      <c r="AB968">
        <v>68</v>
      </c>
      <c r="AC968" t="s">
        <v>6058</v>
      </c>
      <c r="AD968" t="s">
        <v>4946</v>
      </c>
      <c r="AE968" t="s">
        <v>4947</v>
      </c>
      <c r="AI968" t="s">
        <v>500</v>
      </c>
      <c r="AJ968" s="2">
        <v>45722.878541666665</v>
      </c>
      <c r="AK968" t="s">
        <v>1472</v>
      </c>
      <c r="AL968" t="s">
        <v>65</v>
      </c>
      <c r="AM968" t="s">
        <v>7465</v>
      </c>
      <c r="AN968" t="s">
        <v>66</v>
      </c>
      <c r="AO968" t="s">
        <v>67</v>
      </c>
    </row>
    <row r="969" spans="1:41" x14ac:dyDescent="0.2">
      <c r="A969">
        <v>367188</v>
      </c>
      <c r="B969" t="s">
        <v>7466</v>
      </c>
      <c r="C969" t="s">
        <v>735</v>
      </c>
      <c r="D969" t="s">
        <v>1849</v>
      </c>
      <c r="E969">
        <v>22002472</v>
      </c>
      <c r="F969">
        <v>240118</v>
      </c>
      <c r="G969" s="1">
        <v>38131</v>
      </c>
      <c r="H969" s="1">
        <v>45590</v>
      </c>
      <c r="I969" s="1">
        <v>45945</v>
      </c>
      <c r="J969" t="s">
        <v>45</v>
      </c>
      <c r="K969" t="s">
        <v>45</v>
      </c>
      <c r="L969" t="s">
        <v>72</v>
      </c>
      <c r="M969" s="1">
        <v>43700</v>
      </c>
      <c r="N969" t="s">
        <v>47</v>
      </c>
      <c r="O969" t="s">
        <v>48</v>
      </c>
      <c r="P969" t="s">
        <v>49</v>
      </c>
      <c r="Q969" t="s">
        <v>7467</v>
      </c>
      <c r="R969" t="s">
        <v>7468</v>
      </c>
      <c r="S969">
        <v>2160</v>
      </c>
      <c r="T969" t="s">
        <v>92</v>
      </c>
      <c r="U969" t="s">
        <v>3192</v>
      </c>
      <c r="V969" t="s">
        <v>3193</v>
      </c>
      <c r="W969" t="s">
        <v>3194</v>
      </c>
      <c r="X969" t="s">
        <v>52</v>
      </c>
      <c r="Y969" t="s">
        <v>110</v>
      </c>
      <c r="Z969">
        <v>2570</v>
      </c>
      <c r="AA969">
        <v>37</v>
      </c>
      <c r="AB969">
        <v>176</v>
      </c>
      <c r="AC969" t="s">
        <v>3195</v>
      </c>
      <c r="AD969" t="s">
        <v>3196</v>
      </c>
      <c r="AE969" t="s">
        <v>3197</v>
      </c>
      <c r="AF969" t="s">
        <v>3198</v>
      </c>
      <c r="AG969" t="s">
        <v>3199</v>
      </c>
      <c r="AH969" t="s">
        <v>3200</v>
      </c>
      <c r="AI969" t="s">
        <v>3196</v>
      </c>
      <c r="AJ969" s="2">
        <v>45664.73165509259</v>
      </c>
      <c r="AK969" t="s">
        <v>3198</v>
      </c>
      <c r="AL969" t="s">
        <v>65</v>
      </c>
      <c r="AM969" s="4">
        <v>0.125</v>
      </c>
      <c r="AN969" t="s">
        <v>66</v>
      </c>
      <c r="AO969" t="s">
        <v>67</v>
      </c>
    </row>
    <row r="970" spans="1:41" x14ac:dyDescent="0.2">
      <c r="A970">
        <v>368761</v>
      </c>
      <c r="B970" t="s">
        <v>7469</v>
      </c>
      <c r="C970" t="s">
        <v>278</v>
      </c>
      <c r="D970" t="s">
        <v>2618</v>
      </c>
      <c r="E970" t="s">
        <v>7470</v>
      </c>
      <c r="G970" s="1">
        <v>45346</v>
      </c>
      <c r="H970" s="1">
        <v>45721</v>
      </c>
      <c r="I970" s="1">
        <v>46096</v>
      </c>
      <c r="J970" t="s">
        <v>45</v>
      </c>
      <c r="K970" t="s">
        <v>45</v>
      </c>
      <c r="L970" t="s">
        <v>72</v>
      </c>
      <c r="N970" t="s">
        <v>89</v>
      </c>
      <c r="O970" t="s">
        <v>121</v>
      </c>
      <c r="P970" t="s">
        <v>49</v>
      </c>
      <c r="Q970" t="s">
        <v>7471</v>
      </c>
      <c r="R970" t="s">
        <v>7472</v>
      </c>
      <c r="S970">
        <v>6011</v>
      </c>
      <c r="T970" t="s">
        <v>52</v>
      </c>
      <c r="U970">
        <v>4</v>
      </c>
      <c r="V970" t="s">
        <v>2622</v>
      </c>
      <c r="W970" t="s">
        <v>54</v>
      </c>
      <c r="X970" t="s">
        <v>52</v>
      </c>
      <c r="Y970" t="s">
        <v>125</v>
      </c>
      <c r="Z970">
        <v>5806</v>
      </c>
      <c r="AA970">
        <v>51</v>
      </c>
      <c r="AB970">
        <v>28</v>
      </c>
      <c r="AC970" t="s">
        <v>7473</v>
      </c>
      <c r="AD970" t="s">
        <v>7474</v>
      </c>
      <c r="AE970" t="s">
        <v>7475</v>
      </c>
      <c r="AF970" t="s">
        <v>1186</v>
      </c>
      <c r="AG970" t="s">
        <v>6427</v>
      </c>
      <c r="AH970" t="s">
        <v>6428</v>
      </c>
      <c r="AI970" t="s">
        <v>7476</v>
      </c>
      <c r="AJ970" s="2">
        <v>45721.484525462962</v>
      </c>
      <c r="AK970" t="s">
        <v>800</v>
      </c>
      <c r="AL970" t="s">
        <v>65</v>
      </c>
      <c r="AM970" s="4">
        <v>0.92361111111111116</v>
      </c>
      <c r="AN970" t="s">
        <v>66</v>
      </c>
      <c r="AO970" t="s">
        <v>67</v>
      </c>
    </row>
    <row r="971" spans="1:41" x14ac:dyDescent="0.2">
      <c r="A971">
        <v>370809</v>
      </c>
      <c r="B971" t="s">
        <v>7477</v>
      </c>
      <c r="C971" t="s">
        <v>278</v>
      </c>
      <c r="D971" t="s">
        <v>7478</v>
      </c>
      <c r="E971" t="s">
        <v>7479</v>
      </c>
      <c r="G971" s="1">
        <v>45784</v>
      </c>
      <c r="H971" s="1">
        <v>45636</v>
      </c>
      <c r="I971" s="1">
        <v>45992</v>
      </c>
      <c r="J971" t="s">
        <v>45</v>
      </c>
      <c r="K971" t="s">
        <v>45</v>
      </c>
      <c r="L971" t="s">
        <v>72</v>
      </c>
      <c r="N971" t="s">
        <v>47</v>
      </c>
      <c r="O971" t="s">
        <v>121</v>
      </c>
      <c r="P971" t="s">
        <v>49</v>
      </c>
      <c r="Q971" t="s">
        <v>7480</v>
      </c>
      <c r="R971" t="s">
        <v>7481</v>
      </c>
      <c r="S971">
        <v>9741</v>
      </c>
      <c r="T971" t="s">
        <v>52</v>
      </c>
      <c r="U971">
        <v>4</v>
      </c>
      <c r="V971" t="s">
        <v>2622</v>
      </c>
      <c r="W971" t="s">
        <v>54</v>
      </c>
      <c r="X971" t="s">
        <v>52</v>
      </c>
      <c r="Y971" t="s">
        <v>125</v>
      </c>
      <c r="Z971">
        <v>6026</v>
      </c>
      <c r="AA971">
        <v>43</v>
      </c>
      <c r="AB971">
        <v>142</v>
      </c>
      <c r="AC971" t="s">
        <v>7482</v>
      </c>
      <c r="AD971" t="s">
        <v>7483</v>
      </c>
      <c r="AE971" t="s">
        <v>7484</v>
      </c>
      <c r="AF971" t="s">
        <v>1186</v>
      </c>
      <c r="AG971" t="s">
        <v>6427</v>
      </c>
      <c r="AH971" t="s">
        <v>6428</v>
      </c>
      <c r="AI971" t="s">
        <v>7485</v>
      </c>
      <c r="AJ971" s="2">
        <v>45784.797060185185</v>
      </c>
      <c r="AK971" t="s">
        <v>2068</v>
      </c>
      <c r="AL971" t="s">
        <v>65</v>
      </c>
      <c r="AM971" s="4">
        <v>0.94444444444444442</v>
      </c>
      <c r="AN971" t="s">
        <v>66</v>
      </c>
      <c r="AO971" t="s">
        <v>67</v>
      </c>
    </row>
    <row r="972" spans="1:41" x14ac:dyDescent="0.2">
      <c r="A972">
        <v>371494</v>
      </c>
      <c r="B972" t="s">
        <v>7486</v>
      </c>
      <c r="C972" t="s">
        <v>278</v>
      </c>
      <c r="D972" t="s">
        <v>3420</v>
      </c>
      <c r="E972" t="s">
        <v>7487</v>
      </c>
      <c r="G972" s="1">
        <v>45813</v>
      </c>
      <c r="H972" s="1">
        <v>45770</v>
      </c>
      <c r="I972" s="1">
        <v>46082</v>
      </c>
      <c r="J972" t="s">
        <v>45</v>
      </c>
      <c r="K972" t="s">
        <v>45</v>
      </c>
      <c r="L972" t="s">
        <v>72</v>
      </c>
      <c r="M972" s="1">
        <v>41318</v>
      </c>
      <c r="N972" t="s">
        <v>47</v>
      </c>
      <c r="O972" t="s">
        <v>121</v>
      </c>
      <c r="P972" t="s">
        <v>7488</v>
      </c>
      <c r="Q972" t="s">
        <v>7489</v>
      </c>
      <c r="R972" t="s">
        <v>7490</v>
      </c>
      <c r="S972">
        <v>9680</v>
      </c>
      <c r="T972" t="s">
        <v>52</v>
      </c>
      <c r="U972">
        <v>4</v>
      </c>
      <c r="V972" t="s">
        <v>2622</v>
      </c>
      <c r="W972" t="s">
        <v>54</v>
      </c>
      <c r="X972" t="s">
        <v>52</v>
      </c>
      <c r="Y972" t="s">
        <v>125</v>
      </c>
      <c r="Z972">
        <v>2940</v>
      </c>
      <c r="AA972">
        <v>77</v>
      </c>
      <c r="AB972">
        <v>66</v>
      </c>
      <c r="AC972" t="s">
        <v>7491</v>
      </c>
      <c r="AD972" t="s">
        <v>7492</v>
      </c>
      <c r="AE972" t="s">
        <v>7493</v>
      </c>
      <c r="AF972" t="s">
        <v>1186</v>
      </c>
      <c r="AG972" t="s">
        <v>6427</v>
      </c>
      <c r="AH972" t="s">
        <v>1188</v>
      </c>
      <c r="AI972" t="s">
        <v>7494</v>
      </c>
      <c r="AJ972" s="2">
        <v>45813.629756944443</v>
      </c>
      <c r="AK972" t="s">
        <v>276</v>
      </c>
      <c r="AL972" t="s">
        <v>65</v>
      </c>
      <c r="AM972" s="3">
        <v>2.4513888888888888</v>
      </c>
      <c r="AN972" t="s">
        <v>66</v>
      </c>
      <c r="AO972" t="s">
        <v>67</v>
      </c>
    </row>
    <row r="973" spans="1:41" x14ac:dyDescent="0.2">
      <c r="A973">
        <v>367027</v>
      </c>
      <c r="B973" t="s">
        <v>7495</v>
      </c>
      <c r="C973" t="s">
        <v>278</v>
      </c>
      <c r="D973" t="s">
        <v>7478</v>
      </c>
      <c r="E973" t="s">
        <v>7496</v>
      </c>
      <c r="G973" s="1">
        <v>45656</v>
      </c>
      <c r="H973" s="1">
        <v>45657</v>
      </c>
      <c r="I973" s="1">
        <v>45992</v>
      </c>
      <c r="J973" t="s">
        <v>45</v>
      </c>
      <c r="K973" t="s">
        <v>45</v>
      </c>
      <c r="L973" t="s">
        <v>72</v>
      </c>
      <c r="N973" t="s">
        <v>89</v>
      </c>
      <c r="O973" t="s">
        <v>121</v>
      </c>
      <c r="P973" t="s">
        <v>49</v>
      </c>
      <c r="Q973" t="s">
        <v>7497</v>
      </c>
      <c r="R973" t="s">
        <v>7498</v>
      </c>
      <c r="S973">
        <v>8326</v>
      </c>
      <c r="T973" t="s">
        <v>52</v>
      </c>
      <c r="U973">
        <v>4</v>
      </c>
      <c r="V973" t="s">
        <v>2622</v>
      </c>
      <c r="W973" t="s">
        <v>54</v>
      </c>
      <c r="Y973" t="s">
        <v>125</v>
      </c>
      <c r="Z973">
        <v>4966</v>
      </c>
      <c r="AA973">
        <v>80</v>
      </c>
      <c r="AB973">
        <v>34</v>
      </c>
      <c r="AC973" t="s">
        <v>2623</v>
      </c>
      <c r="AD973" t="s">
        <v>2624</v>
      </c>
      <c r="AE973" t="s">
        <v>7499</v>
      </c>
      <c r="AF973" t="s">
        <v>1186</v>
      </c>
      <c r="AG973" t="s">
        <v>6427</v>
      </c>
      <c r="AH973" t="s">
        <v>1188</v>
      </c>
      <c r="AJ973" s="2">
        <v>45657.517002314817</v>
      </c>
      <c r="AK973" t="s">
        <v>132</v>
      </c>
      <c r="AL973" t="s">
        <v>65</v>
      </c>
      <c r="AM973" s="4">
        <v>7.6388888888888895E-2</v>
      </c>
      <c r="AN973" t="s">
        <v>66</v>
      </c>
      <c r="AO973" t="s">
        <v>67</v>
      </c>
    </row>
    <row r="974" spans="1:41" x14ac:dyDescent="0.2">
      <c r="A974">
        <v>369673</v>
      </c>
      <c r="B974" t="s">
        <v>7500</v>
      </c>
      <c r="C974" t="s">
        <v>278</v>
      </c>
      <c r="D974" t="s">
        <v>7478</v>
      </c>
      <c r="E974">
        <v>32691202</v>
      </c>
      <c r="G974" s="1">
        <v>45747</v>
      </c>
      <c r="H974" s="1">
        <v>45657</v>
      </c>
      <c r="I974" s="1">
        <v>45992</v>
      </c>
      <c r="J974" t="s">
        <v>45</v>
      </c>
      <c r="K974" t="s">
        <v>45</v>
      </c>
      <c r="L974" t="s">
        <v>72</v>
      </c>
      <c r="N974" t="s">
        <v>47</v>
      </c>
      <c r="O974" t="s">
        <v>121</v>
      </c>
      <c r="P974" t="s">
        <v>49</v>
      </c>
      <c r="Q974" t="s">
        <v>7501</v>
      </c>
      <c r="R974" t="s">
        <v>7502</v>
      </c>
      <c r="S974">
        <v>8400</v>
      </c>
      <c r="T974" t="s">
        <v>52</v>
      </c>
      <c r="U974">
        <v>4</v>
      </c>
      <c r="V974" t="s">
        <v>2622</v>
      </c>
      <c r="W974" t="s">
        <v>54</v>
      </c>
      <c r="X974" t="s">
        <v>52</v>
      </c>
      <c r="Y974" t="s">
        <v>125</v>
      </c>
      <c r="Z974">
        <v>5906</v>
      </c>
      <c r="AA974">
        <v>63</v>
      </c>
      <c r="AB974">
        <v>28</v>
      </c>
      <c r="AC974" t="s">
        <v>2623</v>
      </c>
      <c r="AD974" t="s">
        <v>2624</v>
      </c>
      <c r="AE974" t="s">
        <v>7499</v>
      </c>
      <c r="AF974" t="s">
        <v>1186</v>
      </c>
      <c r="AG974" t="s">
        <v>6427</v>
      </c>
      <c r="AH974" t="s">
        <v>1188</v>
      </c>
      <c r="AJ974" s="2">
        <v>45748.716377314813</v>
      </c>
      <c r="AK974" t="s">
        <v>2068</v>
      </c>
      <c r="AL974" t="s">
        <v>65</v>
      </c>
      <c r="AM974" s="3">
        <v>1.0277777777777777</v>
      </c>
      <c r="AN974" t="s">
        <v>66</v>
      </c>
      <c r="AO974" t="s">
        <v>67</v>
      </c>
    </row>
    <row r="975" spans="1:41" x14ac:dyDescent="0.2">
      <c r="A975">
        <v>365023</v>
      </c>
      <c r="B975" t="s">
        <v>7503</v>
      </c>
      <c r="C975" t="s">
        <v>278</v>
      </c>
      <c r="D975" t="s">
        <v>3420</v>
      </c>
      <c r="E975" t="s">
        <v>7504</v>
      </c>
      <c r="G975" s="1">
        <v>45412</v>
      </c>
      <c r="H975" s="1">
        <v>45267</v>
      </c>
      <c r="I975" s="1">
        <v>45992</v>
      </c>
      <c r="J975" t="s">
        <v>45</v>
      </c>
      <c r="K975" t="s">
        <v>326</v>
      </c>
      <c r="L975" t="s">
        <v>72</v>
      </c>
      <c r="N975" t="s">
        <v>89</v>
      </c>
      <c r="O975" t="s">
        <v>121</v>
      </c>
      <c r="P975" t="s">
        <v>49</v>
      </c>
      <c r="Q975" t="s">
        <v>7505</v>
      </c>
      <c r="R975" t="s">
        <v>7506</v>
      </c>
      <c r="S975">
        <v>7730</v>
      </c>
      <c r="T975" t="s">
        <v>52</v>
      </c>
      <c r="U975">
        <v>4</v>
      </c>
      <c r="V975" t="s">
        <v>2622</v>
      </c>
      <c r="W975" t="s">
        <v>54</v>
      </c>
      <c r="X975" t="s">
        <v>52</v>
      </c>
      <c r="Y975" t="s">
        <v>125</v>
      </c>
      <c r="Z975">
        <v>2921</v>
      </c>
      <c r="AA975">
        <v>61</v>
      </c>
      <c r="AB975">
        <v>166</v>
      </c>
      <c r="AC975" t="s">
        <v>7491</v>
      </c>
      <c r="AD975" t="s">
        <v>7492</v>
      </c>
      <c r="AE975" t="s">
        <v>7507</v>
      </c>
      <c r="AF975" t="s">
        <v>7508</v>
      </c>
      <c r="AG975" t="s">
        <v>6427</v>
      </c>
      <c r="AH975" t="s">
        <v>1188</v>
      </c>
      <c r="AJ975" s="2">
        <v>45566.802812499998</v>
      </c>
      <c r="AK975" t="s">
        <v>660</v>
      </c>
      <c r="AL975" t="s">
        <v>65</v>
      </c>
      <c r="AM975" s="4">
        <v>0.15972222222222221</v>
      </c>
      <c r="AN975" t="s">
        <v>66</v>
      </c>
      <c r="AO975" t="s">
        <v>67</v>
      </c>
    </row>
    <row r="976" spans="1:41" x14ac:dyDescent="0.2">
      <c r="A976">
        <v>364963</v>
      </c>
      <c r="B976" t="s">
        <v>7509</v>
      </c>
      <c r="C976" t="s">
        <v>735</v>
      </c>
      <c r="D976" t="s">
        <v>5932</v>
      </c>
      <c r="E976" t="s">
        <v>7510</v>
      </c>
      <c r="F976">
        <v>244902</v>
      </c>
      <c r="G976" s="1">
        <v>33896</v>
      </c>
      <c r="H976" s="1">
        <v>45558</v>
      </c>
      <c r="I976" s="1">
        <v>46280</v>
      </c>
      <c r="J976" t="s">
        <v>45</v>
      </c>
      <c r="K976" t="s">
        <v>45</v>
      </c>
      <c r="L976" t="s">
        <v>429</v>
      </c>
      <c r="M976" s="1">
        <v>44683</v>
      </c>
      <c r="N976" t="s">
        <v>47</v>
      </c>
      <c r="O976" t="s">
        <v>48</v>
      </c>
      <c r="P976" t="s">
        <v>49</v>
      </c>
      <c r="Q976" t="s">
        <v>7511</v>
      </c>
      <c r="R976" t="s">
        <v>7512</v>
      </c>
      <c r="S976">
        <v>4550</v>
      </c>
      <c r="T976" t="s">
        <v>365</v>
      </c>
      <c r="U976" t="s">
        <v>969</v>
      </c>
      <c r="V976" t="s">
        <v>2523</v>
      </c>
      <c r="W976" t="s">
        <v>367</v>
      </c>
      <c r="X976" t="s">
        <v>76</v>
      </c>
      <c r="Y976" t="s">
        <v>434</v>
      </c>
      <c r="Z976">
        <v>221</v>
      </c>
      <c r="AA976">
        <v>72</v>
      </c>
      <c r="AB976">
        <v>146</v>
      </c>
      <c r="AC976" t="s">
        <v>2532</v>
      </c>
      <c r="AD976" t="s">
        <v>2525</v>
      </c>
      <c r="AE976" t="s">
        <v>2526</v>
      </c>
      <c r="AF976" t="s">
        <v>7513</v>
      </c>
      <c r="AH976" t="s">
        <v>7514</v>
      </c>
      <c r="AI976" t="s">
        <v>179</v>
      </c>
      <c r="AJ976" s="2">
        <v>45566.520671296297</v>
      </c>
      <c r="AK976" t="s">
        <v>568</v>
      </c>
      <c r="AL976" t="s">
        <v>65</v>
      </c>
      <c r="AM976" s="4">
        <v>0.95138888888888884</v>
      </c>
      <c r="AN976" t="s">
        <v>66</v>
      </c>
      <c r="AO976" t="s">
        <v>67</v>
      </c>
    </row>
    <row r="977" spans="1:41" x14ac:dyDescent="0.2">
      <c r="A977">
        <v>368859</v>
      </c>
      <c r="B977" t="s">
        <v>7515</v>
      </c>
      <c r="C977" t="s">
        <v>182</v>
      </c>
      <c r="D977" t="s">
        <v>1467</v>
      </c>
      <c r="E977" t="s">
        <v>7516</v>
      </c>
      <c r="F977">
        <v>40520</v>
      </c>
      <c r="G977" s="1">
        <v>38586</v>
      </c>
      <c r="H977" s="1">
        <v>45699</v>
      </c>
      <c r="I977" s="1">
        <v>46157</v>
      </c>
      <c r="J977" t="s">
        <v>45</v>
      </c>
      <c r="K977" t="s">
        <v>45</v>
      </c>
      <c r="L977" t="s">
        <v>429</v>
      </c>
      <c r="M977" s="1">
        <v>41482</v>
      </c>
      <c r="N977" t="s">
        <v>47</v>
      </c>
      <c r="O977" t="s">
        <v>48</v>
      </c>
      <c r="P977" t="s">
        <v>49</v>
      </c>
      <c r="Q977" t="s">
        <v>7517</v>
      </c>
      <c r="R977" t="s">
        <v>7518</v>
      </c>
      <c r="S977">
        <v>2602</v>
      </c>
      <c r="T977" t="s">
        <v>52</v>
      </c>
      <c r="U977">
        <v>5</v>
      </c>
      <c r="V977" t="s">
        <v>1068</v>
      </c>
      <c r="W977" t="s">
        <v>54</v>
      </c>
      <c r="X977" t="s">
        <v>493</v>
      </c>
      <c r="Y977" t="s">
        <v>434</v>
      </c>
      <c r="Z977">
        <v>850</v>
      </c>
      <c r="AA977">
        <v>97</v>
      </c>
      <c r="AB977">
        <v>34</v>
      </c>
      <c r="AC977" t="s">
        <v>1069</v>
      </c>
      <c r="AD977" t="s">
        <v>1070</v>
      </c>
      <c r="AE977" t="s">
        <v>1071</v>
      </c>
      <c r="AF977" t="s">
        <v>1072</v>
      </c>
      <c r="AG977" t="s">
        <v>1073</v>
      </c>
      <c r="AH977" t="s">
        <v>1071</v>
      </c>
      <c r="AI977" t="s">
        <v>1471</v>
      </c>
      <c r="AJ977" s="2">
        <v>45722.878321759257</v>
      </c>
      <c r="AK977" t="s">
        <v>501</v>
      </c>
      <c r="AL977" t="s">
        <v>65</v>
      </c>
      <c r="AM977" s="4">
        <v>0.86805555555555558</v>
      </c>
      <c r="AN977" t="s">
        <v>66</v>
      </c>
      <c r="AO977" t="s">
        <v>67</v>
      </c>
    </row>
    <row r="978" spans="1:41" x14ac:dyDescent="0.2">
      <c r="A978">
        <v>363123</v>
      </c>
      <c r="B978" t="s">
        <v>7519</v>
      </c>
      <c r="C978" t="s">
        <v>278</v>
      </c>
      <c r="D978" t="s">
        <v>1140</v>
      </c>
      <c r="E978" t="s">
        <v>7520</v>
      </c>
      <c r="F978">
        <v>421304</v>
      </c>
      <c r="G978" s="1">
        <v>35648</v>
      </c>
      <c r="H978" s="1">
        <v>45483</v>
      </c>
      <c r="I978" s="1">
        <v>46235</v>
      </c>
      <c r="J978" t="s">
        <v>45</v>
      </c>
      <c r="K978" t="s">
        <v>45</v>
      </c>
      <c r="L978" t="s">
        <v>429</v>
      </c>
      <c r="M978" s="1">
        <v>40289</v>
      </c>
      <c r="N978" t="s">
        <v>47</v>
      </c>
      <c r="O978" t="s">
        <v>48</v>
      </c>
      <c r="P978" t="s">
        <v>49</v>
      </c>
      <c r="Q978" t="s">
        <v>7521</v>
      </c>
      <c r="R978" t="s">
        <v>7522</v>
      </c>
      <c r="S978">
        <v>7484</v>
      </c>
      <c r="T978" t="s">
        <v>365</v>
      </c>
      <c r="U978" t="s">
        <v>432</v>
      </c>
      <c r="V978" t="s">
        <v>6362</v>
      </c>
      <c r="W978" t="s">
        <v>367</v>
      </c>
      <c r="X978" t="s">
        <v>55</v>
      </c>
      <c r="Y978" t="s">
        <v>434</v>
      </c>
      <c r="Z978">
        <v>367</v>
      </c>
      <c r="AA978">
        <v>62</v>
      </c>
      <c r="AB978">
        <v>78</v>
      </c>
      <c r="AC978" t="s">
        <v>6363</v>
      </c>
      <c r="AD978" t="s">
        <v>6364</v>
      </c>
      <c r="AE978" t="s">
        <v>6365</v>
      </c>
      <c r="AF978" t="s">
        <v>3498</v>
      </c>
      <c r="AG978" t="s">
        <v>2393</v>
      </c>
      <c r="AH978" t="s">
        <v>2394</v>
      </c>
      <c r="AI978" t="s">
        <v>179</v>
      </c>
      <c r="AJ978" s="2">
        <v>45504.88144675926</v>
      </c>
      <c r="AK978" t="s">
        <v>609</v>
      </c>
      <c r="AL978" t="s">
        <v>65</v>
      </c>
      <c r="AM978" s="3">
        <v>1.1666666666666667</v>
      </c>
      <c r="AN978" t="s">
        <v>66</v>
      </c>
      <c r="AO978" t="s">
        <v>67</v>
      </c>
    </row>
    <row r="979" spans="1:41" x14ac:dyDescent="0.2">
      <c r="A979">
        <v>368886</v>
      </c>
      <c r="B979" t="s">
        <v>7519</v>
      </c>
      <c r="C979" t="s">
        <v>182</v>
      </c>
      <c r="D979" t="s">
        <v>4074</v>
      </c>
      <c r="E979" t="s">
        <v>7523</v>
      </c>
      <c r="F979">
        <v>44308</v>
      </c>
      <c r="G979" s="1">
        <v>35095</v>
      </c>
      <c r="H979" s="1">
        <v>45644</v>
      </c>
      <c r="I979" s="1">
        <v>45915</v>
      </c>
      <c r="J979" t="s">
        <v>45</v>
      </c>
      <c r="K979" t="s">
        <v>45</v>
      </c>
      <c r="L979" t="s">
        <v>429</v>
      </c>
      <c r="M979" s="1">
        <v>44323</v>
      </c>
      <c r="N979" t="s">
        <v>47</v>
      </c>
      <c r="O979" t="s">
        <v>48</v>
      </c>
      <c r="P979" t="s">
        <v>49</v>
      </c>
      <c r="Q979" t="s">
        <v>7524</v>
      </c>
      <c r="R979" t="s">
        <v>7525</v>
      </c>
      <c r="S979">
        <v>4150</v>
      </c>
      <c r="T979" t="s">
        <v>365</v>
      </c>
      <c r="U979" t="s">
        <v>815</v>
      </c>
      <c r="V979" t="s">
        <v>816</v>
      </c>
      <c r="W979" t="s">
        <v>367</v>
      </c>
      <c r="X979" t="s">
        <v>493</v>
      </c>
      <c r="Y979" t="s">
        <v>434</v>
      </c>
      <c r="Z979">
        <v>1443</v>
      </c>
      <c r="AA979">
        <v>53</v>
      </c>
      <c r="AB979">
        <v>210</v>
      </c>
      <c r="AC979" t="s">
        <v>817</v>
      </c>
      <c r="AD979" t="s">
        <v>818</v>
      </c>
      <c r="AE979" t="s">
        <v>819</v>
      </c>
      <c r="AI979" t="s">
        <v>2546</v>
      </c>
      <c r="AJ979" s="2">
        <v>45722.892175925925</v>
      </c>
      <c r="AK979" t="s">
        <v>501</v>
      </c>
      <c r="AL979" t="s">
        <v>65</v>
      </c>
      <c r="AM979" s="3">
        <v>1.0972222222222223</v>
      </c>
      <c r="AN979" t="s">
        <v>66</v>
      </c>
      <c r="AO979" t="s">
        <v>67</v>
      </c>
    </row>
    <row r="980" spans="1:41" x14ac:dyDescent="0.2">
      <c r="A980">
        <v>367312</v>
      </c>
      <c r="B980" t="s">
        <v>7526</v>
      </c>
      <c r="C980" t="s">
        <v>118</v>
      </c>
      <c r="D980" t="s">
        <v>1410</v>
      </c>
      <c r="E980" t="s">
        <v>7527</v>
      </c>
      <c r="F980">
        <v>20209</v>
      </c>
      <c r="G980" s="1">
        <v>37230</v>
      </c>
      <c r="H980" s="1">
        <v>45670</v>
      </c>
      <c r="I980" s="1">
        <v>46023</v>
      </c>
      <c r="J980" t="s">
        <v>45</v>
      </c>
      <c r="K980" t="s">
        <v>45</v>
      </c>
      <c r="L980" t="s">
        <v>46</v>
      </c>
      <c r="M980" s="1">
        <v>40666</v>
      </c>
      <c r="N980" t="s">
        <v>47</v>
      </c>
      <c r="O980" t="s">
        <v>48</v>
      </c>
      <c r="P980" t="s">
        <v>49</v>
      </c>
      <c r="Q980" t="s">
        <v>7528</v>
      </c>
      <c r="R980" t="s">
        <v>7529</v>
      </c>
      <c r="S980">
        <v>6903</v>
      </c>
      <c r="T980" t="s">
        <v>52</v>
      </c>
      <c r="U980">
        <v>3</v>
      </c>
      <c r="V980" t="s">
        <v>5310</v>
      </c>
      <c r="W980" t="s">
        <v>54</v>
      </c>
      <c r="X980" t="s">
        <v>55</v>
      </c>
      <c r="Y980" t="s">
        <v>56</v>
      </c>
      <c r="Z980">
        <v>1028</v>
      </c>
      <c r="AA980">
        <v>60</v>
      </c>
      <c r="AB980">
        <v>160</v>
      </c>
      <c r="AC980" t="s">
        <v>5311</v>
      </c>
      <c r="AD980" t="s">
        <v>5312</v>
      </c>
      <c r="AE980" t="s">
        <v>5313</v>
      </c>
      <c r="AI980" t="s">
        <v>1809</v>
      </c>
      <c r="AJ980" s="2">
        <v>45671.626296296294</v>
      </c>
      <c r="AK980" t="s">
        <v>64</v>
      </c>
      <c r="AL980" t="s">
        <v>65</v>
      </c>
      <c r="AM980" s="4">
        <v>0.25</v>
      </c>
      <c r="AN980" t="s">
        <v>66</v>
      </c>
      <c r="AO980" t="s">
        <v>67</v>
      </c>
    </row>
    <row r="981" spans="1:41" x14ac:dyDescent="0.2">
      <c r="A981">
        <v>371278</v>
      </c>
      <c r="B981" t="s">
        <v>7530</v>
      </c>
      <c r="C981" t="s">
        <v>167</v>
      </c>
      <c r="D981" t="s">
        <v>2871</v>
      </c>
      <c r="E981" t="s">
        <v>7531</v>
      </c>
      <c r="F981">
        <v>352123</v>
      </c>
      <c r="G981" s="1">
        <v>36230</v>
      </c>
      <c r="H981" s="1">
        <v>45799</v>
      </c>
      <c r="I981" s="1">
        <v>46143</v>
      </c>
      <c r="J981" t="s">
        <v>45</v>
      </c>
      <c r="K981" t="s">
        <v>45</v>
      </c>
      <c r="L981" t="s">
        <v>429</v>
      </c>
      <c r="M981" s="1">
        <v>43952</v>
      </c>
      <c r="N981" t="s">
        <v>47</v>
      </c>
      <c r="O981" t="s">
        <v>48</v>
      </c>
      <c r="P981" t="s">
        <v>49</v>
      </c>
      <c r="Q981" t="s">
        <v>7532</v>
      </c>
      <c r="R981" t="s">
        <v>7533</v>
      </c>
      <c r="S981">
        <v>3945</v>
      </c>
      <c r="T981" t="s">
        <v>365</v>
      </c>
      <c r="U981" t="s">
        <v>532</v>
      </c>
      <c r="V981" t="s">
        <v>533</v>
      </c>
      <c r="W981" t="s">
        <v>367</v>
      </c>
      <c r="X981" t="s">
        <v>76</v>
      </c>
      <c r="Y981" t="s">
        <v>434</v>
      </c>
      <c r="Z981">
        <v>1578</v>
      </c>
      <c r="AA981">
        <v>59</v>
      </c>
      <c r="AB981">
        <v>166</v>
      </c>
      <c r="AC981" t="s">
        <v>534</v>
      </c>
      <c r="AD981" t="s">
        <v>535</v>
      </c>
      <c r="AE981" t="s">
        <v>536</v>
      </c>
      <c r="AF981" t="s">
        <v>537</v>
      </c>
      <c r="AG981" t="s">
        <v>538</v>
      </c>
      <c r="AH981" t="s">
        <v>539</v>
      </c>
      <c r="AI981" t="s">
        <v>179</v>
      </c>
      <c r="AJ981" s="2">
        <v>45804.6406712963</v>
      </c>
      <c r="AK981" t="s">
        <v>568</v>
      </c>
      <c r="AL981" t="s">
        <v>65</v>
      </c>
      <c r="AM981" s="3">
        <v>2.3125</v>
      </c>
      <c r="AN981" t="s">
        <v>66</v>
      </c>
      <c r="AO981" t="s">
        <v>67</v>
      </c>
    </row>
    <row r="982" spans="1:41" x14ac:dyDescent="0.2">
      <c r="A982">
        <v>371786</v>
      </c>
      <c r="B982" t="s">
        <v>7534</v>
      </c>
      <c r="C982" t="s">
        <v>323</v>
      </c>
      <c r="D982" t="s">
        <v>372</v>
      </c>
      <c r="E982">
        <v>33904794</v>
      </c>
      <c r="F982">
        <v>500625</v>
      </c>
      <c r="G982" s="1">
        <v>32509</v>
      </c>
      <c r="H982" s="1">
        <v>45782</v>
      </c>
      <c r="I982" s="1">
        <v>46037</v>
      </c>
      <c r="J982" t="s">
        <v>45</v>
      </c>
      <c r="K982" t="s">
        <v>45</v>
      </c>
      <c r="L982" t="s">
        <v>72</v>
      </c>
      <c r="M982" s="1">
        <v>45120</v>
      </c>
      <c r="N982" t="s">
        <v>47</v>
      </c>
      <c r="O982" t="s">
        <v>48</v>
      </c>
      <c r="P982" t="s">
        <v>49</v>
      </c>
      <c r="Q982" t="s">
        <v>7535</v>
      </c>
      <c r="R982" t="s">
        <v>7536</v>
      </c>
      <c r="S982">
        <v>1548</v>
      </c>
      <c r="T982" t="s">
        <v>92</v>
      </c>
      <c r="U982" t="s">
        <v>329</v>
      </c>
      <c r="V982" t="s">
        <v>722</v>
      </c>
      <c r="W982" t="s">
        <v>723</v>
      </c>
      <c r="X982" t="s">
        <v>76</v>
      </c>
      <c r="Y982" t="s">
        <v>110</v>
      </c>
      <c r="Z982">
        <v>1157</v>
      </c>
      <c r="AA982">
        <v>40</v>
      </c>
      <c r="AB982">
        <v>152</v>
      </c>
      <c r="AC982" t="s">
        <v>368</v>
      </c>
      <c r="AD982" t="s">
        <v>369</v>
      </c>
      <c r="AE982" t="s">
        <v>370</v>
      </c>
      <c r="AF982" t="s">
        <v>724</v>
      </c>
      <c r="AG982" t="s">
        <v>725</v>
      </c>
      <c r="AH982" t="s">
        <v>726</v>
      </c>
      <c r="AI982" t="s">
        <v>385</v>
      </c>
      <c r="AJ982" s="2">
        <v>45819.677233796298</v>
      </c>
      <c r="AK982" t="s">
        <v>727</v>
      </c>
      <c r="AL982" t="s">
        <v>65</v>
      </c>
      <c r="AM982" s="3">
        <v>2.1597222222222223</v>
      </c>
      <c r="AN982" t="s">
        <v>66</v>
      </c>
      <c r="AO982" t="s">
        <v>67</v>
      </c>
    </row>
    <row r="983" spans="1:41" x14ac:dyDescent="0.2">
      <c r="A983">
        <v>372776</v>
      </c>
      <c r="B983" t="s">
        <v>7537</v>
      </c>
      <c r="C983" t="s">
        <v>1687</v>
      </c>
      <c r="D983" t="s">
        <v>2346</v>
      </c>
      <c r="E983" t="s">
        <v>7538</v>
      </c>
      <c r="F983">
        <v>165003</v>
      </c>
      <c r="G983" s="1">
        <v>40990</v>
      </c>
      <c r="H983" s="1">
        <v>45614</v>
      </c>
      <c r="I983" s="1">
        <v>45962</v>
      </c>
      <c r="J983" t="s">
        <v>45</v>
      </c>
      <c r="K983" t="s">
        <v>326</v>
      </c>
      <c r="L983" t="s">
        <v>72</v>
      </c>
      <c r="M983" s="1">
        <v>42202</v>
      </c>
      <c r="N983" t="s">
        <v>89</v>
      </c>
      <c r="O983" t="s">
        <v>121</v>
      </c>
      <c r="P983" t="s">
        <v>49</v>
      </c>
      <c r="Q983" t="s">
        <v>7539</v>
      </c>
      <c r="R983" t="s">
        <v>7540</v>
      </c>
      <c r="S983">
        <v>3</v>
      </c>
      <c r="T983" t="s">
        <v>156</v>
      </c>
      <c r="U983" t="s">
        <v>157</v>
      </c>
      <c r="V983" t="s">
        <v>2345</v>
      </c>
      <c r="W983" t="s">
        <v>159</v>
      </c>
      <c r="X983" t="s">
        <v>156</v>
      </c>
      <c r="Y983" t="s">
        <v>110</v>
      </c>
      <c r="Z983">
        <v>2908</v>
      </c>
      <c r="AA983">
        <v>47</v>
      </c>
      <c r="AB983">
        <v>166</v>
      </c>
      <c r="AC983" t="s">
        <v>2349</v>
      </c>
      <c r="AD983" t="s">
        <v>2350</v>
      </c>
      <c r="AE983" t="s">
        <v>2351</v>
      </c>
      <c r="AF983" t="s">
        <v>2352</v>
      </c>
      <c r="AG983" t="s">
        <v>7541</v>
      </c>
      <c r="AH983" t="s">
        <v>2354</v>
      </c>
      <c r="AJ983" s="2">
        <v>45853.700694444444</v>
      </c>
      <c r="AK983" t="s">
        <v>132</v>
      </c>
      <c r="AL983" t="s">
        <v>475</v>
      </c>
      <c r="AM983" s="3">
        <v>2.2777777777777777</v>
      </c>
      <c r="AN983" t="s">
        <v>66</v>
      </c>
      <c r="AO983" t="s">
        <v>67</v>
      </c>
    </row>
    <row r="984" spans="1:41" x14ac:dyDescent="0.2">
      <c r="A984">
        <v>361870</v>
      </c>
      <c r="B984" t="s">
        <v>7542</v>
      </c>
      <c r="C984" t="s">
        <v>278</v>
      </c>
      <c r="D984" t="s">
        <v>7543</v>
      </c>
      <c r="E984" t="s">
        <v>7544</v>
      </c>
      <c r="F984">
        <v>422002</v>
      </c>
      <c r="G984" s="1">
        <v>32022</v>
      </c>
      <c r="H984" s="1">
        <v>45463</v>
      </c>
      <c r="I984" s="1">
        <v>46235</v>
      </c>
      <c r="J984" t="s">
        <v>45</v>
      </c>
      <c r="K984" t="s">
        <v>45</v>
      </c>
      <c r="L984" t="s">
        <v>429</v>
      </c>
      <c r="M984" s="1">
        <v>39768</v>
      </c>
      <c r="N984" t="s">
        <v>47</v>
      </c>
      <c r="O984" t="s">
        <v>48</v>
      </c>
      <c r="P984" t="s">
        <v>49</v>
      </c>
      <c r="Q984" t="s">
        <v>7545</v>
      </c>
      <c r="R984" t="s">
        <v>7546</v>
      </c>
      <c r="S984">
        <v>6120</v>
      </c>
      <c r="T984" t="s">
        <v>365</v>
      </c>
      <c r="U984" t="s">
        <v>432</v>
      </c>
      <c r="V984" t="s">
        <v>2391</v>
      </c>
      <c r="W984" t="s">
        <v>367</v>
      </c>
      <c r="X984" t="s">
        <v>55</v>
      </c>
      <c r="Y984" t="s">
        <v>434</v>
      </c>
      <c r="Z984">
        <v>347</v>
      </c>
      <c r="AA984">
        <v>52</v>
      </c>
      <c r="AB984">
        <v>158</v>
      </c>
      <c r="AC984" t="s">
        <v>7547</v>
      </c>
      <c r="AD984" t="s">
        <v>7548</v>
      </c>
      <c r="AE984" t="s">
        <v>7549</v>
      </c>
      <c r="AF984" t="s">
        <v>7547</v>
      </c>
      <c r="AG984" t="s">
        <v>7548</v>
      </c>
      <c r="AH984" t="s">
        <v>7550</v>
      </c>
      <c r="AI984" t="s">
        <v>2396</v>
      </c>
      <c r="AJ984" s="2">
        <v>45468.606377314813</v>
      </c>
      <c r="AK984" t="s">
        <v>609</v>
      </c>
      <c r="AL984" t="s">
        <v>65</v>
      </c>
      <c r="AM984" s="4">
        <v>0.73611111111111116</v>
      </c>
      <c r="AN984" t="s">
        <v>66</v>
      </c>
      <c r="AO984" t="s">
        <v>67</v>
      </c>
    </row>
    <row r="985" spans="1:41" x14ac:dyDescent="0.2">
      <c r="A985">
        <v>369091</v>
      </c>
      <c r="B985" t="s">
        <v>7551</v>
      </c>
      <c r="C985" t="s">
        <v>831</v>
      </c>
      <c r="D985" t="s">
        <v>7552</v>
      </c>
      <c r="E985" t="s">
        <v>7553</v>
      </c>
      <c r="F985">
        <v>448502</v>
      </c>
      <c r="G985" s="1">
        <v>42514</v>
      </c>
      <c r="H985" s="1">
        <v>45720</v>
      </c>
      <c r="I985" s="1">
        <v>46096</v>
      </c>
      <c r="J985" t="s">
        <v>45</v>
      </c>
      <c r="K985" t="s">
        <v>45</v>
      </c>
      <c r="L985" t="s">
        <v>46</v>
      </c>
      <c r="M985" s="1">
        <v>41365</v>
      </c>
      <c r="N985" t="s">
        <v>47</v>
      </c>
      <c r="O985" t="s">
        <v>48</v>
      </c>
      <c r="P985" t="s">
        <v>49</v>
      </c>
      <c r="Q985" t="s">
        <v>7554</v>
      </c>
      <c r="R985" t="s">
        <v>7555</v>
      </c>
      <c r="S985">
        <v>2308</v>
      </c>
      <c r="T985" t="s">
        <v>52</v>
      </c>
      <c r="U985">
        <v>8</v>
      </c>
      <c r="V985" t="s">
        <v>4806</v>
      </c>
      <c r="W985" t="s">
        <v>54</v>
      </c>
      <c r="X985" t="s">
        <v>76</v>
      </c>
      <c r="Y985" t="s">
        <v>56</v>
      </c>
      <c r="Z985">
        <v>1061</v>
      </c>
      <c r="AA985">
        <v>48</v>
      </c>
      <c r="AB985">
        <v>39</v>
      </c>
      <c r="AC985" t="s">
        <v>7556</v>
      </c>
      <c r="AD985" t="s">
        <v>7557</v>
      </c>
      <c r="AE985" t="s">
        <v>7558</v>
      </c>
      <c r="AF985" t="s">
        <v>7559</v>
      </c>
      <c r="AG985" t="s">
        <v>7560</v>
      </c>
      <c r="AH985" t="s">
        <v>7561</v>
      </c>
      <c r="AJ985" s="2">
        <v>45726.861724537041</v>
      </c>
      <c r="AK985" t="s">
        <v>2517</v>
      </c>
      <c r="AL985" t="s">
        <v>65</v>
      </c>
      <c r="AM985" s="3">
        <v>2.1006944444444446</v>
      </c>
      <c r="AN985" t="s">
        <v>66</v>
      </c>
      <c r="AO985" t="s">
        <v>101</v>
      </c>
    </row>
    <row r="986" spans="1:41" x14ac:dyDescent="0.2">
      <c r="A986">
        <v>366966</v>
      </c>
      <c r="B986" t="s">
        <v>7551</v>
      </c>
      <c r="C986" t="s">
        <v>1244</v>
      </c>
      <c r="D986" t="s">
        <v>7562</v>
      </c>
      <c r="E986" t="s">
        <v>7563</v>
      </c>
      <c r="F986">
        <v>463301</v>
      </c>
      <c r="G986" s="1">
        <v>38459</v>
      </c>
      <c r="H986" s="1">
        <v>45638</v>
      </c>
      <c r="J986" t="s">
        <v>45</v>
      </c>
      <c r="K986" t="s">
        <v>45</v>
      </c>
      <c r="L986" t="s">
        <v>72</v>
      </c>
      <c r="M986" s="1">
        <v>43578</v>
      </c>
      <c r="N986" t="s">
        <v>47</v>
      </c>
      <c r="O986" t="s">
        <v>48</v>
      </c>
      <c r="P986" t="s">
        <v>49</v>
      </c>
      <c r="Q986" t="s">
        <v>7564</v>
      </c>
      <c r="R986" t="s">
        <v>7565</v>
      </c>
      <c r="S986">
        <v>1642</v>
      </c>
      <c r="T986" t="s">
        <v>92</v>
      </c>
      <c r="U986" t="s">
        <v>1249</v>
      </c>
      <c r="V986" t="s">
        <v>1250</v>
      </c>
      <c r="W986" t="s">
        <v>1251</v>
      </c>
      <c r="X986" t="s">
        <v>92</v>
      </c>
      <c r="Y986" t="s">
        <v>770</v>
      </c>
      <c r="Z986">
        <v>2698</v>
      </c>
      <c r="AA986">
        <v>30</v>
      </c>
      <c r="AB986">
        <v>144</v>
      </c>
      <c r="AC986" t="s">
        <v>1252</v>
      </c>
      <c r="AD986" t="s">
        <v>1253</v>
      </c>
      <c r="AE986" t="s">
        <v>1254</v>
      </c>
      <c r="AF986" t="s">
        <v>1255</v>
      </c>
      <c r="AG986" t="s">
        <v>1256</v>
      </c>
      <c r="AH986" t="s">
        <v>1257</v>
      </c>
      <c r="AI986" t="s">
        <v>1256</v>
      </c>
      <c r="AJ986" s="2">
        <v>45649.655682870369</v>
      </c>
      <c r="AK986" t="s">
        <v>1255</v>
      </c>
      <c r="AL986" t="s">
        <v>65</v>
      </c>
      <c r="AM986" s="4">
        <v>0.72222222222222221</v>
      </c>
      <c r="AN986" t="s">
        <v>66</v>
      </c>
      <c r="AO986" t="s">
        <v>67</v>
      </c>
    </row>
    <row r="987" spans="1:41" x14ac:dyDescent="0.2">
      <c r="A987">
        <v>364296</v>
      </c>
      <c r="B987" t="s">
        <v>7566</v>
      </c>
      <c r="C987" t="s">
        <v>69</v>
      </c>
      <c r="D987" t="s">
        <v>7567</v>
      </c>
      <c r="E987" t="s">
        <v>7568</v>
      </c>
      <c r="F987">
        <v>102802</v>
      </c>
      <c r="G987" s="1">
        <v>35600</v>
      </c>
      <c r="H987" s="1">
        <v>45539</v>
      </c>
      <c r="I987" s="1">
        <v>46249</v>
      </c>
      <c r="J987" t="s">
        <v>45</v>
      </c>
      <c r="K987" t="s">
        <v>45</v>
      </c>
      <c r="L987" t="s">
        <v>72</v>
      </c>
      <c r="M987" s="1">
        <v>45097</v>
      </c>
      <c r="N987" t="s">
        <v>47</v>
      </c>
      <c r="O987" t="s">
        <v>48</v>
      </c>
      <c r="P987" t="s">
        <v>49</v>
      </c>
      <c r="Q987" t="s">
        <v>7569</v>
      </c>
      <c r="R987" t="s">
        <v>7570</v>
      </c>
      <c r="S987">
        <v>6482</v>
      </c>
      <c r="T987" t="s">
        <v>52</v>
      </c>
      <c r="U987">
        <v>4</v>
      </c>
      <c r="V987" t="s">
        <v>5619</v>
      </c>
      <c r="W987" t="s">
        <v>54</v>
      </c>
      <c r="X987" t="s">
        <v>76</v>
      </c>
      <c r="Y987" t="s">
        <v>56</v>
      </c>
      <c r="Z987">
        <v>836</v>
      </c>
      <c r="AA987">
        <v>66</v>
      </c>
      <c r="AB987">
        <v>158</v>
      </c>
      <c r="AC987" t="s">
        <v>5620</v>
      </c>
      <c r="AD987" t="s">
        <v>5621</v>
      </c>
      <c r="AE987" t="s">
        <v>5622</v>
      </c>
      <c r="AF987" t="s">
        <v>3690</v>
      </c>
      <c r="AG987" t="s">
        <v>3691</v>
      </c>
      <c r="AH987" t="s">
        <v>3692</v>
      </c>
      <c r="AI987" t="s">
        <v>7571</v>
      </c>
      <c r="AJ987" s="2">
        <v>45539.979143518518</v>
      </c>
      <c r="AK987" t="s">
        <v>704</v>
      </c>
      <c r="AL987" t="s">
        <v>65</v>
      </c>
      <c r="AM987" s="3">
        <v>1.6319444444444444</v>
      </c>
      <c r="AN987" t="s">
        <v>66</v>
      </c>
      <c r="AO987" t="s">
        <v>67</v>
      </c>
    </row>
    <row r="988" spans="1:41" x14ac:dyDescent="0.2">
      <c r="A988">
        <v>372706</v>
      </c>
      <c r="B988" t="s">
        <v>7572</v>
      </c>
      <c r="C988" t="s">
        <v>69</v>
      </c>
      <c r="D988" t="s">
        <v>7573</v>
      </c>
      <c r="E988" t="s">
        <v>7574</v>
      </c>
      <c r="F988">
        <v>104203</v>
      </c>
      <c r="G988" s="1">
        <v>35261</v>
      </c>
      <c r="H988" s="1">
        <v>45851</v>
      </c>
      <c r="I988" s="1">
        <v>46204</v>
      </c>
      <c r="J988" t="s">
        <v>45</v>
      </c>
      <c r="K988" t="s">
        <v>45</v>
      </c>
      <c r="L988" t="s">
        <v>429</v>
      </c>
      <c r="M988" s="1">
        <v>42894</v>
      </c>
      <c r="N988" t="s">
        <v>47</v>
      </c>
      <c r="O988" t="s">
        <v>48</v>
      </c>
      <c r="P988" t="s">
        <v>49</v>
      </c>
      <c r="Q988" t="s">
        <v>7575</v>
      </c>
      <c r="R988" t="s">
        <v>7576</v>
      </c>
      <c r="S988">
        <v>5200</v>
      </c>
      <c r="T988" t="s">
        <v>52</v>
      </c>
      <c r="U988">
        <v>4</v>
      </c>
      <c r="V988" t="s">
        <v>75</v>
      </c>
      <c r="W988" t="s">
        <v>54</v>
      </c>
      <c r="X988" t="s">
        <v>76</v>
      </c>
      <c r="Y988" t="s">
        <v>56</v>
      </c>
      <c r="Z988">
        <v>649</v>
      </c>
      <c r="AA988">
        <v>49</v>
      </c>
      <c r="AB988">
        <v>166</v>
      </c>
      <c r="AC988" t="s">
        <v>80</v>
      </c>
      <c r="AD988" t="s">
        <v>81</v>
      </c>
      <c r="AE988" t="s">
        <v>82</v>
      </c>
      <c r="AF988" t="s">
        <v>80</v>
      </c>
      <c r="AG988" t="s">
        <v>81</v>
      </c>
      <c r="AH988" t="s">
        <v>82</v>
      </c>
      <c r="AI988" t="s">
        <v>7577</v>
      </c>
      <c r="AJ988" s="2">
        <v>45851.739837962959</v>
      </c>
      <c r="AK988" t="s">
        <v>800</v>
      </c>
      <c r="AL988" t="s">
        <v>65</v>
      </c>
      <c r="AM988" s="4">
        <v>0.40972222222222221</v>
      </c>
      <c r="AN988" t="s">
        <v>66</v>
      </c>
      <c r="AO988" t="s">
        <v>67</v>
      </c>
    </row>
    <row r="989" spans="1:41" x14ac:dyDescent="0.2">
      <c r="A989">
        <v>372695</v>
      </c>
      <c r="B989" t="s">
        <v>7578</v>
      </c>
      <c r="C989" t="s">
        <v>134</v>
      </c>
      <c r="D989" t="s">
        <v>6133</v>
      </c>
      <c r="E989" t="s">
        <v>7579</v>
      </c>
      <c r="F989">
        <v>453145</v>
      </c>
      <c r="G989" s="1">
        <v>34999</v>
      </c>
      <c r="H989" s="1">
        <v>45815</v>
      </c>
      <c r="I989" s="1">
        <v>46174</v>
      </c>
      <c r="J989" t="s">
        <v>45</v>
      </c>
      <c r="K989" t="s">
        <v>45</v>
      </c>
      <c r="L989" t="s">
        <v>429</v>
      </c>
      <c r="M989" s="1">
        <v>42263</v>
      </c>
      <c r="N989" t="s">
        <v>47</v>
      </c>
      <c r="O989" t="s">
        <v>48</v>
      </c>
      <c r="P989" t="s">
        <v>49</v>
      </c>
      <c r="Q989" t="s">
        <v>7580</v>
      </c>
      <c r="R989" t="s">
        <v>7581</v>
      </c>
      <c r="S989">
        <v>2680</v>
      </c>
      <c r="T989" t="s">
        <v>52</v>
      </c>
      <c r="U989">
        <v>6</v>
      </c>
      <c r="V989" t="s">
        <v>3463</v>
      </c>
      <c r="W989" t="s">
        <v>54</v>
      </c>
      <c r="X989" t="s">
        <v>76</v>
      </c>
      <c r="Y989" t="s">
        <v>56</v>
      </c>
      <c r="Z989">
        <v>1017</v>
      </c>
      <c r="AA989">
        <v>57</v>
      </c>
      <c r="AB989">
        <v>160</v>
      </c>
      <c r="AC989" t="s">
        <v>7582</v>
      </c>
      <c r="AD989" t="s">
        <v>6136</v>
      </c>
      <c r="AE989" t="s">
        <v>3466</v>
      </c>
      <c r="AF989" t="s">
        <v>4728</v>
      </c>
      <c r="AG989" t="s">
        <v>4729</v>
      </c>
      <c r="AI989" t="s">
        <v>4730</v>
      </c>
      <c r="AJ989" s="2">
        <v>45849.959641203706</v>
      </c>
      <c r="AK989" t="s">
        <v>4725</v>
      </c>
      <c r="AL989" t="s">
        <v>65</v>
      </c>
      <c r="AM989" s="3">
        <v>1.25</v>
      </c>
      <c r="AN989" t="s">
        <v>66</v>
      </c>
      <c r="AO989" t="s">
        <v>67</v>
      </c>
    </row>
    <row r="990" spans="1:41" x14ac:dyDescent="0.2">
      <c r="A990">
        <v>359537</v>
      </c>
      <c r="B990" t="s">
        <v>7583</v>
      </c>
      <c r="C990" t="s">
        <v>788</v>
      </c>
      <c r="D990" t="s">
        <v>7584</v>
      </c>
      <c r="E990" t="s">
        <v>7585</v>
      </c>
      <c r="F990">
        <v>86201</v>
      </c>
      <c r="G990" s="1">
        <v>45392</v>
      </c>
      <c r="H990" s="1">
        <v>45393</v>
      </c>
      <c r="I990" s="1">
        <v>46127</v>
      </c>
      <c r="J990" t="s">
        <v>45</v>
      </c>
      <c r="K990" t="s">
        <v>45</v>
      </c>
      <c r="L990" t="s">
        <v>72</v>
      </c>
      <c r="N990" t="s">
        <v>89</v>
      </c>
      <c r="O990" t="s">
        <v>121</v>
      </c>
      <c r="P990" t="s">
        <v>49</v>
      </c>
      <c r="Q990" t="s">
        <v>7586</v>
      </c>
      <c r="R990" t="s">
        <v>7587</v>
      </c>
      <c r="S990">
        <v>15</v>
      </c>
      <c r="T990" t="s">
        <v>296</v>
      </c>
      <c r="U990" t="s">
        <v>3410</v>
      </c>
      <c r="V990" t="s">
        <v>3411</v>
      </c>
      <c r="W990" t="s">
        <v>299</v>
      </c>
      <c r="X990" t="s">
        <v>296</v>
      </c>
      <c r="Y990" t="s">
        <v>125</v>
      </c>
      <c r="Z990">
        <v>3346</v>
      </c>
      <c r="AA990">
        <v>33</v>
      </c>
      <c r="AB990">
        <v>45</v>
      </c>
      <c r="AC990" t="s">
        <v>3415</v>
      </c>
      <c r="AD990" t="s">
        <v>3416</v>
      </c>
      <c r="AE990" t="s">
        <v>3417</v>
      </c>
      <c r="AI990" t="s">
        <v>7588</v>
      </c>
      <c r="AJ990" s="2">
        <v>45394.491990740738</v>
      </c>
      <c r="AK990" t="s">
        <v>132</v>
      </c>
      <c r="AL990" t="s">
        <v>65</v>
      </c>
      <c r="AM990" s="4">
        <v>0.2361111111111111</v>
      </c>
      <c r="AN990" t="s">
        <v>66</v>
      </c>
      <c r="AO990" t="s">
        <v>101</v>
      </c>
    </row>
    <row r="991" spans="1:41" x14ac:dyDescent="0.2">
      <c r="A991">
        <v>370179</v>
      </c>
      <c r="B991" t="s">
        <v>7589</v>
      </c>
      <c r="C991" t="s">
        <v>167</v>
      </c>
      <c r="D991" t="s">
        <v>269</v>
      </c>
      <c r="E991" t="s">
        <v>7590</v>
      </c>
      <c r="F991">
        <v>352922</v>
      </c>
      <c r="G991" s="1">
        <v>38432</v>
      </c>
      <c r="H991" s="1">
        <v>45764</v>
      </c>
      <c r="I991" s="1">
        <v>46127</v>
      </c>
      <c r="J991" t="s">
        <v>45</v>
      </c>
      <c r="K991" t="s">
        <v>45</v>
      </c>
      <c r="L991" t="s">
        <v>72</v>
      </c>
      <c r="M991" s="1">
        <v>45007</v>
      </c>
      <c r="N991" t="s">
        <v>47</v>
      </c>
      <c r="O991" t="s">
        <v>48</v>
      </c>
      <c r="P991" t="s">
        <v>49</v>
      </c>
      <c r="Q991" t="s">
        <v>7591</v>
      </c>
      <c r="R991" t="s">
        <v>7592</v>
      </c>
      <c r="S991">
        <v>1543</v>
      </c>
      <c r="T991" t="s">
        <v>92</v>
      </c>
      <c r="U991" t="s">
        <v>3030</v>
      </c>
      <c r="V991" t="s">
        <v>3031</v>
      </c>
      <c r="W991" t="s">
        <v>3032</v>
      </c>
      <c r="X991" t="s">
        <v>52</v>
      </c>
      <c r="Y991" t="s">
        <v>110</v>
      </c>
      <c r="Z991">
        <v>2179</v>
      </c>
      <c r="AA991">
        <v>40</v>
      </c>
      <c r="AB991">
        <v>176</v>
      </c>
      <c r="AC991" t="s">
        <v>4847</v>
      </c>
      <c r="AD991" t="s">
        <v>4848</v>
      </c>
      <c r="AE991" t="s">
        <v>4849</v>
      </c>
      <c r="AF991" t="s">
        <v>4850</v>
      </c>
      <c r="AG991" t="s">
        <v>4851</v>
      </c>
      <c r="AH991" t="s">
        <v>4852</v>
      </c>
      <c r="AJ991" s="2">
        <v>45764.707951388889</v>
      </c>
      <c r="AK991" t="s">
        <v>4847</v>
      </c>
      <c r="AL991" t="s">
        <v>65</v>
      </c>
      <c r="AM991" s="4">
        <v>0.57638888888888884</v>
      </c>
      <c r="AN991" t="s">
        <v>66</v>
      </c>
      <c r="AO991" t="s">
        <v>67</v>
      </c>
    </row>
    <row r="992" spans="1:41" x14ac:dyDescent="0.2">
      <c r="A992">
        <v>371198</v>
      </c>
      <c r="B992" t="s">
        <v>7593</v>
      </c>
      <c r="C992" t="s">
        <v>134</v>
      </c>
      <c r="D992" t="s">
        <v>3560</v>
      </c>
      <c r="E992" t="s">
        <v>7594</v>
      </c>
      <c r="F992">
        <v>450105</v>
      </c>
      <c r="G992" s="1">
        <v>40668</v>
      </c>
      <c r="H992" s="1">
        <v>45764</v>
      </c>
      <c r="I992" s="1">
        <v>46157</v>
      </c>
      <c r="J992" t="s">
        <v>45</v>
      </c>
      <c r="K992" t="s">
        <v>326</v>
      </c>
      <c r="L992" t="s">
        <v>72</v>
      </c>
      <c r="M992" s="1">
        <v>45434</v>
      </c>
      <c r="N992" t="s">
        <v>47</v>
      </c>
      <c r="O992" t="s">
        <v>48</v>
      </c>
      <c r="P992" t="s">
        <v>49</v>
      </c>
      <c r="Q992" t="s">
        <v>7595</v>
      </c>
      <c r="R992" t="s">
        <v>7596</v>
      </c>
      <c r="S992">
        <v>303</v>
      </c>
      <c r="T992" t="s">
        <v>92</v>
      </c>
      <c r="U992" t="s">
        <v>139</v>
      </c>
      <c r="V992" t="s">
        <v>140</v>
      </c>
      <c r="W992" t="s">
        <v>141</v>
      </c>
      <c r="X992" t="s">
        <v>92</v>
      </c>
      <c r="Y992" t="s">
        <v>110</v>
      </c>
      <c r="Z992">
        <v>4486</v>
      </c>
      <c r="AA992">
        <v>23</v>
      </c>
      <c r="AB992">
        <v>160</v>
      </c>
      <c r="AC992" t="s">
        <v>3564</v>
      </c>
      <c r="AD992" t="s">
        <v>3565</v>
      </c>
      <c r="AE992" t="s">
        <v>3566</v>
      </c>
      <c r="AF992" t="s">
        <v>145</v>
      </c>
      <c r="AG992" t="s">
        <v>146</v>
      </c>
      <c r="AH992" t="s">
        <v>147</v>
      </c>
      <c r="AI992" t="s">
        <v>148</v>
      </c>
      <c r="AJ992" s="2">
        <v>45798.613553240742</v>
      </c>
      <c r="AK992" t="s">
        <v>3564</v>
      </c>
      <c r="AL992" t="s">
        <v>65</v>
      </c>
      <c r="AM992" s="3">
        <v>1.375</v>
      </c>
      <c r="AN992" t="s">
        <v>66</v>
      </c>
      <c r="AO992" t="s">
        <v>67</v>
      </c>
    </row>
    <row r="993" spans="1:41" x14ac:dyDescent="0.2">
      <c r="A993">
        <v>358565</v>
      </c>
      <c r="B993" t="s">
        <v>7597</v>
      </c>
      <c r="C993" t="s">
        <v>542</v>
      </c>
      <c r="D993" t="s">
        <v>7598</v>
      </c>
      <c r="E993" t="s">
        <v>7599</v>
      </c>
      <c r="F993">
        <v>360571</v>
      </c>
      <c r="G993" s="1">
        <v>43637</v>
      </c>
      <c r="H993" s="1">
        <v>45362</v>
      </c>
      <c r="J993" t="s">
        <v>45</v>
      </c>
      <c r="K993" t="s">
        <v>45</v>
      </c>
      <c r="L993" t="s">
        <v>72</v>
      </c>
      <c r="M993" s="1">
        <v>44574</v>
      </c>
      <c r="N993" t="s">
        <v>47</v>
      </c>
      <c r="O993" t="s">
        <v>48</v>
      </c>
      <c r="P993" t="s">
        <v>49</v>
      </c>
      <c r="Q993" t="s">
        <v>7600</v>
      </c>
      <c r="R993" t="s">
        <v>7601</v>
      </c>
      <c r="S993">
        <v>1002</v>
      </c>
      <c r="T993" t="s">
        <v>92</v>
      </c>
      <c r="U993" t="s">
        <v>1133</v>
      </c>
      <c r="V993" t="s">
        <v>1134</v>
      </c>
      <c r="W993" t="s">
        <v>1135</v>
      </c>
      <c r="X993" t="s">
        <v>92</v>
      </c>
      <c r="Y993" t="s">
        <v>770</v>
      </c>
      <c r="Z993">
        <v>10207</v>
      </c>
      <c r="AA993">
        <v>17</v>
      </c>
      <c r="AB993">
        <v>45</v>
      </c>
      <c r="AC993" t="s">
        <v>1136</v>
      </c>
      <c r="AD993" t="s">
        <v>1137</v>
      </c>
      <c r="AE993" t="s">
        <v>1138</v>
      </c>
      <c r="AI993" t="s">
        <v>1137</v>
      </c>
      <c r="AJ993" s="2">
        <v>45363.930671296293</v>
      </c>
      <c r="AK993" t="s">
        <v>1136</v>
      </c>
      <c r="AL993" t="s">
        <v>65</v>
      </c>
      <c r="AM993" s="3">
        <v>2.0555555555555554</v>
      </c>
      <c r="AN993" t="s">
        <v>66</v>
      </c>
      <c r="AO993" t="s">
        <v>101</v>
      </c>
    </row>
    <row r="994" spans="1:41" x14ac:dyDescent="0.2">
      <c r="A994">
        <v>371932</v>
      </c>
      <c r="B994" t="s">
        <v>7602</v>
      </c>
      <c r="C994" t="s">
        <v>735</v>
      </c>
      <c r="D994" t="s">
        <v>7603</v>
      </c>
      <c r="E994">
        <v>52102606</v>
      </c>
      <c r="F994">
        <v>240705</v>
      </c>
      <c r="G994" s="1">
        <v>38646</v>
      </c>
      <c r="H994" s="1">
        <v>45813</v>
      </c>
      <c r="I994" s="1">
        <v>46174</v>
      </c>
      <c r="J994" t="s">
        <v>45</v>
      </c>
      <c r="K994" t="s">
        <v>45</v>
      </c>
      <c r="L994" t="s">
        <v>429</v>
      </c>
      <c r="N994" t="s">
        <v>47</v>
      </c>
      <c r="O994" t="s">
        <v>48</v>
      </c>
      <c r="P994" t="s">
        <v>49</v>
      </c>
      <c r="Q994" t="s">
        <v>7604</v>
      </c>
      <c r="R994" t="s">
        <v>7605</v>
      </c>
      <c r="S994">
        <v>2665</v>
      </c>
      <c r="T994" t="s">
        <v>296</v>
      </c>
      <c r="U994" t="s">
        <v>1487</v>
      </c>
      <c r="V994" t="s">
        <v>7606</v>
      </c>
      <c r="W994" t="s">
        <v>299</v>
      </c>
      <c r="X994" t="s">
        <v>76</v>
      </c>
      <c r="Y994" t="s">
        <v>56</v>
      </c>
      <c r="Z994">
        <v>199</v>
      </c>
      <c r="AA994">
        <v>58</v>
      </c>
      <c r="AB994">
        <v>144</v>
      </c>
      <c r="AC994" t="s">
        <v>7607</v>
      </c>
      <c r="AD994" t="s">
        <v>7608</v>
      </c>
      <c r="AE994" t="s">
        <v>7609</v>
      </c>
      <c r="AI994" t="s">
        <v>1494</v>
      </c>
      <c r="AJ994" s="2">
        <v>45825.496481481481</v>
      </c>
      <c r="AK994" t="s">
        <v>132</v>
      </c>
      <c r="AL994" t="s">
        <v>65</v>
      </c>
      <c r="AM994" s="4">
        <v>0.77777777777777779</v>
      </c>
      <c r="AN994" t="s">
        <v>809</v>
      </c>
      <c r="AO994" t="s">
        <v>67</v>
      </c>
    </row>
    <row r="995" spans="1:41" x14ac:dyDescent="0.2">
      <c r="A995">
        <v>347677</v>
      </c>
      <c r="B995" t="s">
        <v>7610</v>
      </c>
      <c r="C995" t="s">
        <v>197</v>
      </c>
      <c r="E995" t="s">
        <v>7611</v>
      </c>
      <c r="G995" s="1">
        <v>39093</v>
      </c>
      <c r="H995" s="1">
        <v>45030</v>
      </c>
      <c r="J995" t="s">
        <v>72</v>
      </c>
      <c r="K995" t="s">
        <v>72</v>
      </c>
      <c r="L995" t="s">
        <v>72</v>
      </c>
      <c r="N995" t="s">
        <v>47</v>
      </c>
      <c r="O995" t="s">
        <v>48</v>
      </c>
      <c r="P995" t="s">
        <v>49</v>
      </c>
      <c r="Q995" t="s">
        <v>7612</v>
      </c>
      <c r="R995" t="s">
        <v>7613</v>
      </c>
      <c r="S995">
        <v>467</v>
      </c>
      <c r="T995" t="s">
        <v>1328</v>
      </c>
      <c r="U995" t="s">
        <v>3114</v>
      </c>
      <c r="V995" t="s">
        <v>7610</v>
      </c>
      <c r="W995" t="s">
        <v>3116</v>
      </c>
      <c r="X995" t="s">
        <v>1328</v>
      </c>
      <c r="Y995" t="s">
        <v>770</v>
      </c>
      <c r="Z995">
        <v>2910</v>
      </c>
      <c r="AA995">
        <v>13</v>
      </c>
      <c r="AB995">
        <v>145</v>
      </c>
      <c r="AC995" t="s">
        <v>7614</v>
      </c>
      <c r="AD995" t="s">
        <v>7615</v>
      </c>
      <c r="AE995" t="s">
        <v>7616</v>
      </c>
      <c r="AJ995" s="2">
        <v>45030.700995370367</v>
      </c>
      <c r="AK995" t="s">
        <v>526</v>
      </c>
      <c r="AL995" t="s">
        <v>475</v>
      </c>
      <c r="AM995" s="4">
        <v>0.43055555555555558</v>
      </c>
      <c r="AN995" t="s">
        <v>66</v>
      </c>
      <c r="AO995" t="s">
        <v>101</v>
      </c>
    </row>
    <row r="996" spans="1:41" x14ac:dyDescent="0.2">
      <c r="A996">
        <v>368401</v>
      </c>
      <c r="B996" t="s">
        <v>7617</v>
      </c>
      <c r="C996" t="s">
        <v>103</v>
      </c>
      <c r="D996" t="s">
        <v>584</v>
      </c>
      <c r="E996" s="5" t="s">
        <v>7618</v>
      </c>
      <c r="F996">
        <v>318503</v>
      </c>
      <c r="G996" s="1">
        <v>36560</v>
      </c>
      <c r="H996" s="1">
        <v>45331</v>
      </c>
      <c r="I996" s="1">
        <v>46327</v>
      </c>
      <c r="J996" t="s">
        <v>45</v>
      </c>
      <c r="K996" t="s">
        <v>45</v>
      </c>
      <c r="L996" t="s">
        <v>72</v>
      </c>
      <c r="M996" s="1">
        <v>43802</v>
      </c>
      <c r="N996" t="s">
        <v>47</v>
      </c>
      <c r="O996" t="s">
        <v>48</v>
      </c>
      <c r="P996" t="s">
        <v>49</v>
      </c>
      <c r="Q996" t="s">
        <v>7619</v>
      </c>
      <c r="R996" t="s">
        <v>7620</v>
      </c>
      <c r="S996">
        <v>453</v>
      </c>
      <c r="T996" t="s">
        <v>92</v>
      </c>
      <c r="U996" t="s">
        <v>107</v>
      </c>
      <c r="V996" t="s">
        <v>108</v>
      </c>
      <c r="W996" t="s">
        <v>109</v>
      </c>
      <c r="X996" t="s">
        <v>52</v>
      </c>
      <c r="Y996" t="s">
        <v>110</v>
      </c>
      <c r="Z996">
        <v>1688</v>
      </c>
      <c r="AA996">
        <v>61</v>
      </c>
      <c r="AB996">
        <v>80</v>
      </c>
      <c r="AC996" t="s">
        <v>7404</v>
      </c>
      <c r="AD996" t="s">
        <v>7405</v>
      </c>
      <c r="AE996" t="s">
        <v>7406</v>
      </c>
      <c r="AF996" t="s">
        <v>7621</v>
      </c>
      <c r="AG996" t="s">
        <v>7622</v>
      </c>
      <c r="AH996" t="s">
        <v>7406</v>
      </c>
      <c r="AI996" t="s">
        <v>7623</v>
      </c>
      <c r="AJ996" s="2">
        <v>45818.719537037039</v>
      </c>
      <c r="AK996" t="s">
        <v>100</v>
      </c>
      <c r="AL996" t="s">
        <v>65</v>
      </c>
      <c r="AM996" s="4">
        <v>0.58333333333333337</v>
      </c>
      <c r="AN996" t="s">
        <v>66</v>
      </c>
      <c r="AO996" t="s">
        <v>67</v>
      </c>
    </row>
    <row r="997" spans="1:41" x14ac:dyDescent="0.2">
      <c r="A997">
        <v>370451</v>
      </c>
      <c r="B997" t="s">
        <v>7624</v>
      </c>
      <c r="C997" t="s">
        <v>662</v>
      </c>
      <c r="D997" t="s">
        <v>7625</v>
      </c>
      <c r="E997" t="s">
        <v>7626</v>
      </c>
      <c r="F997">
        <v>417201</v>
      </c>
      <c r="G997" s="1">
        <v>38050</v>
      </c>
      <c r="H997" s="1">
        <v>45775</v>
      </c>
      <c r="I997" s="1">
        <v>46127</v>
      </c>
      <c r="J997" t="s">
        <v>45</v>
      </c>
      <c r="K997" t="s">
        <v>45</v>
      </c>
      <c r="L997" t="s">
        <v>72</v>
      </c>
      <c r="M997" s="1">
        <v>44504</v>
      </c>
      <c r="N997" t="s">
        <v>47</v>
      </c>
      <c r="O997" t="s">
        <v>48</v>
      </c>
      <c r="P997" t="s">
        <v>49</v>
      </c>
      <c r="Q997" t="s">
        <v>7627</v>
      </c>
      <c r="R997" t="s">
        <v>7628</v>
      </c>
      <c r="S997">
        <v>4764</v>
      </c>
      <c r="T997" t="s">
        <v>92</v>
      </c>
      <c r="U997" t="s">
        <v>1197</v>
      </c>
      <c r="V997" t="s">
        <v>1198</v>
      </c>
      <c r="W997" t="s">
        <v>1199</v>
      </c>
      <c r="X997" t="s">
        <v>52</v>
      </c>
      <c r="Y997" t="s">
        <v>110</v>
      </c>
      <c r="Z997">
        <v>2540</v>
      </c>
      <c r="AA997">
        <v>35</v>
      </c>
      <c r="AB997">
        <v>158</v>
      </c>
      <c r="AC997" t="s">
        <v>1200</v>
      </c>
      <c r="AD997" t="s">
        <v>1201</v>
      </c>
      <c r="AE997" t="s">
        <v>1202</v>
      </c>
      <c r="AF997" t="s">
        <v>4740</v>
      </c>
      <c r="AG997" t="s">
        <v>4741</v>
      </c>
      <c r="AH997" t="s">
        <v>4742</v>
      </c>
      <c r="AJ997" s="2">
        <v>45775.882418981484</v>
      </c>
      <c r="AK997" t="s">
        <v>650</v>
      </c>
      <c r="AL997" t="s">
        <v>65</v>
      </c>
      <c r="AM997" s="4">
        <v>0.15277777777777779</v>
      </c>
      <c r="AN997" t="s">
        <v>66</v>
      </c>
      <c r="AO997" t="s">
        <v>67</v>
      </c>
    </row>
    <row r="998" spans="1:41" x14ac:dyDescent="0.2">
      <c r="A998">
        <v>363292</v>
      </c>
      <c r="B998" t="s">
        <v>7629</v>
      </c>
      <c r="C998" t="s">
        <v>278</v>
      </c>
      <c r="D998" t="s">
        <v>6358</v>
      </c>
      <c r="E998" t="s">
        <v>7630</v>
      </c>
      <c r="F998">
        <v>421415</v>
      </c>
      <c r="G998" s="1">
        <v>37390</v>
      </c>
      <c r="H998" s="1">
        <v>45482</v>
      </c>
      <c r="I998" s="1">
        <v>46235</v>
      </c>
      <c r="J998" t="s">
        <v>45</v>
      </c>
      <c r="K998" t="s">
        <v>45</v>
      </c>
      <c r="L998" t="s">
        <v>72</v>
      </c>
      <c r="N998" t="s">
        <v>47</v>
      </c>
      <c r="O998" t="s">
        <v>48</v>
      </c>
      <c r="P998" t="s">
        <v>49</v>
      </c>
      <c r="Q998" t="s">
        <v>7631</v>
      </c>
      <c r="R998" t="s">
        <v>7632</v>
      </c>
      <c r="S998">
        <v>4928</v>
      </c>
      <c r="T998" t="s">
        <v>296</v>
      </c>
      <c r="U998" t="s">
        <v>297</v>
      </c>
      <c r="V998" t="s">
        <v>2783</v>
      </c>
      <c r="W998" t="s">
        <v>299</v>
      </c>
      <c r="X998" t="s">
        <v>55</v>
      </c>
      <c r="Y998" t="s">
        <v>56</v>
      </c>
      <c r="Z998">
        <v>2204</v>
      </c>
      <c r="AA998">
        <v>41</v>
      </c>
      <c r="AB998">
        <v>158</v>
      </c>
      <c r="AC998" t="s">
        <v>2784</v>
      </c>
      <c r="AD998" t="s">
        <v>2785</v>
      </c>
      <c r="AE998" t="s">
        <v>2786</v>
      </c>
      <c r="AF998" t="s">
        <v>2787</v>
      </c>
      <c r="AG998" t="s">
        <v>2788</v>
      </c>
      <c r="AH998" t="s">
        <v>2789</v>
      </c>
      <c r="AI998" t="s">
        <v>306</v>
      </c>
      <c r="AJ998" s="2">
        <v>45509.773518518516</v>
      </c>
      <c r="AK998" t="s">
        <v>609</v>
      </c>
      <c r="AL998" t="s">
        <v>65</v>
      </c>
      <c r="AM998" s="3">
        <v>1.3125</v>
      </c>
      <c r="AN998" t="s">
        <v>66</v>
      </c>
      <c r="AO998" t="s">
        <v>67</v>
      </c>
    </row>
    <row r="999" spans="1:41" x14ac:dyDescent="0.2">
      <c r="A999">
        <v>364839</v>
      </c>
      <c r="B999" t="s">
        <v>7633</v>
      </c>
      <c r="C999" t="s">
        <v>197</v>
      </c>
      <c r="D999" t="s">
        <v>7634</v>
      </c>
      <c r="E999" t="s">
        <v>7635</v>
      </c>
      <c r="F999">
        <v>93801</v>
      </c>
      <c r="G999" s="1">
        <v>43140</v>
      </c>
      <c r="H999" s="1">
        <v>45315</v>
      </c>
      <c r="J999" t="s">
        <v>45</v>
      </c>
      <c r="K999" t="s">
        <v>45</v>
      </c>
      <c r="L999" t="s">
        <v>72</v>
      </c>
      <c r="N999" t="s">
        <v>47</v>
      </c>
      <c r="O999" t="s">
        <v>48</v>
      </c>
      <c r="P999" t="s">
        <v>586</v>
      </c>
      <c r="Q999" t="s">
        <v>7636</v>
      </c>
      <c r="R999" t="s">
        <v>7637</v>
      </c>
      <c r="S999">
        <v>477</v>
      </c>
      <c r="T999" t="s">
        <v>1328</v>
      </c>
      <c r="U999" t="s">
        <v>3114</v>
      </c>
      <c r="V999" t="s">
        <v>7638</v>
      </c>
      <c r="W999" t="s">
        <v>7639</v>
      </c>
      <c r="X999" t="s">
        <v>1328</v>
      </c>
      <c r="Y999" t="s">
        <v>450</v>
      </c>
      <c r="Z999">
        <v>2645</v>
      </c>
      <c r="AA999">
        <v>20</v>
      </c>
      <c r="AB999">
        <v>45</v>
      </c>
      <c r="AC999" t="s">
        <v>7640</v>
      </c>
      <c r="AD999" t="s">
        <v>7641</v>
      </c>
      <c r="AE999" t="s">
        <v>7642</v>
      </c>
      <c r="AJ999" s="2">
        <v>45561.60733796296</v>
      </c>
      <c r="AK999" t="s">
        <v>132</v>
      </c>
      <c r="AL999" t="s">
        <v>65</v>
      </c>
      <c r="AM999" s="4">
        <v>7.6388888888888895E-2</v>
      </c>
      <c r="AN999" t="s">
        <v>66</v>
      </c>
      <c r="AO999" t="s">
        <v>101</v>
      </c>
    </row>
    <row r="1000" spans="1:41" x14ac:dyDescent="0.2">
      <c r="A1000">
        <v>366221</v>
      </c>
      <c r="B1000" t="s">
        <v>7643</v>
      </c>
      <c r="C1000" t="s">
        <v>662</v>
      </c>
      <c r="D1000" t="s">
        <v>7644</v>
      </c>
      <c r="E1000" t="s">
        <v>7645</v>
      </c>
      <c r="F1000">
        <v>419804</v>
      </c>
      <c r="G1000" s="1">
        <v>44546</v>
      </c>
      <c r="H1000" s="1">
        <v>45449</v>
      </c>
      <c r="J1000" t="s">
        <v>45</v>
      </c>
      <c r="K1000" t="s">
        <v>45</v>
      </c>
      <c r="L1000" t="s">
        <v>72</v>
      </c>
      <c r="N1000" t="s">
        <v>47</v>
      </c>
      <c r="O1000" t="s">
        <v>48</v>
      </c>
      <c r="P1000" t="s">
        <v>49</v>
      </c>
      <c r="Q1000" t="s">
        <v>7646</v>
      </c>
      <c r="R1000" t="s">
        <v>7647</v>
      </c>
      <c r="S1000">
        <v>1024</v>
      </c>
      <c r="T1000" t="s">
        <v>1328</v>
      </c>
      <c r="U1000" t="s">
        <v>3114</v>
      </c>
      <c r="V1000" t="s">
        <v>7648</v>
      </c>
      <c r="W1000" t="s">
        <v>3116</v>
      </c>
      <c r="X1000" t="s">
        <v>1328</v>
      </c>
      <c r="Y1000" t="s">
        <v>96</v>
      </c>
      <c r="Z1000">
        <v>12007</v>
      </c>
      <c r="AA1000">
        <v>17</v>
      </c>
      <c r="AB1000">
        <v>189</v>
      </c>
      <c r="AC1000" t="s">
        <v>7649</v>
      </c>
      <c r="AD1000" t="s">
        <v>7650</v>
      </c>
      <c r="AE1000" t="s">
        <v>7651</v>
      </c>
      <c r="AF1000" t="s">
        <v>7652</v>
      </c>
      <c r="AG1000" t="s">
        <v>7653</v>
      </c>
      <c r="AH1000" t="s">
        <v>7654</v>
      </c>
      <c r="AI1000" t="s">
        <v>1238</v>
      </c>
      <c r="AJ1000" s="2">
        <v>45609.804247685184</v>
      </c>
      <c r="AK1000" t="s">
        <v>7649</v>
      </c>
      <c r="AL1000" t="s">
        <v>65</v>
      </c>
      <c r="AM1000" s="3">
        <v>1.5381944444444444</v>
      </c>
      <c r="AN1000" t="s">
        <v>66</v>
      </c>
      <c r="AO1000" t="s">
        <v>67</v>
      </c>
    </row>
    <row r="1001" spans="1:41" x14ac:dyDescent="0.2">
      <c r="A1001">
        <v>364965</v>
      </c>
      <c r="B1001" t="s">
        <v>7655</v>
      </c>
      <c r="C1001" t="s">
        <v>735</v>
      </c>
      <c r="D1001" t="s">
        <v>1118</v>
      </c>
      <c r="E1001" t="s">
        <v>7656</v>
      </c>
      <c r="F1001">
        <v>245201</v>
      </c>
      <c r="G1001" s="1">
        <v>32072</v>
      </c>
      <c r="H1001" s="1">
        <v>45559</v>
      </c>
      <c r="I1001" s="1">
        <v>46280</v>
      </c>
      <c r="J1001" t="s">
        <v>45</v>
      </c>
      <c r="K1001" t="s">
        <v>45</v>
      </c>
      <c r="L1001" t="s">
        <v>429</v>
      </c>
      <c r="M1001" s="1">
        <v>43698</v>
      </c>
      <c r="N1001" t="s">
        <v>47</v>
      </c>
      <c r="O1001" t="s">
        <v>48</v>
      </c>
      <c r="P1001" t="s">
        <v>49</v>
      </c>
      <c r="Q1001" t="s">
        <v>7657</v>
      </c>
      <c r="R1001" t="s">
        <v>7658</v>
      </c>
      <c r="S1001">
        <v>3444</v>
      </c>
      <c r="T1001" t="s">
        <v>365</v>
      </c>
      <c r="U1001" t="s">
        <v>969</v>
      </c>
      <c r="V1001" t="s">
        <v>2473</v>
      </c>
      <c r="W1001" t="s">
        <v>367</v>
      </c>
      <c r="X1001" t="s">
        <v>76</v>
      </c>
      <c r="Y1001" t="s">
        <v>434</v>
      </c>
      <c r="Z1001">
        <v>211</v>
      </c>
      <c r="AA1001">
        <v>63</v>
      </c>
      <c r="AB1001">
        <v>38</v>
      </c>
      <c r="AC1001" t="s">
        <v>2474</v>
      </c>
      <c r="AD1001" t="s">
        <v>2475</v>
      </c>
      <c r="AE1001" t="s">
        <v>2477</v>
      </c>
      <c r="AF1001" t="s">
        <v>2474</v>
      </c>
      <c r="AH1001" t="s">
        <v>2476</v>
      </c>
      <c r="AI1001" t="s">
        <v>179</v>
      </c>
      <c r="AJ1001" s="2">
        <v>45566.526388888888</v>
      </c>
      <c r="AK1001" t="s">
        <v>568</v>
      </c>
      <c r="AL1001" t="s">
        <v>65</v>
      </c>
      <c r="AM1001" s="3">
        <v>1.125</v>
      </c>
      <c r="AN1001" t="s">
        <v>66</v>
      </c>
      <c r="AO1001" t="s">
        <v>67</v>
      </c>
    </row>
    <row r="1002" spans="1:41" x14ac:dyDescent="0.2">
      <c r="A1002">
        <v>369569</v>
      </c>
      <c r="B1002" t="s">
        <v>7659</v>
      </c>
      <c r="C1002" t="s">
        <v>182</v>
      </c>
      <c r="D1002" t="s">
        <v>1026</v>
      </c>
      <c r="E1002" t="s">
        <v>7660</v>
      </c>
      <c r="F1002">
        <v>44317</v>
      </c>
      <c r="G1002" s="1">
        <v>37050</v>
      </c>
      <c r="H1002" s="1">
        <v>45742</v>
      </c>
      <c r="I1002" s="1">
        <v>46113</v>
      </c>
      <c r="J1002" t="s">
        <v>45</v>
      </c>
      <c r="K1002" t="s">
        <v>45</v>
      </c>
      <c r="L1002" t="s">
        <v>429</v>
      </c>
      <c r="M1002" s="1">
        <v>41023</v>
      </c>
      <c r="N1002" t="s">
        <v>47</v>
      </c>
      <c r="O1002" t="s">
        <v>48</v>
      </c>
      <c r="P1002" t="s">
        <v>49</v>
      </c>
      <c r="Q1002" t="s">
        <v>7661</v>
      </c>
      <c r="R1002" t="s">
        <v>7662</v>
      </c>
      <c r="S1002">
        <v>1116</v>
      </c>
      <c r="T1002" t="s">
        <v>52</v>
      </c>
      <c r="U1002">
        <v>5</v>
      </c>
      <c r="V1002" t="s">
        <v>1030</v>
      </c>
      <c r="W1002" t="s">
        <v>54</v>
      </c>
      <c r="X1002" t="s">
        <v>493</v>
      </c>
      <c r="Y1002" t="s">
        <v>434</v>
      </c>
      <c r="Z1002">
        <v>1858</v>
      </c>
      <c r="AA1002">
        <v>52</v>
      </c>
      <c r="AB1002">
        <v>28</v>
      </c>
      <c r="AC1002" t="s">
        <v>7663</v>
      </c>
      <c r="AD1002" t="s">
        <v>7664</v>
      </c>
      <c r="AE1002" t="s">
        <v>7665</v>
      </c>
      <c r="AF1002" t="s">
        <v>7666</v>
      </c>
      <c r="AG1002" t="s">
        <v>7667</v>
      </c>
      <c r="AH1002" t="s">
        <v>7665</v>
      </c>
      <c r="AI1002" t="s">
        <v>4396</v>
      </c>
      <c r="AJ1002" s="2">
        <v>45743.960335648146</v>
      </c>
      <c r="AK1002" t="s">
        <v>1472</v>
      </c>
      <c r="AL1002" t="s">
        <v>65</v>
      </c>
      <c r="AM1002" s="3">
        <v>1.0486111111111112</v>
      </c>
      <c r="AN1002" t="s">
        <v>66</v>
      </c>
      <c r="AO1002" t="s">
        <v>67</v>
      </c>
    </row>
    <row r="1003" spans="1:41" x14ac:dyDescent="0.2">
      <c r="A1003">
        <v>373038</v>
      </c>
      <c r="B1003" t="s">
        <v>7668</v>
      </c>
      <c r="C1003" t="s">
        <v>1565</v>
      </c>
      <c r="D1003" t="s">
        <v>7669</v>
      </c>
      <c r="E1003" t="s">
        <v>7670</v>
      </c>
      <c r="F1003">
        <v>393801</v>
      </c>
      <c r="G1003" s="1">
        <v>37803</v>
      </c>
      <c r="H1003" s="1">
        <v>45520</v>
      </c>
      <c r="I1003" s="1">
        <v>46266</v>
      </c>
      <c r="J1003" t="s">
        <v>45</v>
      </c>
      <c r="K1003" t="s">
        <v>45</v>
      </c>
      <c r="L1003" t="s">
        <v>429</v>
      </c>
      <c r="M1003" s="1">
        <v>45028</v>
      </c>
      <c r="N1003" t="s">
        <v>47</v>
      </c>
      <c r="O1003" t="s">
        <v>48</v>
      </c>
      <c r="P1003" t="s">
        <v>49</v>
      </c>
      <c r="Q1003" t="s">
        <v>7671</v>
      </c>
      <c r="R1003" t="s">
        <v>7672</v>
      </c>
      <c r="S1003">
        <v>2274</v>
      </c>
      <c r="T1003" t="s">
        <v>52</v>
      </c>
      <c r="U1003">
        <v>2</v>
      </c>
      <c r="V1003" t="s">
        <v>2204</v>
      </c>
      <c r="W1003" t="s">
        <v>54</v>
      </c>
      <c r="X1003" t="s">
        <v>76</v>
      </c>
      <c r="Y1003" t="s">
        <v>56</v>
      </c>
      <c r="Z1003">
        <v>2321</v>
      </c>
      <c r="AA1003">
        <v>46</v>
      </c>
      <c r="AB1003">
        <v>160</v>
      </c>
      <c r="AC1003" t="s">
        <v>7673</v>
      </c>
      <c r="AD1003" t="s">
        <v>7674</v>
      </c>
      <c r="AE1003" t="s">
        <v>7675</v>
      </c>
      <c r="AF1003" t="s">
        <v>1570</v>
      </c>
      <c r="AG1003" t="s">
        <v>1571</v>
      </c>
      <c r="AH1003" t="s">
        <v>1572</v>
      </c>
      <c r="AI1003" t="s">
        <v>2208</v>
      </c>
      <c r="AJ1003" s="2">
        <v>45856.048506944448</v>
      </c>
      <c r="AK1003" t="s">
        <v>556</v>
      </c>
      <c r="AL1003" t="s">
        <v>65</v>
      </c>
      <c r="AM1003" s="3">
        <v>2.4930555555555554</v>
      </c>
      <c r="AN1003" t="s">
        <v>66</v>
      </c>
      <c r="AO1003" t="s">
        <v>67</v>
      </c>
    </row>
    <row r="1004" spans="1:41" x14ac:dyDescent="0.2">
      <c r="A1004">
        <v>371531</v>
      </c>
      <c r="B1004" t="s">
        <v>7676</v>
      </c>
      <c r="C1004" t="s">
        <v>167</v>
      </c>
      <c r="D1004" t="s">
        <v>1628</v>
      </c>
      <c r="E1004" t="s">
        <v>7677</v>
      </c>
      <c r="F1004">
        <v>353406</v>
      </c>
      <c r="G1004" s="1">
        <v>35857</v>
      </c>
      <c r="H1004" s="1">
        <v>45813</v>
      </c>
      <c r="I1004" s="1">
        <v>46143</v>
      </c>
      <c r="J1004" t="s">
        <v>45</v>
      </c>
      <c r="K1004" t="s">
        <v>45</v>
      </c>
      <c r="L1004" t="s">
        <v>429</v>
      </c>
      <c r="M1004" s="1">
        <v>42585</v>
      </c>
      <c r="N1004" t="s">
        <v>47</v>
      </c>
      <c r="O1004" t="s">
        <v>48</v>
      </c>
      <c r="P1004" t="s">
        <v>49</v>
      </c>
      <c r="Q1004" t="s">
        <v>7678</v>
      </c>
      <c r="R1004" t="s">
        <v>7679</v>
      </c>
      <c r="S1004">
        <v>4413</v>
      </c>
      <c r="T1004" t="s">
        <v>365</v>
      </c>
      <c r="U1004" t="s">
        <v>562</v>
      </c>
      <c r="V1004" t="s">
        <v>5324</v>
      </c>
      <c r="W1004" t="s">
        <v>367</v>
      </c>
      <c r="X1004" t="s">
        <v>76</v>
      </c>
      <c r="Y1004" t="s">
        <v>434</v>
      </c>
      <c r="Z1004">
        <v>305</v>
      </c>
      <c r="AA1004">
        <v>53</v>
      </c>
      <c r="AB1004">
        <v>166</v>
      </c>
      <c r="AC1004" t="s">
        <v>4117</v>
      </c>
      <c r="AD1004" t="s">
        <v>4118</v>
      </c>
      <c r="AE1004" t="s">
        <v>4119</v>
      </c>
      <c r="AF1004" t="s">
        <v>4120</v>
      </c>
      <c r="AG1004" t="s">
        <v>4121</v>
      </c>
      <c r="AH1004" t="s">
        <v>4122</v>
      </c>
      <c r="AI1004" t="s">
        <v>500</v>
      </c>
      <c r="AJ1004" s="2">
        <v>45814.615902777776</v>
      </c>
      <c r="AK1004" t="s">
        <v>1999</v>
      </c>
      <c r="AL1004" t="s">
        <v>65</v>
      </c>
      <c r="AM1004" s="3">
        <v>1.8888888888888888</v>
      </c>
      <c r="AN1004" t="s">
        <v>66</v>
      </c>
      <c r="AO1004" t="s">
        <v>67</v>
      </c>
    </row>
    <row r="1005" spans="1:41" x14ac:dyDescent="0.2">
      <c r="A1005">
        <v>369123</v>
      </c>
      <c r="B1005" t="s">
        <v>7680</v>
      </c>
      <c r="C1005" t="s">
        <v>831</v>
      </c>
      <c r="D1005" t="s">
        <v>7681</v>
      </c>
      <c r="E1005" t="s">
        <v>7682</v>
      </c>
      <c r="F1005">
        <v>440402</v>
      </c>
      <c r="G1005" s="1">
        <v>38806</v>
      </c>
      <c r="H1005" s="1">
        <v>45722</v>
      </c>
      <c r="I1005" s="1">
        <v>46096</v>
      </c>
      <c r="J1005" t="s">
        <v>45</v>
      </c>
      <c r="K1005" t="s">
        <v>45</v>
      </c>
      <c r="L1005" t="s">
        <v>46</v>
      </c>
      <c r="M1005" s="1">
        <v>43213</v>
      </c>
      <c r="N1005" t="s">
        <v>47</v>
      </c>
      <c r="O1005" t="s">
        <v>48</v>
      </c>
      <c r="P1005" t="s">
        <v>49</v>
      </c>
      <c r="Q1005" t="s">
        <v>7683</v>
      </c>
      <c r="R1005" t="s">
        <v>7684</v>
      </c>
      <c r="S1005">
        <v>800</v>
      </c>
      <c r="T1005" t="s">
        <v>52</v>
      </c>
      <c r="U1005">
        <v>8</v>
      </c>
      <c r="V1005" t="s">
        <v>4806</v>
      </c>
      <c r="W1005" t="s">
        <v>54</v>
      </c>
      <c r="X1005" t="s">
        <v>76</v>
      </c>
      <c r="Y1005" t="s">
        <v>56</v>
      </c>
      <c r="Z1005">
        <v>1058</v>
      </c>
      <c r="AA1005">
        <v>44</v>
      </c>
      <c r="AB1005">
        <v>37</v>
      </c>
      <c r="AC1005" t="s">
        <v>7685</v>
      </c>
      <c r="AD1005" t="s">
        <v>7686</v>
      </c>
      <c r="AE1005" t="s">
        <v>7687</v>
      </c>
      <c r="AF1005" t="s">
        <v>7688</v>
      </c>
      <c r="AG1005" t="s">
        <v>7689</v>
      </c>
      <c r="AH1005" t="s">
        <v>7687</v>
      </c>
      <c r="AJ1005" s="2">
        <v>45727.638807870368</v>
      </c>
      <c r="AK1005" t="s">
        <v>2517</v>
      </c>
      <c r="AL1005" t="s">
        <v>65</v>
      </c>
      <c r="AM1005" s="3">
        <v>1.3576388888888888</v>
      </c>
      <c r="AN1005" t="s">
        <v>66</v>
      </c>
      <c r="AO1005" t="s">
        <v>101</v>
      </c>
    </row>
    <row r="1006" spans="1:41" x14ac:dyDescent="0.2">
      <c r="A1006">
        <v>369228</v>
      </c>
      <c r="B1006" t="s">
        <v>7690</v>
      </c>
      <c r="C1006" t="s">
        <v>118</v>
      </c>
      <c r="D1006" t="s">
        <v>1579</v>
      </c>
      <c r="E1006">
        <v>32917156</v>
      </c>
      <c r="F1006">
        <v>20102</v>
      </c>
      <c r="G1006" s="1">
        <v>40501</v>
      </c>
      <c r="H1006" s="1">
        <v>45728</v>
      </c>
      <c r="I1006" s="1">
        <v>46068</v>
      </c>
      <c r="J1006" t="s">
        <v>45</v>
      </c>
      <c r="K1006" t="s">
        <v>45</v>
      </c>
      <c r="L1006" t="s">
        <v>46</v>
      </c>
      <c r="M1006" s="1">
        <v>45728</v>
      </c>
      <c r="N1006" t="s">
        <v>47</v>
      </c>
      <c r="O1006" t="s">
        <v>48</v>
      </c>
      <c r="P1006" t="s">
        <v>49</v>
      </c>
      <c r="Q1006" t="s">
        <v>7691</v>
      </c>
      <c r="R1006" t="s">
        <v>7692</v>
      </c>
      <c r="S1006">
        <v>185</v>
      </c>
      <c r="T1006" t="s">
        <v>296</v>
      </c>
      <c r="U1006" t="s">
        <v>297</v>
      </c>
      <c r="V1006" t="s">
        <v>7693</v>
      </c>
      <c r="W1006" t="s">
        <v>299</v>
      </c>
      <c r="X1006" t="s">
        <v>55</v>
      </c>
      <c r="Y1006" t="s">
        <v>56</v>
      </c>
      <c r="Z1006">
        <v>4046</v>
      </c>
      <c r="AA1006">
        <v>30</v>
      </c>
      <c r="AB1006">
        <v>160</v>
      </c>
      <c r="AC1006" t="s">
        <v>7694</v>
      </c>
      <c r="AD1006" t="s">
        <v>7695</v>
      </c>
      <c r="AE1006" t="s">
        <v>7696</v>
      </c>
      <c r="AF1006" t="s">
        <v>303</v>
      </c>
      <c r="AG1006" t="s">
        <v>304</v>
      </c>
      <c r="AH1006" t="s">
        <v>305</v>
      </c>
      <c r="AI1006" t="s">
        <v>306</v>
      </c>
      <c r="AJ1006" s="2">
        <v>45729.665625000001</v>
      </c>
      <c r="AK1006" t="s">
        <v>307</v>
      </c>
      <c r="AL1006" t="s">
        <v>65</v>
      </c>
      <c r="AM1006" s="4">
        <v>0.67361111111111116</v>
      </c>
      <c r="AN1006" t="s">
        <v>66</v>
      </c>
      <c r="AO1006" t="s">
        <v>67</v>
      </c>
    </row>
    <row r="1007" spans="1:41" x14ac:dyDescent="0.2">
      <c r="A1007">
        <v>371288</v>
      </c>
      <c r="B1007" t="s">
        <v>7697</v>
      </c>
      <c r="C1007" t="s">
        <v>167</v>
      </c>
      <c r="D1007" t="s">
        <v>570</v>
      </c>
      <c r="E1007">
        <v>32653572</v>
      </c>
      <c r="F1007">
        <v>353525</v>
      </c>
      <c r="G1007" s="1">
        <v>34464</v>
      </c>
      <c r="H1007" s="1">
        <v>45797</v>
      </c>
      <c r="I1007" s="1">
        <v>46157</v>
      </c>
      <c r="J1007" t="s">
        <v>45</v>
      </c>
      <c r="K1007" t="s">
        <v>45</v>
      </c>
      <c r="L1007" t="s">
        <v>429</v>
      </c>
      <c r="M1007" s="1">
        <v>42066</v>
      </c>
      <c r="N1007" t="s">
        <v>47</v>
      </c>
      <c r="O1007" t="s">
        <v>48</v>
      </c>
      <c r="P1007" t="s">
        <v>49</v>
      </c>
      <c r="Q1007" t="s">
        <v>7698</v>
      </c>
      <c r="R1007" t="s">
        <v>7699</v>
      </c>
      <c r="S1007">
        <v>5000</v>
      </c>
      <c r="T1007" t="s">
        <v>365</v>
      </c>
      <c r="U1007" t="s">
        <v>532</v>
      </c>
      <c r="V1007" t="s">
        <v>1611</v>
      </c>
      <c r="W1007" t="s">
        <v>367</v>
      </c>
      <c r="X1007" t="s">
        <v>76</v>
      </c>
      <c r="Y1007" t="s">
        <v>434</v>
      </c>
      <c r="Z1007">
        <v>287</v>
      </c>
      <c r="AA1007">
        <v>65</v>
      </c>
      <c r="AB1007">
        <v>66</v>
      </c>
      <c r="AC1007" t="s">
        <v>575</v>
      </c>
      <c r="AD1007" t="s">
        <v>576</v>
      </c>
      <c r="AE1007" t="s">
        <v>577</v>
      </c>
      <c r="AF1007" t="s">
        <v>1612</v>
      </c>
      <c r="AG1007" t="s">
        <v>1613</v>
      </c>
      <c r="AI1007" t="s">
        <v>179</v>
      </c>
      <c r="AJ1007" s="2">
        <v>45804.679895833331</v>
      </c>
      <c r="AK1007" t="s">
        <v>568</v>
      </c>
      <c r="AL1007" t="s">
        <v>65</v>
      </c>
      <c r="AM1007" s="3">
        <v>2.3819444444444446</v>
      </c>
      <c r="AN1007" t="s">
        <v>66</v>
      </c>
      <c r="AO1007" t="s">
        <v>67</v>
      </c>
    </row>
    <row r="1008" spans="1:41" x14ac:dyDescent="0.2">
      <c r="A1008">
        <v>369532</v>
      </c>
      <c r="B1008" t="s">
        <v>7700</v>
      </c>
      <c r="C1008" t="s">
        <v>182</v>
      </c>
      <c r="D1008" t="s">
        <v>1086</v>
      </c>
      <c r="E1008" t="s">
        <v>7701</v>
      </c>
      <c r="F1008">
        <v>44731</v>
      </c>
      <c r="G1008" s="1">
        <v>33270</v>
      </c>
      <c r="H1008" s="1">
        <v>45740</v>
      </c>
      <c r="J1008" t="s">
        <v>45</v>
      </c>
      <c r="K1008" t="s">
        <v>45</v>
      </c>
      <c r="L1008" t="s">
        <v>72</v>
      </c>
      <c r="M1008" s="1">
        <v>39274</v>
      </c>
      <c r="N1008" t="s">
        <v>47</v>
      </c>
      <c r="O1008" t="s">
        <v>48</v>
      </c>
      <c r="P1008" t="s">
        <v>49</v>
      </c>
      <c r="Q1008" t="s">
        <v>7702</v>
      </c>
      <c r="R1008" t="s">
        <v>7703</v>
      </c>
      <c r="S1008">
        <v>794</v>
      </c>
      <c r="T1008" t="s">
        <v>92</v>
      </c>
      <c r="U1008" t="s">
        <v>187</v>
      </c>
      <c r="V1008" t="s">
        <v>447</v>
      </c>
      <c r="W1008" t="s">
        <v>448</v>
      </c>
      <c r="X1008" t="s">
        <v>92</v>
      </c>
      <c r="Y1008" t="s">
        <v>450</v>
      </c>
      <c r="Z1008">
        <v>1236</v>
      </c>
      <c r="AA1008">
        <v>47</v>
      </c>
      <c r="AB1008">
        <v>152</v>
      </c>
      <c r="AC1008" t="s">
        <v>451</v>
      </c>
      <c r="AD1008" t="s">
        <v>452</v>
      </c>
      <c r="AE1008" t="s">
        <v>453</v>
      </c>
      <c r="AF1008" t="s">
        <v>454</v>
      </c>
      <c r="AG1008" t="s">
        <v>473</v>
      </c>
      <c r="AH1008" t="s">
        <v>474</v>
      </c>
      <c r="AJ1008" s="2">
        <v>45743.636296296296</v>
      </c>
      <c r="AK1008" t="s">
        <v>526</v>
      </c>
      <c r="AL1008" t="s">
        <v>65</v>
      </c>
      <c r="AM1008" s="4">
        <v>3.4722222222222224E-2</v>
      </c>
      <c r="AN1008" t="s">
        <v>66</v>
      </c>
      <c r="AO1008" t="s">
        <v>67</v>
      </c>
    </row>
    <row r="1009" spans="1:41" x14ac:dyDescent="0.2">
      <c r="A1009">
        <v>372379</v>
      </c>
      <c r="B1009" t="s">
        <v>7704</v>
      </c>
      <c r="C1009" t="s">
        <v>345</v>
      </c>
      <c r="D1009" t="s">
        <v>1927</v>
      </c>
      <c r="E1009" t="s">
        <v>7705</v>
      </c>
      <c r="F1009">
        <v>53903</v>
      </c>
      <c r="G1009" s="1">
        <v>40150</v>
      </c>
      <c r="H1009" s="1">
        <v>45833</v>
      </c>
      <c r="I1009" s="1">
        <v>46143</v>
      </c>
      <c r="J1009" t="s">
        <v>45</v>
      </c>
      <c r="K1009" t="s">
        <v>45</v>
      </c>
      <c r="L1009" t="s">
        <v>46</v>
      </c>
      <c r="N1009" t="s">
        <v>47</v>
      </c>
      <c r="O1009" t="s">
        <v>48</v>
      </c>
      <c r="P1009" t="s">
        <v>49</v>
      </c>
      <c r="Q1009" t="s">
        <v>7706</v>
      </c>
      <c r="R1009" t="s">
        <v>7707</v>
      </c>
      <c r="S1009">
        <v>6332</v>
      </c>
      <c r="T1009" t="s">
        <v>365</v>
      </c>
      <c r="U1009" t="s">
        <v>432</v>
      </c>
      <c r="V1009" t="s">
        <v>4651</v>
      </c>
      <c r="W1009" t="s">
        <v>367</v>
      </c>
      <c r="X1009" t="s">
        <v>55</v>
      </c>
      <c r="Y1009" t="s">
        <v>434</v>
      </c>
      <c r="Z1009">
        <v>3088</v>
      </c>
      <c r="AA1009">
        <v>39</v>
      </c>
      <c r="AB1009">
        <v>80</v>
      </c>
      <c r="AC1009" t="s">
        <v>4652</v>
      </c>
      <c r="AD1009" t="s">
        <v>4653</v>
      </c>
      <c r="AE1009" t="s">
        <v>5528</v>
      </c>
      <c r="AI1009" t="s">
        <v>7708</v>
      </c>
      <c r="AJ1009" s="2">
        <v>45838.815104166664</v>
      </c>
      <c r="AK1009" t="s">
        <v>609</v>
      </c>
      <c r="AL1009" t="s">
        <v>65</v>
      </c>
      <c r="AM1009" s="3">
        <v>1.6111111111111112</v>
      </c>
      <c r="AN1009" t="s">
        <v>66</v>
      </c>
      <c r="AO1009" t="s">
        <v>67</v>
      </c>
    </row>
    <row r="1010" spans="1:41" x14ac:dyDescent="0.2">
      <c r="A1010">
        <v>339360</v>
      </c>
      <c r="B1010" t="s">
        <v>7709</v>
      </c>
      <c r="C1010" t="s">
        <v>278</v>
      </c>
      <c r="D1010" t="s">
        <v>2210</v>
      </c>
      <c r="E1010" t="s">
        <v>7710</v>
      </c>
      <c r="G1010" s="1">
        <v>43272</v>
      </c>
      <c r="H1010" s="1">
        <v>43272</v>
      </c>
      <c r="J1010" t="s">
        <v>326</v>
      </c>
      <c r="K1010" t="s">
        <v>45</v>
      </c>
      <c r="L1010" t="s">
        <v>72</v>
      </c>
      <c r="N1010" t="s">
        <v>89</v>
      </c>
      <c r="O1010" t="s">
        <v>48</v>
      </c>
      <c r="P1010" t="s">
        <v>1752</v>
      </c>
      <c r="Q1010" t="s">
        <v>7711</v>
      </c>
      <c r="R1010" t="s">
        <v>7712</v>
      </c>
      <c r="S1010">
        <v>6083</v>
      </c>
      <c r="T1010" t="s">
        <v>365</v>
      </c>
      <c r="U1010" t="s">
        <v>432</v>
      </c>
      <c r="V1010" t="s">
        <v>6141</v>
      </c>
      <c r="W1010" t="s">
        <v>409</v>
      </c>
      <c r="X1010" t="s">
        <v>76</v>
      </c>
      <c r="Y1010" t="s">
        <v>642</v>
      </c>
      <c r="Z1010">
        <v>9626</v>
      </c>
      <c r="AA1010">
        <v>10</v>
      </c>
      <c r="AB1010">
        <v>160</v>
      </c>
      <c r="AC1010" t="s">
        <v>2215</v>
      </c>
      <c r="AD1010" t="s">
        <v>2216</v>
      </c>
      <c r="AE1010" t="s">
        <v>2217</v>
      </c>
      <c r="AJ1010" s="2">
        <v>44686.570196759261</v>
      </c>
      <c r="AK1010" t="s">
        <v>149</v>
      </c>
      <c r="AL1010" t="s">
        <v>1168</v>
      </c>
      <c r="AM1010" s="4">
        <v>0.79166666666666663</v>
      </c>
      <c r="AN1010" t="s">
        <v>66</v>
      </c>
      <c r="AO1010" t="s">
        <v>67</v>
      </c>
    </row>
    <row r="1011" spans="1:41" x14ac:dyDescent="0.2">
      <c r="A1011">
        <v>369301</v>
      </c>
      <c r="B1011" t="s">
        <v>7713</v>
      </c>
      <c r="C1011" t="s">
        <v>118</v>
      </c>
      <c r="D1011" t="s">
        <v>1410</v>
      </c>
      <c r="E1011" t="s">
        <v>7714</v>
      </c>
      <c r="F1011">
        <v>20227</v>
      </c>
      <c r="G1011" s="1">
        <v>34599</v>
      </c>
      <c r="H1011" s="1">
        <v>45602</v>
      </c>
      <c r="I1011" s="1">
        <v>46266</v>
      </c>
      <c r="J1011" t="s">
        <v>45</v>
      </c>
      <c r="K1011" t="s">
        <v>45</v>
      </c>
      <c r="L1011" t="s">
        <v>429</v>
      </c>
      <c r="M1011" s="1">
        <v>39574</v>
      </c>
      <c r="N1011" t="s">
        <v>47</v>
      </c>
      <c r="O1011" t="s">
        <v>48</v>
      </c>
      <c r="P1011" t="s">
        <v>49</v>
      </c>
      <c r="Q1011" t="s">
        <v>7715</v>
      </c>
      <c r="R1011" t="s">
        <v>7716</v>
      </c>
      <c r="S1011">
        <v>6560</v>
      </c>
      <c r="T1011" t="s">
        <v>365</v>
      </c>
      <c r="U1011" t="s">
        <v>815</v>
      </c>
      <c r="V1011" t="s">
        <v>958</v>
      </c>
      <c r="W1011" t="s">
        <v>367</v>
      </c>
      <c r="X1011" t="s">
        <v>55</v>
      </c>
      <c r="Y1011" t="s">
        <v>434</v>
      </c>
      <c r="Z1011">
        <v>144</v>
      </c>
      <c r="AA1011">
        <v>57</v>
      </c>
      <c r="AB1011">
        <v>166</v>
      </c>
      <c r="AC1011" t="s">
        <v>2717</v>
      </c>
      <c r="AD1011" t="s">
        <v>2718</v>
      </c>
      <c r="AE1011" t="s">
        <v>2719</v>
      </c>
      <c r="AF1011" t="s">
        <v>2720</v>
      </c>
      <c r="AG1011" t="s">
        <v>963</v>
      </c>
      <c r="AH1011" t="s">
        <v>2721</v>
      </c>
      <c r="AI1011" t="s">
        <v>4342</v>
      </c>
      <c r="AJ1011" s="2">
        <v>45734.536944444444</v>
      </c>
      <c r="AK1011" t="s">
        <v>2717</v>
      </c>
      <c r="AL1011" t="s">
        <v>65</v>
      </c>
      <c r="AM1011" s="4">
        <v>0.80555555555555558</v>
      </c>
      <c r="AN1011" t="s">
        <v>66</v>
      </c>
      <c r="AO1011" t="s">
        <v>67</v>
      </c>
    </row>
    <row r="1012" spans="1:41" x14ac:dyDescent="0.2">
      <c r="A1012">
        <v>362256</v>
      </c>
      <c r="B1012" t="s">
        <v>7717</v>
      </c>
      <c r="C1012" t="s">
        <v>323</v>
      </c>
      <c r="E1012" t="s">
        <v>7718</v>
      </c>
      <c r="G1012" s="1">
        <v>39973</v>
      </c>
      <c r="H1012" s="1">
        <v>45440</v>
      </c>
      <c r="I1012" s="1">
        <v>46037</v>
      </c>
      <c r="J1012" t="s">
        <v>45</v>
      </c>
      <c r="K1012" t="s">
        <v>45</v>
      </c>
      <c r="L1012" t="s">
        <v>72</v>
      </c>
      <c r="M1012" s="1">
        <v>45074</v>
      </c>
      <c r="N1012" t="s">
        <v>47</v>
      </c>
      <c r="O1012" t="s">
        <v>48</v>
      </c>
      <c r="P1012" t="s">
        <v>1752</v>
      </c>
      <c r="Q1012" t="s">
        <v>7719</v>
      </c>
      <c r="R1012" t="s">
        <v>7720</v>
      </c>
      <c r="S1012">
        <v>1074</v>
      </c>
      <c r="T1012" t="s">
        <v>257</v>
      </c>
      <c r="U1012" t="s">
        <v>329</v>
      </c>
      <c r="V1012" t="s">
        <v>5691</v>
      </c>
      <c r="W1012" t="s">
        <v>260</v>
      </c>
      <c r="X1012" t="s">
        <v>257</v>
      </c>
      <c r="Y1012" t="s">
        <v>110</v>
      </c>
      <c r="Z1012">
        <v>3053</v>
      </c>
      <c r="AA1012">
        <v>50</v>
      </c>
      <c r="AB1012">
        <v>80</v>
      </c>
      <c r="AC1012" t="s">
        <v>4991</v>
      </c>
      <c r="AD1012" t="s">
        <v>4992</v>
      </c>
      <c r="AE1012" t="s">
        <v>4993</v>
      </c>
      <c r="AF1012" t="s">
        <v>4994</v>
      </c>
      <c r="AG1012" t="s">
        <v>4995</v>
      </c>
      <c r="AH1012" t="s">
        <v>5692</v>
      </c>
      <c r="AI1012" t="s">
        <v>4997</v>
      </c>
      <c r="AJ1012" s="2">
        <v>45481.837118055555</v>
      </c>
      <c r="AK1012" t="s">
        <v>5693</v>
      </c>
      <c r="AL1012" t="s">
        <v>1168</v>
      </c>
      <c r="AM1012" s="4">
        <v>0.70833333333333337</v>
      </c>
      <c r="AN1012" t="s">
        <v>66</v>
      </c>
      <c r="AO1012" t="s">
        <v>67</v>
      </c>
    </row>
    <row r="1013" spans="1:41" x14ac:dyDescent="0.2">
      <c r="A1013">
        <v>366405</v>
      </c>
      <c r="B1013" t="s">
        <v>7721</v>
      </c>
      <c r="C1013" t="s">
        <v>558</v>
      </c>
      <c r="D1013" t="s">
        <v>1743</v>
      </c>
      <c r="E1013" t="s">
        <v>7722</v>
      </c>
      <c r="F1013">
        <v>260110</v>
      </c>
      <c r="G1013" s="1">
        <v>32716</v>
      </c>
      <c r="H1013" s="1">
        <v>45616</v>
      </c>
      <c r="I1013" s="1">
        <v>45931</v>
      </c>
      <c r="J1013" t="s">
        <v>45</v>
      </c>
      <c r="K1013" t="s">
        <v>45</v>
      </c>
      <c r="L1013" t="s">
        <v>429</v>
      </c>
      <c r="M1013" s="1">
        <v>42132</v>
      </c>
      <c r="N1013" t="s">
        <v>47</v>
      </c>
      <c r="O1013" t="s">
        <v>48</v>
      </c>
      <c r="P1013" t="s">
        <v>49</v>
      </c>
      <c r="Q1013" t="s">
        <v>7723</v>
      </c>
      <c r="R1013" t="s">
        <v>7724</v>
      </c>
      <c r="S1013">
        <v>6890</v>
      </c>
      <c r="T1013" t="s">
        <v>365</v>
      </c>
      <c r="U1013" t="s">
        <v>562</v>
      </c>
      <c r="V1013" t="s">
        <v>2987</v>
      </c>
      <c r="W1013" t="s">
        <v>367</v>
      </c>
      <c r="X1013" t="s">
        <v>493</v>
      </c>
      <c r="Y1013" t="s">
        <v>434</v>
      </c>
      <c r="Z1013">
        <v>280</v>
      </c>
      <c r="AA1013">
        <v>67</v>
      </c>
      <c r="AB1013">
        <v>166</v>
      </c>
      <c r="AC1013" t="s">
        <v>1882</v>
      </c>
      <c r="AD1013" t="s">
        <v>1883</v>
      </c>
      <c r="AE1013" t="s">
        <v>2988</v>
      </c>
      <c r="AF1013" t="s">
        <v>2989</v>
      </c>
      <c r="AG1013" t="s">
        <v>2990</v>
      </c>
      <c r="AH1013" t="s">
        <v>2991</v>
      </c>
      <c r="AI1013" t="s">
        <v>2992</v>
      </c>
      <c r="AJ1013" s="2">
        <v>45617.730104166665</v>
      </c>
      <c r="AK1013" t="s">
        <v>2668</v>
      </c>
      <c r="AL1013" t="s">
        <v>65</v>
      </c>
      <c r="AM1013" s="3">
        <v>1.5694444444444444</v>
      </c>
      <c r="AN1013" t="s">
        <v>66</v>
      </c>
      <c r="AO1013" t="s">
        <v>67</v>
      </c>
    </row>
    <row r="1014" spans="1:41" x14ac:dyDescent="0.2">
      <c r="A1014">
        <v>368724</v>
      </c>
      <c r="B1014" t="s">
        <v>7725</v>
      </c>
      <c r="C1014" t="s">
        <v>345</v>
      </c>
      <c r="D1014" t="s">
        <v>1315</v>
      </c>
      <c r="E1014" t="s">
        <v>7726</v>
      </c>
      <c r="F1014">
        <v>53104</v>
      </c>
      <c r="G1014" s="1">
        <v>40245</v>
      </c>
      <c r="H1014" s="1">
        <v>45719</v>
      </c>
      <c r="J1014" t="s">
        <v>45</v>
      </c>
      <c r="K1014" t="s">
        <v>72</v>
      </c>
      <c r="L1014" t="s">
        <v>72</v>
      </c>
      <c r="N1014" t="s">
        <v>47</v>
      </c>
      <c r="O1014" t="s">
        <v>48</v>
      </c>
      <c r="P1014" t="s">
        <v>49</v>
      </c>
      <c r="Q1014" t="s">
        <v>7727</v>
      </c>
      <c r="R1014" t="s">
        <v>7728</v>
      </c>
      <c r="S1014">
        <v>6158</v>
      </c>
      <c r="T1014" t="s">
        <v>92</v>
      </c>
      <c r="U1014" t="s">
        <v>350</v>
      </c>
      <c r="V1014" t="s">
        <v>7729</v>
      </c>
      <c r="W1014" t="s">
        <v>7730</v>
      </c>
      <c r="X1014" t="s">
        <v>449</v>
      </c>
      <c r="Y1014" t="s">
        <v>770</v>
      </c>
      <c r="Z1014">
        <v>3306</v>
      </c>
      <c r="AA1014">
        <v>25</v>
      </c>
      <c r="AB1014">
        <v>30</v>
      </c>
      <c r="AC1014" t="s">
        <v>7731</v>
      </c>
      <c r="AD1014" t="s">
        <v>7732</v>
      </c>
      <c r="AE1014" t="s">
        <v>7733</v>
      </c>
      <c r="AF1014" t="s">
        <v>353</v>
      </c>
      <c r="AG1014" t="s">
        <v>7734</v>
      </c>
      <c r="AH1014" t="s">
        <v>355</v>
      </c>
      <c r="AI1014" t="s">
        <v>7735</v>
      </c>
      <c r="AJ1014" s="2">
        <v>45720.698483796295</v>
      </c>
      <c r="AK1014" t="s">
        <v>456</v>
      </c>
      <c r="AL1014" t="s">
        <v>65</v>
      </c>
      <c r="AM1014" s="4">
        <v>0.83333333333333337</v>
      </c>
      <c r="AN1014" t="s">
        <v>66</v>
      </c>
      <c r="AO1014" t="s">
        <v>67</v>
      </c>
    </row>
    <row r="1015" spans="1:41" x14ac:dyDescent="0.2">
      <c r="A1015">
        <v>369617</v>
      </c>
      <c r="B1015" t="s">
        <v>7736</v>
      </c>
      <c r="C1015" t="s">
        <v>118</v>
      </c>
      <c r="D1015" t="s">
        <v>1410</v>
      </c>
      <c r="E1015" t="s">
        <v>7737</v>
      </c>
      <c r="F1015">
        <v>20213</v>
      </c>
      <c r="G1015" s="1">
        <v>36480</v>
      </c>
      <c r="H1015" s="1">
        <v>45741</v>
      </c>
      <c r="I1015" s="1">
        <v>46082</v>
      </c>
      <c r="J1015" t="s">
        <v>45</v>
      </c>
      <c r="K1015" t="s">
        <v>45</v>
      </c>
      <c r="L1015" t="s">
        <v>429</v>
      </c>
      <c r="M1015" s="1">
        <v>38967</v>
      </c>
      <c r="N1015" t="s">
        <v>47</v>
      </c>
      <c r="O1015" t="s">
        <v>48</v>
      </c>
      <c r="P1015" t="s">
        <v>49</v>
      </c>
      <c r="Q1015" t="s">
        <v>7738</v>
      </c>
      <c r="R1015" t="s">
        <v>7739</v>
      </c>
      <c r="S1015">
        <v>6796</v>
      </c>
      <c r="T1015" t="s">
        <v>296</v>
      </c>
      <c r="U1015" t="s">
        <v>297</v>
      </c>
      <c r="V1015" t="s">
        <v>1414</v>
      </c>
      <c r="W1015" t="s">
        <v>299</v>
      </c>
      <c r="X1015" t="s">
        <v>55</v>
      </c>
      <c r="Y1015" t="s">
        <v>56</v>
      </c>
      <c r="Z1015">
        <v>1731</v>
      </c>
      <c r="AA1015">
        <v>54</v>
      </c>
      <c r="AB1015">
        <v>138</v>
      </c>
      <c r="AC1015" t="s">
        <v>7740</v>
      </c>
      <c r="AD1015" t="s">
        <v>7741</v>
      </c>
      <c r="AE1015" t="s">
        <v>7742</v>
      </c>
      <c r="AF1015" t="s">
        <v>1415</v>
      </c>
      <c r="AG1015" t="s">
        <v>7743</v>
      </c>
      <c r="AH1015" t="s">
        <v>7744</v>
      </c>
      <c r="AI1015" t="s">
        <v>1404</v>
      </c>
      <c r="AJ1015" s="2">
        <v>45747.669849537036</v>
      </c>
      <c r="AK1015" t="s">
        <v>307</v>
      </c>
      <c r="AL1015" t="s">
        <v>65</v>
      </c>
      <c r="AM1015" s="3">
        <v>1.1527777777777777</v>
      </c>
      <c r="AN1015" t="s">
        <v>66</v>
      </c>
      <c r="AO1015" t="s">
        <v>67</v>
      </c>
    </row>
    <row r="1016" spans="1:41" x14ac:dyDescent="0.2">
      <c r="A1016">
        <v>369599</v>
      </c>
      <c r="B1016" t="s">
        <v>7745</v>
      </c>
      <c r="C1016" t="s">
        <v>182</v>
      </c>
      <c r="D1016" t="s">
        <v>516</v>
      </c>
      <c r="E1016" t="s">
        <v>7746</v>
      </c>
      <c r="F1016">
        <v>45736</v>
      </c>
      <c r="G1016" s="1">
        <v>37179</v>
      </c>
      <c r="H1016" s="1">
        <v>45741</v>
      </c>
      <c r="I1016" s="1">
        <v>46113</v>
      </c>
      <c r="J1016" t="s">
        <v>45</v>
      </c>
      <c r="K1016" t="s">
        <v>45</v>
      </c>
      <c r="L1016" t="s">
        <v>429</v>
      </c>
      <c r="M1016" s="1">
        <v>44025</v>
      </c>
      <c r="N1016" t="s">
        <v>47</v>
      </c>
      <c r="O1016" t="s">
        <v>48</v>
      </c>
      <c r="P1016" t="s">
        <v>49</v>
      </c>
      <c r="Q1016" t="s">
        <v>7747</v>
      </c>
      <c r="R1016" t="s">
        <v>7748</v>
      </c>
      <c r="S1016">
        <v>1781</v>
      </c>
      <c r="T1016" t="s">
        <v>92</v>
      </c>
      <c r="U1016" t="s">
        <v>187</v>
      </c>
      <c r="V1016" t="s">
        <v>2113</v>
      </c>
      <c r="W1016" t="s">
        <v>448</v>
      </c>
      <c r="X1016" t="s">
        <v>493</v>
      </c>
      <c r="Y1016" t="s">
        <v>434</v>
      </c>
      <c r="Z1016">
        <v>1300</v>
      </c>
      <c r="AA1016">
        <v>61</v>
      </c>
      <c r="AB1016">
        <v>210</v>
      </c>
      <c r="AC1016" t="s">
        <v>2114</v>
      </c>
      <c r="AD1016" t="s">
        <v>2115</v>
      </c>
      <c r="AE1016" t="s">
        <v>2116</v>
      </c>
      <c r="AF1016" t="s">
        <v>2117</v>
      </c>
      <c r="AG1016" t="s">
        <v>2118</v>
      </c>
      <c r="AH1016" t="s">
        <v>5037</v>
      </c>
      <c r="AI1016" t="s">
        <v>179</v>
      </c>
      <c r="AJ1016" s="2">
        <v>45747.603136574071</v>
      </c>
      <c r="AK1016" t="s">
        <v>540</v>
      </c>
      <c r="AL1016" t="s">
        <v>65</v>
      </c>
      <c r="AM1016" s="3">
        <v>2.1458333333333335</v>
      </c>
      <c r="AN1016" t="s">
        <v>66</v>
      </c>
      <c r="AO1016" t="s">
        <v>67</v>
      </c>
    </row>
    <row r="1017" spans="1:41" x14ac:dyDescent="0.2">
      <c r="A1017">
        <v>365046</v>
      </c>
      <c r="B1017" t="s">
        <v>7749</v>
      </c>
      <c r="C1017" t="s">
        <v>735</v>
      </c>
      <c r="D1017" t="s">
        <v>736</v>
      </c>
      <c r="E1017" t="s">
        <v>7750</v>
      </c>
      <c r="F1017">
        <v>245415</v>
      </c>
      <c r="G1017" s="1">
        <v>36383</v>
      </c>
      <c r="H1017" s="1">
        <v>45566</v>
      </c>
      <c r="I1017" s="1">
        <v>46280</v>
      </c>
      <c r="J1017" t="s">
        <v>45</v>
      </c>
      <c r="K1017" t="s">
        <v>45</v>
      </c>
      <c r="L1017" t="s">
        <v>72</v>
      </c>
      <c r="M1017" s="1">
        <v>42616</v>
      </c>
      <c r="N1017" t="s">
        <v>47</v>
      </c>
      <c r="O1017" t="s">
        <v>48</v>
      </c>
      <c r="P1017" t="s">
        <v>49</v>
      </c>
      <c r="Q1017" t="s">
        <v>7751</v>
      </c>
      <c r="R1017" t="s">
        <v>7752</v>
      </c>
      <c r="S1017">
        <v>7422</v>
      </c>
      <c r="T1017" t="s">
        <v>52</v>
      </c>
      <c r="U1017">
        <v>1</v>
      </c>
      <c r="V1017" t="s">
        <v>740</v>
      </c>
      <c r="W1017" t="s">
        <v>54</v>
      </c>
      <c r="X1017" t="s">
        <v>76</v>
      </c>
      <c r="Y1017" t="s">
        <v>56</v>
      </c>
      <c r="Z1017">
        <v>1376</v>
      </c>
      <c r="AA1017">
        <v>49</v>
      </c>
      <c r="AB1017">
        <v>166</v>
      </c>
      <c r="AC1017" t="s">
        <v>2072</v>
      </c>
      <c r="AD1017" t="s">
        <v>742</v>
      </c>
      <c r="AE1017" t="s">
        <v>743</v>
      </c>
      <c r="AI1017" t="s">
        <v>744</v>
      </c>
      <c r="AJ1017" s="2">
        <v>45567.152465277781</v>
      </c>
      <c r="AK1017" t="s">
        <v>704</v>
      </c>
      <c r="AL1017" t="s">
        <v>65</v>
      </c>
      <c r="AM1017" s="4">
        <v>0.68055555555555558</v>
      </c>
      <c r="AN1017" t="s">
        <v>66</v>
      </c>
      <c r="AO1017" t="s">
        <v>67</v>
      </c>
    </row>
    <row r="1018" spans="1:41" x14ac:dyDescent="0.2">
      <c r="A1018">
        <v>371005</v>
      </c>
      <c r="B1018" t="s">
        <v>7753</v>
      </c>
      <c r="C1018" t="s">
        <v>182</v>
      </c>
      <c r="D1018" t="s">
        <v>1467</v>
      </c>
      <c r="E1018" t="s">
        <v>7754</v>
      </c>
      <c r="F1018">
        <v>40512</v>
      </c>
      <c r="G1018" s="1">
        <v>36672</v>
      </c>
      <c r="H1018" s="1">
        <v>45789</v>
      </c>
      <c r="I1018" s="1">
        <v>46113</v>
      </c>
      <c r="J1018" t="s">
        <v>45</v>
      </c>
      <c r="K1018" t="s">
        <v>45</v>
      </c>
      <c r="L1018" t="s">
        <v>429</v>
      </c>
      <c r="M1018" s="1">
        <v>42501</v>
      </c>
      <c r="N1018" t="s">
        <v>47</v>
      </c>
      <c r="O1018" t="s">
        <v>48</v>
      </c>
      <c r="P1018" t="s">
        <v>49</v>
      </c>
      <c r="Q1018" t="s">
        <v>7755</v>
      </c>
      <c r="R1018" t="s">
        <v>7756</v>
      </c>
      <c r="S1018">
        <v>4418</v>
      </c>
      <c r="T1018" t="s">
        <v>52</v>
      </c>
      <c r="U1018">
        <v>5</v>
      </c>
      <c r="V1018" t="s">
        <v>1068</v>
      </c>
      <c r="W1018" t="s">
        <v>54</v>
      </c>
      <c r="X1018" t="s">
        <v>493</v>
      </c>
      <c r="Y1018" t="s">
        <v>434</v>
      </c>
      <c r="Z1018">
        <v>739</v>
      </c>
      <c r="AA1018">
        <v>63</v>
      </c>
      <c r="AB1018">
        <v>28</v>
      </c>
      <c r="AC1018" t="s">
        <v>1069</v>
      </c>
      <c r="AD1018" t="s">
        <v>1070</v>
      </c>
      <c r="AE1018" t="s">
        <v>1071</v>
      </c>
      <c r="AF1018" t="s">
        <v>1072</v>
      </c>
      <c r="AG1018" t="s">
        <v>1073</v>
      </c>
      <c r="AH1018" t="s">
        <v>1071</v>
      </c>
      <c r="AI1018" t="s">
        <v>7757</v>
      </c>
      <c r="AJ1018" s="2">
        <v>45792.739699074074</v>
      </c>
      <c r="AK1018" t="s">
        <v>1472</v>
      </c>
      <c r="AL1018" t="s">
        <v>65</v>
      </c>
      <c r="AM1018" s="4">
        <v>0.66666666666666663</v>
      </c>
      <c r="AN1018" t="s">
        <v>66</v>
      </c>
      <c r="AO1018" t="s">
        <v>67</v>
      </c>
    </row>
    <row r="1019" spans="1:41" x14ac:dyDescent="0.2">
      <c r="A1019">
        <v>368379</v>
      </c>
      <c r="B1019" t="s">
        <v>7758</v>
      </c>
      <c r="C1019" t="s">
        <v>1687</v>
      </c>
      <c r="D1019" t="s">
        <v>2346</v>
      </c>
      <c r="E1019" t="s">
        <v>7759</v>
      </c>
      <c r="F1019">
        <v>165002</v>
      </c>
      <c r="G1019" s="1">
        <v>43053</v>
      </c>
      <c r="H1019" s="1">
        <v>45614</v>
      </c>
      <c r="I1019" s="1">
        <v>45962</v>
      </c>
      <c r="J1019" t="s">
        <v>45</v>
      </c>
      <c r="K1019" t="s">
        <v>45</v>
      </c>
      <c r="L1019" t="s">
        <v>72</v>
      </c>
      <c r="M1019" s="1">
        <v>44168</v>
      </c>
      <c r="N1019" t="s">
        <v>47</v>
      </c>
      <c r="O1019" t="s">
        <v>121</v>
      </c>
      <c r="P1019" t="s">
        <v>49</v>
      </c>
      <c r="Q1019" t="s">
        <v>7760</v>
      </c>
      <c r="R1019" t="s">
        <v>7761</v>
      </c>
      <c r="S1019">
        <v>3</v>
      </c>
      <c r="T1019" t="s">
        <v>156</v>
      </c>
      <c r="U1019" t="s">
        <v>157</v>
      </c>
      <c r="V1019" t="s">
        <v>2345</v>
      </c>
      <c r="W1019" t="s">
        <v>159</v>
      </c>
      <c r="X1019" t="s">
        <v>156</v>
      </c>
      <c r="Y1019" t="s">
        <v>110</v>
      </c>
      <c r="Z1019">
        <v>9326</v>
      </c>
      <c r="AA1019">
        <v>23</v>
      </c>
      <c r="AB1019">
        <v>45</v>
      </c>
      <c r="AC1019" t="s">
        <v>2349</v>
      </c>
      <c r="AD1019" t="s">
        <v>2350</v>
      </c>
      <c r="AE1019" t="s">
        <v>2351</v>
      </c>
      <c r="AF1019" t="s">
        <v>2352</v>
      </c>
      <c r="AG1019" t="s">
        <v>2353</v>
      </c>
      <c r="AH1019" t="s">
        <v>2354</v>
      </c>
      <c r="AJ1019" s="2">
        <v>45708.849814814814</v>
      </c>
      <c r="AK1019" t="s">
        <v>2349</v>
      </c>
      <c r="AL1019" t="s">
        <v>65</v>
      </c>
      <c r="AM1019" s="4">
        <v>0.74305555555555558</v>
      </c>
      <c r="AN1019" t="s">
        <v>66</v>
      </c>
      <c r="AO1019" t="s">
        <v>101</v>
      </c>
    </row>
    <row r="1020" spans="1:41" x14ac:dyDescent="0.2">
      <c r="A1020">
        <v>372386</v>
      </c>
      <c r="B1020" t="s">
        <v>7762</v>
      </c>
      <c r="C1020" t="s">
        <v>345</v>
      </c>
      <c r="D1020" t="s">
        <v>7763</v>
      </c>
      <c r="E1020">
        <v>32673086</v>
      </c>
      <c r="F1020">
        <v>53603</v>
      </c>
      <c r="G1020" s="1">
        <v>34390</v>
      </c>
      <c r="H1020" s="1">
        <v>45834</v>
      </c>
      <c r="I1020" s="1">
        <v>46127</v>
      </c>
      <c r="J1020" t="s">
        <v>45</v>
      </c>
      <c r="K1020" t="s">
        <v>45</v>
      </c>
      <c r="L1020" t="s">
        <v>429</v>
      </c>
      <c r="M1020" s="1">
        <v>42835</v>
      </c>
      <c r="N1020" t="s">
        <v>47</v>
      </c>
      <c r="O1020" t="s">
        <v>48</v>
      </c>
      <c r="P1020" t="s">
        <v>49</v>
      </c>
      <c r="Q1020" t="s">
        <v>7764</v>
      </c>
      <c r="R1020" t="s">
        <v>7765</v>
      </c>
      <c r="S1020">
        <v>6470</v>
      </c>
      <c r="T1020" t="s">
        <v>52</v>
      </c>
      <c r="U1020">
        <v>2</v>
      </c>
      <c r="V1020" t="s">
        <v>1522</v>
      </c>
      <c r="W1020" t="s">
        <v>54</v>
      </c>
      <c r="X1020" t="s">
        <v>55</v>
      </c>
      <c r="Y1020" t="s">
        <v>56</v>
      </c>
      <c r="Z1020">
        <v>576</v>
      </c>
      <c r="AA1020">
        <v>60</v>
      </c>
      <c r="AB1020">
        <v>144</v>
      </c>
      <c r="AC1020" t="s">
        <v>1526</v>
      </c>
      <c r="AD1020" t="s">
        <v>1527</v>
      </c>
      <c r="AE1020" t="s">
        <v>1528</v>
      </c>
      <c r="AF1020" t="s">
        <v>7766</v>
      </c>
      <c r="AG1020" t="s">
        <v>7767</v>
      </c>
      <c r="AH1020" t="s">
        <v>7768</v>
      </c>
      <c r="AI1020" t="s">
        <v>7769</v>
      </c>
      <c r="AJ1020" s="2">
        <v>45838.833692129629</v>
      </c>
      <c r="AK1020" t="s">
        <v>609</v>
      </c>
      <c r="AL1020" t="s">
        <v>65</v>
      </c>
      <c r="AM1020" s="3">
        <v>2.4166666666666665</v>
      </c>
      <c r="AN1020" t="s">
        <v>66</v>
      </c>
      <c r="AO1020" t="s">
        <v>67</v>
      </c>
    </row>
    <row r="1021" spans="1:41" x14ac:dyDescent="0.2">
      <c r="A1021">
        <v>372318</v>
      </c>
      <c r="B1021" t="s">
        <v>7770</v>
      </c>
      <c r="C1021" t="s">
        <v>323</v>
      </c>
      <c r="D1021" t="s">
        <v>372</v>
      </c>
      <c r="E1021" t="s">
        <v>7771</v>
      </c>
      <c r="F1021">
        <v>500426</v>
      </c>
      <c r="G1021" s="1">
        <v>39610</v>
      </c>
      <c r="H1021" s="1">
        <v>45778</v>
      </c>
      <c r="I1021" s="1">
        <v>46037</v>
      </c>
      <c r="J1021" t="s">
        <v>45</v>
      </c>
      <c r="K1021" t="s">
        <v>45</v>
      </c>
      <c r="L1021" t="s">
        <v>72</v>
      </c>
      <c r="M1021" s="1">
        <v>45046</v>
      </c>
      <c r="N1021" t="s">
        <v>47</v>
      </c>
      <c r="O1021" t="s">
        <v>48</v>
      </c>
      <c r="P1021" t="s">
        <v>7488</v>
      </c>
      <c r="Q1021" t="s">
        <v>7772</v>
      </c>
      <c r="R1021" t="s">
        <v>7773</v>
      </c>
      <c r="S1021">
        <v>465</v>
      </c>
      <c r="T1021" t="s">
        <v>365</v>
      </c>
      <c r="U1021" t="s">
        <v>366</v>
      </c>
      <c r="V1021" t="s">
        <v>330</v>
      </c>
      <c r="W1021" t="s">
        <v>409</v>
      </c>
      <c r="X1021" t="s">
        <v>76</v>
      </c>
      <c r="Y1021" t="s">
        <v>110</v>
      </c>
      <c r="Z1021">
        <v>2991</v>
      </c>
      <c r="AA1021">
        <v>34</v>
      </c>
      <c r="AB1021">
        <v>138</v>
      </c>
      <c r="AC1021" t="s">
        <v>368</v>
      </c>
      <c r="AD1021" t="s">
        <v>369</v>
      </c>
      <c r="AE1021" t="s">
        <v>370</v>
      </c>
      <c r="AF1021" t="s">
        <v>384</v>
      </c>
      <c r="AG1021" t="s">
        <v>385</v>
      </c>
      <c r="AH1021" t="s">
        <v>386</v>
      </c>
      <c r="AJ1021" s="2">
        <v>45838.500011574077</v>
      </c>
      <c r="AK1021" t="s">
        <v>132</v>
      </c>
      <c r="AL1021" t="s">
        <v>65</v>
      </c>
      <c r="AM1021" s="3">
        <v>2.1666666666666665</v>
      </c>
      <c r="AN1021" t="s">
        <v>66</v>
      </c>
      <c r="AO1021" t="s">
        <v>67</v>
      </c>
    </row>
    <row r="1022" spans="1:41" x14ac:dyDescent="0.2">
      <c r="A1022">
        <v>372675</v>
      </c>
      <c r="B1022" t="s">
        <v>7774</v>
      </c>
      <c r="C1022" t="s">
        <v>118</v>
      </c>
      <c r="D1022" t="s">
        <v>1579</v>
      </c>
      <c r="E1022">
        <v>32821420</v>
      </c>
      <c r="G1022" s="1">
        <v>45356</v>
      </c>
      <c r="H1022" s="1">
        <v>45727</v>
      </c>
      <c r="I1022" s="1">
        <v>46082</v>
      </c>
      <c r="J1022" t="s">
        <v>45</v>
      </c>
      <c r="K1022" t="s">
        <v>45</v>
      </c>
      <c r="L1022" t="s">
        <v>46</v>
      </c>
      <c r="N1022" t="s">
        <v>47</v>
      </c>
      <c r="O1022" t="s">
        <v>48</v>
      </c>
      <c r="P1022" t="s">
        <v>49</v>
      </c>
      <c r="Q1022" t="s">
        <v>7775</v>
      </c>
      <c r="R1022" t="s">
        <v>7776</v>
      </c>
      <c r="S1022">
        <v>331</v>
      </c>
      <c r="T1022" t="s">
        <v>1328</v>
      </c>
      <c r="U1022" t="s">
        <v>1583</v>
      </c>
      <c r="V1022" t="s">
        <v>1584</v>
      </c>
      <c r="W1022" t="s">
        <v>1585</v>
      </c>
      <c r="X1022" t="s">
        <v>55</v>
      </c>
      <c r="Y1022" t="s">
        <v>434</v>
      </c>
      <c r="Z1022">
        <v>12213</v>
      </c>
      <c r="AA1022">
        <v>9</v>
      </c>
      <c r="AB1022">
        <v>160</v>
      </c>
      <c r="AC1022" t="s">
        <v>1586</v>
      </c>
      <c r="AD1022" t="s">
        <v>1587</v>
      </c>
      <c r="AE1022" t="s">
        <v>1588</v>
      </c>
      <c r="AI1022" t="s">
        <v>179</v>
      </c>
      <c r="AJ1022" s="2">
        <v>45849.722824074073</v>
      </c>
      <c r="AK1022" t="s">
        <v>100</v>
      </c>
      <c r="AL1022" t="s">
        <v>65</v>
      </c>
      <c r="AM1022" s="3">
        <v>1.6111111111111112</v>
      </c>
      <c r="AN1022" t="s">
        <v>66</v>
      </c>
      <c r="AO1022" t="s">
        <v>67</v>
      </c>
    </row>
    <row r="1023" spans="1:41" x14ac:dyDescent="0.2">
      <c r="A1023">
        <v>372270</v>
      </c>
      <c r="B1023" t="s">
        <v>7777</v>
      </c>
      <c r="C1023" t="s">
        <v>69</v>
      </c>
      <c r="D1023" t="s">
        <v>3081</v>
      </c>
      <c r="E1023" t="s">
        <v>7778</v>
      </c>
      <c r="G1023" s="1">
        <v>45782</v>
      </c>
      <c r="H1023" s="1">
        <v>45835</v>
      </c>
      <c r="J1023" t="s">
        <v>45</v>
      </c>
      <c r="K1023" t="s">
        <v>45</v>
      </c>
      <c r="L1023" t="s">
        <v>46</v>
      </c>
      <c r="N1023" t="s">
        <v>47</v>
      </c>
      <c r="O1023" t="s">
        <v>48</v>
      </c>
      <c r="P1023" t="s">
        <v>406</v>
      </c>
      <c r="Q1023" t="s">
        <v>2851</v>
      </c>
      <c r="R1023" t="s">
        <v>7218</v>
      </c>
      <c r="S1023">
        <v>3539</v>
      </c>
      <c r="T1023" t="s">
        <v>365</v>
      </c>
      <c r="U1023" t="s">
        <v>532</v>
      </c>
      <c r="V1023" t="s">
        <v>2853</v>
      </c>
      <c r="W1023" t="s">
        <v>409</v>
      </c>
      <c r="X1023" t="s">
        <v>76</v>
      </c>
      <c r="Y1023" t="s">
        <v>642</v>
      </c>
      <c r="Z1023">
        <v>12310</v>
      </c>
      <c r="AA1023">
        <v>5</v>
      </c>
      <c r="AB1023">
        <v>44</v>
      </c>
      <c r="AC1023" t="s">
        <v>660</v>
      </c>
      <c r="AD1023" t="s">
        <v>3088</v>
      </c>
      <c r="AE1023" t="s">
        <v>2856</v>
      </c>
      <c r="AF1023" t="s">
        <v>132</v>
      </c>
      <c r="AG1023" t="s">
        <v>6209</v>
      </c>
      <c r="AH1023" t="s">
        <v>2856</v>
      </c>
      <c r="AI1023" t="s">
        <v>7219</v>
      </c>
      <c r="AJ1023" s="2">
        <v>45835.73164351852</v>
      </c>
      <c r="AK1023" t="s">
        <v>84</v>
      </c>
      <c r="AL1023" t="s">
        <v>7779</v>
      </c>
      <c r="AM1023" s="3">
        <v>2.0590277777777777</v>
      </c>
      <c r="AN1023" t="s">
        <v>66</v>
      </c>
      <c r="AO1023" t="s">
        <v>67</v>
      </c>
    </row>
    <row r="1024" spans="1:41" x14ac:dyDescent="0.2">
      <c r="A1024">
        <v>361021</v>
      </c>
      <c r="B1024" t="s">
        <v>7780</v>
      </c>
      <c r="C1024" t="s">
        <v>323</v>
      </c>
      <c r="E1024" t="s">
        <v>7781</v>
      </c>
      <c r="F1024">
        <v>1196</v>
      </c>
      <c r="G1024" s="1">
        <v>44739</v>
      </c>
      <c r="H1024" s="1">
        <v>45442</v>
      </c>
      <c r="I1024" s="1">
        <v>45945</v>
      </c>
      <c r="J1024" t="s">
        <v>45</v>
      </c>
      <c r="K1024" t="s">
        <v>45</v>
      </c>
      <c r="L1024" t="s">
        <v>72</v>
      </c>
      <c r="N1024" t="s">
        <v>89</v>
      </c>
      <c r="O1024" t="s">
        <v>121</v>
      </c>
      <c r="P1024" t="s">
        <v>49</v>
      </c>
      <c r="Q1024" t="s">
        <v>7782</v>
      </c>
      <c r="R1024" t="s">
        <v>7783</v>
      </c>
      <c r="S1024">
        <v>588</v>
      </c>
      <c r="T1024" t="s">
        <v>156</v>
      </c>
      <c r="U1024" t="s">
        <v>460</v>
      </c>
      <c r="V1024" t="s">
        <v>330</v>
      </c>
      <c r="W1024" t="s">
        <v>159</v>
      </c>
      <c r="X1024" t="s">
        <v>156</v>
      </c>
      <c r="Y1024" t="s">
        <v>110</v>
      </c>
      <c r="Z1024">
        <v>2836</v>
      </c>
      <c r="AA1024">
        <v>33</v>
      </c>
      <c r="AB1024">
        <v>158</v>
      </c>
      <c r="AC1024" t="s">
        <v>461</v>
      </c>
      <c r="AD1024" t="s">
        <v>5071</v>
      </c>
      <c r="AE1024" t="s">
        <v>462</v>
      </c>
      <c r="AJ1024" s="2">
        <v>45443.702650462961</v>
      </c>
      <c r="AK1024" t="s">
        <v>660</v>
      </c>
      <c r="AL1024" t="s">
        <v>65</v>
      </c>
      <c r="AM1024" s="3">
        <v>1.4861111111111112</v>
      </c>
      <c r="AN1024" t="s">
        <v>66</v>
      </c>
      <c r="AO1024" t="s">
        <v>67</v>
      </c>
    </row>
    <row r="1025" spans="1:41" x14ac:dyDescent="0.2">
      <c r="A1025">
        <v>361006</v>
      </c>
      <c r="B1025" t="s">
        <v>7784</v>
      </c>
      <c r="C1025" t="s">
        <v>323</v>
      </c>
      <c r="D1025" t="s">
        <v>372</v>
      </c>
      <c r="E1025" t="s">
        <v>7785</v>
      </c>
      <c r="G1025" s="1">
        <v>44531</v>
      </c>
      <c r="H1025" s="1">
        <v>45442</v>
      </c>
      <c r="I1025" s="1">
        <v>46068</v>
      </c>
      <c r="J1025" t="s">
        <v>45</v>
      </c>
      <c r="K1025" t="s">
        <v>45</v>
      </c>
      <c r="L1025" t="s">
        <v>72</v>
      </c>
      <c r="N1025" t="s">
        <v>89</v>
      </c>
      <c r="O1025" t="s">
        <v>121</v>
      </c>
      <c r="P1025" t="s">
        <v>49</v>
      </c>
      <c r="Q1025" t="s">
        <v>7786</v>
      </c>
      <c r="R1025" t="s">
        <v>7787</v>
      </c>
      <c r="S1025">
        <v>354</v>
      </c>
      <c r="T1025" t="s">
        <v>156</v>
      </c>
      <c r="U1025" t="s">
        <v>460</v>
      </c>
      <c r="V1025" t="s">
        <v>330</v>
      </c>
      <c r="W1025" t="s">
        <v>159</v>
      </c>
      <c r="X1025" t="s">
        <v>156</v>
      </c>
      <c r="Y1025" t="s">
        <v>110</v>
      </c>
      <c r="Z1025">
        <v>2837</v>
      </c>
      <c r="AA1025">
        <v>51</v>
      </c>
      <c r="AB1025">
        <v>158</v>
      </c>
      <c r="AC1025" t="s">
        <v>461</v>
      </c>
      <c r="AD1025" t="s">
        <v>5071</v>
      </c>
      <c r="AE1025" t="s">
        <v>7788</v>
      </c>
      <c r="AF1025" t="s">
        <v>463</v>
      </c>
      <c r="AG1025" t="s">
        <v>464</v>
      </c>
      <c r="AH1025" t="s">
        <v>7789</v>
      </c>
      <c r="AJ1025" s="2">
        <v>45442.870555555557</v>
      </c>
      <c r="AK1025" t="s">
        <v>461</v>
      </c>
      <c r="AL1025" t="s">
        <v>65</v>
      </c>
      <c r="AM1025" s="3">
        <v>1.4930555555555556</v>
      </c>
      <c r="AN1025" t="s">
        <v>66</v>
      </c>
      <c r="AO1025" t="s">
        <v>67</v>
      </c>
    </row>
    <row r="1026" spans="1:41" x14ac:dyDescent="0.2">
      <c r="A1026">
        <v>361007</v>
      </c>
      <c r="B1026" t="s">
        <v>7790</v>
      </c>
      <c r="C1026" t="s">
        <v>323</v>
      </c>
      <c r="D1026" t="s">
        <v>3429</v>
      </c>
      <c r="E1026" t="s">
        <v>7791</v>
      </c>
      <c r="G1026" s="1">
        <v>44488</v>
      </c>
      <c r="H1026" s="1">
        <v>45442</v>
      </c>
      <c r="I1026" s="1">
        <v>45945</v>
      </c>
      <c r="J1026" t="s">
        <v>45</v>
      </c>
      <c r="K1026" t="s">
        <v>45</v>
      </c>
      <c r="L1026" t="s">
        <v>72</v>
      </c>
      <c r="N1026" t="s">
        <v>89</v>
      </c>
      <c r="O1026" t="s">
        <v>121</v>
      </c>
      <c r="P1026" t="s">
        <v>49</v>
      </c>
      <c r="Q1026" t="s">
        <v>7792</v>
      </c>
      <c r="R1026" t="s">
        <v>7793</v>
      </c>
      <c r="S1026">
        <v>380</v>
      </c>
      <c r="T1026" t="s">
        <v>156</v>
      </c>
      <c r="U1026" t="s">
        <v>460</v>
      </c>
      <c r="V1026" t="s">
        <v>330</v>
      </c>
      <c r="W1026" t="s">
        <v>159</v>
      </c>
      <c r="X1026" t="s">
        <v>156</v>
      </c>
      <c r="Y1026" t="s">
        <v>110</v>
      </c>
      <c r="Z1026">
        <v>2838</v>
      </c>
      <c r="AA1026">
        <v>34</v>
      </c>
      <c r="AB1026">
        <v>158</v>
      </c>
      <c r="AC1026" t="s">
        <v>5070</v>
      </c>
      <c r="AD1026" t="s">
        <v>5071</v>
      </c>
      <c r="AE1026" t="s">
        <v>7788</v>
      </c>
      <c r="AF1026" t="s">
        <v>5645</v>
      </c>
      <c r="AG1026" t="s">
        <v>5646</v>
      </c>
      <c r="AH1026" t="s">
        <v>5647</v>
      </c>
      <c r="AI1026" t="s">
        <v>5071</v>
      </c>
      <c r="AJ1026" s="2">
        <v>45442.873599537037</v>
      </c>
      <c r="AK1026" t="s">
        <v>461</v>
      </c>
      <c r="AL1026" t="s">
        <v>65</v>
      </c>
      <c r="AM1026" s="3">
        <v>1.5</v>
      </c>
      <c r="AN1026" t="s">
        <v>66</v>
      </c>
      <c r="AO1026" t="s">
        <v>67</v>
      </c>
    </row>
    <row r="1027" spans="1:41" x14ac:dyDescent="0.2">
      <c r="A1027">
        <v>372619</v>
      </c>
      <c r="B1027" t="s">
        <v>7794</v>
      </c>
      <c r="C1027" t="s">
        <v>323</v>
      </c>
      <c r="D1027" t="s">
        <v>4275</v>
      </c>
      <c r="E1027" t="s">
        <v>7795</v>
      </c>
      <c r="G1027" s="1">
        <v>45844</v>
      </c>
      <c r="H1027" s="1">
        <v>45832</v>
      </c>
      <c r="I1027" s="1">
        <v>46068</v>
      </c>
      <c r="J1027" t="s">
        <v>72</v>
      </c>
      <c r="K1027" t="s">
        <v>45</v>
      </c>
      <c r="L1027" t="s">
        <v>72</v>
      </c>
      <c r="M1027" s="1">
        <v>45847</v>
      </c>
      <c r="N1027" t="s">
        <v>47</v>
      </c>
      <c r="O1027" t="s">
        <v>121</v>
      </c>
      <c r="P1027" t="s">
        <v>49</v>
      </c>
      <c r="Q1027" t="s">
        <v>7796</v>
      </c>
      <c r="R1027" t="s">
        <v>7797</v>
      </c>
      <c r="S1027">
        <v>1815</v>
      </c>
      <c r="T1027" t="s">
        <v>156</v>
      </c>
      <c r="U1027" t="s">
        <v>460</v>
      </c>
      <c r="V1027" t="s">
        <v>330</v>
      </c>
      <c r="W1027" t="s">
        <v>159</v>
      </c>
      <c r="X1027" t="s">
        <v>156</v>
      </c>
      <c r="Y1027" t="s">
        <v>110</v>
      </c>
      <c r="Z1027">
        <v>2880</v>
      </c>
      <c r="AA1027">
        <v>43</v>
      </c>
      <c r="AB1027">
        <v>166</v>
      </c>
      <c r="AC1027" t="s">
        <v>368</v>
      </c>
      <c r="AD1027" t="s">
        <v>369</v>
      </c>
      <c r="AE1027" t="s">
        <v>370</v>
      </c>
      <c r="AF1027" t="s">
        <v>5645</v>
      </c>
      <c r="AG1027" t="s">
        <v>5646</v>
      </c>
      <c r="AH1027" t="s">
        <v>5647</v>
      </c>
      <c r="AI1027" t="s">
        <v>466</v>
      </c>
      <c r="AJ1027" s="2">
        <v>45847.751851851855</v>
      </c>
      <c r="AK1027" t="s">
        <v>727</v>
      </c>
      <c r="AL1027" t="s">
        <v>65</v>
      </c>
      <c r="AM1027" s="3">
        <v>1.8958333333333333</v>
      </c>
      <c r="AN1027" t="s">
        <v>66</v>
      </c>
      <c r="AO1027" t="s">
        <v>67</v>
      </c>
    </row>
    <row r="1028" spans="1:41" x14ac:dyDescent="0.2">
      <c r="A1028">
        <v>370988</v>
      </c>
      <c r="B1028" t="s">
        <v>7798</v>
      </c>
      <c r="C1028" t="s">
        <v>42</v>
      </c>
      <c r="D1028" t="s">
        <v>43</v>
      </c>
      <c r="E1028">
        <v>83795602</v>
      </c>
      <c r="F1028">
        <v>345890</v>
      </c>
      <c r="G1028" s="1">
        <v>45684</v>
      </c>
      <c r="H1028" s="1">
        <v>45792</v>
      </c>
      <c r="I1028" s="1">
        <v>46188</v>
      </c>
      <c r="J1028" t="s">
        <v>45</v>
      </c>
      <c r="K1028" t="s">
        <v>45</v>
      </c>
      <c r="L1028" t="s">
        <v>72</v>
      </c>
      <c r="N1028" t="s">
        <v>89</v>
      </c>
      <c r="O1028" t="s">
        <v>121</v>
      </c>
      <c r="P1028" t="s">
        <v>49</v>
      </c>
      <c r="Q1028" t="s">
        <v>7799</v>
      </c>
      <c r="R1028" t="s">
        <v>7800</v>
      </c>
      <c r="S1028">
        <v>6000</v>
      </c>
      <c r="T1028" t="s">
        <v>156</v>
      </c>
      <c r="U1028" t="s">
        <v>667</v>
      </c>
      <c r="V1028" t="s">
        <v>7801</v>
      </c>
      <c r="W1028" t="s">
        <v>159</v>
      </c>
      <c r="X1028" t="s">
        <v>156</v>
      </c>
      <c r="Y1028" t="s">
        <v>125</v>
      </c>
      <c r="Z1028">
        <v>2785</v>
      </c>
      <c r="AA1028">
        <v>41</v>
      </c>
      <c r="AB1028">
        <v>158</v>
      </c>
      <c r="AC1028" t="s">
        <v>3224</v>
      </c>
      <c r="AD1028" t="s">
        <v>3225</v>
      </c>
      <c r="AE1028" t="s">
        <v>3226</v>
      </c>
      <c r="AF1028" t="s">
        <v>7694</v>
      </c>
      <c r="AG1028" t="s">
        <v>7802</v>
      </c>
      <c r="AH1028" t="s">
        <v>7803</v>
      </c>
      <c r="AI1028" t="s">
        <v>7804</v>
      </c>
      <c r="AJ1028" s="2">
        <v>45792.692916666667</v>
      </c>
      <c r="AK1028" t="s">
        <v>800</v>
      </c>
      <c r="AL1028" t="s">
        <v>65</v>
      </c>
      <c r="AM1028" s="4">
        <v>0.64583333333333337</v>
      </c>
      <c r="AN1028" t="s">
        <v>66</v>
      </c>
      <c r="AO1028" t="s">
        <v>67</v>
      </c>
    </row>
    <row r="1029" spans="1:41" x14ac:dyDescent="0.2">
      <c r="A1029">
        <v>371371</v>
      </c>
      <c r="B1029" t="s">
        <v>7805</v>
      </c>
      <c r="C1029" t="s">
        <v>118</v>
      </c>
      <c r="D1029" t="s">
        <v>1579</v>
      </c>
      <c r="E1029">
        <v>83796398</v>
      </c>
      <c r="G1029" s="1">
        <v>44020</v>
      </c>
      <c r="H1029" s="1">
        <v>45798</v>
      </c>
      <c r="I1029" s="1">
        <v>46174</v>
      </c>
      <c r="J1029" t="s">
        <v>72</v>
      </c>
      <c r="K1029" t="s">
        <v>45</v>
      </c>
      <c r="L1029" t="s">
        <v>72</v>
      </c>
      <c r="N1029" t="s">
        <v>47</v>
      </c>
      <c r="O1029" t="s">
        <v>121</v>
      </c>
      <c r="P1029" t="s">
        <v>49</v>
      </c>
      <c r="Q1029" t="s">
        <v>7806</v>
      </c>
      <c r="R1029" t="s">
        <v>7807</v>
      </c>
      <c r="S1029">
        <v>183</v>
      </c>
      <c r="T1029" t="s">
        <v>156</v>
      </c>
      <c r="U1029" t="s">
        <v>667</v>
      </c>
      <c r="V1029" t="s">
        <v>7801</v>
      </c>
      <c r="W1029" t="s">
        <v>159</v>
      </c>
      <c r="X1029" t="s">
        <v>156</v>
      </c>
      <c r="Y1029" t="s">
        <v>125</v>
      </c>
      <c r="Z1029">
        <v>2786</v>
      </c>
      <c r="AA1029">
        <v>18</v>
      </c>
      <c r="AB1029">
        <v>158</v>
      </c>
      <c r="AC1029" t="s">
        <v>5123</v>
      </c>
      <c r="AD1029" t="s">
        <v>5124</v>
      </c>
      <c r="AE1029" t="s">
        <v>5125</v>
      </c>
      <c r="AF1029" t="s">
        <v>5126</v>
      </c>
      <c r="AG1029" t="s">
        <v>5127</v>
      </c>
      <c r="AH1029" t="s">
        <v>7808</v>
      </c>
      <c r="AI1029" t="s">
        <v>3089</v>
      </c>
      <c r="AJ1029" s="2">
        <v>45806.848622685182</v>
      </c>
      <c r="AK1029" t="s">
        <v>556</v>
      </c>
      <c r="AL1029" t="s">
        <v>65</v>
      </c>
      <c r="AM1029" s="4">
        <v>0.65277777777777779</v>
      </c>
      <c r="AN1029" t="s">
        <v>66</v>
      </c>
      <c r="AO1029" t="s">
        <v>67</v>
      </c>
    </row>
    <row r="1030" spans="1:41" x14ac:dyDescent="0.2">
      <c r="A1030">
        <v>367553</v>
      </c>
      <c r="B1030" t="s">
        <v>7809</v>
      </c>
      <c r="C1030" t="s">
        <v>662</v>
      </c>
      <c r="D1030" t="s">
        <v>7810</v>
      </c>
      <c r="E1030" t="s">
        <v>7811</v>
      </c>
      <c r="F1030">
        <v>419101</v>
      </c>
      <c r="G1030" s="1">
        <v>41611</v>
      </c>
      <c r="H1030" s="1">
        <v>45548</v>
      </c>
      <c r="I1030" s="1">
        <v>45931</v>
      </c>
      <c r="J1030" t="s">
        <v>45</v>
      </c>
      <c r="K1030" t="s">
        <v>45</v>
      </c>
      <c r="L1030" t="s">
        <v>72</v>
      </c>
      <c r="M1030" s="1">
        <v>42302</v>
      </c>
      <c r="N1030" t="s">
        <v>47</v>
      </c>
      <c r="O1030" t="s">
        <v>48</v>
      </c>
      <c r="P1030" t="s">
        <v>49</v>
      </c>
      <c r="Q1030" t="s">
        <v>7812</v>
      </c>
      <c r="R1030" t="s">
        <v>7813</v>
      </c>
      <c r="S1030">
        <v>2449</v>
      </c>
      <c r="T1030" t="s">
        <v>92</v>
      </c>
      <c r="U1030" t="s">
        <v>1197</v>
      </c>
      <c r="V1030" t="s">
        <v>1198</v>
      </c>
      <c r="W1030" t="s">
        <v>1199</v>
      </c>
      <c r="X1030" t="s">
        <v>92</v>
      </c>
      <c r="Y1030" t="s">
        <v>110</v>
      </c>
      <c r="Z1030">
        <v>6428</v>
      </c>
      <c r="AA1030">
        <v>22</v>
      </c>
      <c r="AB1030">
        <v>28</v>
      </c>
      <c r="AC1030" t="s">
        <v>1200</v>
      </c>
      <c r="AD1030" t="s">
        <v>1201</v>
      </c>
      <c r="AE1030" t="s">
        <v>1202</v>
      </c>
      <c r="AF1030" t="s">
        <v>1727</v>
      </c>
      <c r="AG1030" t="s">
        <v>1728</v>
      </c>
      <c r="AH1030" t="s">
        <v>1729</v>
      </c>
      <c r="AJ1030" s="2">
        <v>45680.966458333336</v>
      </c>
      <c r="AK1030" t="s">
        <v>1727</v>
      </c>
      <c r="AL1030" t="s">
        <v>65</v>
      </c>
      <c r="AM1030" s="3">
        <v>2.125</v>
      </c>
      <c r="AN1030" t="s">
        <v>66</v>
      </c>
      <c r="AO1030" t="s">
        <v>67</v>
      </c>
    </row>
    <row r="1031" spans="1:41" x14ac:dyDescent="0.2">
      <c r="A1031">
        <v>366583</v>
      </c>
      <c r="B1031" t="s">
        <v>7814</v>
      </c>
      <c r="C1031" t="s">
        <v>558</v>
      </c>
      <c r="D1031" t="s">
        <v>1743</v>
      </c>
      <c r="E1031">
        <v>32854668</v>
      </c>
      <c r="F1031">
        <v>260108</v>
      </c>
      <c r="G1031" s="1">
        <v>37503</v>
      </c>
      <c r="H1031" s="1">
        <v>45621</v>
      </c>
      <c r="I1031" s="1">
        <v>46143</v>
      </c>
      <c r="J1031" t="s">
        <v>45</v>
      </c>
      <c r="K1031" t="s">
        <v>45</v>
      </c>
      <c r="L1031" t="s">
        <v>72</v>
      </c>
      <c r="M1031" s="1">
        <v>43002</v>
      </c>
      <c r="N1031" t="s">
        <v>47</v>
      </c>
      <c r="O1031" t="s">
        <v>48</v>
      </c>
      <c r="P1031" t="s">
        <v>49</v>
      </c>
      <c r="Q1031" t="s">
        <v>1520</v>
      </c>
      <c r="R1031" t="s">
        <v>7815</v>
      </c>
      <c r="S1031">
        <v>5610</v>
      </c>
      <c r="T1031" t="s">
        <v>52</v>
      </c>
      <c r="U1031">
        <v>4</v>
      </c>
      <c r="V1031" t="s">
        <v>1271</v>
      </c>
      <c r="W1031" t="s">
        <v>54</v>
      </c>
      <c r="X1031" t="s">
        <v>493</v>
      </c>
      <c r="Y1031" t="s">
        <v>56</v>
      </c>
      <c r="Z1031">
        <v>2052</v>
      </c>
      <c r="AA1031">
        <v>44</v>
      </c>
      <c r="AB1031">
        <v>210</v>
      </c>
      <c r="AC1031" t="s">
        <v>6520</v>
      </c>
      <c r="AD1031" t="s">
        <v>6521</v>
      </c>
      <c r="AE1031" t="s">
        <v>6522</v>
      </c>
      <c r="AF1031" t="s">
        <v>6523</v>
      </c>
      <c r="AG1031" t="s">
        <v>6524</v>
      </c>
      <c r="AH1031" t="s">
        <v>6525</v>
      </c>
      <c r="AI1031" t="s">
        <v>6526</v>
      </c>
      <c r="AJ1031" s="2">
        <v>45628.780856481484</v>
      </c>
      <c r="AK1031" t="s">
        <v>2668</v>
      </c>
      <c r="AL1031" t="s">
        <v>65</v>
      </c>
      <c r="AM1031" s="3">
        <v>2.0902777777777777</v>
      </c>
      <c r="AN1031" t="s">
        <v>66</v>
      </c>
      <c r="AO1031" t="s">
        <v>67</v>
      </c>
    </row>
    <row r="1032" spans="1:41" x14ac:dyDescent="0.2">
      <c r="A1032">
        <v>365117</v>
      </c>
      <c r="B1032" t="s">
        <v>7814</v>
      </c>
      <c r="C1032" t="s">
        <v>735</v>
      </c>
      <c r="D1032" t="s">
        <v>1050</v>
      </c>
      <c r="E1032">
        <v>32335418</v>
      </c>
      <c r="F1032">
        <v>243206</v>
      </c>
      <c r="G1032" s="1">
        <v>33756</v>
      </c>
      <c r="H1032" s="1">
        <v>45568</v>
      </c>
      <c r="I1032" s="1">
        <v>46280</v>
      </c>
      <c r="J1032" t="s">
        <v>45</v>
      </c>
      <c r="K1032" t="s">
        <v>45</v>
      </c>
      <c r="L1032" t="s">
        <v>72</v>
      </c>
      <c r="M1032" s="1">
        <v>44776</v>
      </c>
      <c r="N1032" t="s">
        <v>47</v>
      </c>
      <c r="O1032" t="s">
        <v>48</v>
      </c>
      <c r="P1032" t="s">
        <v>49</v>
      </c>
      <c r="Q1032" t="s">
        <v>7816</v>
      </c>
      <c r="R1032" t="s">
        <v>7817</v>
      </c>
      <c r="S1032">
        <v>6545</v>
      </c>
      <c r="T1032" t="s">
        <v>52</v>
      </c>
      <c r="U1032">
        <v>1</v>
      </c>
      <c r="V1032" t="s">
        <v>740</v>
      </c>
      <c r="W1032" t="s">
        <v>54</v>
      </c>
      <c r="X1032" t="s">
        <v>76</v>
      </c>
      <c r="Y1032" t="s">
        <v>56</v>
      </c>
      <c r="Z1032">
        <v>558</v>
      </c>
      <c r="AA1032">
        <v>50</v>
      </c>
      <c r="AB1032">
        <v>144</v>
      </c>
      <c r="AC1032" t="s">
        <v>7818</v>
      </c>
      <c r="AD1032" t="s">
        <v>7819</v>
      </c>
      <c r="AE1032" t="s">
        <v>7820</v>
      </c>
      <c r="AF1032" t="s">
        <v>2064</v>
      </c>
      <c r="AG1032" t="s">
        <v>2065</v>
      </c>
      <c r="AH1032" t="s">
        <v>2066</v>
      </c>
      <c r="AI1032" t="s">
        <v>7821</v>
      </c>
      <c r="AJ1032" s="2">
        <v>45569.168611111112</v>
      </c>
      <c r="AK1032" t="s">
        <v>704</v>
      </c>
      <c r="AL1032" t="s">
        <v>65</v>
      </c>
      <c r="AM1032" s="3">
        <v>1.9791666666666667</v>
      </c>
      <c r="AN1032" t="s">
        <v>66</v>
      </c>
      <c r="AO1032" t="s">
        <v>67</v>
      </c>
    </row>
    <row r="1033" spans="1:41" x14ac:dyDescent="0.2">
      <c r="A1033">
        <v>364082</v>
      </c>
      <c r="B1033" t="s">
        <v>7822</v>
      </c>
      <c r="C1033" t="s">
        <v>412</v>
      </c>
      <c r="D1033" t="s">
        <v>7823</v>
      </c>
      <c r="E1033" t="s">
        <v>7824</v>
      </c>
      <c r="F1033">
        <v>301011</v>
      </c>
      <c r="G1033" s="1">
        <v>37743</v>
      </c>
      <c r="H1033" s="1">
        <v>45475</v>
      </c>
      <c r="J1033" t="s">
        <v>45</v>
      </c>
      <c r="K1033" t="s">
        <v>72</v>
      </c>
      <c r="L1033" t="s">
        <v>72</v>
      </c>
      <c r="N1033" t="s">
        <v>47</v>
      </c>
      <c r="O1033" t="s">
        <v>48</v>
      </c>
      <c r="P1033" t="s">
        <v>49</v>
      </c>
      <c r="Q1033" t="s">
        <v>7825</v>
      </c>
      <c r="R1033" t="s">
        <v>7826</v>
      </c>
      <c r="S1033">
        <v>1100</v>
      </c>
      <c r="T1033" t="s">
        <v>92</v>
      </c>
      <c r="U1033" t="s">
        <v>417</v>
      </c>
      <c r="V1033" t="s">
        <v>418</v>
      </c>
      <c r="W1033" t="s">
        <v>419</v>
      </c>
      <c r="X1033" t="s">
        <v>92</v>
      </c>
      <c r="Y1033" t="s">
        <v>410</v>
      </c>
      <c r="Z1033">
        <v>2398</v>
      </c>
      <c r="AA1033">
        <v>37</v>
      </c>
      <c r="AB1033">
        <v>144</v>
      </c>
      <c r="AC1033" t="s">
        <v>420</v>
      </c>
      <c r="AD1033" t="s">
        <v>421</v>
      </c>
      <c r="AE1033" t="s">
        <v>422</v>
      </c>
      <c r="AF1033" t="s">
        <v>7827</v>
      </c>
      <c r="AG1033" t="s">
        <v>7828</v>
      </c>
      <c r="AH1033" t="s">
        <v>7829</v>
      </c>
      <c r="AJ1033" s="2">
        <v>45848.64607638889</v>
      </c>
      <c r="AK1033" t="s">
        <v>100</v>
      </c>
      <c r="AL1033" t="s">
        <v>65</v>
      </c>
      <c r="AM1033" s="4">
        <v>0.34027777777777779</v>
      </c>
      <c r="AN1033" t="s">
        <v>66</v>
      </c>
      <c r="AO1033" t="s">
        <v>67</v>
      </c>
    </row>
    <row r="1034" spans="1:41" x14ac:dyDescent="0.2">
      <c r="A1034">
        <v>356585</v>
      </c>
      <c r="B1034" t="s">
        <v>7830</v>
      </c>
      <c r="C1034" t="s">
        <v>197</v>
      </c>
      <c r="D1034" t="s">
        <v>7831</v>
      </c>
      <c r="G1034" s="1">
        <v>40338</v>
      </c>
      <c r="H1034" s="1">
        <v>40192</v>
      </c>
      <c r="J1034" t="s">
        <v>326</v>
      </c>
      <c r="K1034" t="s">
        <v>72</v>
      </c>
      <c r="L1034" t="s">
        <v>72</v>
      </c>
      <c r="N1034" t="s">
        <v>89</v>
      </c>
      <c r="O1034" t="s">
        <v>121</v>
      </c>
      <c r="P1034" t="s">
        <v>49</v>
      </c>
      <c r="T1034" t="s">
        <v>156</v>
      </c>
      <c r="U1034" t="s">
        <v>157</v>
      </c>
      <c r="V1034" t="s">
        <v>7832</v>
      </c>
      <c r="W1034" t="s">
        <v>159</v>
      </c>
      <c r="X1034" t="s">
        <v>156</v>
      </c>
      <c r="Y1034" t="s">
        <v>410</v>
      </c>
      <c r="Z1034">
        <v>3566</v>
      </c>
      <c r="AA1034">
        <v>3</v>
      </c>
      <c r="AC1034" t="s">
        <v>7833</v>
      </c>
      <c r="AD1034" t="s">
        <v>7834</v>
      </c>
      <c r="AE1034" t="s">
        <v>7835</v>
      </c>
      <c r="AF1034" t="s">
        <v>7836</v>
      </c>
      <c r="AG1034" t="s">
        <v>7837</v>
      </c>
      <c r="AH1034" t="s">
        <v>7838</v>
      </c>
      <c r="AI1034" t="s">
        <v>7837</v>
      </c>
      <c r="AJ1034" s="2">
        <v>45313.650960648149</v>
      </c>
      <c r="AK1034" t="s">
        <v>149</v>
      </c>
      <c r="AL1034" t="s">
        <v>475</v>
      </c>
      <c r="AM1034" s="4">
        <v>0</v>
      </c>
      <c r="AN1034" t="s">
        <v>66</v>
      </c>
      <c r="AO1034" t="s">
        <v>67</v>
      </c>
    </row>
    <row r="1035" spans="1:41" x14ac:dyDescent="0.2">
      <c r="A1035">
        <v>367786</v>
      </c>
      <c r="B1035" t="s">
        <v>7839</v>
      </c>
      <c r="C1035" t="s">
        <v>763</v>
      </c>
      <c r="D1035" t="s">
        <v>7840</v>
      </c>
      <c r="E1035" t="s">
        <v>7841</v>
      </c>
      <c r="F1035">
        <v>472901</v>
      </c>
      <c r="G1035" s="1">
        <v>44069</v>
      </c>
      <c r="H1035" s="1">
        <v>45412</v>
      </c>
      <c r="J1035" t="s">
        <v>45</v>
      </c>
      <c r="K1035" t="s">
        <v>45</v>
      </c>
      <c r="L1035" t="s">
        <v>72</v>
      </c>
      <c r="M1035" s="1">
        <v>44689</v>
      </c>
      <c r="N1035" t="s">
        <v>47</v>
      </c>
      <c r="O1035" t="s">
        <v>48</v>
      </c>
      <c r="P1035" t="s">
        <v>49</v>
      </c>
      <c r="Q1035" t="s">
        <v>7842</v>
      </c>
      <c r="R1035" t="s">
        <v>7843</v>
      </c>
      <c r="S1035">
        <v>1160</v>
      </c>
      <c r="T1035" t="s">
        <v>92</v>
      </c>
      <c r="U1035" t="s">
        <v>767</v>
      </c>
      <c r="V1035" t="s">
        <v>768</v>
      </c>
      <c r="W1035" t="s">
        <v>769</v>
      </c>
      <c r="X1035" t="s">
        <v>92</v>
      </c>
      <c r="Y1035" t="s">
        <v>770</v>
      </c>
      <c r="Z1035">
        <v>10186</v>
      </c>
      <c r="AA1035">
        <v>19</v>
      </c>
      <c r="AB1035">
        <v>76</v>
      </c>
      <c r="AC1035" t="s">
        <v>1263</v>
      </c>
      <c r="AD1035" t="s">
        <v>7844</v>
      </c>
      <c r="AE1035" t="s">
        <v>1265</v>
      </c>
      <c r="AF1035" t="s">
        <v>774</v>
      </c>
      <c r="AG1035" t="s">
        <v>775</v>
      </c>
      <c r="AH1035" t="s">
        <v>776</v>
      </c>
      <c r="AI1035" t="s">
        <v>7845</v>
      </c>
      <c r="AJ1035" s="2">
        <v>45691.642222222225</v>
      </c>
      <c r="AK1035" t="s">
        <v>1263</v>
      </c>
      <c r="AL1035" t="s">
        <v>65</v>
      </c>
      <c r="AM1035" s="4">
        <v>0.3125</v>
      </c>
      <c r="AN1035" t="s">
        <v>66</v>
      </c>
      <c r="AO1035" t="s">
        <v>67</v>
      </c>
    </row>
    <row r="1036" spans="1:41" x14ac:dyDescent="0.2">
      <c r="A1036">
        <v>363710</v>
      </c>
      <c r="B1036" t="s">
        <v>7846</v>
      </c>
      <c r="C1036" t="s">
        <v>542</v>
      </c>
      <c r="D1036" t="s">
        <v>1967</v>
      </c>
      <c r="E1036" t="s">
        <v>7847</v>
      </c>
      <c r="F1036">
        <v>360271</v>
      </c>
      <c r="G1036" s="1">
        <v>39282</v>
      </c>
      <c r="H1036" s="1">
        <v>45520</v>
      </c>
      <c r="J1036" t="s">
        <v>45</v>
      </c>
      <c r="K1036" t="s">
        <v>45</v>
      </c>
      <c r="L1036" t="s">
        <v>72</v>
      </c>
      <c r="M1036" s="1">
        <v>44340</v>
      </c>
      <c r="N1036" t="s">
        <v>47</v>
      </c>
      <c r="O1036" t="s">
        <v>48</v>
      </c>
      <c r="P1036" t="s">
        <v>49</v>
      </c>
      <c r="Q1036" t="s">
        <v>7848</v>
      </c>
      <c r="R1036" t="s">
        <v>7849</v>
      </c>
      <c r="S1036">
        <v>1644</v>
      </c>
      <c r="T1036" t="s">
        <v>92</v>
      </c>
      <c r="U1036" t="s">
        <v>1133</v>
      </c>
      <c r="V1036" t="s">
        <v>1134</v>
      </c>
      <c r="W1036" t="s">
        <v>1135</v>
      </c>
      <c r="X1036" t="s">
        <v>92</v>
      </c>
      <c r="Y1036" t="s">
        <v>770</v>
      </c>
      <c r="Z1036">
        <v>2931</v>
      </c>
      <c r="AA1036">
        <v>27</v>
      </c>
      <c r="AB1036">
        <v>141</v>
      </c>
      <c r="AC1036" t="s">
        <v>1136</v>
      </c>
      <c r="AD1036" t="s">
        <v>1137</v>
      </c>
      <c r="AE1036" t="s">
        <v>1964</v>
      </c>
      <c r="AI1036" t="s">
        <v>1137</v>
      </c>
      <c r="AJ1036" s="2">
        <v>45520.78979166667</v>
      </c>
      <c r="AK1036" t="s">
        <v>1136</v>
      </c>
      <c r="AL1036" t="s">
        <v>65</v>
      </c>
      <c r="AM1036" s="4">
        <v>0.35902777777777778</v>
      </c>
      <c r="AN1036" t="s">
        <v>66</v>
      </c>
      <c r="AO1036" t="s">
        <v>101</v>
      </c>
    </row>
    <row r="1037" spans="1:41" x14ac:dyDescent="0.2">
      <c r="A1037">
        <v>372901</v>
      </c>
      <c r="B1037" t="s">
        <v>7850</v>
      </c>
      <c r="C1037" t="s">
        <v>69</v>
      </c>
      <c r="D1037" t="s">
        <v>1927</v>
      </c>
      <c r="E1037" t="s">
        <v>7851</v>
      </c>
      <c r="F1037">
        <v>102106</v>
      </c>
      <c r="G1037" s="1">
        <v>32490</v>
      </c>
      <c r="H1037" s="1">
        <v>45834</v>
      </c>
      <c r="I1037" s="1">
        <v>46188</v>
      </c>
      <c r="J1037" t="s">
        <v>45</v>
      </c>
      <c r="K1037" t="s">
        <v>45</v>
      </c>
      <c r="L1037" t="s">
        <v>429</v>
      </c>
      <c r="M1037" s="1">
        <v>42081</v>
      </c>
      <c r="N1037" t="s">
        <v>47</v>
      </c>
      <c r="O1037" t="s">
        <v>48</v>
      </c>
      <c r="P1037" t="s">
        <v>49</v>
      </c>
      <c r="Q1037" t="s">
        <v>7852</v>
      </c>
      <c r="R1037" t="s">
        <v>7853</v>
      </c>
      <c r="S1037">
        <v>5775</v>
      </c>
      <c r="T1037" t="s">
        <v>365</v>
      </c>
      <c r="U1037" t="s">
        <v>532</v>
      </c>
      <c r="V1037" t="s">
        <v>936</v>
      </c>
      <c r="W1037" t="s">
        <v>367</v>
      </c>
      <c r="X1037" t="s">
        <v>76</v>
      </c>
      <c r="Y1037" t="s">
        <v>434</v>
      </c>
      <c r="Z1037">
        <v>170</v>
      </c>
      <c r="AA1037">
        <v>61</v>
      </c>
      <c r="AB1037">
        <v>158</v>
      </c>
      <c r="AC1037" t="s">
        <v>937</v>
      </c>
      <c r="AD1037" t="s">
        <v>938</v>
      </c>
      <c r="AE1037" t="s">
        <v>939</v>
      </c>
      <c r="AF1037" t="s">
        <v>7854</v>
      </c>
      <c r="AH1037" t="s">
        <v>7855</v>
      </c>
      <c r="AI1037" t="s">
        <v>179</v>
      </c>
      <c r="AJ1037" s="2">
        <v>45855.878969907404</v>
      </c>
      <c r="AK1037" t="s">
        <v>556</v>
      </c>
      <c r="AL1037" t="s">
        <v>65</v>
      </c>
      <c r="AM1037" s="4">
        <v>0.96527777777777779</v>
      </c>
      <c r="AN1037" t="s">
        <v>66</v>
      </c>
      <c r="AO1037" t="s">
        <v>67</v>
      </c>
    </row>
    <row r="1038" spans="1:41" x14ac:dyDescent="0.2">
      <c r="A1038">
        <v>368945</v>
      </c>
      <c r="B1038" t="s">
        <v>7856</v>
      </c>
      <c r="C1038" t="s">
        <v>182</v>
      </c>
      <c r="D1038" t="s">
        <v>4261</v>
      </c>
      <c r="E1038" t="s">
        <v>7857</v>
      </c>
      <c r="F1038">
        <v>40102</v>
      </c>
      <c r="G1038" s="1">
        <v>34288</v>
      </c>
      <c r="H1038" s="1">
        <v>45553</v>
      </c>
      <c r="I1038" s="1">
        <v>46188</v>
      </c>
      <c r="J1038" t="s">
        <v>45</v>
      </c>
      <c r="K1038" t="s">
        <v>45</v>
      </c>
      <c r="L1038" t="s">
        <v>429</v>
      </c>
      <c r="M1038" s="1">
        <v>44781</v>
      </c>
      <c r="N1038" t="s">
        <v>47</v>
      </c>
      <c r="O1038" t="s">
        <v>48</v>
      </c>
      <c r="P1038" t="s">
        <v>49</v>
      </c>
      <c r="Q1038" t="s">
        <v>7858</v>
      </c>
      <c r="R1038" t="s">
        <v>7859</v>
      </c>
      <c r="S1038">
        <v>452</v>
      </c>
      <c r="T1038" t="s">
        <v>52</v>
      </c>
      <c r="U1038">
        <v>5</v>
      </c>
      <c r="V1038" t="s">
        <v>3513</v>
      </c>
      <c r="W1038" t="s">
        <v>54</v>
      </c>
      <c r="X1038" t="s">
        <v>493</v>
      </c>
      <c r="Y1038" t="s">
        <v>434</v>
      </c>
      <c r="Z1038">
        <v>742</v>
      </c>
      <c r="AA1038">
        <v>72</v>
      </c>
      <c r="AB1038">
        <v>66</v>
      </c>
      <c r="AC1038" t="s">
        <v>4265</v>
      </c>
      <c r="AD1038" t="s">
        <v>4266</v>
      </c>
      <c r="AE1038" t="s">
        <v>4267</v>
      </c>
      <c r="AF1038" t="s">
        <v>3517</v>
      </c>
      <c r="AG1038" t="s">
        <v>3518</v>
      </c>
      <c r="AH1038" t="s">
        <v>3519</v>
      </c>
      <c r="AI1038" t="s">
        <v>4268</v>
      </c>
      <c r="AJ1038" s="2">
        <v>45722.920439814814</v>
      </c>
      <c r="AK1038" t="s">
        <v>501</v>
      </c>
      <c r="AL1038" t="s">
        <v>65</v>
      </c>
      <c r="AM1038" s="3">
        <v>2.1041666666666665</v>
      </c>
      <c r="AN1038" t="s">
        <v>66</v>
      </c>
      <c r="AO1038" t="s">
        <v>67</v>
      </c>
    </row>
    <row r="1039" spans="1:41" x14ac:dyDescent="0.2">
      <c r="A1039">
        <v>372627</v>
      </c>
      <c r="B1039" t="s">
        <v>7860</v>
      </c>
      <c r="C1039" t="s">
        <v>323</v>
      </c>
      <c r="E1039">
        <v>39608018</v>
      </c>
      <c r="G1039" s="1">
        <v>38539</v>
      </c>
      <c r="H1039" s="1">
        <v>45838</v>
      </c>
      <c r="J1039" t="s">
        <v>72</v>
      </c>
      <c r="K1039" t="s">
        <v>326</v>
      </c>
      <c r="L1039" t="s">
        <v>72</v>
      </c>
      <c r="N1039" t="s">
        <v>47</v>
      </c>
      <c r="O1039" t="s">
        <v>48</v>
      </c>
      <c r="P1039" t="s">
        <v>406</v>
      </c>
      <c r="Q1039" t="s">
        <v>7861</v>
      </c>
      <c r="R1039" t="s">
        <v>7862</v>
      </c>
      <c r="S1039">
        <v>4060</v>
      </c>
      <c r="T1039" t="s">
        <v>257</v>
      </c>
      <c r="U1039" t="s">
        <v>329</v>
      </c>
      <c r="V1039" t="s">
        <v>4982</v>
      </c>
      <c r="W1039" t="s">
        <v>3303</v>
      </c>
      <c r="X1039" t="s">
        <v>257</v>
      </c>
      <c r="Y1039" t="s">
        <v>642</v>
      </c>
      <c r="Z1039">
        <v>2760</v>
      </c>
      <c r="AA1039">
        <v>39</v>
      </c>
      <c r="AB1039">
        <v>172</v>
      </c>
      <c r="AC1039" t="s">
        <v>5079</v>
      </c>
      <c r="AD1039" t="s">
        <v>1165</v>
      </c>
      <c r="AE1039" t="s">
        <v>1166</v>
      </c>
      <c r="AF1039" t="s">
        <v>4983</v>
      </c>
      <c r="AG1039" t="s">
        <v>4984</v>
      </c>
      <c r="AH1039" t="s">
        <v>4985</v>
      </c>
      <c r="AJ1039" s="2">
        <v>45847.91783564815</v>
      </c>
      <c r="AK1039" t="s">
        <v>1164</v>
      </c>
      <c r="AL1039" t="s">
        <v>1168</v>
      </c>
      <c r="AM1039" s="3">
        <v>1.4097222222222223</v>
      </c>
      <c r="AN1039" t="s">
        <v>66</v>
      </c>
      <c r="AO1039" t="s">
        <v>67</v>
      </c>
    </row>
    <row r="1040" spans="1:41" x14ac:dyDescent="0.2">
      <c r="A1040">
        <v>371316</v>
      </c>
      <c r="B1040" t="s">
        <v>7863</v>
      </c>
      <c r="C1040" t="s">
        <v>735</v>
      </c>
      <c r="D1040" t="s">
        <v>2158</v>
      </c>
      <c r="E1040" t="s">
        <v>7864</v>
      </c>
      <c r="F1040">
        <v>241909</v>
      </c>
      <c r="G1040" s="1">
        <v>45799</v>
      </c>
      <c r="H1040" s="1">
        <v>45799</v>
      </c>
      <c r="I1040" s="1">
        <v>46096</v>
      </c>
      <c r="J1040" t="s">
        <v>45</v>
      </c>
      <c r="K1040" t="s">
        <v>45</v>
      </c>
      <c r="L1040" t="s">
        <v>72</v>
      </c>
      <c r="M1040" s="1">
        <v>41795</v>
      </c>
      <c r="N1040" t="s">
        <v>47</v>
      </c>
      <c r="O1040" t="s">
        <v>48</v>
      </c>
      <c r="P1040" t="s">
        <v>49</v>
      </c>
      <c r="Q1040" t="s">
        <v>7865</v>
      </c>
      <c r="R1040" t="s">
        <v>7866</v>
      </c>
      <c r="S1040">
        <v>5400</v>
      </c>
      <c r="T1040" t="s">
        <v>52</v>
      </c>
      <c r="U1040">
        <v>1</v>
      </c>
      <c r="V1040" t="s">
        <v>2162</v>
      </c>
      <c r="W1040" t="s">
        <v>54</v>
      </c>
      <c r="X1040" t="s">
        <v>52</v>
      </c>
      <c r="Y1040" t="s">
        <v>110</v>
      </c>
      <c r="Z1040">
        <v>555</v>
      </c>
      <c r="AA1040">
        <v>79</v>
      </c>
      <c r="AB1040">
        <v>158</v>
      </c>
      <c r="AC1040" t="s">
        <v>2163</v>
      </c>
      <c r="AD1040" t="s">
        <v>2164</v>
      </c>
      <c r="AE1040" t="s">
        <v>2165</v>
      </c>
      <c r="AF1040" t="s">
        <v>7867</v>
      </c>
      <c r="AG1040" t="s">
        <v>2167</v>
      </c>
      <c r="AH1040" t="s">
        <v>2168</v>
      </c>
      <c r="AI1040" t="s">
        <v>2169</v>
      </c>
      <c r="AJ1040" s="2">
        <v>45804.856238425928</v>
      </c>
      <c r="AK1040" t="s">
        <v>7868</v>
      </c>
      <c r="AL1040" t="s">
        <v>65</v>
      </c>
      <c r="AM1040" s="4">
        <v>0.4513888888888889</v>
      </c>
      <c r="AN1040" t="s">
        <v>66</v>
      </c>
      <c r="AO1040" t="s">
        <v>67</v>
      </c>
    </row>
    <row r="1041" spans="1:41" x14ac:dyDescent="0.2">
      <c r="A1041">
        <v>370196</v>
      </c>
      <c r="B1041" t="s">
        <v>7869</v>
      </c>
      <c r="C1041" t="s">
        <v>182</v>
      </c>
      <c r="D1041" t="s">
        <v>4421</v>
      </c>
      <c r="E1041" t="s">
        <v>7870</v>
      </c>
      <c r="F1041">
        <v>45227</v>
      </c>
      <c r="G1041" s="1">
        <v>43131</v>
      </c>
      <c r="H1041" s="1">
        <v>45636</v>
      </c>
      <c r="I1041" s="1">
        <v>45992</v>
      </c>
      <c r="J1041" t="s">
        <v>45</v>
      </c>
      <c r="K1041" t="s">
        <v>45</v>
      </c>
      <c r="L1041" t="s">
        <v>72</v>
      </c>
      <c r="M1041" s="1">
        <v>45761</v>
      </c>
      <c r="N1041" t="s">
        <v>47</v>
      </c>
      <c r="O1041" t="s">
        <v>48</v>
      </c>
      <c r="P1041" t="s">
        <v>49</v>
      </c>
      <c r="Q1041" t="s">
        <v>7871</v>
      </c>
      <c r="R1041" t="s">
        <v>7872</v>
      </c>
      <c r="S1041">
        <v>878</v>
      </c>
      <c r="T1041" t="s">
        <v>92</v>
      </c>
      <c r="U1041" t="s">
        <v>187</v>
      </c>
      <c r="V1041" t="s">
        <v>4425</v>
      </c>
      <c r="W1041" t="s">
        <v>4426</v>
      </c>
      <c r="X1041" t="s">
        <v>92</v>
      </c>
      <c r="Y1041" t="s">
        <v>110</v>
      </c>
      <c r="Z1041">
        <v>8806</v>
      </c>
      <c r="AA1041">
        <v>18</v>
      </c>
      <c r="AB1041">
        <v>78</v>
      </c>
      <c r="AC1041" t="s">
        <v>4427</v>
      </c>
      <c r="AD1041" t="s">
        <v>4428</v>
      </c>
      <c r="AE1041" t="s">
        <v>4429</v>
      </c>
      <c r="AF1041" t="s">
        <v>4430</v>
      </c>
      <c r="AG1041" t="s">
        <v>4431</v>
      </c>
      <c r="AH1041" t="s">
        <v>4432</v>
      </c>
      <c r="AI1041" t="s">
        <v>4433</v>
      </c>
      <c r="AJ1041" s="2">
        <v>45847.727812500001</v>
      </c>
      <c r="AK1041" t="s">
        <v>4427</v>
      </c>
      <c r="AL1041" t="s">
        <v>65</v>
      </c>
      <c r="AM1041" s="4">
        <v>0.3888888888888889</v>
      </c>
      <c r="AN1041" t="s">
        <v>66</v>
      </c>
      <c r="AO1041" t="s">
        <v>67</v>
      </c>
    </row>
    <row r="1042" spans="1:41" x14ac:dyDescent="0.2">
      <c r="A1042">
        <v>367362</v>
      </c>
      <c r="B1042" t="s">
        <v>7873</v>
      </c>
      <c r="C1042" t="s">
        <v>831</v>
      </c>
      <c r="E1042" t="s">
        <v>7874</v>
      </c>
      <c r="F1042">
        <v>449801</v>
      </c>
      <c r="G1042" s="1">
        <v>36740</v>
      </c>
      <c r="H1042" s="1">
        <v>45672</v>
      </c>
      <c r="I1042" s="1">
        <v>46037</v>
      </c>
      <c r="J1042" t="s">
        <v>45</v>
      </c>
      <c r="K1042" t="s">
        <v>45</v>
      </c>
      <c r="L1042" t="s">
        <v>72</v>
      </c>
      <c r="N1042" t="s">
        <v>47</v>
      </c>
      <c r="O1042" t="s">
        <v>48</v>
      </c>
      <c r="P1042" t="s">
        <v>49</v>
      </c>
      <c r="Q1042" t="s">
        <v>7875</v>
      </c>
      <c r="R1042" t="s">
        <v>7876</v>
      </c>
      <c r="S1042">
        <v>38</v>
      </c>
      <c r="T1042" t="s">
        <v>156</v>
      </c>
      <c r="U1042" t="s">
        <v>1446</v>
      </c>
      <c r="V1042" t="s">
        <v>7877</v>
      </c>
      <c r="W1042" t="s">
        <v>159</v>
      </c>
      <c r="X1042" t="s">
        <v>156</v>
      </c>
      <c r="Y1042" t="s">
        <v>110</v>
      </c>
      <c r="Z1042">
        <v>1798</v>
      </c>
      <c r="AA1042">
        <v>40</v>
      </c>
      <c r="AB1042">
        <v>45</v>
      </c>
      <c r="AC1042" t="s">
        <v>1448</v>
      </c>
      <c r="AD1042" t="s">
        <v>1449</v>
      </c>
      <c r="AE1042" t="s">
        <v>1450</v>
      </c>
      <c r="AF1042" t="s">
        <v>1455</v>
      </c>
      <c r="AG1042" t="s">
        <v>7878</v>
      </c>
      <c r="AH1042" t="s">
        <v>7879</v>
      </c>
      <c r="AI1042" t="s">
        <v>1454</v>
      </c>
      <c r="AJ1042" s="2">
        <v>45672.821030092593</v>
      </c>
      <c r="AK1042" t="s">
        <v>1455</v>
      </c>
      <c r="AL1042" t="s">
        <v>65</v>
      </c>
      <c r="AM1042" s="3">
        <v>2.2847222222222223</v>
      </c>
      <c r="AN1042" t="s">
        <v>66</v>
      </c>
      <c r="AO1042" t="s">
        <v>101</v>
      </c>
    </row>
    <row r="1043" spans="1:41" x14ac:dyDescent="0.2">
      <c r="A1043">
        <v>372059</v>
      </c>
      <c r="B1043" t="s">
        <v>7880</v>
      </c>
      <c r="C1043" t="s">
        <v>831</v>
      </c>
      <c r="D1043" t="s">
        <v>2910</v>
      </c>
      <c r="E1043" t="s">
        <v>7881</v>
      </c>
      <c r="F1043">
        <v>448090</v>
      </c>
      <c r="G1043" s="1">
        <v>45706</v>
      </c>
      <c r="H1043" s="1">
        <v>45670</v>
      </c>
      <c r="I1043" s="1">
        <v>46006</v>
      </c>
      <c r="J1043" t="s">
        <v>45</v>
      </c>
      <c r="K1043" t="s">
        <v>45</v>
      </c>
      <c r="L1043" t="s">
        <v>72</v>
      </c>
      <c r="M1043" s="1">
        <v>41282</v>
      </c>
      <c r="N1043" t="s">
        <v>89</v>
      </c>
      <c r="O1043" t="s">
        <v>121</v>
      </c>
      <c r="P1043" t="s">
        <v>49</v>
      </c>
      <c r="Q1043" t="s">
        <v>7882</v>
      </c>
      <c r="R1043" t="s">
        <v>7883</v>
      </c>
      <c r="S1043">
        <v>112</v>
      </c>
      <c r="T1043" t="s">
        <v>156</v>
      </c>
      <c r="U1043" t="s">
        <v>1446</v>
      </c>
      <c r="V1043" t="s">
        <v>7877</v>
      </c>
      <c r="W1043" t="s">
        <v>159</v>
      </c>
      <c r="X1043" t="s">
        <v>156</v>
      </c>
      <c r="Y1043" t="s">
        <v>125</v>
      </c>
      <c r="Z1043">
        <v>2788</v>
      </c>
      <c r="AA1043">
        <v>87</v>
      </c>
      <c r="AB1043">
        <v>45</v>
      </c>
      <c r="AC1043" t="s">
        <v>1448</v>
      </c>
      <c r="AD1043" t="s">
        <v>1449</v>
      </c>
      <c r="AE1043" t="s">
        <v>1450</v>
      </c>
      <c r="AF1043" t="s">
        <v>1455</v>
      </c>
      <c r="AG1043" t="s">
        <v>7878</v>
      </c>
      <c r="AH1043" t="s">
        <v>7879</v>
      </c>
      <c r="AI1043" t="s">
        <v>1454</v>
      </c>
      <c r="AJ1043" s="2">
        <v>45828.606793981482</v>
      </c>
      <c r="AK1043" t="s">
        <v>375</v>
      </c>
      <c r="AL1043" t="s">
        <v>65</v>
      </c>
      <c r="AM1043" s="3">
        <v>1.75</v>
      </c>
      <c r="AN1043" t="s">
        <v>66</v>
      </c>
      <c r="AO1043" t="s">
        <v>101</v>
      </c>
    </row>
    <row r="1044" spans="1:41" x14ac:dyDescent="0.2">
      <c r="A1044">
        <v>371337</v>
      </c>
      <c r="B1044" t="s">
        <v>7884</v>
      </c>
      <c r="C1044" t="s">
        <v>167</v>
      </c>
      <c r="D1044" t="s">
        <v>4132</v>
      </c>
      <c r="E1044" t="s">
        <v>7885</v>
      </c>
      <c r="F1044">
        <v>351814</v>
      </c>
      <c r="G1044" s="1">
        <v>38338</v>
      </c>
      <c r="H1044" s="1">
        <v>45796</v>
      </c>
      <c r="I1044" s="1">
        <v>46143</v>
      </c>
      <c r="J1044" t="s">
        <v>45</v>
      </c>
      <c r="K1044" t="s">
        <v>45</v>
      </c>
      <c r="L1044" t="s">
        <v>72</v>
      </c>
      <c r="N1044" t="s">
        <v>47</v>
      </c>
      <c r="O1044" t="s">
        <v>48</v>
      </c>
      <c r="P1044" t="s">
        <v>49</v>
      </c>
      <c r="Q1044" t="s">
        <v>7886</v>
      </c>
      <c r="R1044" t="s">
        <v>7887</v>
      </c>
      <c r="S1044">
        <v>860</v>
      </c>
      <c r="T1044" t="s">
        <v>92</v>
      </c>
      <c r="U1044" t="s">
        <v>3030</v>
      </c>
      <c r="V1044" t="s">
        <v>3031</v>
      </c>
      <c r="W1044" t="s">
        <v>3032</v>
      </c>
      <c r="X1044" t="s">
        <v>52</v>
      </c>
      <c r="Y1044" t="s">
        <v>110</v>
      </c>
      <c r="Z1044">
        <v>2514</v>
      </c>
      <c r="AA1044">
        <v>32</v>
      </c>
      <c r="AB1044">
        <v>144</v>
      </c>
      <c r="AC1044" t="s">
        <v>4828</v>
      </c>
      <c r="AD1044" t="s">
        <v>4829</v>
      </c>
      <c r="AE1044" t="s">
        <v>4830</v>
      </c>
      <c r="AF1044" t="s">
        <v>7888</v>
      </c>
      <c r="AG1044" t="s">
        <v>4832</v>
      </c>
      <c r="AH1044" t="s">
        <v>4833</v>
      </c>
      <c r="AI1044" t="s">
        <v>4829</v>
      </c>
      <c r="AJ1044" s="2">
        <v>45805.734224537038</v>
      </c>
      <c r="AK1044" t="s">
        <v>4828</v>
      </c>
      <c r="AL1044" t="s">
        <v>65</v>
      </c>
      <c r="AM1044" s="4">
        <v>0.35416666666666669</v>
      </c>
      <c r="AN1044" t="s">
        <v>66</v>
      </c>
      <c r="AO1044" t="s">
        <v>67</v>
      </c>
    </row>
    <row r="1045" spans="1:41" x14ac:dyDescent="0.2">
      <c r="A1045">
        <v>371551</v>
      </c>
      <c r="B1045" t="s">
        <v>7889</v>
      </c>
      <c r="C1045" t="s">
        <v>323</v>
      </c>
      <c r="D1045" t="s">
        <v>339</v>
      </c>
      <c r="E1045">
        <v>33910664</v>
      </c>
      <c r="F1045">
        <v>500748</v>
      </c>
      <c r="G1045" s="1">
        <v>36376</v>
      </c>
      <c r="H1045" s="1">
        <v>45772</v>
      </c>
      <c r="I1045" s="1">
        <v>46037</v>
      </c>
      <c r="J1045" t="s">
        <v>45</v>
      </c>
      <c r="K1045" t="s">
        <v>45</v>
      </c>
      <c r="L1045" t="s">
        <v>72</v>
      </c>
      <c r="M1045" s="1">
        <v>45444</v>
      </c>
      <c r="N1045" t="s">
        <v>47</v>
      </c>
      <c r="O1045" t="s">
        <v>48</v>
      </c>
      <c r="P1045" t="s">
        <v>49</v>
      </c>
      <c r="Q1045" t="s">
        <v>7890</v>
      </c>
      <c r="R1045" t="s">
        <v>7891</v>
      </c>
      <c r="S1045">
        <v>1525</v>
      </c>
      <c r="T1045" t="s">
        <v>92</v>
      </c>
      <c r="U1045" t="s">
        <v>329</v>
      </c>
      <c r="V1045" t="s">
        <v>722</v>
      </c>
      <c r="W1045" t="s">
        <v>723</v>
      </c>
      <c r="X1045" t="s">
        <v>76</v>
      </c>
      <c r="Y1045" t="s">
        <v>110</v>
      </c>
      <c r="Z1045">
        <v>1639</v>
      </c>
      <c r="AA1045">
        <v>41</v>
      </c>
      <c r="AB1045">
        <v>152</v>
      </c>
      <c r="AC1045" t="s">
        <v>368</v>
      </c>
      <c r="AD1045" t="s">
        <v>369</v>
      </c>
      <c r="AE1045" t="s">
        <v>370</v>
      </c>
      <c r="AF1045" t="s">
        <v>4279</v>
      </c>
      <c r="AG1045" t="s">
        <v>725</v>
      </c>
      <c r="AH1045" t="s">
        <v>726</v>
      </c>
      <c r="AJ1045" s="2">
        <v>45814.864872685182</v>
      </c>
      <c r="AK1045" t="s">
        <v>727</v>
      </c>
      <c r="AL1045" t="s">
        <v>65</v>
      </c>
      <c r="AM1045" s="3">
        <v>2.1666666666666665</v>
      </c>
      <c r="AN1045" t="s">
        <v>66</v>
      </c>
      <c r="AO1045" t="s">
        <v>67</v>
      </c>
    </row>
    <row r="1046" spans="1:41" x14ac:dyDescent="0.2">
      <c r="A1046">
        <v>371295</v>
      </c>
      <c r="B1046" t="s">
        <v>7892</v>
      </c>
      <c r="C1046" t="s">
        <v>662</v>
      </c>
      <c r="D1046" t="s">
        <v>7893</v>
      </c>
      <c r="E1046" t="s">
        <v>7894</v>
      </c>
      <c r="F1046">
        <v>418201</v>
      </c>
      <c r="G1046" s="1">
        <v>37372</v>
      </c>
      <c r="H1046" s="1">
        <v>45784</v>
      </c>
      <c r="I1046" s="1">
        <v>46127</v>
      </c>
      <c r="J1046" t="s">
        <v>45</v>
      </c>
      <c r="K1046" t="s">
        <v>45</v>
      </c>
      <c r="L1046" t="s">
        <v>72</v>
      </c>
      <c r="M1046" s="1">
        <v>42601</v>
      </c>
      <c r="N1046" t="s">
        <v>47</v>
      </c>
      <c r="O1046" t="s">
        <v>48</v>
      </c>
      <c r="P1046" t="s">
        <v>49</v>
      </c>
      <c r="Q1046" t="s">
        <v>7895</v>
      </c>
      <c r="R1046" t="s">
        <v>7896</v>
      </c>
      <c r="S1046">
        <v>238</v>
      </c>
      <c r="T1046" t="s">
        <v>92</v>
      </c>
      <c r="U1046" t="s">
        <v>1197</v>
      </c>
      <c r="V1046" t="s">
        <v>1198</v>
      </c>
      <c r="W1046" t="s">
        <v>1199</v>
      </c>
      <c r="X1046" t="s">
        <v>52</v>
      </c>
      <c r="Y1046" t="s">
        <v>110</v>
      </c>
      <c r="Z1046">
        <v>2124</v>
      </c>
      <c r="AA1046">
        <v>42</v>
      </c>
      <c r="AB1046">
        <v>158</v>
      </c>
      <c r="AC1046" t="s">
        <v>1200</v>
      </c>
      <c r="AD1046" t="s">
        <v>1201</v>
      </c>
      <c r="AE1046" t="s">
        <v>1202</v>
      </c>
      <c r="AF1046" t="s">
        <v>1786</v>
      </c>
      <c r="AG1046" t="s">
        <v>1787</v>
      </c>
      <c r="AH1046" t="s">
        <v>1788</v>
      </c>
      <c r="AJ1046" s="2">
        <v>45804.690127314818</v>
      </c>
      <c r="AK1046" t="s">
        <v>1786</v>
      </c>
      <c r="AL1046" t="s">
        <v>65</v>
      </c>
      <c r="AM1046" s="4">
        <v>0.28472222222222221</v>
      </c>
      <c r="AN1046" t="s">
        <v>66</v>
      </c>
      <c r="AO1046" t="s">
        <v>67</v>
      </c>
    </row>
    <row r="1047" spans="1:41" x14ac:dyDescent="0.2">
      <c r="A1047">
        <v>372902</v>
      </c>
      <c r="B1047" t="s">
        <v>7897</v>
      </c>
      <c r="C1047" t="s">
        <v>167</v>
      </c>
      <c r="D1047" t="s">
        <v>2702</v>
      </c>
      <c r="E1047" t="s">
        <v>7898</v>
      </c>
      <c r="F1047">
        <v>353328</v>
      </c>
      <c r="G1047" s="1">
        <v>30509</v>
      </c>
      <c r="H1047" s="1">
        <v>45812</v>
      </c>
      <c r="I1047" s="1">
        <v>46143</v>
      </c>
      <c r="J1047" t="s">
        <v>45</v>
      </c>
      <c r="K1047" t="s">
        <v>45</v>
      </c>
      <c r="L1047" t="s">
        <v>429</v>
      </c>
      <c r="M1047" s="1">
        <v>45185</v>
      </c>
      <c r="N1047" t="s">
        <v>47</v>
      </c>
      <c r="O1047" t="s">
        <v>48</v>
      </c>
      <c r="P1047" t="s">
        <v>49</v>
      </c>
      <c r="Q1047" t="s">
        <v>7899</v>
      </c>
      <c r="R1047" t="s">
        <v>7900</v>
      </c>
      <c r="S1047">
        <v>4950</v>
      </c>
      <c r="T1047" t="s">
        <v>365</v>
      </c>
      <c r="U1047" t="s">
        <v>562</v>
      </c>
      <c r="V1047" t="s">
        <v>5324</v>
      </c>
      <c r="W1047" t="s">
        <v>367</v>
      </c>
      <c r="X1047" t="s">
        <v>76</v>
      </c>
      <c r="Y1047" t="s">
        <v>434</v>
      </c>
      <c r="Z1047">
        <v>304</v>
      </c>
      <c r="AA1047">
        <v>56</v>
      </c>
      <c r="AB1047">
        <v>166</v>
      </c>
      <c r="AC1047" t="s">
        <v>4117</v>
      </c>
      <c r="AD1047" t="s">
        <v>4118</v>
      </c>
      <c r="AE1047" t="s">
        <v>4119</v>
      </c>
      <c r="AF1047" t="s">
        <v>4120</v>
      </c>
      <c r="AG1047" t="s">
        <v>4121</v>
      </c>
      <c r="AH1047" t="s">
        <v>4122</v>
      </c>
      <c r="AI1047" t="s">
        <v>500</v>
      </c>
      <c r="AJ1047" s="2">
        <v>45855.881342592591</v>
      </c>
      <c r="AK1047" t="s">
        <v>556</v>
      </c>
      <c r="AL1047" t="s">
        <v>65</v>
      </c>
      <c r="AM1047" s="3">
        <v>1.875</v>
      </c>
      <c r="AN1047" t="s">
        <v>66</v>
      </c>
      <c r="AO1047" t="s">
        <v>67</v>
      </c>
    </row>
    <row r="1048" spans="1:41" x14ac:dyDescent="0.2">
      <c r="A1048">
        <v>372445</v>
      </c>
      <c r="B1048" t="s">
        <v>7901</v>
      </c>
      <c r="C1048" t="s">
        <v>558</v>
      </c>
      <c r="D1048" t="s">
        <v>468</v>
      </c>
      <c r="E1048">
        <v>32349332</v>
      </c>
      <c r="F1048">
        <v>260209</v>
      </c>
      <c r="G1048" s="1">
        <v>45071</v>
      </c>
      <c r="H1048" s="1">
        <v>45507</v>
      </c>
      <c r="I1048" s="1">
        <v>45931</v>
      </c>
      <c r="J1048" t="s">
        <v>45</v>
      </c>
      <c r="K1048" t="s">
        <v>45</v>
      </c>
      <c r="L1048" t="s">
        <v>46</v>
      </c>
      <c r="M1048" s="1">
        <v>44575</v>
      </c>
      <c r="N1048" t="s">
        <v>47</v>
      </c>
      <c r="O1048" t="s">
        <v>48</v>
      </c>
      <c r="P1048" t="s">
        <v>49</v>
      </c>
      <c r="Q1048" t="s">
        <v>7902</v>
      </c>
      <c r="R1048" t="s">
        <v>7903</v>
      </c>
      <c r="S1048">
        <v>4789</v>
      </c>
      <c r="T1048" t="s">
        <v>365</v>
      </c>
      <c r="U1048" t="s">
        <v>562</v>
      </c>
      <c r="V1048" t="s">
        <v>2987</v>
      </c>
      <c r="W1048" t="s">
        <v>367</v>
      </c>
      <c r="X1048" t="s">
        <v>76</v>
      </c>
      <c r="Y1048" t="s">
        <v>434</v>
      </c>
      <c r="Z1048">
        <v>9466</v>
      </c>
      <c r="AA1048">
        <v>23</v>
      </c>
      <c r="AB1048">
        <v>174</v>
      </c>
      <c r="AC1048" t="s">
        <v>1882</v>
      </c>
      <c r="AD1048" t="s">
        <v>1883</v>
      </c>
      <c r="AE1048" t="s">
        <v>2988</v>
      </c>
      <c r="AF1048" t="s">
        <v>2989</v>
      </c>
      <c r="AG1048" t="s">
        <v>2990</v>
      </c>
      <c r="AH1048" t="s">
        <v>2991</v>
      </c>
      <c r="AI1048" t="s">
        <v>2992</v>
      </c>
      <c r="AJ1048" s="2">
        <v>45839.810347222221</v>
      </c>
      <c r="AK1048" t="s">
        <v>556</v>
      </c>
      <c r="AL1048" t="s">
        <v>65</v>
      </c>
      <c r="AM1048" s="4">
        <v>0.21527777777777779</v>
      </c>
      <c r="AN1048" t="s">
        <v>66</v>
      </c>
      <c r="AO1048" t="s">
        <v>67</v>
      </c>
    </row>
    <row r="1049" spans="1:41" x14ac:dyDescent="0.2">
      <c r="A1049">
        <v>370416</v>
      </c>
      <c r="B1049" t="s">
        <v>7904</v>
      </c>
      <c r="C1049" t="s">
        <v>42</v>
      </c>
      <c r="D1049" t="s">
        <v>2050</v>
      </c>
      <c r="E1049" t="s">
        <v>7905</v>
      </c>
      <c r="F1049">
        <v>292011</v>
      </c>
      <c r="G1049" s="1">
        <v>31701</v>
      </c>
      <c r="H1049" s="1">
        <v>45768</v>
      </c>
      <c r="I1049" s="1">
        <v>46127</v>
      </c>
      <c r="J1049" t="s">
        <v>45</v>
      </c>
      <c r="K1049" t="s">
        <v>45</v>
      </c>
      <c r="L1049" t="s">
        <v>429</v>
      </c>
      <c r="M1049" s="1">
        <v>45094</v>
      </c>
      <c r="N1049" t="s">
        <v>47</v>
      </c>
      <c r="O1049" t="s">
        <v>48</v>
      </c>
      <c r="P1049" t="s">
        <v>49</v>
      </c>
      <c r="Q1049" t="s">
        <v>7906</v>
      </c>
      <c r="R1049" t="s">
        <v>7907</v>
      </c>
      <c r="S1049">
        <v>5600</v>
      </c>
      <c r="T1049" t="s">
        <v>52</v>
      </c>
      <c r="U1049">
        <v>3</v>
      </c>
      <c r="V1049" t="s">
        <v>2054</v>
      </c>
      <c r="W1049" t="s">
        <v>54</v>
      </c>
      <c r="X1049" t="s">
        <v>55</v>
      </c>
      <c r="Y1049" t="s">
        <v>56</v>
      </c>
      <c r="Z1049">
        <v>617</v>
      </c>
      <c r="AA1049">
        <v>62</v>
      </c>
      <c r="AB1049">
        <v>152</v>
      </c>
      <c r="AC1049" t="s">
        <v>7908</v>
      </c>
      <c r="AD1049" t="s">
        <v>7909</v>
      </c>
      <c r="AE1049" t="s">
        <v>7910</v>
      </c>
      <c r="AF1049" t="s">
        <v>7911</v>
      </c>
      <c r="AG1049" t="s">
        <v>7912</v>
      </c>
      <c r="AH1049" t="s">
        <v>7910</v>
      </c>
      <c r="AI1049" t="s">
        <v>1809</v>
      </c>
      <c r="AJ1049" s="2">
        <v>45775.725381944445</v>
      </c>
      <c r="AK1049" t="s">
        <v>64</v>
      </c>
      <c r="AL1049" t="s">
        <v>65</v>
      </c>
      <c r="AM1049" s="4">
        <v>0.54166666666666663</v>
      </c>
      <c r="AN1049" t="s">
        <v>66</v>
      </c>
      <c r="AO1049" t="s">
        <v>67</v>
      </c>
    </row>
    <row r="1050" spans="1:41" x14ac:dyDescent="0.2">
      <c r="A1050">
        <v>372391</v>
      </c>
      <c r="B1050" t="s">
        <v>7913</v>
      </c>
      <c r="C1050" t="s">
        <v>42</v>
      </c>
      <c r="D1050" t="s">
        <v>3018</v>
      </c>
      <c r="E1050" t="s">
        <v>7914</v>
      </c>
      <c r="G1050" s="1">
        <v>45545</v>
      </c>
      <c r="H1050" s="1">
        <v>45750</v>
      </c>
      <c r="I1050" s="1">
        <v>46113</v>
      </c>
      <c r="J1050" t="s">
        <v>45</v>
      </c>
      <c r="K1050" t="s">
        <v>45</v>
      </c>
      <c r="L1050" t="s">
        <v>72</v>
      </c>
      <c r="M1050" s="1">
        <v>45174</v>
      </c>
      <c r="N1050" t="s">
        <v>47</v>
      </c>
      <c r="O1050" t="s">
        <v>121</v>
      </c>
      <c r="P1050" t="s">
        <v>49</v>
      </c>
      <c r="Q1050" t="s">
        <v>7915</v>
      </c>
      <c r="R1050" t="s">
        <v>7916</v>
      </c>
      <c r="S1050">
        <v>8722</v>
      </c>
      <c r="T1050" t="s">
        <v>52</v>
      </c>
      <c r="U1050">
        <v>3</v>
      </c>
      <c r="V1050" t="s">
        <v>2054</v>
      </c>
      <c r="W1050" t="s">
        <v>54</v>
      </c>
      <c r="X1050" t="s">
        <v>76</v>
      </c>
      <c r="Y1050" t="s">
        <v>125</v>
      </c>
      <c r="Z1050">
        <v>1946</v>
      </c>
      <c r="AA1050">
        <v>88</v>
      </c>
      <c r="AB1050">
        <v>158</v>
      </c>
      <c r="AC1050" t="s">
        <v>2058</v>
      </c>
      <c r="AD1050" t="s">
        <v>2059</v>
      </c>
      <c r="AE1050" t="s">
        <v>7917</v>
      </c>
      <c r="AF1050" t="s">
        <v>7918</v>
      </c>
      <c r="AG1050" t="s">
        <v>7919</v>
      </c>
      <c r="AH1050" t="s">
        <v>7920</v>
      </c>
      <c r="AI1050" t="s">
        <v>1809</v>
      </c>
      <c r="AJ1050" s="2">
        <v>45838.848449074074</v>
      </c>
      <c r="AK1050" t="s">
        <v>650</v>
      </c>
      <c r="AL1050" t="s">
        <v>65</v>
      </c>
      <c r="AM1050" t="s">
        <v>7921</v>
      </c>
      <c r="AN1050" t="s">
        <v>66</v>
      </c>
      <c r="AO1050" t="s">
        <v>67</v>
      </c>
    </row>
    <row r="1051" spans="1:41" x14ac:dyDescent="0.2">
      <c r="A1051">
        <v>372438</v>
      </c>
      <c r="B1051" t="s">
        <v>7922</v>
      </c>
      <c r="C1051" t="s">
        <v>42</v>
      </c>
      <c r="D1051" t="s">
        <v>3018</v>
      </c>
      <c r="E1051" t="s">
        <v>7923</v>
      </c>
      <c r="G1051" s="1">
        <v>45833</v>
      </c>
      <c r="H1051" s="1">
        <v>45754</v>
      </c>
      <c r="I1051" s="1">
        <v>46113</v>
      </c>
      <c r="J1051" t="s">
        <v>45</v>
      </c>
      <c r="K1051" t="s">
        <v>45</v>
      </c>
      <c r="L1051" t="s">
        <v>72</v>
      </c>
      <c r="M1051" s="1">
        <v>43961</v>
      </c>
      <c r="N1051" t="s">
        <v>47</v>
      </c>
      <c r="O1051" t="s">
        <v>121</v>
      </c>
      <c r="P1051" t="s">
        <v>49</v>
      </c>
      <c r="Q1051" t="s">
        <v>7924</v>
      </c>
      <c r="R1051" t="s">
        <v>7925</v>
      </c>
      <c r="S1051">
        <v>7420</v>
      </c>
      <c r="T1051" t="s">
        <v>52</v>
      </c>
      <c r="U1051">
        <v>3</v>
      </c>
      <c r="V1051" t="s">
        <v>2054</v>
      </c>
      <c r="W1051" t="s">
        <v>54</v>
      </c>
      <c r="X1051" t="s">
        <v>76</v>
      </c>
      <c r="Y1051" t="s">
        <v>125</v>
      </c>
      <c r="Z1051">
        <v>5227</v>
      </c>
      <c r="AA1051">
        <v>58</v>
      </c>
      <c r="AB1051">
        <v>204</v>
      </c>
      <c r="AC1051" t="s">
        <v>7926</v>
      </c>
      <c r="AD1051" t="s">
        <v>7927</v>
      </c>
      <c r="AE1051" t="s">
        <v>3750</v>
      </c>
      <c r="AF1051" t="s">
        <v>7911</v>
      </c>
      <c r="AG1051" t="s">
        <v>7912</v>
      </c>
      <c r="AH1051" t="s">
        <v>7928</v>
      </c>
      <c r="AI1051" t="s">
        <v>7929</v>
      </c>
      <c r="AJ1051" s="2">
        <v>45839.727534722224</v>
      </c>
      <c r="AK1051" t="s">
        <v>2068</v>
      </c>
      <c r="AL1051" t="s">
        <v>65</v>
      </c>
      <c r="AM1051" t="s">
        <v>7930</v>
      </c>
      <c r="AN1051" t="s">
        <v>66</v>
      </c>
      <c r="AO1051" t="s">
        <v>67</v>
      </c>
    </row>
    <row r="1052" spans="1:41" x14ac:dyDescent="0.2">
      <c r="A1052">
        <v>371458</v>
      </c>
      <c r="B1052" t="s">
        <v>7931</v>
      </c>
      <c r="C1052" t="s">
        <v>662</v>
      </c>
      <c r="D1052" t="s">
        <v>7932</v>
      </c>
      <c r="E1052">
        <v>88400776</v>
      </c>
      <c r="F1052">
        <v>411401</v>
      </c>
      <c r="G1052" s="1">
        <v>37289</v>
      </c>
      <c r="H1052" s="1">
        <v>45544</v>
      </c>
      <c r="I1052" s="1">
        <v>46249</v>
      </c>
      <c r="J1052" t="s">
        <v>45</v>
      </c>
      <c r="K1052" t="s">
        <v>45</v>
      </c>
      <c r="L1052" t="s">
        <v>72</v>
      </c>
      <c r="M1052" s="1">
        <v>43838</v>
      </c>
      <c r="N1052" t="s">
        <v>47</v>
      </c>
      <c r="O1052" t="s">
        <v>48</v>
      </c>
      <c r="P1052" t="s">
        <v>49</v>
      </c>
      <c r="Q1052" t="s">
        <v>7933</v>
      </c>
      <c r="R1052" t="s">
        <v>7934</v>
      </c>
      <c r="S1052">
        <v>295</v>
      </c>
      <c r="T1052" t="s">
        <v>92</v>
      </c>
      <c r="U1052" t="s">
        <v>1197</v>
      </c>
      <c r="V1052" t="s">
        <v>1198</v>
      </c>
      <c r="W1052" t="s">
        <v>1199</v>
      </c>
      <c r="X1052" t="s">
        <v>52</v>
      </c>
      <c r="Y1052" t="s">
        <v>110</v>
      </c>
      <c r="Z1052">
        <v>2121</v>
      </c>
      <c r="AA1052">
        <v>44</v>
      </c>
      <c r="AB1052">
        <v>158</v>
      </c>
      <c r="AC1052" t="s">
        <v>1200</v>
      </c>
      <c r="AD1052" t="s">
        <v>1201</v>
      </c>
      <c r="AE1052" t="s">
        <v>1202</v>
      </c>
      <c r="AF1052" t="s">
        <v>1203</v>
      </c>
      <c r="AG1052" t="s">
        <v>1204</v>
      </c>
      <c r="AH1052" t="s">
        <v>1205</v>
      </c>
      <c r="AJ1052" s="2">
        <v>45811.832453703704</v>
      </c>
      <c r="AK1052" t="s">
        <v>2068</v>
      </c>
      <c r="AL1052" t="s">
        <v>65</v>
      </c>
      <c r="AM1052" s="4">
        <v>0.27777777777777779</v>
      </c>
      <c r="AN1052" t="s">
        <v>66</v>
      </c>
      <c r="AO1052" t="s">
        <v>67</v>
      </c>
    </row>
    <row r="1053" spans="1:41" x14ac:dyDescent="0.2">
      <c r="A1053">
        <v>365003</v>
      </c>
      <c r="B1053" t="s">
        <v>7935</v>
      </c>
      <c r="C1053" t="s">
        <v>735</v>
      </c>
      <c r="D1053" t="s">
        <v>7008</v>
      </c>
      <c r="E1053" t="s">
        <v>7936</v>
      </c>
      <c r="F1053">
        <v>243302</v>
      </c>
      <c r="G1053" s="1">
        <v>33534</v>
      </c>
      <c r="H1053" s="1">
        <v>45561</v>
      </c>
      <c r="I1053" s="1">
        <v>46249</v>
      </c>
      <c r="J1053" t="s">
        <v>45</v>
      </c>
      <c r="K1053" t="s">
        <v>45</v>
      </c>
      <c r="L1053" t="s">
        <v>429</v>
      </c>
      <c r="M1053" s="1">
        <v>43647</v>
      </c>
      <c r="N1053" t="s">
        <v>47</v>
      </c>
      <c r="O1053" t="s">
        <v>48</v>
      </c>
      <c r="P1053" t="s">
        <v>49</v>
      </c>
      <c r="Q1053" t="s">
        <v>7937</v>
      </c>
      <c r="R1053" t="s">
        <v>7938</v>
      </c>
      <c r="S1053">
        <v>4370</v>
      </c>
      <c r="T1053" t="s">
        <v>52</v>
      </c>
      <c r="U1053">
        <v>1</v>
      </c>
      <c r="V1053" t="s">
        <v>7012</v>
      </c>
      <c r="W1053" t="s">
        <v>54</v>
      </c>
      <c r="X1053" t="s">
        <v>76</v>
      </c>
      <c r="Y1053" t="s">
        <v>56</v>
      </c>
      <c r="Z1053">
        <v>191</v>
      </c>
      <c r="AA1053">
        <v>46</v>
      </c>
      <c r="AB1053">
        <v>146</v>
      </c>
      <c r="AC1053" t="s">
        <v>7013</v>
      </c>
      <c r="AD1053" t="s">
        <v>7014</v>
      </c>
      <c r="AE1053" t="s">
        <v>7015</v>
      </c>
      <c r="AI1053" t="s">
        <v>7016</v>
      </c>
      <c r="AJ1053" s="2">
        <v>45566.67864583333</v>
      </c>
      <c r="AK1053" t="s">
        <v>717</v>
      </c>
      <c r="AL1053" t="s">
        <v>65</v>
      </c>
      <c r="AM1053" s="4">
        <v>0.15972222222222221</v>
      </c>
      <c r="AN1053" t="s">
        <v>66</v>
      </c>
      <c r="AO1053" t="s">
        <v>67</v>
      </c>
    </row>
    <row r="1054" spans="1:41" x14ac:dyDescent="0.2">
      <c r="A1054">
        <v>372296</v>
      </c>
      <c r="B1054" t="s">
        <v>7939</v>
      </c>
      <c r="C1054" t="s">
        <v>735</v>
      </c>
      <c r="D1054" t="s">
        <v>2559</v>
      </c>
      <c r="E1054" t="s">
        <v>7940</v>
      </c>
      <c r="F1054">
        <v>242911</v>
      </c>
      <c r="G1054" s="1">
        <v>36264</v>
      </c>
      <c r="H1054" s="1">
        <v>45834</v>
      </c>
      <c r="I1054" s="1">
        <v>46204</v>
      </c>
      <c r="J1054" t="s">
        <v>45</v>
      </c>
      <c r="K1054" t="s">
        <v>45</v>
      </c>
      <c r="L1054" t="s">
        <v>3920</v>
      </c>
      <c r="M1054" s="1">
        <v>45098</v>
      </c>
      <c r="N1054" t="s">
        <v>47</v>
      </c>
      <c r="O1054" t="s">
        <v>48</v>
      </c>
      <c r="P1054" t="s">
        <v>49</v>
      </c>
      <c r="Q1054" t="s">
        <v>7941</v>
      </c>
      <c r="R1054" t="s">
        <v>7942</v>
      </c>
      <c r="S1054">
        <v>6950</v>
      </c>
      <c r="T1054" t="s">
        <v>52</v>
      </c>
      <c r="U1054">
        <v>1</v>
      </c>
      <c r="V1054" t="s">
        <v>2563</v>
      </c>
      <c r="W1054" t="s">
        <v>54</v>
      </c>
      <c r="X1054" t="s">
        <v>76</v>
      </c>
      <c r="Y1054" t="s">
        <v>56</v>
      </c>
      <c r="Z1054">
        <v>1186</v>
      </c>
      <c r="AA1054">
        <v>55</v>
      </c>
      <c r="AB1054">
        <v>166</v>
      </c>
      <c r="AC1054" t="s">
        <v>2564</v>
      </c>
      <c r="AD1054" t="s">
        <v>2565</v>
      </c>
      <c r="AE1054" t="s">
        <v>2566</v>
      </c>
      <c r="AF1054" t="s">
        <v>2574</v>
      </c>
      <c r="AG1054" t="s">
        <v>2575</v>
      </c>
      <c r="AH1054" t="s">
        <v>2576</v>
      </c>
      <c r="AI1054" t="s">
        <v>6132</v>
      </c>
      <c r="AJ1054" s="2">
        <v>45837.794560185182</v>
      </c>
      <c r="AK1054" t="s">
        <v>568</v>
      </c>
      <c r="AL1054" t="s">
        <v>65</v>
      </c>
      <c r="AM1054" s="4">
        <v>0.61111111111111116</v>
      </c>
      <c r="AN1054" t="s">
        <v>66</v>
      </c>
      <c r="AO1054" t="s">
        <v>67</v>
      </c>
    </row>
    <row r="1055" spans="1:41" x14ac:dyDescent="0.2">
      <c r="A1055">
        <v>367201</v>
      </c>
      <c r="B1055" t="s">
        <v>7943</v>
      </c>
      <c r="C1055" t="s">
        <v>345</v>
      </c>
      <c r="D1055" t="s">
        <v>279</v>
      </c>
      <c r="E1055" t="s">
        <v>7944</v>
      </c>
      <c r="F1055">
        <v>52499</v>
      </c>
      <c r="G1055" s="1">
        <v>45664</v>
      </c>
      <c r="H1055" s="1">
        <v>45665</v>
      </c>
      <c r="I1055" s="1">
        <v>46023</v>
      </c>
      <c r="J1055" t="s">
        <v>45</v>
      </c>
      <c r="K1055" t="s">
        <v>45</v>
      </c>
      <c r="L1055" t="s">
        <v>72</v>
      </c>
      <c r="N1055" t="s">
        <v>89</v>
      </c>
      <c r="O1055" t="s">
        <v>121</v>
      </c>
      <c r="P1055" t="s">
        <v>49</v>
      </c>
      <c r="Q1055" t="s">
        <v>7945</v>
      </c>
      <c r="R1055" t="s">
        <v>7946</v>
      </c>
      <c r="S1055">
        <v>8830</v>
      </c>
      <c r="T1055" t="s">
        <v>365</v>
      </c>
      <c r="U1055" t="s">
        <v>432</v>
      </c>
      <c r="V1055" t="s">
        <v>6159</v>
      </c>
      <c r="W1055" t="s">
        <v>367</v>
      </c>
      <c r="X1055" t="s">
        <v>76</v>
      </c>
      <c r="Y1055" t="s">
        <v>125</v>
      </c>
      <c r="Z1055">
        <v>2485</v>
      </c>
      <c r="AA1055">
        <v>137</v>
      </c>
      <c r="AB1055">
        <v>160</v>
      </c>
      <c r="AC1055" t="s">
        <v>7947</v>
      </c>
      <c r="AD1055" t="s">
        <v>7948</v>
      </c>
      <c r="AE1055" t="s">
        <v>7949</v>
      </c>
      <c r="AF1055" t="s">
        <v>6068</v>
      </c>
      <c r="AG1055" t="s">
        <v>6069</v>
      </c>
      <c r="AH1055" t="s">
        <v>6070</v>
      </c>
      <c r="AJ1055" s="2">
        <v>45665.499780092592</v>
      </c>
      <c r="AK1055" t="s">
        <v>132</v>
      </c>
      <c r="AL1055" t="s">
        <v>65</v>
      </c>
      <c r="AM1055" s="3">
        <v>1.7569444444444444</v>
      </c>
      <c r="AN1055" t="s">
        <v>66</v>
      </c>
      <c r="AO1055" t="s">
        <v>67</v>
      </c>
    </row>
    <row r="1056" spans="1:41" x14ac:dyDescent="0.2">
      <c r="A1056">
        <v>373062</v>
      </c>
      <c r="B1056" t="s">
        <v>7950</v>
      </c>
      <c r="C1056" t="s">
        <v>236</v>
      </c>
      <c r="D1056" t="s">
        <v>1336</v>
      </c>
      <c r="E1056" t="s">
        <v>7951</v>
      </c>
      <c r="G1056" s="1">
        <v>45680</v>
      </c>
      <c r="H1056" s="1">
        <v>45681</v>
      </c>
      <c r="I1056" s="1">
        <v>46037</v>
      </c>
      <c r="J1056" t="s">
        <v>45</v>
      </c>
      <c r="K1056" t="s">
        <v>45</v>
      </c>
      <c r="L1056" t="s">
        <v>72</v>
      </c>
      <c r="N1056" t="s">
        <v>47</v>
      </c>
      <c r="O1056" t="s">
        <v>121</v>
      </c>
      <c r="P1056" t="s">
        <v>49</v>
      </c>
      <c r="Q1056" t="s">
        <v>7952</v>
      </c>
      <c r="R1056" t="s">
        <v>7953</v>
      </c>
      <c r="S1056">
        <v>1075</v>
      </c>
      <c r="T1056" t="s">
        <v>156</v>
      </c>
      <c r="U1056" t="s">
        <v>241</v>
      </c>
      <c r="V1056" t="s">
        <v>7954</v>
      </c>
      <c r="W1056" t="s">
        <v>159</v>
      </c>
      <c r="X1056" t="s">
        <v>156</v>
      </c>
      <c r="Y1056" t="s">
        <v>125</v>
      </c>
      <c r="Z1056">
        <v>6006</v>
      </c>
      <c r="AA1056">
        <v>76</v>
      </c>
      <c r="AB1056">
        <v>28</v>
      </c>
      <c r="AC1056" t="s">
        <v>243</v>
      </c>
      <c r="AD1056" t="s">
        <v>244</v>
      </c>
      <c r="AE1056" t="s">
        <v>245</v>
      </c>
      <c r="AF1056" t="s">
        <v>7955</v>
      </c>
      <c r="AG1056" t="s">
        <v>7956</v>
      </c>
      <c r="AH1056" t="s">
        <v>7957</v>
      </c>
      <c r="AI1056" t="s">
        <v>249</v>
      </c>
      <c r="AJ1056" s="2">
        <v>45856.603854166664</v>
      </c>
      <c r="AK1056" t="s">
        <v>132</v>
      </c>
      <c r="AL1056" t="s">
        <v>65</v>
      </c>
      <c r="AM1056" s="3">
        <v>1.3472222222222223</v>
      </c>
      <c r="AN1056" t="s">
        <v>66</v>
      </c>
      <c r="AO1056" t="s">
        <v>67</v>
      </c>
    </row>
    <row r="1057" spans="1:41" x14ac:dyDescent="0.2">
      <c r="A1057">
        <v>370684</v>
      </c>
      <c r="B1057" t="s">
        <v>7958</v>
      </c>
      <c r="C1057" t="s">
        <v>323</v>
      </c>
      <c r="E1057" t="s">
        <v>7959</v>
      </c>
      <c r="G1057" s="1">
        <v>42257</v>
      </c>
      <c r="H1057" s="1">
        <v>45399</v>
      </c>
      <c r="J1057" t="s">
        <v>326</v>
      </c>
      <c r="K1057" t="s">
        <v>72</v>
      </c>
      <c r="L1057" t="s">
        <v>72</v>
      </c>
      <c r="N1057" t="s">
        <v>47</v>
      </c>
      <c r="O1057" t="s">
        <v>48</v>
      </c>
      <c r="P1057" t="s">
        <v>1752</v>
      </c>
      <c r="Q1057" t="s">
        <v>7960</v>
      </c>
      <c r="R1057" t="s">
        <v>7961</v>
      </c>
      <c r="S1057">
        <v>30</v>
      </c>
      <c r="T1057" t="s">
        <v>257</v>
      </c>
      <c r="U1057" t="s">
        <v>329</v>
      </c>
      <c r="V1057" t="s">
        <v>3302</v>
      </c>
      <c r="W1057" t="s">
        <v>260</v>
      </c>
      <c r="X1057" t="s">
        <v>257</v>
      </c>
      <c r="Y1057" t="s">
        <v>410</v>
      </c>
      <c r="Z1057">
        <v>3926</v>
      </c>
      <c r="AA1057">
        <v>47</v>
      </c>
      <c r="AB1057">
        <v>108</v>
      </c>
      <c r="AC1057" t="s">
        <v>3304</v>
      </c>
      <c r="AD1057" t="s">
        <v>3305</v>
      </c>
      <c r="AE1057" t="s">
        <v>5011</v>
      </c>
      <c r="AF1057" t="s">
        <v>3307</v>
      </c>
      <c r="AG1057" t="s">
        <v>3308</v>
      </c>
      <c r="AH1057" t="s">
        <v>3309</v>
      </c>
      <c r="AI1057" t="s">
        <v>5012</v>
      </c>
      <c r="AJ1057" s="2">
        <v>45782.96806712963</v>
      </c>
      <c r="AK1057" t="s">
        <v>3304</v>
      </c>
      <c r="AL1057" t="s">
        <v>1168</v>
      </c>
      <c r="AM1057" s="3">
        <v>1.0625</v>
      </c>
      <c r="AN1057" t="s">
        <v>66</v>
      </c>
      <c r="AO1057" t="s">
        <v>67</v>
      </c>
    </row>
    <row r="1058" spans="1:41" x14ac:dyDescent="0.2">
      <c r="A1058">
        <v>373033</v>
      </c>
      <c r="B1058" t="s">
        <v>7962</v>
      </c>
      <c r="C1058" t="s">
        <v>735</v>
      </c>
      <c r="D1058" t="s">
        <v>1419</v>
      </c>
      <c r="E1058" t="s">
        <v>7963</v>
      </c>
      <c r="F1058">
        <v>241802</v>
      </c>
      <c r="G1058" s="1">
        <v>34864</v>
      </c>
      <c r="H1058" s="1">
        <v>45526</v>
      </c>
      <c r="I1058" s="1">
        <v>46249</v>
      </c>
      <c r="J1058" t="s">
        <v>45</v>
      </c>
      <c r="K1058" t="s">
        <v>45</v>
      </c>
      <c r="L1058" t="s">
        <v>545</v>
      </c>
      <c r="M1058" s="1">
        <v>44210</v>
      </c>
      <c r="N1058" t="s">
        <v>47</v>
      </c>
      <c r="O1058" t="s">
        <v>48</v>
      </c>
      <c r="P1058" t="s">
        <v>49</v>
      </c>
      <c r="Q1058" t="s">
        <v>7964</v>
      </c>
      <c r="R1058" t="s">
        <v>7965</v>
      </c>
      <c r="S1058">
        <v>5060</v>
      </c>
      <c r="T1058" t="s">
        <v>52</v>
      </c>
      <c r="U1058">
        <v>1</v>
      </c>
      <c r="V1058" t="s">
        <v>2162</v>
      </c>
      <c r="W1058" t="s">
        <v>54</v>
      </c>
      <c r="X1058" t="s">
        <v>76</v>
      </c>
      <c r="Y1058" t="s">
        <v>56</v>
      </c>
      <c r="Z1058">
        <v>1004</v>
      </c>
      <c r="AA1058">
        <v>45</v>
      </c>
      <c r="AB1058">
        <v>160</v>
      </c>
      <c r="AC1058" t="s">
        <v>2163</v>
      </c>
      <c r="AD1058" t="s">
        <v>2164</v>
      </c>
      <c r="AE1058" t="s">
        <v>2165</v>
      </c>
      <c r="AF1058" t="s">
        <v>2166</v>
      </c>
      <c r="AG1058" t="s">
        <v>2167</v>
      </c>
      <c r="AH1058" t="s">
        <v>2168</v>
      </c>
      <c r="AI1058" t="s">
        <v>2169</v>
      </c>
      <c r="AJ1058" s="2">
        <v>45856.040937500002</v>
      </c>
      <c r="AK1058" t="s">
        <v>556</v>
      </c>
      <c r="AL1058" t="s">
        <v>65</v>
      </c>
      <c r="AM1058" s="4">
        <v>0.375</v>
      </c>
      <c r="AN1058" t="s">
        <v>809</v>
      </c>
      <c r="AO1058" t="s">
        <v>67</v>
      </c>
    </row>
    <row r="1059" spans="1:41" x14ac:dyDescent="0.2">
      <c r="A1059">
        <v>369098</v>
      </c>
      <c r="B1059" t="s">
        <v>7966</v>
      </c>
      <c r="C1059" t="s">
        <v>831</v>
      </c>
      <c r="D1059" t="s">
        <v>7967</v>
      </c>
      <c r="E1059" t="s">
        <v>7968</v>
      </c>
      <c r="F1059">
        <v>441631</v>
      </c>
      <c r="G1059" s="1">
        <v>41313</v>
      </c>
      <c r="H1059" s="1">
        <v>45720</v>
      </c>
      <c r="I1059" s="1">
        <v>46096</v>
      </c>
      <c r="J1059" t="s">
        <v>45</v>
      </c>
      <c r="K1059" t="s">
        <v>45</v>
      </c>
      <c r="L1059" t="s">
        <v>46</v>
      </c>
      <c r="N1059" t="s">
        <v>47</v>
      </c>
      <c r="O1059" t="s">
        <v>48</v>
      </c>
      <c r="P1059" t="s">
        <v>49</v>
      </c>
      <c r="Q1059" t="s">
        <v>7969</v>
      </c>
      <c r="R1059" t="s">
        <v>7970</v>
      </c>
      <c r="S1059">
        <v>865</v>
      </c>
      <c r="T1059" t="s">
        <v>52</v>
      </c>
      <c r="U1059">
        <v>8</v>
      </c>
      <c r="V1059" t="s">
        <v>4806</v>
      </c>
      <c r="W1059" t="s">
        <v>54</v>
      </c>
      <c r="X1059" t="s">
        <v>76</v>
      </c>
      <c r="Y1059" t="s">
        <v>56</v>
      </c>
      <c r="Z1059">
        <v>5387</v>
      </c>
      <c r="AA1059">
        <v>31</v>
      </c>
      <c r="AB1059">
        <v>37</v>
      </c>
      <c r="AC1059" t="s">
        <v>4807</v>
      </c>
      <c r="AD1059" t="s">
        <v>4808</v>
      </c>
      <c r="AE1059" t="s">
        <v>7971</v>
      </c>
      <c r="AF1059" t="s">
        <v>4810</v>
      </c>
      <c r="AG1059" t="s">
        <v>4811</v>
      </c>
      <c r="AH1059" t="s">
        <v>4812</v>
      </c>
      <c r="AJ1059" s="2">
        <v>45726.881319444445</v>
      </c>
      <c r="AK1059" t="s">
        <v>2517</v>
      </c>
      <c r="AL1059" t="s">
        <v>65</v>
      </c>
      <c r="AM1059" s="3">
        <v>1.34375</v>
      </c>
      <c r="AN1059" t="s">
        <v>66</v>
      </c>
      <c r="AO1059" t="s">
        <v>101</v>
      </c>
    </row>
    <row r="1060" spans="1:41" x14ac:dyDescent="0.2">
      <c r="A1060">
        <v>370021</v>
      </c>
      <c r="B1060" t="s">
        <v>7972</v>
      </c>
      <c r="C1060" t="s">
        <v>763</v>
      </c>
      <c r="D1060" t="s">
        <v>5178</v>
      </c>
      <c r="E1060" t="s">
        <v>7973</v>
      </c>
      <c r="F1060">
        <v>470302</v>
      </c>
      <c r="G1060" s="1">
        <v>34242</v>
      </c>
      <c r="H1060" s="1">
        <v>45755</v>
      </c>
      <c r="I1060" s="1">
        <v>46127</v>
      </c>
      <c r="J1060" t="s">
        <v>45</v>
      </c>
      <c r="K1060" t="s">
        <v>45</v>
      </c>
      <c r="L1060" t="s">
        <v>545</v>
      </c>
      <c r="M1060" s="1">
        <v>45435</v>
      </c>
      <c r="N1060" t="s">
        <v>47</v>
      </c>
      <c r="O1060" t="s">
        <v>48</v>
      </c>
      <c r="P1060" t="s">
        <v>49</v>
      </c>
      <c r="Q1060" t="s">
        <v>7974</v>
      </c>
      <c r="R1060" t="s">
        <v>7975</v>
      </c>
      <c r="S1060">
        <v>1550</v>
      </c>
      <c r="T1060" t="s">
        <v>52</v>
      </c>
      <c r="U1060">
        <v>9</v>
      </c>
      <c r="V1060" t="s">
        <v>5182</v>
      </c>
      <c r="W1060" t="s">
        <v>54</v>
      </c>
      <c r="X1060" t="s">
        <v>76</v>
      </c>
      <c r="Y1060" t="s">
        <v>56</v>
      </c>
      <c r="Z1060">
        <v>1109</v>
      </c>
      <c r="AA1060">
        <v>52</v>
      </c>
      <c r="AB1060">
        <v>97</v>
      </c>
      <c r="AC1060" t="s">
        <v>5183</v>
      </c>
      <c r="AD1060" t="s">
        <v>5184</v>
      </c>
      <c r="AE1060" t="s">
        <v>5185</v>
      </c>
      <c r="AF1060" t="s">
        <v>5186</v>
      </c>
      <c r="AG1060" t="s">
        <v>5187</v>
      </c>
      <c r="AH1060" t="s">
        <v>7976</v>
      </c>
      <c r="AJ1060" s="2">
        <v>45761.812071759261</v>
      </c>
      <c r="AK1060" t="s">
        <v>540</v>
      </c>
      <c r="AL1060" t="s">
        <v>65</v>
      </c>
      <c r="AM1060" s="3">
        <v>1.2743055555555556</v>
      </c>
      <c r="AN1060" t="s">
        <v>66</v>
      </c>
      <c r="AO1060" t="s">
        <v>101</v>
      </c>
    </row>
    <row r="1061" spans="1:41" x14ac:dyDescent="0.2">
      <c r="A1061">
        <v>371450</v>
      </c>
      <c r="B1061" t="s">
        <v>7977</v>
      </c>
      <c r="C1061" t="s">
        <v>197</v>
      </c>
      <c r="D1061" t="s">
        <v>7978</v>
      </c>
      <c r="E1061" t="s">
        <v>7979</v>
      </c>
      <c r="F1061">
        <v>96701</v>
      </c>
      <c r="G1061" s="1">
        <v>43509</v>
      </c>
      <c r="H1061" s="1">
        <v>45811</v>
      </c>
      <c r="J1061" t="s">
        <v>45</v>
      </c>
      <c r="K1061" t="s">
        <v>45</v>
      </c>
      <c r="L1061" t="s">
        <v>72</v>
      </c>
      <c r="N1061" t="s">
        <v>47</v>
      </c>
      <c r="O1061" t="s">
        <v>48</v>
      </c>
      <c r="P1061" t="s">
        <v>49</v>
      </c>
      <c r="Q1061" t="s">
        <v>7980</v>
      </c>
      <c r="R1061" t="s">
        <v>7981</v>
      </c>
      <c r="S1061">
        <v>155</v>
      </c>
      <c r="T1061" t="s">
        <v>1328</v>
      </c>
      <c r="U1061" t="s">
        <v>3114</v>
      </c>
      <c r="V1061" t="s">
        <v>7982</v>
      </c>
      <c r="W1061" t="s">
        <v>7983</v>
      </c>
      <c r="X1061" t="s">
        <v>1328</v>
      </c>
      <c r="Y1061" t="s">
        <v>770</v>
      </c>
      <c r="Z1061">
        <v>10106</v>
      </c>
      <c r="AA1061">
        <v>16</v>
      </c>
      <c r="AB1061">
        <v>91</v>
      </c>
      <c r="AC1061" t="s">
        <v>7984</v>
      </c>
      <c r="AD1061" t="s">
        <v>7985</v>
      </c>
      <c r="AE1061" t="s">
        <v>7986</v>
      </c>
      <c r="AF1061" t="s">
        <v>7987</v>
      </c>
      <c r="AG1061" t="s">
        <v>7988</v>
      </c>
      <c r="AH1061" t="s">
        <v>7989</v>
      </c>
      <c r="AJ1061" s="2">
        <v>45811.726921296293</v>
      </c>
      <c r="AK1061" t="s">
        <v>7984</v>
      </c>
      <c r="AL1061" t="s">
        <v>65</v>
      </c>
      <c r="AM1061" t="s">
        <v>7990</v>
      </c>
      <c r="AN1061" t="s">
        <v>66</v>
      </c>
      <c r="AO1061" t="s">
        <v>67</v>
      </c>
    </row>
    <row r="1062" spans="1:41" x14ac:dyDescent="0.2">
      <c r="A1062">
        <v>365528</v>
      </c>
      <c r="B1062" t="s">
        <v>7991</v>
      </c>
      <c r="C1062" t="s">
        <v>118</v>
      </c>
      <c r="D1062" t="s">
        <v>1396</v>
      </c>
      <c r="E1062" t="s">
        <v>7992</v>
      </c>
      <c r="F1062">
        <v>20601</v>
      </c>
      <c r="G1062" s="1">
        <v>34899</v>
      </c>
      <c r="H1062" s="1">
        <v>45580</v>
      </c>
      <c r="I1062" s="1">
        <v>45945</v>
      </c>
      <c r="J1062" t="s">
        <v>45</v>
      </c>
      <c r="K1062" t="s">
        <v>45</v>
      </c>
      <c r="L1062" t="s">
        <v>46</v>
      </c>
      <c r="M1062" s="1">
        <v>44957</v>
      </c>
      <c r="N1062" t="s">
        <v>47</v>
      </c>
      <c r="O1062" t="s">
        <v>48</v>
      </c>
      <c r="P1062" t="s">
        <v>49</v>
      </c>
      <c r="Q1062" t="s">
        <v>7993</v>
      </c>
      <c r="R1062" t="s">
        <v>7994</v>
      </c>
      <c r="S1062">
        <v>4137</v>
      </c>
      <c r="T1062" t="s">
        <v>52</v>
      </c>
      <c r="U1062">
        <v>3</v>
      </c>
      <c r="V1062" t="s">
        <v>4644</v>
      </c>
      <c r="W1062" t="s">
        <v>54</v>
      </c>
      <c r="X1062" t="s">
        <v>55</v>
      </c>
      <c r="Y1062" t="s">
        <v>56</v>
      </c>
      <c r="Z1062">
        <v>1027</v>
      </c>
      <c r="AA1062">
        <v>55</v>
      </c>
      <c r="AB1062">
        <v>160</v>
      </c>
      <c r="AC1062" t="s">
        <v>4478</v>
      </c>
      <c r="AD1062" t="s">
        <v>7995</v>
      </c>
      <c r="AE1062" t="s">
        <v>7996</v>
      </c>
      <c r="AF1062" t="s">
        <v>7997</v>
      </c>
      <c r="AG1062" t="s">
        <v>7998</v>
      </c>
      <c r="AH1062" t="s">
        <v>7999</v>
      </c>
      <c r="AI1062" t="s">
        <v>8000</v>
      </c>
      <c r="AJ1062" s="2">
        <v>45586.754606481481</v>
      </c>
      <c r="AK1062" t="s">
        <v>64</v>
      </c>
      <c r="AL1062" t="s">
        <v>65</v>
      </c>
      <c r="AM1062" s="4">
        <v>0.2638888888888889</v>
      </c>
      <c r="AN1062" t="s">
        <v>66</v>
      </c>
      <c r="AO1062" t="s">
        <v>67</v>
      </c>
    </row>
    <row r="1063" spans="1:41" x14ac:dyDescent="0.2">
      <c r="A1063">
        <v>371122</v>
      </c>
      <c r="B1063" t="s">
        <v>8001</v>
      </c>
      <c r="C1063" t="s">
        <v>345</v>
      </c>
      <c r="D1063" t="s">
        <v>2607</v>
      </c>
      <c r="E1063" t="s">
        <v>8002</v>
      </c>
      <c r="G1063" s="1">
        <v>45727</v>
      </c>
      <c r="H1063" s="1">
        <v>45614</v>
      </c>
      <c r="I1063" s="1">
        <v>45962</v>
      </c>
      <c r="J1063" t="s">
        <v>45</v>
      </c>
      <c r="K1063" t="s">
        <v>45</v>
      </c>
      <c r="L1063" t="s">
        <v>72</v>
      </c>
      <c r="M1063" s="1">
        <v>44679</v>
      </c>
      <c r="N1063" t="s">
        <v>47</v>
      </c>
      <c r="O1063" t="s">
        <v>121</v>
      </c>
      <c r="P1063" t="s">
        <v>49</v>
      </c>
      <c r="Q1063" t="s">
        <v>8003</v>
      </c>
      <c r="R1063" t="s">
        <v>8004</v>
      </c>
      <c r="S1063">
        <v>8293</v>
      </c>
      <c r="T1063" t="s">
        <v>52</v>
      </c>
      <c r="U1063">
        <v>2</v>
      </c>
      <c r="V1063" t="s">
        <v>8005</v>
      </c>
      <c r="W1063" t="s">
        <v>54</v>
      </c>
      <c r="X1063" t="s">
        <v>52</v>
      </c>
      <c r="Y1063" t="s">
        <v>125</v>
      </c>
      <c r="Z1063">
        <v>1932</v>
      </c>
      <c r="AA1063">
        <v>102</v>
      </c>
      <c r="AB1063">
        <v>52</v>
      </c>
      <c r="AC1063" t="s">
        <v>8006</v>
      </c>
      <c r="AD1063" t="s">
        <v>8007</v>
      </c>
      <c r="AE1063" t="s">
        <v>8008</v>
      </c>
      <c r="AF1063" t="s">
        <v>8009</v>
      </c>
      <c r="AG1063" t="s">
        <v>8010</v>
      </c>
      <c r="AH1063" t="s">
        <v>8011</v>
      </c>
      <c r="AJ1063" s="2">
        <v>45796.796458333331</v>
      </c>
      <c r="AK1063" t="s">
        <v>8012</v>
      </c>
      <c r="AL1063" t="s">
        <v>65</v>
      </c>
      <c r="AM1063" s="3">
        <v>2.3055555555555554</v>
      </c>
      <c r="AN1063" t="s">
        <v>66</v>
      </c>
      <c r="AO1063" t="s">
        <v>67</v>
      </c>
    </row>
    <row r="1064" spans="1:41" x14ac:dyDescent="0.2">
      <c r="A1064">
        <v>370822</v>
      </c>
      <c r="B1064" t="s">
        <v>8013</v>
      </c>
      <c r="C1064" t="s">
        <v>735</v>
      </c>
      <c r="D1064" t="s">
        <v>6215</v>
      </c>
      <c r="E1064" t="s">
        <v>8014</v>
      </c>
      <c r="G1064" s="1">
        <v>45518</v>
      </c>
      <c r="H1064" s="1">
        <v>45785</v>
      </c>
      <c r="I1064" s="1">
        <v>46113</v>
      </c>
      <c r="J1064" t="s">
        <v>45</v>
      </c>
      <c r="K1064" t="s">
        <v>45</v>
      </c>
      <c r="L1064" t="s">
        <v>72</v>
      </c>
      <c r="M1064" s="1">
        <v>45054</v>
      </c>
      <c r="N1064" t="s">
        <v>89</v>
      </c>
      <c r="O1064" t="s">
        <v>121</v>
      </c>
      <c r="P1064" t="s">
        <v>49</v>
      </c>
      <c r="Q1064" t="s">
        <v>8015</v>
      </c>
      <c r="R1064" t="s">
        <v>8016</v>
      </c>
      <c r="S1064">
        <v>5885</v>
      </c>
      <c r="T1064" t="s">
        <v>52</v>
      </c>
      <c r="U1064">
        <v>1</v>
      </c>
      <c r="V1064" t="s">
        <v>1122</v>
      </c>
      <c r="W1064" t="s">
        <v>54</v>
      </c>
      <c r="X1064" t="s">
        <v>76</v>
      </c>
      <c r="Y1064" t="s">
        <v>125</v>
      </c>
      <c r="Z1064">
        <v>2030</v>
      </c>
      <c r="AA1064">
        <v>84</v>
      </c>
      <c r="AB1064">
        <v>144</v>
      </c>
      <c r="AC1064" t="s">
        <v>8017</v>
      </c>
      <c r="AD1064" t="s">
        <v>5819</v>
      </c>
      <c r="AE1064" t="s">
        <v>5820</v>
      </c>
      <c r="AF1064" t="s">
        <v>1832</v>
      </c>
      <c r="AG1064" t="s">
        <v>1833</v>
      </c>
      <c r="AH1064" t="s">
        <v>5821</v>
      </c>
      <c r="AI1064" t="s">
        <v>8018</v>
      </c>
      <c r="AJ1064" s="2">
        <v>45785.509027777778</v>
      </c>
      <c r="AK1064" t="s">
        <v>800</v>
      </c>
      <c r="AL1064" t="s">
        <v>65</v>
      </c>
      <c r="AM1064" s="3">
        <v>2.3125</v>
      </c>
      <c r="AN1064" t="s">
        <v>66</v>
      </c>
      <c r="AO1064" t="s">
        <v>67</v>
      </c>
    </row>
    <row r="1065" spans="1:41" x14ac:dyDescent="0.2">
      <c r="A1065">
        <v>371367</v>
      </c>
      <c r="B1065" t="s">
        <v>8019</v>
      </c>
      <c r="C1065" t="s">
        <v>735</v>
      </c>
      <c r="D1065" t="s">
        <v>1825</v>
      </c>
      <c r="E1065" t="s">
        <v>8020</v>
      </c>
      <c r="G1065" s="1">
        <v>45553</v>
      </c>
      <c r="H1065" s="1">
        <v>45792</v>
      </c>
      <c r="I1065" s="1">
        <v>46188</v>
      </c>
      <c r="J1065" t="s">
        <v>45</v>
      </c>
      <c r="K1065" t="s">
        <v>45</v>
      </c>
      <c r="L1065" t="s">
        <v>72</v>
      </c>
      <c r="M1065" s="1">
        <v>42783</v>
      </c>
      <c r="N1065" t="s">
        <v>89</v>
      </c>
      <c r="O1065" t="s">
        <v>121</v>
      </c>
      <c r="P1065" t="s">
        <v>49</v>
      </c>
      <c r="Q1065" t="s">
        <v>8021</v>
      </c>
      <c r="R1065" t="s">
        <v>8022</v>
      </c>
      <c r="S1065">
        <v>6446</v>
      </c>
      <c r="T1065" t="s">
        <v>52</v>
      </c>
      <c r="U1065">
        <v>1</v>
      </c>
      <c r="V1065" t="s">
        <v>1122</v>
      </c>
      <c r="W1065" t="s">
        <v>54</v>
      </c>
      <c r="X1065" t="s">
        <v>76</v>
      </c>
      <c r="Y1065" t="s">
        <v>125</v>
      </c>
      <c r="Z1065">
        <v>1869</v>
      </c>
      <c r="AA1065">
        <v>80</v>
      </c>
      <c r="AB1065">
        <v>144</v>
      </c>
      <c r="AC1065" t="s">
        <v>8023</v>
      </c>
      <c r="AD1065" t="s">
        <v>1830</v>
      </c>
      <c r="AE1065" t="s">
        <v>8024</v>
      </c>
      <c r="AF1065" t="s">
        <v>1832</v>
      </c>
      <c r="AG1065" t="s">
        <v>1833</v>
      </c>
      <c r="AH1065" t="s">
        <v>5821</v>
      </c>
      <c r="AI1065" t="s">
        <v>8025</v>
      </c>
      <c r="AJ1065" s="2">
        <v>45806.812152777777</v>
      </c>
      <c r="AK1065" t="s">
        <v>800</v>
      </c>
      <c r="AL1065" t="s">
        <v>65</v>
      </c>
      <c r="AM1065" s="3">
        <v>2.3194444444444446</v>
      </c>
      <c r="AN1065" t="s">
        <v>66</v>
      </c>
      <c r="AO1065" t="s">
        <v>67</v>
      </c>
    </row>
    <row r="1066" spans="1:41" x14ac:dyDescent="0.2">
      <c r="A1066">
        <v>362052</v>
      </c>
      <c r="B1066" t="s">
        <v>8026</v>
      </c>
      <c r="C1066" t="s">
        <v>134</v>
      </c>
      <c r="E1066" s="5">
        <v>3.2407000000000001E+88</v>
      </c>
      <c r="F1066">
        <v>451613</v>
      </c>
      <c r="G1066" s="1">
        <v>37048</v>
      </c>
      <c r="H1066" s="1">
        <v>45469</v>
      </c>
      <c r="I1066" s="1">
        <v>46188</v>
      </c>
      <c r="J1066" t="s">
        <v>45</v>
      </c>
      <c r="K1066" t="s">
        <v>45</v>
      </c>
      <c r="L1066" t="s">
        <v>429</v>
      </c>
      <c r="M1066" s="1">
        <v>43992</v>
      </c>
      <c r="N1066" t="s">
        <v>47</v>
      </c>
      <c r="O1066" t="s">
        <v>48</v>
      </c>
      <c r="P1066" t="s">
        <v>49</v>
      </c>
      <c r="Q1066" t="s">
        <v>8027</v>
      </c>
      <c r="R1066" t="s">
        <v>8028</v>
      </c>
      <c r="S1066">
        <v>3350</v>
      </c>
      <c r="T1066" t="s">
        <v>52</v>
      </c>
      <c r="U1066">
        <v>6</v>
      </c>
      <c r="V1066" t="s">
        <v>7415</v>
      </c>
      <c r="W1066" t="s">
        <v>54</v>
      </c>
      <c r="X1066" t="s">
        <v>76</v>
      </c>
      <c r="Y1066" t="s">
        <v>56</v>
      </c>
      <c r="Z1066">
        <v>778</v>
      </c>
      <c r="AA1066">
        <v>57</v>
      </c>
      <c r="AB1066">
        <v>28</v>
      </c>
      <c r="AC1066" t="s">
        <v>7416</v>
      </c>
      <c r="AD1066" t="s">
        <v>7417</v>
      </c>
      <c r="AE1066" t="s">
        <v>7418</v>
      </c>
      <c r="AF1066" t="s">
        <v>7419</v>
      </c>
      <c r="AG1066" t="s">
        <v>7420</v>
      </c>
      <c r="AH1066" t="s">
        <v>7421</v>
      </c>
      <c r="AI1066" t="s">
        <v>7422</v>
      </c>
      <c r="AJ1066" s="2">
        <v>45472.039236111108</v>
      </c>
      <c r="AK1066" t="s">
        <v>717</v>
      </c>
      <c r="AL1066" t="s">
        <v>65</v>
      </c>
      <c r="AM1066" s="3">
        <v>1.1944444444444444</v>
      </c>
      <c r="AN1066" t="s">
        <v>66</v>
      </c>
      <c r="AO1066" t="s">
        <v>67</v>
      </c>
    </row>
    <row r="1067" spans="1:41" x14ac:dyDescent="0.2">
      <c r="A1067">
        <v>372579</v>
      </c>
      <c r="B1067" t="s">
        <v>8029</v>
      </c>
      <c r="C1067" t="s">
        <v>323</v>
      </c>
      <c r="D1067" t="s">
        <v>6174</v>
      </c>
      <c r="E1067" t="s">
        <v>8030</v>
      </c>
      <c r="F1067">
        <v>500746</v>
      </c>
      <c r="G1067" s="1">
        <v>38512</v>
      </c>
      <c r="H1067" s="1">
        <v>45774</v>
      </c>
      <c r="I1067" s="1">
        <v>46037</v>
      </c>
      <c r="J1067" t="s">
        <v>45</v>
      </c>
      <c r="K1067" t="s">
        <v>45</v>
      </c>
      <c r="L1067" t="s">
        <v>72</v>
      </c>
      <c r="M1067" s="1">
        <v>45845</v>
      </c>
      <c r="N1067" t="s">
        <v>47</v>
      </c>
      <c r="O1067" t="s">
        <v>48</v>
      </c>
      <c r="P1067" t="s">
        <v>49</v>
      </c>
      <c r="Q1067" t="s">
        <v>8031</v>
      </c>
      <c r="R1067" t="s">
        <v>8032</v>
      </c>
      <c r="S1067">
        <v>1700</v>
      </c>
      <c r="T1067" t="s">
        <v>92</v>
      </c>
      <c r="U1067" t="s">
        <v>329</v>
      </c>
      <c r="V1067" t="s">
        <v>722</v>
      </c>
      <c r="W1067" t="s">
        <v>723</v>
      </c>
      <c r="X1067" t="s">
        <v>76</v>
      </c>
      <c r="Y1067" t="s">
        <v>110</v>
      </c>
      <c r="Z1067">
        <v>1592</v>
      </c>
      <c r="AA1067">
        <v>48</v>
      </c>
      <c r="AB1067">
        <v>160</v>
      </c>
      <c r="AC1067" t="s">
        <v>368</v>
      </c>
      <c r="AD1067" t="s">
        <v>369</v>
      </c>
      <c r="AE1067" t="s">
        <v>370</v>
      </c>
      <c r="AF1067" t="s">
        <v>724</v>
      </c>
      <c r="AG1067" t="s">
        <v>2409</v>
      </c>
      <c r="AH1067" t="s">
        <v>726</v>
      </c>
      <c r="AJ1067" s="2">
        <v>45846.035046296296</v>
      </c>
      <c r="AK1067" t="s">
        <v>727</v>
      </c>
      <c r="AL1067" t="s">
        <v>65</v>
      </c>
      <c r="AM1067" s="4">
        <v>0.4861111111111111</v>
      </c>
      <c r="AN1067" t="s">
        <v>66</v>
      </c>
      <c r="AO1067" t="s">
        <v>67</v>
      </c>
    </row>
    <row r="1068" spans="1:41" x14ac:dyDescent="0.2">
      <c r="A1068">
        <v>372417</v>
      </c>
      <c r="B1068" t="s">
        <v>8033</v>
      </c>
      <c r="C1068" t="s">
        <v>134</v>
      </c>
      <c r="D1068" t="s">
        <v>3459</v>
      </c>
      <c r="E1068">
        <v>52118404</v>
      </c>
      <c r="F1068">
        <v>452510</v>
      </c>
      <c r="G1068" s="1">
        <v>33331</v>
      </c>
      <c r="H1068" s="1">
        <v>45811</v>
      </c>
      <c r="I1068" s="1">
        <v>46174</v>
      </c>
      <c r="J1068" t="s">
        <v>45</v>
      </c>
      <c r="K1068" t="s">
        <v>45</v>
      </c>
      <c r="L1068" t="s">
        <v>429</v>
      </c>
      <c r="M1068" s="1">
        <v>38874</v>
      </c>
      <c r="N1068" t="s">
        <v>47</v>
      </c>
      <c r="O1068" t="s">
        <v>48</v>
      </c>
      <c r="P1068" t="s">
        <v>49</v>
      </c>
      <c r="Q1068" t="s">
        <v>8034</v>
      </c>
      <c r="R1068" t="s">
        <v>8035</v>
      </c>
      <c r="S1068">
        <v>4686</v>
      </c>
      <c r="T1068" t="s">
        <v>296</v>
      </c>
      <c r="U1068" t="s">
        <v>2267</v>
      </c>
      <c r="V1068" t="s">
        <v>8036</v>
      </c>
      <c r="W1068" t="s">
        <v>299</v>
      </c>
      <c r="X1068" t="s">
        <v>76</v>
      </c>
      <c r="Y1068" t="s">
        <v>56</v>
      </c>
      <c r="Z1068">
        <v>23</v>
      </c>
      <c r="AA1068">
        <v>69</v>
      </c>
      <c r="AB1068">
        <v>166</v>
      </c>
      <c r="AC1068" t="s">
        <v>8037</v>
      </c>
      <c r="AD1068" t="s">
        <v>8038</v>
      </c>
      <c r="AE1068" t="s">
        <v>8039</v>
      </c>
      <c r="AF1068" t="s">
        <v>8040</v>
      </c>
      <c r="AG1068" t="s">
        <v>8041</v>
      </c>
      <c r="AH1068" t="s">
        <v>8042</v>
      </c>
      <c r="AI1068" t="s">
        <v>2274</v>
      </c>
      <c r="AJ1068" s="2">
        <v>45839.568414351852</v>
      </c>
      <c r="AK1068" t="s">
        <v>556</v>
      </c>
      <c r="AL1068" t="s">
        <v>65</v>
      </c>
      <c r="AM1068" s="4">
        <v>0.47222222222222221</v>
      </c>
      <c r="AN1068" t="s">
        <v>66</v>
      </c>
      <c r="AO1068" t="s">
        <v>67</v>
      </c>
    </row>
    <row r="1069" spans="1:41" x14ac:dyDescent="0.2">
      <c r="A1069">
        <v>367166</v>
      </c>
      <c r="B1069" t="s">
        <v>8043</v>
      </c>
      <c r="C1069" t="s">
        <v>134</v>
      </c>
      <c r="D1069" t="s">
        <v>8044</v>
      </c>
      <c r="E1069" t="s">
        <v>8045</v>
      </c>
      <c r="F1069">
        <v>452408</v>
      </c>
      <c r="G1069" s="1">
        <v>37484</v>
      </c>
      <c r="H1069" s="1">
        <v>45105</v>
      </c>
      <c r="I1069" s="1">
        <v>46218</v>
      </c>
      <c r="J1069" t="s">
        <v>45</v>
      </c>
      <c r="K1069" t="s">
        <v>45</v>
      </c>
      <c r="L1069" t="s">
        <v>72</v>
      </c>
      <c r="M1069" s="1">
        <v>44406</v>
      </c>
      <c r="N1069" t="s">
        <v>89</v>
      </c>
      <c r="O1069" t="s">
        <v>48</v>
      </c>
      <c r="P1069" t="s">
        <v>49</v>
      </c>
      <c r="Q1069" t="s">
        <v>8046</v>
      </c>
      <c r="R1069" t="s">
        <v>8047</v>
      </c>
      <c r="S1069">
        <v>1690</v>
      </c>
      <c r="T1069" t="s">
        <v>92</v>
      </c>
      <c r="U1069" t="s">
        <v>139</v>
      </c>
      <c r="V1069" t="s">
        <v>140</v>
      </c>
      <c r="W1069" t="s">
        <v>141</v>
      </c>
      <c r="X1069" t="s">
        <v>92</v>
      </c>
      <c r="Y1069" t="s">
        <v>110</v>
      </c>
      <c r="Z1069">
        <v>2224</v>
      </c>
      <c r="AA1069">
        <v>45</v>
      </c>
      <c r="AB1069">
        <v>158</v>
      </c>
      <c r="AC1069" t="s">
        <v>8048</v>
      </c>
      <c r="AD1069" t="s">
        <v>8049</v>
      </c>
      <c r="AE1069" t="s">
        <v>8050</v>
      </c>
      <c r="AF1069" t="s">
        <v>145</v>
      </c>
      <c r="AG1069" t="s">
        <v>146</v>
      </c>
      <c r="AH1069" t="s">
        <v>147</v>
      </c>
      <c r="AI1069" t="s">
        <v>8051</v>
      </c>
      <c r="AJ1069" s="2">
        <v>45664.702245370368</v>
      </c>
      <c r="AK1069" t="s">
        <v>149</v>
      </c>
      <c r="AL1069" t="s">
        <v>65</v>
      </c>
      <c r="AM1069" s="4">
        <v>0.38194444444444442</v>
      </c>
      <c r="AN1069" t="s">
        <v>66</v>
      </c>
      <c r="AO1069" t="s">
        <v>67</v>
      </c>
    </row>
    <row r="1070" spans="1:41" x14ac:dyDescent="0.2">
      <c r="A1070">
        <v>367497</v>
      </c>
      <c r="B1070" t="s">
        <v>8052</v>
      </c>
      <c r="C1070" t="s">
        <v>118</v>
      </c>
      <c r="D1070" t="s">
        <v>1363</v>
      </c>
      <c r="E1070" t="s">
        <v>8053</v>
      </c>
      <c r="F1070">
        <v>21505</v>
      </c>
      <c r="G1070" s="1">
        <v>42997</v>
      </c>
      <c r="H1070" s="1">
        <v>45678</v>
      </c>
      <c r="I1070" s="1">
        <v>46023</v>
      </c>
      <c r="J1070" t="s">
        <v>45</v>
      </c>
      <c r="K1070" t="s">
        <v>45</v>
      </c>
      <c r="L1070" t="s">
        <v>46</v>
      </c>
      <c r="M1070" s="1">
        <v>43579</v>
      </c>
      <c r="N1070" t="s">
        <v>47</v>
      </c>
      <c r="O1070" t="s">
        <v>48</v>
      </c>
      <c r="P1070" t="s">
        <v>49</v>
      </c>
      <c r="Q1070" t="s">
        <v>8054</v>
      </c>
      <c r="R1070" t="s">
        <v>8055</v>
      </c>
      <c r="S1070">
        <v>1367</v>
      </c>
      <c r="T1070" t="s">
        <v>52</v>
      </c>
      <c r="U1070">
        <v>3</v>
      </c>
      <c r="V1070" t="s">
        <v>4644</v>
      </c>
      <c r="W1070" t="s">
        <v>54</v>
      </c>
      <c r="X1070" t="s">
        <v>55</v>
      </c>
      <c r="Y1070" t="s">
        <v>56</v>
      </c>
      <c r="Z1070">
        <v>9266</v>
      </c>
      <c r="AA1070">
        <v>22</v>
      </c>
      <c r="AB1070">
        <v>28</v>
      </c>
      <c r="AC1070" t="s">
        <v>4645</v>
      </c>
      <c r="AD1070" t="s">
        <v>8056</v>
      </c>
      <c r="AE1070" t="s">
        <v>4647</v>
      </c>
      <c r="AF1070" t="s">
        <v>8057</v>
      </c>
      <c r="AG1070" t="s">
        <v>8058</v>
      </c>
      <c r="AH1070" t="s">
        <v>8059</v>
      </c>
      <c r="AJ1070" s="2">
        <v>45678.862581018519</v>
      </c>
      <c r="AK1070" t="s">
        <v>609</v>
      </c>
      <c r="AL1070" t="s">
        <v>65</v>
      </c>
      <c r="AM1070" s="4">
        <v>0.96527777777777779</v>
      </c>
      <c r="AN1070" t="s">
        <v>66</v>
      </c>
      <c r="AO1070" t="s">
        <v>67</v>
      </c>
    </row>
    <row r="1071" spans="1:41" x14ac:dyDescent="0.2">
      <c r="A1071">
        <v>371675</v>
      </c>
      <c r="B1071" t="s">
        <v>8060</v>
      </c>
      <c r="C1071" t="s">
        <v>323</v>
      </c>
      <c r="D1071" t="s">
        <v>339</v>
      </c>
      <c r="E1071" s="5">
        <v>33901700000000</v>
      </c>
      <c r="F1071">
        <v>500743</v>
      </c>
      <c r="G1071" s="1">
        <v>35277</v>
      </c>
      <c r="H1071" s="1">
        <v>45772</v>
      </c>
      <c r="I1071" s="1">
        <v>46037</v>
      </c>
      <c r="J1071" t="s">
        <v>45</v>
      </c>
      <c r="K1071" t="s">
        <v>45</v>
      </c>
      <c r="L1071" t="s">
        <v>72</v>
      </c>
      <c r="N1071" t="s">
        <v>47</v>
      </c>
      <c r="O1071" t="s">
        <v>48</v>
      </c>
      <c r="P1071" t="s">
        <v>49</v>
      </c>
      <c r="Q1071" t="s">
        <v>8061</v>
      </c>
      <c r="R1071" t="s">
        <v>8062</v>
      </c>
      <c r="S1071">
        <v>1520</v>
      </c>
      <c r="T1071" t="s">
        <v>92</v>
      </c>
      <c r="U1071" t="s">
        <v>329</v>
      </c>
      <c r="V1071" t="s">
        <v>722</v>
      </c>
      <c r="W1071" t="s">
        <v>723</v>
      </c>
      <c r="X1071" t="s">
        <v>76</v>
      </c>
      <c r="Y1071" t="s">
        <v>110</v>
      </c>
      <c r="Z1071">
        <v>1154</v>
      </c>
      <c r="AA1071">
        <v>44</v>
      </c>
      <c r="AB1071">
        <v>152</v>
      </c>
      <c r="AC1071" t="s">
        <v>368</v>
      </c>
      <c r="AD1071" t="s">
        <v>369</v>
      </c>
      <c r="AE1071" t="s">
        <v>370</v>
      </c>
      <c r="AF1071" t="s">
        <v>8063</v>
      </c>
      <c r="AG1071" t="s">
        <v>725</v>
      </c>
      <c r="AH1071" t="s">
        <v>726</v>
      </c>
      <c r="AJ1071" s="2">
        <v>45817.912083333336</v>
      </c>
      <c r="AK1071" t="s">
        <v>727</v>
      </c>
      <c r="AL1071" t="s">
        <v>65</v>
      </c>
      <c r="AM1071" s="3">
        <v>2.1736111111111112</v>
      </c>
      <c r="AN1071" t="s">
        <v>66</v>
      </c>
      <c r="AO1071" t="s">
        <v>67</v>
      </c>
    </row>
    <row r="1072" spans="1:41" x14ac:dyDescent="0.2">
      <c r="A1072">
        <v>367428</v>
      </c>
      <c r="B1072" t="s">
        <v>8064</v>
      </c>
      <c r="C1072" t="s">
        <v>118</v>
      </c>
      <c r="D1072" t="s">
        <v>4931</v>
      </c>
      <c r="E1072">
        <v>32581688</v>
      </c>
      <c r="F1072">
        <v>20507</v>
      </c>
      <c r="G1072" s="1">
        <v>30742</v>
      </c>
      <c r="H1072" s="1">
        <v>45673</v>
      </c>
      <c r="I1072" s="1">
        <v>46023</v>
      </c>
      <c r="J1072" t="s">
        <v>45</v>
      </c>
      <c r="K1072" t="s">
        <v>45</v>
      </c>
      <c r="L1072" t="s">
        <v>429</v>
      </c>
      <c r="M1072" s="1">
        <v>43132</v>
      </c>
      <c r="N1072" t="s">
        <v>47</v>
      </c>
      <c r="O1072" t="s">
        <v>48</v>
      </c>
      <c r="P1072" t="s">
        <v>49</v>
      </c>
      <c r="Q1072" t="s">
        <v>8065</v>
      </c>
      <c r="R1072" t="s">
        <v>8066</v>
      </c>
      <c r="S1072">
        <v>4311</v>
      </c>
      <c r="T1072" t="s">
        <v>365</v>
      </c>
      <c r="U1072" t="s">
        <v>815</v>
      </c>
      <c r="V1072" t="s">
        <v>8067</v>
      </c>
      <c r="W1072" t="s">
        <v>367</v>
      </c>
      <c r="X1072" t="s">
        <v>55</v>
      </c>
      <c r="Y1072" t="s">
        <v>434</v>
      </c>
      <c r="Z1072">
        <v>56</v>
      </c>
      <c r="AA1072">
        <v>60</v>
      </c>
      <c r="AB1072">
        <v>78</v>
      </c>
      <c r="AC1072" t="s">
        <v>8068</v>
      </c>
      <c r="AD1072" t="s">
        <v>8069</v>
      </c>
      <c r="AE1072" t="s">
        <v>8070</v>
      </c>
      <c r="AF1072" t="s">
        <v>8071</v>
      </c>
      <c r="AG1072" t="s">
        <v>8072</v>
      </c>
      <c r="AH1072" t="s">
        <v>8073</v>
      </c>
      <c r="AI1072" t="s">
        <v>4342</v>
      </c>
      <c r="AJ1072" s="2">
        <v>45674.623124999998</v>
      </c>
      <c r="AK1072" t="s">
        <v>568</v>
      </c>
      <c r="AL1072" t="s">
        <v>65</v>
      </c>
      <c r="AM1072" s="4">
        <v>0.86111111111111116</v>
      </c>
      <c r="AN1072" t="s">
        <v>66</v>
      </c>
      <c r="AO1072" t="s">
        <v>67</v>
      </c>
    </row>
    <row r="1073" spans="1:41" x14ac:dyDescent="0.2">
      <c r="A1073">
        <v>372888</v>
      </c>
      <c r="B1073" t="s">
        <v>8074</v>
      </c>
      <c r="C1073" t="s">
        <v>167</v>
      </c>
      <c r="D1073" t="s">
        <v>3504</v>
      </c>
      <c r="E1073" t="s">
        <v>8075</v>
      </c>
      <c r="F1073">
        <v>352545</v>
      </c>
      <c r="G1073" s="1">
        <v>38540</v>
      </c>
      <c r="H1073" s="1">
        <v>45853</v>
      </c>
      <c r="I1073" s="1">
        <v>46218</v>
      </c>
      <c r="J1073" t="s">
        <v>45</v>
      </c>
      <c r="K1073" t="s">
        <v>45</v>
      </c>
      <c r="L1073" t="s">
        <v>46</v>
      </c>
      <c r="M1073" s="1">
        <v>42360</v>
      </c>
      <c r="N1073" t="s">
        <v>47</v>
      </c>
      <c r="O1073" t="s">
        <v>48</v>
      </c>
      <c r="P1073" t="s">
        <v>49</v>
      </c>
      <c r="Q1073" t="s">
        <v>8076</v>
      </c>
      <c r="R1073" t="s">
        <v>8077</v>
      </c>
      <c r="S1073">
        <v>1652</v>
      </c>
      <c r="T1073" t="s">
        <v>52</v>
      </c>
      <c r="U1073">
        <v>6</v>
      </c>
      <c r="V1073" t="s">
        <v>4320</v>
      </c>
      <c r="W1073" t="s">
        <v>54</v>
      </c>
      <c r="X1073" t="s">
        <v>76</v>
      </c>
      <c r="Y1073" t="s">
        <v>56</v>
      </c>
      <c r="Z1073">
        <v>841</v>
      </c>
      <c r="AA1073">
        <v>69</v>
      </c>
      <c r="AB1073">
        <v>146</v>
      </c>
      <c r="AC1073" t="s">
        <v>3254</v>
      </c>
      <c r="AD1073" t="s">
        <v>3255</v>
      </c>
      <c r="AE1073" t="s">
        <v>3256</v>
      </c>
      <c r="AI1073" t="s">
        <v>179</v>
      </c>
      <c r="AJ1073" s="2">
        <v>45855.765428240738</v>
      </c>
      <c r="AK1073" t="s">
        <v>501</v>
      </c>
      <c r="AL1073" t="s">
        <v>65</v>
      </c>
      <c r="AM1073" s="4">
        <v>6.25E-2</v>
      </c>
      <c r="AN1073" t="s">
        <v>66</v>
      </c>
      <c r="AO1073" t="s">
        <v>67</v>
      </c>
    </row>
    <row r="1074" spans="1:41" x14ac:dyDescent="0.2">
      <c r="A1074">
        <v>371843</v>
      </c>
      <c r="B1074" t="s">
        <v>8078</v>
      </c>
      <c r="C1074" t="s">
        <v>69</v>
      </c>
      <c r="D1074" t="s">
        <v>5166</v>
      </c>
      <c r="E1074" t="s">
        <v>8079</v>
      </c>
      <c r="F1074">
        <v>104105</v>
      </c>
      <c r="G1074" s="1">
        <v>33035</v>
      </c>
      <c r="H1074" s="1">
        <v>45818</v>
      </c>
      <c r="I1074" s="1">
        <v>46174</v>
      </c>
      <c r="J1074" t="s">
        <v>45</v>
      </c>
      <c r="K1074" t="s">
        <v>45</v>
      </c>
      <c r="L1074" t="s">
        <v>429</v>
      </c>
      <c r="M1074" s="1">
        <v>42257</v>
      </c>
      <c r="N1074" t="s">
        <v>47</v>
      </c>
      <c r="O1074" t="s">
        <v>48</v>
      </c>
      <c r="P1074" t="s">
        <v>49</v>
      </c>
      <c r="Q1074" t="s">
        <v>8080</v>
      </c>
      <c r="R1074" t="s">
        <v>8081</v>
      </c>
      <c r="S1074">
        <v>5660</v>
      </c>
      <c r="T1074" t="s">
        <v>365</v>
      </c>
      <c r="U1074" t="s">
        <v>532</v>
      </c>
      <c r="V1074" t="s">
        <v>8082</v>
      </c>
      <c r="W1074" t="s">
        <v>367</v>
      </c>
      <c r="X1074" t="s">
        <v>76</v>
      </c>
      <c r="Y1074" t="s">
        <v>434</v>
      </c>
      <c r="Z1074">
        <v>162</v>
      </c>
      <c r="AA1074">
        <v>61</v>
      </c>
      <c r="AB1074">
        <v>158</v>
      </c>
      <c r="AC1074" t="s">
        <v>3690</v>
      </c>
      <c r="AD1074" t="s">
        <v>3691</v>
      </c>
      <c r="AE1074" t="s">
        <v>3692</v>
      </c>
      <c r="AF1074" t="s">
        <v>8083</v>
      </c>
      <c r="AG1074" t="s">
        <v>3694</v>
      </c>
      <c r="AH1074" t="s">
        <v>3695</v>
      </c>
      <c r="AI1074" t="s">
        <v>179</v>
      </c>
      <c r="AJ1074" s="2">
        <v>45821.540023148147</v>
      </c>
      <c r="AK1074" t="s">
        <v>568</v>
      </c>
      <c r="AL1074" t="s">
        <v>65</v>
      </c>
      <c r="AM1074" s="3">
        <v>1.8888888888888888</v>
      </c>
      <c r="AN1074" t="s">
        <v>66</v>
      </c>
      <c r="AO1074" t="s">
        <v>67</v>
      </c>
    </row>
    <row r="1075" spans="1:41" x14ac:dyDescent="0.2">
      <c r="A1075">
        <v>369609</v>
      </c>
      <c r="B1075" t="s">
        <v>8084</v>
      </c>
      <c r="C1075" t="s">
        <v>182</v>
      </c>
      <c r="D1075" t="s">
        <v>610</v>
      </c>
      <c r="E1075" t="s">
        <v>8085</v>
      </c>
      <c r="F1075">
        <v>45745</v>
      </c>
      <c r="G1075" s="1">
        <v>36690</v>
      </c>
      <c r="H1075" s="1">
        <v>45743</v>
      </c>
      <c r="I1075" s="1">
        <v>46113</v>
      </c>
      <c r="J1075" t="s">
        <v>45</v>
      </c>
      <c r="K1075" t="s">
        <v>326</v>
      </c>
      <c r="L1075" t="s">
        <v>429</v>
      </c>
      <c r="N1075" t="s">
        <v>47</v>
      </c>
      <c r="O1075" t="s">
        <v>48</v>
      </c>
      <c r="P1075" t="s">
        <v>49</v>
      </c>
      <c r="Q1075" t="s">
        <v>8086</v>
      </c>
      <c r="R1075" t="s">
        <v>8087</v>
      </c>
      <c r="S1075">
        <v>1835</v>
      </c>
      <c r="T1075" t="s">
        <v>52</v>
      </c>
      <c r="U1075">
        <v>5</v>
      </c>
      <c r="V1075" t="s">
        <v>614</v>
      </c>
      <c r="W1075" t="s">
        <v>54</v>
      </c>
      <c r="X1075" t="s">
        <v>493</v>
      </c>
      <c r="Y1075" t="s">
        <v>434</v>
      </c>
      <c r="Z1075">
        <v>1672</v>
      </c>
      <c r="AA1075">
        <v>51</v>
      </c>
      <c r="AB1075">
        <v>210</v>
      </c>
      <c r="AC1075" t="s">
        <v>615</v>
      </c>
      <c r="AD1075" t="s">
        <v>616</v>
      </c>
      <c r="AE1075" t="s">
        <v>617</v>
      </c>
      <c r="AF1075" t="s">
        <v>4148</v>
      </c>
      <c r="AG1075" t="s">
        <v>619</v>
      </c>
      <c r="AH1075" t="s">
        <v>617</v>
      </c>
      <c r="AI1075" t="s">
        <v>620</v>
      </c>
      <c r="AJ1075" s="2">
        <v>45747.636180555557</v>
      </c>
      <c r="AK1075" t="s">
        <v>540</v>
      </c>
      <c r="AL1075" t="s">
        <v>65</v>
      </c>
      <c r="AM1075" s="3">
        <v>2.1875</v>
      </c>
      <c r="AN1075" t="s">
        <v>66</v>
      </c>
      <c r="AO1075" t="s">
        <v>67</v>
      </c>
    </row>
    <row r="1076" spans="1:41" x14ac:dyDescent="0.2">
      <c r="A1076">
        <v>372234</v>
      </c>
      <c r="B1076" t="s">
        <v>8088</v>
      </c>
      <c r="C1076" t="s">
        <v>182</v>
      </c>
      <c r="D1076" t="s">
        <v>2295</v>
      </c>
      <c r="E1076" t="s">
        <v>8089</v>
      </c>
      <c r="F1076">
        <v>40730</v>
      </c>
      <c r="G1076" s="1">
        <v>37505</v>
      </c>
      <c r="H1076" s="1">
        <v>45833</v>
      </c>
      <c r="I1076" s="1">
        <v>46174</v>
      </c>
      <c r="J1076" t="s">
        <v>45</v>
      </c>
      <c r="K1076" t="s">
        <v>45</v>
      </c>
      <c r="L1076" t="s">
        <v>429</v>
      </c>
      <c r="M1076" s="1">
        <v>45801</v>
      </c>
      <c r="N1076" t="s">
        <v>47</v>
      </c>
      <c r="O1076" t="s">
        <v>48</v>
      </c>
      <c r="P1076" t="s">
        <v>49</v>
      </c>
      <c r="Q1076" t="s">
        <v>8090</v>
      </c>
      <c r="R1076" t="s">
        <v>8091</v>
      </c>
      <c r="S1076">
        <v>6215</v>
      </c>
      <c r="T1076" t="s">
        <v>52</v>
      </c>
      <c r="U1076">
        <v>5</v>
      </c>
      <c r="V1076" t="s">
        <v>2771</v>
      </c>
      <c r="W1076" t="s">
        <v>54</v>
      </c>
      <c r="X1076" t="s">
        <v>493</v>
      </c>
      <c r="Y1076" t="s">
        <v>434</v>
      </c>
      <c r="Z1076">
        <v>2040</v>
      </c>
      <c r="AA1076">
        <v>68</v>
      </c>
      <c r="AB1076">
        <v>34</v>
      </c>
      <c r="AC1076" t="s">
        <v>2775</v>
      </c>
      <c r="AD1076" t="s">
        <v>2776</v>
      </c>
      <c r="AE1076" t="s">
        <v>2777</v>
      </c>
      <c r="AF1076" t="s">
        <v>3044</v>
      </c>
      <c r="AG1076" t="s">
        <v>3045</v>
      </c>
      <c r="AH1076" t="s">
        <v>3046</v>
      </c>
      <c r="AI1076" t="s">
        <v>3047</v>
      </c>
      <c r="AJ1076" s="2">
        <v>45834.867372685185</v>
      </c>
      <c r="AK1076" t="s">
        <v>501</v>
      </c>
      <c r="AL1076" t="s">
        <v>65</v>
      </c>
      <c r="AM1076" s="4">
        <v>0.16666666666666666</v>
      </c>
      <c r="AN1076" t="s">
        <v>66</v>
      </c>
      <c r="AO1076" t="s">
        <v>67</v>
      </c>
    </row>
    <row r="1077" spans="1:41" x14ac:dyDescent="0.2">
      <c r="A1077">
        <v>372166</v>
      </c>
      <c r="B1077" t="s">
        <v>8092</v>
      </c>
      <c r="C1077" t="s">
        <v>69</v>
      </c>
      <c r="D1077" t="s">
        <v>3815</v>
      </c>
      <c r="E1077" t="s">
        <v>8093</v>
      </c>
      <c r="F1077">
        <v>103902</v>
      </c>
      <c r="G1077" s="1">
        <v>31729</v>
      </c>
      <c r="H1077" s="1">
        <v>45832</v>
      </c>
      <c r="I1077" s="1">
        <v>46188</v>
      </c>
      <c r="J1077" t="s">
        <v>45</v>
      </c>
      <c r="K1077" t="s">
        <v>45</v>
      </c>
      <c r="L1077" t="s">
        <v>72</v>
      </c>
      <c r="M1077" s="1">
        <v>44147</v>
      </c>
      <c r="N1077" t="s">
        <v>47</v>
      </c>
      <c r="O1077" t="s">
        <v>48</v>
      </c>
      <c r="P1077" t="s">
        <v>49</v>
      </c>
      <c r="Q1077" t="s">
        <v>8094</v>
      </c>
      <c r="R1077" t="s">
        <v>8095</v>
      </c>
      <c r="S1077">
        <v>6252</v>
      </c>
      <c r="T1077" t="s">
        <v>365</v>
      </c>
      <c r="U1077" t="s">
        <v>532</v>
      </c>
      <c r="V1077" t="s">
        <v>936</v>
      </c>
      <c r="W1077" t="s">
        <v>367</v>
      </c>
      <c r="X1077" t="s">
        <v>76</v>
      </c>
      <c r="Y1077" t="s">
        <v>434</v>
      </c>
      <c r="Z1077">
        <v>176</v>
      </c>
      <c r="AA1077">
        <v>58</v>
      </c>
      <c r="AB1077">
        <v>34</v>
      </c>
      <c r="AC1077" t="s">
        <v>937</v>
      </c>
      <c r="AD1077" t="s">
        <v>938</v>
      </c>
      <c r="AE1077" t="s">
        <v>939</v>
      </c>
      <c r="AI1077" t="s">
        <v>179</v>
      </c>
      <c r="AJ1077" s="2">
        <v>45832.867719907408</v>
      </c>
      <c r="AK1077" t="s">
        <v>132</v>
      </c>
      <c r="AL1077" t="s">
        <v>65</v>
      </c>
      <c r="AM1077" s="3">
        <v>1.4027777777777777</v>
      </c>
      <c r="AN1077" t="s">
        <v>66</v>
      </c>
      <c r="AO1077" t="s">
        <v>67</v>
      </c>
    </row>
    <row r="1078" spans="1:41" x14ac:dyDescent="0.2">
      <c r="A1078">
        <v>368477</v>
      </c>
      <c r="B1078" t="s">
        <v>8096</v>
      </c>
      <c r="C1078" t="s">
        <v>345</v>
      </c>
      <c r="D1078" t="s">
        <v>8097</v>
      </c>
      <c r="E1078" t="s">
        <v>8098</v>
      </c>
      <c r="F1078">
        <v>54401</v>
      </c>
      <c r="G1078" s="1">
        <v>43707</v>
      </c>
      <c r="H1078" s="1">
        <v>45709</v>
      </c>
      <c r="I1078" s="1">
        <v>46249</v>
      </c>
      <c r="J1078" t="s">
        <v>45</v>
      </c>
      <c r="K1078" t="s">
        <v>45</v>
      </c>
      <c r="L1078" t="s">
        <v>72</v>
      </c>
      <c r="N1078" t="s">
        <v>47</v>
      </c>
      <c r="O1078" t="s">
        <v>48</v>
      </c>
      <c r="P1078" t="s">
        <v>49</v>
      </c>
      <c r="Q1078" t="s">
        <v>8099</v>
      </c>
      <c r="R1078" t="s">
        <v>8100</v>
      </c>
      <c r="S1078">
        <v>3480</v>
      </c>
      <c r="T1078" t="s">
        <v>92</v>
      </c>
      <c r="U1078" t="s">
        <v>350</v>
      </c>
      <c r="V1078" t="s">
        <v>351</v>
      </c>
      <c r="W1078" t="s">
        <v>352</v>
      </c>
      <c r="Y1078" t="s">
        <v>110</v>
      </c>
      <c r="Z1078">
        <v>10170</v>
      </c>
      <c r="AA1078">
        <v>14</v>
      </c>
      <c r="AB1078">
        <v>76</v>
      </c>
      <c r="AC1078" t="s">
        <v>353</v>
      </c>
      <c r="AD1078" t="s">
        <v>354</v>
      </c>
      <c r="AE1078" t="s">
        <v>355</v>
      </c>
      <c r="AF1078" t="s">
        <v>356</v>
      </c>
      <c r="AG1078" t="s">
        <v>357</v>
      </c>
      <c r="AH1078" t="s">
        <v>358</v>
      </c>
      <c r="AJ1078" s="2">
        <v>45713.62871527778</v>
      </c>
      <c r="AK1078" t="s">
        <v>8101</v>
      </c>
      <c r="AL1078" t="s">
        <v>65</v>
      </c>
      <c r="AM1078" s="4">
        <v>0.27777777777777779</v>
      </c>
      <c r="AN1078" t="s">
        <v>66</v>
      </c>
      <c r="AO1078" t="s">
        <v>67</v>
      </c>
    </row>
    <row r="1079" spans="1:41" x14ac:dyDescent="0.2">
      <c r="A1079">
        <v>368628</v>
      </c>
      <c r="B1079" t="s">
        <v>8102</v>
      </c>
      <c r="C1079" t="s">
        <v>662</v>
      </c>
      <c r="D1079" t="s">
        <v>8103</v>
      </c>
      <c r="E1079">
        <v>88412360</v>
      </c>
      <c r="F1079">
        <v>419702</v>
      </c>
      <c r="G1079" s="1">
        <v>38183</v>
      </c>
      <c r="H1079" s="1">
        <v>45565</v>
      </c>
      <c r="I1079" s="1">
        <v>45931</v>
      </c>
      <c r="J1079" t="s">
        <v>45</v>
      </c>
      <c r="K1079" t="s">
        <v>45</v>
      </c>
      <c r="L1079" t="s">
        <v>46</v>
      </c>
      <c r="M1079" s="1">
        <v>43535</v>
      </c>
      <c r="N1079" t="s">
        <v>47</v>
      </c>
      <c r="O1079" t="s">
        <v>48</v>
      </c>
      <c r="P1079" t="s">
        <v>49</v>
      </c>
      <c r="Q1079" t="s">
        <v>8104</v>
      </c>
      <c r="R1079" t="s">
        <v>8105</v>
      </c>
      <c r="S1079">
        <v>792</v>
      </c>
      <c r="T1079" t="s">
        <v>92</v>
      </c>
      <c r="U1079" t="s">
        <v>1197</v>
      </c>
      <c r="V1079" t="s">
        <v>1198</v>
      </c>
      <c r="W1079" t="s">
        <v>1199</v>
      </c>
      <c r="X1079" t="s">
        <v>52</v>
      </c>
      <c r="Y1079" t="s">
        <v>110</v>
      </c>
      <c r="Z1079">
        <v>2539</v>
      </c>
      <c r="AA1079">
        <v>43</v>
      </c>
      <c r="AB1079">
        <v>158</v>
      </c>
      <c r="AC1079" t="s">
        <v>1200</v>
      </c>
      <c r="AD1079" t="s">
        <v>1201</v>
      </c>
      <c r="AE1079" t="s">
        <v>1202</v>
      </c>
      <c r="AF1079" t="s">
        <v>4740</v>
      </c>
      <c r="AG1079" t="s">
        <v>4741</v>
      </c>
      <c r="AH1079" t="s">
        <v>4742</v>
      </c>
      <c r="AJ1079" s="2">
        <v>45716.831747685188</v>
      </c>
      <c r="AK1079" t="s">
        <v>132</v>
      </c>
      <c r="AL1079" t="s">
        <v>65</v>
      </c>
      <c r="AM1079" s="4">
        <v>0.15972222222222221</v>
      </c>
      <c r="AN1079" t="s">
        <v>66</v>
      </c>
      <c r="AO1079" t="s">
        <v>67</v>
      </c>
    </row>
    <row r="1080" spans="1:41" x14ac:dyDescent="0.2">
      <c r="A1080">
        <v>366083</v>
      </c>
      <c r="B1080" t="s">
        <v>8106</v>
      </c>
      <c r="C1080" t="s">
        <v>2298</v>
      </c>
      <c r="D1080" t="s">
        <v>168</v>
      </c>
      <c r="E1080">
        <v>32908328</v>
      </c>
      <c r="F1080">
        <v>228204</v>
      </c>
      <c r="G1080" s="1">
        <v>39824</v>
      </c>
      <c r="H1080" s="1">
        <v>45602</v>
      </c>
      <c r="I1080" s="1">
        <v>46235</v>
      </c>
      <c r="J1080" t="s">
        <v>45</v>
      </c>
      <c r="K1080" t="s">
        <v>72</v>
      </c>
      <c r="L1080" t="s">
        <v>72</v>
      </c>
      <c r="M1080" s="1">
        <v>43922</v>
      </c>
      <c r="N1080" t="s">
        <v>47</v>
      </c>
      <c r="O1080" t="s">
        <v>48</v>
      </c>
      <c r="P1080" t="s">
        <v>49</v>
      </c>
      <c r="Q1080" t="s">
        <v>8107</v>
      </c>
      <c r="R1080" t="s">
        <v>8108</v>
      </c>
      <c r="S1080">
        <v>7</v>
      </c>
      <c r="T1080" t="s">
        <v>156</v>
      </c>
      <c r="U1080" t="s">
        <v>157</v>
      </c>
      <c r="V1080" t="s">
        <v>8109</v>
      </c>
      <c r="W1080" t="s">
        <v>159</v>
      </c>
      <c r="X1080" t="s">
        <v>156</v>
      </c>
      <c r="Y1080" t="s">
        <v>110</v>
      </c>
      <c r="Z1080">
        <v>2810</v>
      </c>
      <c r="AA1080">
        <v>31</v>
      </c>
      <c r="AB1080">
        <v>39</v>
      </c>
      <c r="AC1080" t="s">
        <v>3158</v>
      </c>
      <c r="AD1080" t="s">
        <v>3159</v>
      </c>
      <c r="AE1080" t="s">
        <v>3160</v>
      </c>
      <c r="AF1080" t="s">
        <v>8110</v>
      </c>
      <c r="AG1080" t="s">
        <v>3162</v>
      </c>
      <c r="AH1080" t="s">
        <v>3163</v>
      </c>
      <c r="AI1080" t="s">
        <v>8111</v>
      </c>
      <c r="AJ1080" s="2">
        <v>45603.685925925929</v>
      </c>
      <c r="AK1080" t="s">
        <v>8112</v>
      </c>
      <c r="AL1080" t="s">
        <v>65</v>
      </c>
      <c r="AM1080" s="3">
        <v>2.0868055555555554</v>
      </c>
      <c r="AN1080" t="s">
        <v>66</v>
      </c>
      <c r="AO1080" t="s">
        <v>101</v>
      </c>
    </row>
    <row r="1081" spans="1:41" x14ac:dyDescent="0.2">
      <c r="A1081">
        <v>361884</v>
      </c>
      <c r="B1081" t="s">
        <v>8113</v>
      </c>
      <c r="C1081" t="s">
        <v>345</v>
      </c>
      <c r="D1081" t="s">
        <v>8114</v>
      </c>
      <c r="E1081" t="s">
        <v>8115</v>
      </c>
      <c r="G1081" s="1">
        <v>44468</v>
      </c>
      <c r="H1081" s="1">
        <v>45462</v>
      </c>
      <c r="I1081" s="1">
        <v>46174</v>
      </c>
      <c r="J1081" t="s">
        <v>45</v>
      </c>
      <c r="K1081" t="s">
        <v>45</v>
      </c>
      <c r="L1081" t="s">
        <v>46</v>
      </c>
      <c r="M1081" s="1">
        <v>45154</v>
      </c>
      <c r="N1081" t="s">
        <v>47</v>
      </c>
      <c r="O1081" t="s">
        <v>48</v>
      </c>
      <c r="P1081" t="s">
        <v>49</v>
      </c>
      <c r="Q1081" t="s">
        <v>8116</v>
      </c>
      <c r="R1081" t="s">
        <v>8117</v>
      </c>
      <c r="S1081">
        <v>10214</v>
      </c>
      <c r="T1081" t="s">
        <v>52</v>
      </c>
      <c r="U1081">
        <v>2</v>
      </c>
      <c r="V1081" t="s">
        <v>8005</v>
      </c>
      <c r="W1081" t="s">
        <v>54</v>
      </c>
      <c r="X1081" t="s">
        <v>55</v>
      </c>
      <c r="Y1081" t="s">
        <v>56</v>
      </c>
      <c r="Z1081">
        <v>11866</v>
      </c>
      <c r="AA1081">
        <v>9</v>
      </c>
      <c r="AB1081">
        <v>210</v>
      </c>
      <c r="AC1081" t="s">
        <v>8118</v>
      </c>
      <c r="AD1081" t="s">
        <v>8119</v>
      </c>
      <c r="AE1081" t="s">
        <v>8120</v>
      </c>
      <c r="AF1081" t="s">
        <v>8121</v>
      </c>
      <c r="AG1081" t="s">
        <v>8122</v>
      </c>
      <c r="AH1081" t="s">
        <v>8123</v>
      </c>
      <c r="AI1081" t="s">
        <v>179</v>
      </c>
      <c r="AJ1081" s="2">
        <v>45468.664340277777</v>
      </c>
      <c r="AK1081" t="s">
        <v>64</v>
      </c>
      <c r="AL1081" t="s">
        <v>65</v>
      </c>
      <c r="AM1081" s="4">
        <v>0.4861111111111111</v>
      </c>
      <c r="AN1081" t="s">
        <v>66</v>
      </c>
      <c r="AO1081" t="s">
        <v>67</v>
      </c>
    </row>
    <row r="1082" spans="1:41" x14ac:dyDescent="0.2">
      <c r="A1082">
        <v>373014</v>
      </c>
      <c r="B1082" t="s">
        <v>8124</v>
      </c>
      <c r="C1082" t="s">
        <v>236</v>
      </c>
      <c r="D1082" t="s">
        <v>198</v>
      </c>
      <c r="E1082" t="s">
        <v>8125</v>
      </c>
      <c r="F1082">
        <v>210703</v>
      </c>
      <c r="G1082" s="1">
        <v>38562</v>
      </c>
      <c r="H1082" s="1">
        <v>45588</v>
      </c>
      <c r="I1082" s="1">
        <v>45931</v>
      </c>
      <c r="J1082" t="s">
        <v>45</v>
      </c>
      <c r="K1082" t="s">
        <v>45</v>
      </c>
      <c r="L1082" t="s">
        <v>46</v>
      </c>
      <c r="N1082" t="s">
        <v>47</v>
      </c>
      <c r="O1082" t="s">
        <v>48</v>
      </c>
      <c r="P1082" t="s">
        <v>49</v>
      </c>
      <c r="Q1082" t="s">
        <v>8126</v>
      </c>
      <c r="R1082" t="s">
        <v>8127</v>
      </c>
      <c r="S1082">
        <v>1343</v>
      </c>
      <c r="T1082" t="s">
        <v>296</v>
      </c>
      <c r="U1082" t="s">
        <v>8128</v>
      </c>
      <c r="V1082" t="s">
        <v>8129</v>
      </c>
      <c r="W1082" t="s">
        <v>299</v>
      </c>
      <c r="X1082" t="s">
        <v>76</v>
      </c>
      <c r="Y1082" t="s">
        <v>56</v>
      </c>
      <c r="Z1082">
        <v>2548</v>
      </c>
      <c r="AA1082">
        <v>41</v>
      </c>
      <c r="AB1082">
        <v>160</v>
      </c>
      <c r="AC1082" t="s">
        <v>8130</v>
      </c>
      <c r="AD1082" t="s">
        <v>8131</v>
      </c>
      <c r="AE1082" t="s">
        <v>8132</v>
      </c>
      <c r="AF1082" t="s">
        <v>8133</v>
      </c>
      <c r="AG1082" t="s">
        <v>8134</v>
      </c>
      <c r="AH1082" t="s">
        <v>8135</v>
      </c>
      <c r="AI1082" t="s">
        <v>8136</v>
      </c>
      <c r="AJ1082" s="2">
        <v>45856.017083333332</v>
      </c>
      <c r="AK1082" t="s">
        <v>556</v>
      </c>
      <c r="AL1082" t="s">
        <v>65</v>
      </c>
      <c r="AM1082" s="3">
        <v>1.8541666666666667</v>
      </c>
      <c r="AN1082" t="s">
        <v>66</v>
      </c>
      <c r="AO1082" t="s">
        <v>67</v>
      </c>
    </row>
    <row r="1083" spans="1:41" x14ac:dyDescent="0.2">
      <c r="A1083">
        <v>372331</v>
      </c>
      <c r="B1083" t="s">
        <v>8137</v>
      </c>
      <c r="C1083" t="s">
        <v>1565</v>
      </c>
      <c r="D1083" t="s">
        <v>8138</v>
      </c>
      <c r="E1083" t="s">
        <v>8139</v>
      </c>
      <c r="F1083">
        <v>390301</v>
      </c>
      <c r="G1083" s="1">
        <v>40337</v>
      </c>
      <c r="H1083" s="1">
        <v>45835</v>
      </c>
      <c r="I1083" s="1">
        <v>46174</v>
      </c>
      <c r="J1083" t="s">
        <v>45</v>
      </c>
      <c r="K1083" t="s">
        <v>326</v>
      </c>
      <c r="L1083" t="s">
        <v>429</v>
      </c>
      <c r="N1083" t="s">
        <v>47</v>
      </c>
      <c r="O1083" t="s">
        <v>48</v>
      </c>
      <c r="P1083" t="s">
        <v>49</v>
      </c>
      <c r="Q1083" t="s">
        <v>8140</v>
      </c>
      <c r="R1083" t="s">
        <v>8141</v>
      </c>
      <c r="S1083">
        <v>2176</v>
      </c>
      <c r="T1083" t="s">
        <v>296</v>
      </c>
      <c r="U1083" t="s">
        <v>1941</v>
      </c>
      <c r="V1083" t="s">
        <v>8142</v>
      </c>
      <c r="W1083" t="s">
        <v>299</v>
      </c>
      <c r="X1083" t="s">
        <v>76</v>
      </c>
      <c r="Y1083" t="s">
        <v>56</v>
      </c>
      <c r="Z1083">
        <v>3526</v>
      </c>
      <c r="AA1083">
        <v>31</v>
      </c>
      <c r="AB1083">
        <v>30</v>
      </c>
      <c r="AC1083" t="s">
        <v>8143</v>
      </c>
      <c r="AD1083" t="s">
        <v>8144</v>
      </c>
      <c r="AE1083" t="s">
        <v>8145</v>
      </c>
      <c r="AI1083" t="s">
        <v>1946</v>
      </c>
      <c r="AJ1083" s="2">
        <v>45838.596122685187</v>
      </c>
      <c r="AK1083" t="s">
        <v>540</v>
      </c>
      <c r="AL1083" t="s">
        <v>65</v>
      </c>
      <c r="AM1083" s="4">
        <v>0.25</v>
      </c>
      <c r="AN1083" t="s">
        <v>66</v>
      </c>
      <c r="AO1083" t="s">
        <v>67</v>
      </c>
    </row>
    <row r="1084" spans="1:41" x14ac:dyDescent="0.2">
      <c r="A1084">
        <v>372912</v>
      </c>
      <c r="B1084" t="s">
        <v>8146</v>
      </c>
      <c r="C1084" t="s">
        <v>692</v>
      </c>
      <c r="D1084" t="s">
        <v>1419</v>
      </c>
      <c r="E1084" t="s">
        <v>8147</v>
      </c>
      <c r="F1084">
        <v>480708</v>
      </c>
      <c r="G1084" s="1">
        <v>36979</v>
      </c>
      <c r="H1084" s="1">
        <v>45854</v>
      </c>
      <c r="I1084" s="1">
        <v>46174</v>
      </c>
      <c r="J1084" t="s">
        <v>45</v>
      </c>
      <c r="K1084" t="s">
        <v>45</v>
      </c>
      <c r="L1084" t="s">
        <v>72</v>
      </c>
      <c r="M1084" s="1">
        <v>43287</v>
      </c>
      <c r="N1084" t="s">
        <v>47</v>
      </c>
      <c r="O1084" t="s">
        <v>48</v>
      </c>
      <c r="P1084" t="s">
        <v>49</v>
      </c>
      <c r="Q1084" t="s">
        <v>8148</v>
      </c>
      <c r="R1084" t="s">
        <v>8149</v>
      </c>
      <c r="S1084">
        <v>6730</v>
      </c>
      <c r="T1084" t="s">
        <v>257</v>
      </c>
      <c r="U1084" t="s">
        <v>283</v>
      </c>
      <c r="V1084" t="s">
        <v>8150</v>
      </c>
      <c r="W1084" t="s">
        <v>260</v>
      </c>
      <c r="X1084" t="s">
        <v>257</v>
      </c>
      <c r="Y1084" t="s">
        <v>110</v>
      </c>
      <c r="Z1084">
        <v>528</v>
      </c>
      <c r="AA1084">
        <v>57</v>
      </c>
      <c r="AB1084">
        <v>52</v>
      </c>
      <c r="AC1084" t="s">
        <v>3743</v>
      </c>
      <c r="AD1084" t="s">
        <v>1425</v>
      </c>
      <c r="AE1084" t="s">
        <v>3744</v>
      </c>
      <c r="AF1084" t="s">
        <v>8151</v>
      </c>
      <c r="AG1084" t="s">
        <v>8152</v>
      </c>
      <c r="AH1084" t="s">
        <v>8153</v>
      </c>
      <c r="AI1084" t="s">
        <v>8154</v>
      </c>
      <c r="AJ1084" s="2">
        <v>45855.894178240742</v>
      </c>
      <c r="AK1084" t="s">
        <v>3743</v>
      </c>
      <c r="AL1084" t="s">
        <v>65</v>
      </c>
      <c r="AM1084" s="3">
        <v>2.4513888888888888</v>
      </c>
      <c r="AN1084" t="s">
        <v>66</v>
      </c>
      <c r="AO1084" t="s">
        <v>67</v>
      </c>
    </row>
    <row r="1085" spans="1:41" x14ac:dyDescent="0.2">
      <c r="A1085">
        <v>370524</v>
      </c>
      <c r="B1085" t="s">
        <v>8155</v>
      </c>
      <c r="C1085" t="s">
        <v>345</v>
      </c>
      <c r="D1085" t="s">
        <v>8156</v>
      </c>
      <c r="E1085" t="s">
        <v>8157</v>
      </c>
      <c r="G1085" s="1">
        <v>45505</v>
      </c>
      <c r="H1085" s="1">
        <v>45777</v>
      </c>
      <c r="I1085" s="1">
        <v>45962</v>
      </c>
      <c r="J1085" t="s">
        <v>45</v>
      </c>
      <c r="K1085" t="s">
        <v>45</v>
      </c>
      <c r="L1085" t="s">
        <v>72</v>
      </c>
      <c r="N1085" t="s">
        <v>89</v>
      </c>
      <c r="O1085" t="s">
        <v>121</v>
      </c>
      <c r="P1085" t="s">
        <v>49</v>
      </c>
      <c r="Q1085" t="s">
        <v>8158</v>
      </c>
      <c r="R1085" t="s">
        <v>8159</v>
      </c>
      <c r="S1085">
        <v>7743</v>
      </c>
      <c r="T1085" t="s">
        <v>52</v>
      </c>
      <c r="U1085">
        <v>2</v>
      </c>
      <c r="V1085" t="s">
        <v>8005</v>
      </c>
      <c r="W1085" t="s">
        <v>54</v>
      </c>
      <c r="X1085" t="s">
        <v>52</v>
      </c>
      <c r="Y1085" t="s">
        <v>125</v>
      </c>
      <c r="Z1085">
        <v>7247</v>
      </c>
      <c r="AA1085">
        <v>59</v>
      </c>
      <c r="AB1085">
        <v>78</v>
      </c>
      <c r="AC1085" t="s">
        <v>8121</v>
      </c>
      <c r="AD1085" t="s">
        <v>8122</v>
      </c>
      <c r="AE1085" t="s">
        <v>8123</v>
      </c>
      <c r="AF1085" t="s">
        <v>8160</v>
      </c>
      <c r="AG1085" t="s">
        <v>8161</v>
      </c>
      <c r="AH1085" t="s">
        <v>8162</v>
      </c>
      <c r="AJ1085" s="2">
        <v>45777.655358796299</v>
      </c>
      <c r="AK1085" t="s">
        <v>800</v>
      </c>
      <c r="AL1085" t="s">
        <v>65</v>
      </c>
      <c r="AM1085" s="3">
        <v>1.1041666666666667</v>
      </c>
      <c r="AN1085" t="s">
        <v>66</v>
      </c>
      <c r="AO1085" t="s">
        <v>67</v>
      </c>
    </row>
    <row r="1086" spans="1:41" x14ac:dyDescent="0.2">
      <c r="A1086">
        <v>372484</v>
      </c>
      <c r="B1086" t="s">
        <v>8163</v>
      </c>
      <c r="C1086" t="s">
        <v>167</v>
      </c>
      <c r="D1086" t="s">
        <v>1315</v>
      </c>
      <c r="E1086" t="s">
        <v>8164</v>
      </c>
      <c r="F1086">
        <v>353036</v>
      </c>
      <c r="G1086" s="1">
        <v>35102</v>
      </c>
      <c r="H1086" s="1">
        <v>45509</v>
      </c>
      <c r="I1086" s="1">
        <v>46218</v>
      </c>
      <c r="J1086" t="s">
        <v>45</v>
      </c>
      <c r="K1086" t="s">
        <v>326</v>
      </c>
      <c r="L1086" t="s">
        <v>429</v>
      </c>
      <c r="M1086" s="1">
        <v>42857</v>
      </c>
      <c r="N1086" t="s">
        <v>47</v>
      </c>
      <c r="O1086" t="s">
        <v>48</v>
      </c>
      <c r="P1086" t="s">
        <v>49</v>
      </c>
      <c r="Q1086" t="s">
        <v>8165</v>
      </c>
      <c r="R1086" t="s">
        <v>8166</v>
      </c>
      <c r="S1086">
        <v>2900</v>
      </c>
      <c r="T1086" t="s">
        <v>52</v>
      </c>
      <c r="U1086">
        <v>6</v>
      </c>
      <c r="V1086" t="s">
        <v>3571</v>
      </c>
      <c r="W1086" t="s">
        <v>54</v>
      </c>
      <c r="X1086" t="s">
        <v>76</v>
      </c>
      <c r="Y1086" t="s">
        <v>56</v>
      </c>
      <c r="Z1086">
        <v>854</v>
      </c>
      <c r="AA1086">
        <v>80</v>
      </c>
      <c r="AB1086">
        <v>210</v>
      </c>
      <c r="AC1086" t="s">
        <v>3572</v>
      </c>
      <c r="AD1086" t="s">
        <v>3573</v>
      </c>
      <c r="AE1086" t="s">
        <v>3574</v>
      </c>
      <c r="AF1086" t="s">
        <v>3575</v>
      </c>
      <c r="AG1086" t="s">
        <v>8167</v>
      </c>
      <c r="AH1086" t="s">
        <v>3577</v>
      </c>
      <c r="AI1086" t="s">
        <v>3578</v>
      </c>
      <c r="AJ1086" s="2">
        <v>45840.827476851853</v>
      </c>
      <c r="AK1086" t="s">
        <v>556</v>
      </c>
      <c r="AL1086" t="s">
        <v>65</v>
      </c>
      <c r="AM1086" s="3">
        <v>1.9861111111111112</v>
      </c>
      <c r="AN1086" t="s">
        <v>66</v>
      </c>
      <c r="AO1086" t="s">
        <v>67</v>
      </c>
    </row>
    <row r="1087" spans="1:41" x14ac:dyDescent="0.2">
      <c r="A1087">
        <v>371196</v>
      </c>
      <c r="B1087" t="s">
        <v>8168</v>
      </c>
      <c r="C1087" t="s">
        <v>103</v>
      </c>
      <c r="D1087" t="s">
        <v>7002</v>
      </c>
      <c r="E1087" t="s">
        <v>8169</v>
      </c>
      <c r="F1087">
        <v>314201</v>
      </c>
      <c r="G1087" s="1">
        <v>33664</v>
      </c>
      <c r="H1087" s="1">
        <v>45791</v>
      </c>
      <c r="I1087" s="1">
        <v>46143</v>
      </c>
      <c r="J1087" t="s">
        <v>45</v>
      </c>
      <c r="K1087" t="s">
        <v>45</v>
      </c>
      <c r="L1087" t="s">
        <v>46</v>
      </c>
      <c r="M1087" s="1">
        <v>42466</v>
      </c>
      <c r="N1087" t="s">
        <v>47</v>
      </c>
      <c r="O1087" t="s">
        <v>48</v>
      </c>
      <c r="P1087" t="s">
        <v>49</v>
      </c>
      <c r="Q1087" t="s">
        <v>8170</v>
      </c>
      <c r="R1087" t="s">
        <v>8171</v>
      </c>
      <c r="S1087">
        <v>1720</v>
      </c>
      <c r="T1087" t="s">
        <v>52</v>
      </c>
      <c r="U1087">
        <v>8</v>
      </c>
      <c r="V1087" t="s">
        <v>3759</v>
      </c>
      <c r="W1087" t="s">
        <v>54</v>
      </c>
      <c r="X1087" t="s">
        <v>76</v>
      </c>
      <c r="Y1087" t="s">
        <v>56</v>
      </c>
      <c r="Z1087">
        <v>1091</v>
      </c>
      <c r="AA1087">
        <v>47</v>
      </c>
      <c r="AB1087">
        <v>39</v>
      </c>
      <c r="AC1087" t="s">
        <v>4921</v>
      </c>
      <c r="AD1087" t="s">
        <v>5874</v>
      </c>
      <c r="AE1087" t="s">
        <v>8172</v>
      </c>
      <c r="AF1087" t="s">
        <v>3760</v>
      </c>
      <c r="AG1087" t="s">
        <v>5874</v>
      </c>
      <c r="AH1087" t="s">
        <v>3762</v>
      </c>
      <c r="AJ1087" s="2">
        <v>45798.606134259258</v>
      </c>
      <c r="AK1087" t="s">
        <v>717</v>
      </c>
      <c r="AL1087" t="s">
        <v>65</v>
      </c>
      <c r="AM1087" s="3">
        <v>2.0451388888888888</v>
      </c>
      <c r="AN1087" t="s">
        <v>66</v>
      </c>
      <c r="AO1087" t="s">
        <v>101</v>
      </c>
    </row>
    <row r="1088" spans="1:41" x14ac:dyDescent="0.2">
      <c r="A1088">
        <v>370587</v>
      </c>
      <c r="B1088" t="s">
        <v>8173</v>
      </c>
      <c r="C1088" t="s">
        <v>1244</v>
      </c>
      <c r="D1088" t="s">
        <v>8174</v>
      </c>
      <c r="E1088" t="s">
        <v>8175</v>
      </c>
      <c r="F1088">
        <v>464901</v>
      </c>
      <c r="G1088" s="1">
        <v>38088</v>
      </c>
      <c r="H1088" s="1">
        <v>45778</v>
      </c>
      <c r="I1088" s="1">
        <v>46157</v>
      </c>
      <c r="J1088" t="s">
        <v>45</v>
      </c>
      <c r="K1088" t="s">
        <v>45</v>
      </c>
      <c r="L1088" t="s">
        <v>72</v>
      </c>
      <c r="M1088" s="1">
        <v>45147</v>
      </c>
      <c r="N1088" t="s">
        <v>47</v>
      </c>
      <c r="O1088" t="s">
        <v>48</v>
      </c>
      <c r="P1088" t="s">
        <v>49</v>
      </c>
      <c r="Q1088" t="s">
        <v>8176</v>
      </c>
      <c r="R1088" t="s">
        <v>8177</v>
      </c>
      <c r="S1088">
        <v>2317</v>
      </c>
      <c r="T1088" t="s">
        <v>257</v>
      </c>
      <c r="U1088" t="s">
        <v>836</v>
      </c>
      <c r="V1088" t="s">
        <v>8178</v>
      </c>
      <c r="W1088" t="s">
        <v>260</v>
      </c>
      <c r="X1088" t="s">
        <v>257</v>
      </c>
      <c r="Y1088" t="s">
        <v>110</v>
      </c>
      <c r="Z1088">
        <v>1654</v>
      </c>
      <c r="AA1088">
        <v>65</v>
      </c>
      <c r="AB1088">
        <v>201</v>
      </c>
      <c r="AC1088" t="s">
        <v>8179</v>
      </c>
      <c r="AD1088" t="s">
        <v>8180</v>
      </c>
      <c r="AE1088" t="s">
        <v>8181</v>
      </c>
      <c r="AF1088" t="s">
        <v>8182</v>
      </c>
      <c r="AG1088" t="s">
        <v>8183</v>
      </c>
      <c r="AH1088" t="s">
        <v>8184</v>
      </c>
      <c r="AI1088" t="s">
        <v>8185</v>
      </c>
      <c r="AJ1088" s="2">
        <v>45778.808136574073</v>
      </c>
      <c r="AK1088" t="s">
        <v>8179</v>
      </c>
      <c r="AL1088" t="s">
        <v>65</v>
      </c>
      <c r="AM1088" s="4">
        <v>0.24305555555555555</v>
      </c>
      <c r="AN1088" t="s">
        <v>66</v>
      </c>
      <c r="AO1088" t="s">
        <v>101</v>
      </c>
    </row>
    <row r="1089" spans="1:41" x14ac:dyDescent="0.2">
      <c r="A1089">
        <v>367935</v>
      </c>
      <c r="B1089" t="s">
        <v>8186</v>
      </c>
      <c r="C1089" t="s">
        <v>662</v>
      </c>
      <c r="D1089" t="s">
        <v>5754</v>
      </c>
      <c r="E1089" t="s">
        <v>8187</v>
      </c>
      <c r="G1089" s="1">
        <v>45621</v>
      </c>
      <c r="H1089" s="1">
        <v>45687</v>
      </c>
      <c r="J1089" t="s">
        <v>45</v>
      </c>
      <c r="K1089" t="s">
        <v>45</v>
      </c>
      <c r="L1089" t="s">
        <v>46</v>
      </c>
      <c r="N1089" t="s">
        <v>47</v>
      </c>
      <c r="O1089" t="s">
        <v>48</v>
      </c>
      <c r="P1089" t="s">
        <v>49</v>
      </c>
      <c r="Q1089" t="s">
        <v>8188</v>
      </c>
      <c r="R1089" t="s">
        <v>8189</v>
      </c>
      <c r="S1089">
        <v>570</v>
      </c>
      <c r="T1089" t="s">
        <v>92</v>
      </c>
      <c r="U1089" t="s">
        <v>1197</v>
      </c>
      <c r="V1089" t="s">
        <v>8190</v>
      </c>
      <c r="W1089" t="s">
        <v>8191</v>
      </c>
      <c r="X1089" t="s">
        <v>92</v>
      </c>
      <c r="Y1089" t="s">
        <v>450</v>
      </c>
      <c r="Z1089">
        <v>12291</v>
      </c>
      <c r="AA1089">
        <v>5</v>
      </c>
      <c r="AB1089">
        <v>20</v>
      </c>
      <c r="AC1089" t="s">
        <v>8192</v>
      </c>
      <c r="AD1089" t="s">
        <v>8193</v>
      </c>
      <c r="AE1089" t="s">
        <v>8194</v>
      </c>
      <c r="AF1089" t="s">
        <v>8195</v>
      </c>
      <c r="AG1089" t="s">
        <v>8196</v>
      </c>
      <c r="AH1089" t="s">
        <v>8197</v>
      </c>
      <c r="AJ1089" s="2">
        <v>45693.841041666667</v>
      </c>
      <c r="AK1089" t="s">
        <v>526</v>
      </c>
      <c r="AL1089" t="s">
        <v>65</v>
      </c>
      <c r="AM1089" s="4">
        <v>0.70833333333333337</v>
      </c>
      <c r="AN1089" t="s">
        <v>66</v>
      </c>
      <c r="AO1089" t="s">
        <v>67</v>
      </c>
    </row>
    <row r="1090" spans="1:41" x14ac:dyDescent="0.2">
      <c r="A1090">
        <v>372677</v>
      </c>
      <c r="B1090" t="s">
        <v>8198</v>
      </c>
      <c r="C1090" t="s">
        <v>323</v>
      </c>
      <c r="D1090" t="s">
        <v>3429</v>
      </c>
      <c r="E1090" t="s">
        <v>8199</v>
      </c>
      <c r="F1090">
        <v>500964</v>
      </c>
      <c r="G1090" s="1">
        <v>31552</v>
      </c>
      <c r="H1090" s="1">
        <v>45848</v>
      </c>
      <c r="I1090" s="1">
        <v>46174</v>
      </c>
      <c r="J1090" t="s">
        <v>45</v>
      </c>
      <c r="K1090" t="s">
        <v>45</v>
      </c>
      <c r="L1090" t="s">
        <v>429</v>
      </c>
      <c r="M1090" s="1">
        <v>42181</v>
      </c>
      <c r="N1090" t="s">
        <v>47</v>
      </c>
      <c r="O1090" t="s">
        <v>48</v>
      </c>
      <c r="P1090" t="s">
        <v>49</v>
      </c>
      <c r="Q1090" t="s">
        <v>8200</v>
      </c>
      <c r="R1090" t="s">
        <v>8201</v>
      </c>
      <c r="S1090">
        <v>669</v>
      </c>
      <c r="T1090" t="s">
        <v>52</v>
      </c>
      <c r="U1090">
        <v>10</v>
      </c>
      <c r="V1090" t="s">
        <v>3432</v>
      </c>
      <c r="W1090" t="s">
        <v>54</v>
      </c>
      <c r="X1090" t="s">
        <v>76</v>
      </c>
      <c r="Y1090" t="s">
        <v>56</v>
      </c>
      <c r="Z1090">
        <v>881</v>
      </c>
      <c r="AA1090">
        <v>46</v>
      </c>
      <c r="AB1090">
        <v>152</v>
      </c>
      <c r="AC1090" t="s">
        <v>3433</v>
      </c>
      <c r="AD1090" t="s">
        <v>3434</v>
      </c>
      <c r="AE1090" t="s">
        <v>3435</v>
      </c>
      <c r="AF1090" t="s">
        <v>3436</v>
      </c>
      <c r="AG1090" t="s">
        <v>3437</v>
      </c>
      <c r="AH1090" t="s">
        <v>3438</v>
      </c>
      <c r="AI1090" t="s">
        <v>3439</v>
      </c>
      <c r="AJ1090" s="2">
        <v>45849.736018518517</v>
      </c>
      <c r="AK1090" t="s">
        <v>540</v>
      </c>
      <c r="AL1090" t="s">
        <v>65</v>
      </c>
      <c r="AM1090" s="3">
        <v>2.3263888888888888</v>
      </c>
      <c r="AN1090" t="s">
        <v>66</v>
      </c>
      <c r="AO1090" t="s">
        <v>67</v>
      </c>
    </row>
    <row r="1091" spans="1:41" x14ac:dyDescent="0.2">
      <c r="A1091">
        <v>368917</v>
      </c>
      <c r="B1091" t="s">
        <v>8202</v>
      </c>
      <c r="C1091" t="s">
        <v>182</v>
      </c>
      <c r="D1091" t="s">
        <v>1616</v>
      </c>
      <c r="E1091" t="s">
        <v>8203</v>
      </c>
      <c r="F1091">
        <v>42602</v>
      </c>
      <c r="G1091" s="1">
        <v>45124</v>
      </c>
      <c r="H1091" s="1">
        <v>45469</v>
      </c>
      <c r="I1091" s="1">
        <v>46188</v>
      </c>
      <c r="J1091" t="s">
        <v>45</v>
      </c>
      <c r="K1091" t="s">
        <v>45</v>
      </c>
      <c r="L1091" t="s">
        <v>46</v>
      </c>
      <c r="N1091" t="s">
        <v>47</v>
      </c>
      <c r="O1091" t="s">
        <v>48</v>
      </c>
      <c r="P1091" t="s">
        <v>49</v>
      </c>
      <c r="Q1091" t="s">
        <v>8204</v>
      </c>
      <c r="R1091" t="s">
        <v>8205</v>
      </c>
      <c r="S1091">
        <v>6068</v>
      </c>
      <c r="T1091" t="s">
        <v>52</v>
      </c>
      <c r="U1091">
        <v>5</v>
      </c>
      <c r="V1091" t="s">
        <v>1619</v>
      </c>
      <c r="W1091" t="s">
        <v>54</v>
      </c>
      <c r="X1091" t="s">
        <v>493</v>
      </c>
      <c r="Y1091" t="s">
        <v>434</v>
      </c>
      <c r="Z1091">
        <v>12193</v>
      </c>
      <c r="AA1091">
        <v>11</v>
      </c>
      <c r="AB1091">
        <v>78</v>
      </c>
      <c r="AC1091" t="s">
        <v>8206</v>
      </c>
      <c r="AD1091" t="s">
        <v>7097</v>
      </c>
      <c r="AE1091" t="s">
        <v>7098</v>
      </c>
      <c r="AF1091" t="s">
        <v>8207</v>
      </c>
      <c r="AG1091" t="s">
        <v>8208</v>
      </c>
      <c r="AH1091" t="s">
        <v>8209</v>
      </c>
      <c r="AI1091" t="s">
        <v>4396</v>
      </c>
      <c r="AJ1091" s="2">
        <v>45722.90902777778</v>
      </c>
      <c r="AK1091" t="s">
        <v>1472</v>
      </c>
      <c r="AL1091" t="s">
        <v>65</v>
      </c>
      <c r="AM1091" s="3">
        <v>1.6180555555555556</v>
      </c>
      <c r="AN1091" t="s">
        <v>66</v>
      </c>
      <c r="AO1091" t="s">
        <v>67</v>
      </c>
    </row>
    <row r="1092" spans="1:41" x14ac:dyDescent="0.2">
      <c r="A1092">
        <v>371631</v>
      </c>
      <c r="B1092" t="s">
        <v>8210</v>
      </c>
      <c r="C1092" t="s">
        <v>42</v>
      </c>
      <c r="D1092" t="s">
        <v>2978</v>
      </c>
      <c r="E1092" t="s">
        <v>8211</v>
      </c>
      <c r="F1092">
        <v>291302</v>
      </c>
      <c r="G1092" s="1">
        <v>37175</v>
      </c>
      <c r="H1092" s="1">
        <v>45814</v>
      </c>
      <c r="I1092" s="1">
        <v>46143</v>
      </c>
      <c r="J1092" t="s">
        <v>45</v>
      </c>
      <c r="K1092" t="s">
        <v>45</v>
      </c>
      <c r="L1092" t="s">
        <v>46</v>
      </c>
      <c r="M1092" s="1">
        <v>37974</v>
      </c>
      <c r="N1092" t="s">
        <v>47</v>
      </c>
      <c r="O1092" t="s">
        <v>48</v>
      </c>
      <c r="P1092" t="s">
        <v>49</v>
      </c>
      <c r="Q1092" t="s">
        <v>8212</v>
      </c>
      <c r="R1092" t="s">
        <v>8213</v>
      </c>
      <c r="S1092">
        <v>8620</v>
      </c>
      <c r="T1092" t="s">
        <v>52</v>
      </c>
      <c r="U1092">
        <v>3</v>
      </c>
      <c r="V1092" t="s">
        <v>53</v>
      </c>
      <c r="W1092" t="s">
        <v>54</v>
      </c>
      <c r="X1092" t="s">
        <v>55</v>
      </c>
      <c r="Y1092" t="s">
        <v>56</v>
      </c>
      <c r="Z1092">
        <v>1183</v>
      </c>
      <c r="AA1092">
        <v>47</v>
      </c>
      <c r="AB1092">
        <v>144</v>
      </c>
      <c r="AC1092" t="s">
        <v>57</v>
      </c>
      <c r="AD1092" t="s">
        <v>58</v>
      </c>
      <c r="AE1092" t="s">
        <v>4968</v>
      </c>
      <c r="AF1092" t="s">
        <v>60</v>
      </c>
      <c r="AG1092" t="s">
        <v>61</v>
      </c>
      <c r="AH1092" t="s">
        <v>62</v>
      </c>
      <c r="AI1092" t="s">
        <v>1809</v>
      </c>
      <c r="AJ1092" s="2">
        <v>45817.750324074077</v>
      </c>
      <c r="AK1092" t="s">
        <v>64</v>
      </c>
      <c r="AL1092" t="s">
        <v>65</v>
      </c>
      <c r="AM1092" s="4">
        <v>0.68055555555555558</v>
      </c>
      <c r="AN1092" t="s">
        <v>66</v>
      </c>
      <c r="AO1092" t="s">
        <v>67</v>
      </c>
    </row>
    <row r="1093" spans="1:41" x14ac:dyDescent="0.2">
      <c r="A1093">
        <v>353385</v>
      </c>
      <c r="B1093" t="s">
        <v>8214</v>
      </c>
      <c r="C1093" t="s">
        <v>182</v>
      </c>
      <c r="D1093" t="s">
        <v>2901</v>
      </c>
      <c r="E1093" t="s">
        <v>8215</v>
      </c>
      <c r="F1093">
        <v>45021</v>
      </c>
      <c r="G1093" s="1">
        <v>39771</v>
      </c>
      <c r="H1093" s="1">
        <v>45201</v>
      </c>
      <c r="J1093" t="s">
        <v>45</v>
      </c>
      <c r="K1093" t="s">
        <v>45</v>
      </c>
      <c r="L1093" t="s">
        <v>72</v>
      </c>
      <c r="N1093" t="s">
        <v>47</v>
      </c>
      <c r="O1093" t="s">
        <v>48</v>
      </c>
      <c r="P1093" t="s">
        <v>49</v>
      </c>
      <c r="Q1093" t="s">
        <v>8216</v>
      </c>
      <c r="R1093" t="s">
        <v>8217</v>
      </c>
      <c r="S1093">
        <v>4647</v>
      </c>
      <c r="T1093" t="s">
        <v>92</v>
      </c>
      <c r="U1093" t="s">
        <v>187</v>
      </c>
      <c r="V1093" t="s">
        <v>8218</v>
      </c>
      <c r="W1093" t="s">
        <v>448</v>
      </c>
      <c r="X1093" t="s">
        <v>92</v>
      </c>
      <c r="Y1093" t="s">
        <v>770</v>
      </c>
      <c r="Z1093">
        <v>2900</v>
      </c>
      <c r="AA1093">
        <v>20</v>
      </c>
      <c r="AB1093">
        <v>166</v>
      </c>
      <c r="AC1093" t="s">
        <v>8219</v>
      </c>
      <c r="AD1093" t="s">
        <v>8220</v>
      </c>
      <c r="AE1093" t="s">
        <v>8221</v>
      </c>
      <c r="AJ1093" s="2">
        <v>45203.777905092589</v>
      </c>
      <c r="AK1093" t="s">
        <v>526</v>
      </c>
      <c r="AL1093" t="s">
        <v>65</v>
      </c>
      <c r="AM1093" s="4">
        <v>0.56944444444444442</v>
      </c>
      <c r="AN1093" t="s">
        <v>66</v>
      </c>
      <c r="AO1093" t="s">
        <v>67</v>
      </c>
    </row>
    <row r="1094" spans="1:41" x14ac:dyDescent="0.2">
      <c r="A1094">
        <v>371795</v>
      </c>
      <c r="B1094" t="s">
        <v>8222</v>
      </c>
      <c r="C1094" t="s">
        <v>323</v>
      </c>
      <c r="D1094" t="s">
        <v>372</v>
      </c>
      <c r="E1094" t="s">
        <v>8223</v>
      </c>
      <c r="F1094">
        <v>500416</v>
      </c>
      <c r="G1094" s="1">
        <v>33410</v>
      </c>
      <c r="H1094" s="1">
        <v>45777</v>
      </c>
      <c r="I1094" s="1">
        <v>46037</v>
      </c>
      <c r="J1094" t="s">
        <v>45</v>
      </c>
      <c r="K1094" t="s">
        <v>45</v>
      </c>
      <c r="L1094" t="s">
        <v>72</v>
      </c>
      <c r="M1094" s="1">
        <v>45432</v>
      </c>
      <c r="N1094" t="s">
        <v>47</v>
      </c>
      <c r="O1094" t="s">
        <v>48</v>
      </c>
      <c r="P1094" t="s">
        <v>49</v>
      </c>
      <c r="Q1094" t="s">
        <v>8224</v>
      </c>
      <c r="R1094" t="s">
        <v>8225</v>
      </c>
      <c r="S1094">
        <v>764</v>
      </c>
      <c r="T1094" t="s">
        <v>156</v>
      </c>
      <c r="U1094" t="s">
        <v>460</v>
      </c>
      <c r="V1094" t="s">
        <v>330</v>
      </c>
      <c r="W1094" t="s">
        <v>159</v>
      </c>
      <c r="X1094" t="s">
        <v>76</v>
      </c>
      <c r="Y1094" t="s">
        <v>110</v>
      </c>
      <c r="Z1094">
        <v>466</v>
      </c>
      <c r="AA1094">
        <v>44</v>
      </c>
      <c r="AB1094">
        <v>158</v>
      </c>
      <c r="AC1094" t="s">
        <v>368</v>
      </c>
      <c r="AD1094" t="s">
        <v>369</v>
      </c>
      <c r="AE1094" t="s">
        <v>370</v>
      </c>
      <c r="AF1094" t="s">
        <v>463</v>
      </c>
      <c r="AG1094" t="s">
        <v>464</v>
      </c>
      <c r="AH1094" t="s">
        <v>465</v>
      </c>
      <c r="AI1094" t="s">
        <v>2048</v>
      </c>
      <c r="AJ1094" s="2">
        <v>45819.740474537037</v>
      </c>
      <c r="AK1094" t="s">
        <v>727</v>
      </c>
      <c r="AL1094" t="s">
        <v>65</v>
      </c>
      <c r="AM1094" s="4">
        <v>0.76388888888888884</v>
      </c>
      <c r="AN1094" t="s">
        <v>66</v>
      </c>
      <c r="AO1094" t="s">
        <v>67</v>
      </c>
    </row>
    <row r="1095" spans="1:41" x14ac:dyDescent="0.2">
      <c r="A1095">
        <v>365891</v>
      </c>
      <c r="B1095" t="s">
        <v>8226</v>
      </c>
      <c r="C1095" t="s">
        <v>692</v>
      </c>
      <c r="D1095" t="s">
        <v>8227</v>
      </c>
      <c r="E1095" t="s">
        <v>8228</v>
      </c>
      <c r="F1095">
        <v>480804</v>
      </c>
      <c r="G1095" s="1">
        <v>33436</v>
      </c>
      <c r="H1095" s="1">
        <v>45591</v>
      </c>
      <c r="I1095" s="1">
        <v>46296</v>
      </c>
      <c r="J1095" t="s">
        <v>45</v>
      </c>
      <c r="K1095" t="s">
        <v>45</v>
      </c>
      <c r="L1095" t="s">
        <v>72</v>
      </c>
      <c r="M1095" s="1">
        <v>43418</v>
      </c>
      <c r="N1095" t="s">
        <v>47</v>
      </c>
      <c r="O1095" t="s">
        <v>48</v>
      </c>
      <c r="P1095" t="s">
        <v>49</v>
      </c>
      <c r="Q1095" t="s">
        <v>8229</v>
      </c>
      <c r="R1095" t="s">
        <v>8230</v>
      </c>
      <c r="S1095">
        <v>7127</v>
      </c>
      <c r="T1095" t="s">
        <v>365</v>
      </c>
      <c r="U1095" t="s">
        <v>432</v>
      </c>
      <c r="V1095" t="s">
        <v>4190</v>
      </c>
      <c r="W1095" t="s">
        <v>367</v>
      </c>
      <c r="X1095" t="s">
        <v>76</v>
      </c>
      <c r="Y1095" t="s">
        <v>434</v>
      </c>
      <c r="Z1095">
        <v>391</v>
      </c>
      <c r="AA1095">
        <v>57</v>
      </c>
      <c r="AB1095">
        <v>166</v>
      </c>
      <c r="AC1095" t="s">
        <v>8231</v>
      </c>
      <c r="AD1095" t="s">
        <v>8232</v>
      </c>
      <c r="AE1095" t="s">
        <v>8233</v>
      </c>
      <c r="AF1095" t="s">
        <v>8234</v>
      </c>
      <c r="AG1095" t="s">
        <v>8235</v>
      </c>
      <c r="AH1095" t="s">
        <v>8236</v>
      </c>
      <c r="AI1095" t="s">
        <v>8237</v>
      </c>
      <c r="AJ1095" s="2">
        <v>45594.849861111114</v>
      </c>
      <c r="AK1095" t="s">
        <v>704</v>
      </c>
      <c r="AL1095" t="s">
        <v>65</v>
      </c>
      <c r="AM1095" s="3">
        <v>1.7777777777777777</v>
      </c>
      <c r="AN1095" t="s">
        <v>66</v>
      </c>
      <c r="AO1095" t="s">
        <v>67</v>
      </c>
    </row>
    <row r="1096" spans="1:41" x14ac:dyDescent="0.2">
      <c r="A1096">
        <v>368227</v>
      </c>
      <c r="B1096" t="s">
        <v>8238</v>
      </c>
      <c r="C1096" t="s">
        <v>182</v>
      </c>
      <c r="D1096" t="s">
        <v>183</v>
      </c>
      <c r="E1096">
        <v>32880604</v>
      </c>
      <c r="F1096">
        <v>45449</v>
      </c>
      <c r="G1096" s="1">
        <v>38330</v>
      </c>
      <c r="H1096" s="1">
        <v>45629</v>
      </c>
      <c r="I1096" s="1">
        <v>46127</v>
      </c>
      <c r="J1096" t="s">
        <v>45</v>
      </c>
      <c r="K1096" t="s">
        <v>45</v>
      </c>
      <c r="L1096" t="s">
        <v>46</v>
      </c>
      <c r="M1096" s="1">
        <v>45698</v>
      </c>
      <c r="N1096" t="s">
        <v>47</v>
      </c>
      <c r="O1096" t="s">
        <v>48</v>
      </c>
      <c r="P1096" t="s">
        <v>49</v>
      </c>
      <c r="Q1096" t="s">
        <v>8239</v>
      </c>
      <c r="R1096" t="s">
        <v>8240</v>
      </c>
      <c r="S1096">
        <v>4626</v>
      </c>
      <c r="T1096" t="s">
        <v>52</v>
      </c>
      <c r="U1096">
        <v>5</v>
      </c>
      <c r="V1096" t="s">
        <v>2432</v>
      </c>
      <c r="W1096" t="s">
        <v>54</v>
      </c>
      <c r="X1096" t="s">
        <v>493</v>
      </c>
      <c r="Y1096" t="s">
        <v>434</v>
      </c>
      <c r="Z1096">
        <v>2498</v>
      </c>
      <c r="AA1096">
        <v>46</v>
      </c>
      <c r="AB1096">
        <v>174</v>
      </c>
      <c r="AC1096" t="s">
        <v>5001</v>
      </c>
      <c r="AD1096" t="s">
        <v>5002</v>
      </c>
      <c r="AE1096" t="s">
        <v>2435</v>
      </c>
      <c r="AI1096" t="s">
        <v>500</v>
      </c>
      <c r="AJ1096" s="2">
        <v>45706.785497685189</v>
      </c>
      <c r="AK1096" t="s">
        <v>2668</v>
      </c>
      <c r="AL1096" t="s">
        <v>65</v>
      </c>
      <c r="AM1096" s="3">
        <v>2.4930555555555554</v>
      </c>
      <c r="AN1096" t="s">
        <v>66</v>
      </c>
      <c r="AO1096" t="s">
        <v>67</v>
      </c>
    </row>
    <row r="1097" spans="1:41" x14ac:dyDescent="0.2">
      <c r="A1097">
        <v>363189</v>
      </c>
      <c r="B1097" t="s">
        <v>8241</v>
      </c>
      <c r="C1097" t="s">
        <v>182</v>
      </c>
      <c r="D1097" t="s">
        <v>2295</v>
      </c>
      <c r="E1097" t="s">
        <v>8242</v>
      </c>
      <c r="F1097">
        <v>40721</v>
      </c>
      <c r="G1097" s="1">
        <v>32509</v>
      </c>
      <c r="H1097" s="1">
        <v>45500</v>
      </c>
      <c r="J1097" t="s">
        <v>45</v>
      </c>
      <c r="K1097" t="s">
        <v>72</v>
      </c>
      <c r="L1097" t="s">
        <v>72</v>
      </c>
      <c r="M1097" s="1">
        <v>38861</v>
      </c>
      <c r="N1097" t="s">
        <v>47</v>
      </c>
      <c r="O1097" t="s">
        <v>48</v>
      </c>
      <c r="P1097" t="s">
        <v>49</v>
      </c>
      <c r="Q1097" t="s">
        <v>8243</v>
      </c>
      <c r="R1097" t="s">
        <v>8244</v>
      </c>
      <c r="S1097">
        <v>6158</v>
      </c>
      <c r="T1097" t="s">
        <v>92</v>
      </c>
      <c r="U1097" t="s">
        <v>187</v>
      </c>
      <c r="V1097" t="s">
        <v>447</v>
      </c>
      <c r="W1097" t="s">
        <v>448</v>
      </c>
      <c r="X1097" t="s">
        <v>92</v>
      </c>
      <c r="Y1097" t="s">
        <v>450</v>
      </c>
      <c r="Z1097">
        <v>1237</v>
      </c>
      <c r="AA1097">
        <v>49</v>
      </c>
      <c r="AB1097">
        <v>144</v>
      </c>
      <c r="AC1097" t="s">
        <v>451</v>
      </c>
      <c r="AD1097" t="s">
        <v>452</v>
      </c>
      <c r="AE1097" t="s">
        <v>453</v>
      </c>
      <c r="AF1097" t="s">
        <v>1747</v>
      </c>
      <c r="AG1097" t="s">
        <v>4052</v>
      </c>
      <c r="AI1097" t="s">
        <v>6290</v>
      </c>
      <c r="AJ1097" s="2">
        <v>45506.686006944445</v>
      </c>
      <c r="AK1097" t="s">
        <v>526</v>
      </c>
      <c r="AL1097" t="s">
        <v>475</v>
      </c>
      <c r="AM1097" s="3">
        <v>1.9861111111111112</v>
      </c>
      <c r="AN1097" t="s">
        <v>66</v>
      </c>
      <c r="AO1097" t="s">
        <v>67</v>
      </c>
    </row>
    <row r="1098" spans="1:41" x14ac:dyDescent="0.2">
      <c r="A1098">
        <v>362364</v>
      </c>
      <c r="B1098" t="s">
        <v>8245</v>
      </c>
      <c r="C1098" t="s">
        <v>167</v>
      </c>
      <c r="D1098" t="s">
        <v>528</v>
      </c>
      <c r="E1098" t="s">
        <v>8246</v>
      </c>
      <c r="F1098">
        <v>353612</v>
      </c>
      <c r="G1098" s="1">
        <v>30468</v>
      </c>
      <c r="H1098" s="1">
        <v>45483</v>
      </c>
      <c r="I1098" s="1">
        <v>46218</v>
      </c>
      <c r="J1098" t="s">
        <v>45</v>
      </c>
      <c r="K1098" t="s">
        <v>45</v>
      </c>
      <c r="L1098" t="s">
        <v>72</v>
      </c>
      <c r="M1098" s="1">
        <v>44132</v>
      </c>
      <c r="N1098" t="s">
        <v>47</v>
      </c>
      <c r="O1098" t="s">
        <v>48</v>
      </c>
      <c r="P1098" t="s">
        <v>49</v>
      </c>
      <c r="Q1098" t="s">
        <v>8247</v>
      </c>
      <c r="R1098" t="s">
        <v>8248</v>
      </c>
      <c r="S1098">
        <v>4560</v>
      </c>
      <c r="T1098" t="s">
        <v>365</v>
      </c>
      <c r="U1098" t="s">
        <v>532</v>
      </c>
      <c r="V1098" t="s">
        <v>533</v>
      </c>
      <c r="W1098" t="s">
        <v>367</v>
      </c>
      <c r="X1098" t="s">
        <v>76</v>
      </c>
      <c r="Y1098" t="s">
        <v>434</v>
      </c>
      <c r="Z1098">
        <v>328</v>
      </c>
      <c r="AA1098">
        <v>58</v>
      </c>
      <c r="AB1098">
        <v>28</v>
      </c>
      <c r="AC1098" t="s">
        <v>534</v>
      </c>
      <c r="AD1098" t="s">
        <v>535</v>
      </c>
      <c r="AE1098" t="s">
        <v>536</v>
      </c>
      <c r="AF1098" t="s">
        <v>537</v>
      </c>
      <c r="AG1098" t="s">
        <v>538</v>
      </c>
      <c r="AH1098" t="s">
        <v>539</v>
      </c>
      <c r="AI1098" t="s">
        <v>179</v>
      </c>
      <c r="AJ1098" s="2">
        <v>45484.646805555552</v>
      </c>
      <c r="AK1098" t="s">
        <v>2517</v>
      </c>
      <c r="AL1098" t="s">
        <v>65</v>
      </c>
      <c r="AM1098" s="3">
        <v>1.0069444444444444</v>
      </c>
      <c r="AN1098" t="s">
        <v>66</v>
      </c>
      <c r="AO1098" t="s">
        <v>67</v>
      </c>
    </row>
    <row r="1099" spans="1:41" x14ac:dyDescent="0.2">
      <c r="A1099">
        <v>367167</v>
      </c>
      <c r="B1099" t="s">
        <v>8249</v>
      </c>
      <c r="C1099" t="s">
        <v>134</v>
      </c>
      <c r="D1099" t="s">
        <v>8044</v>
      </c>
      <c r="E1099" t="s">
        <v>8250</v>
      </c>
      <c r="F1099">
        <v>452404</v>
      </c>
      <c r="G1099" s="1">
        <v>33367</v>
      </c>
      <c r="H1099" s="1">
        <v>45484</v>
      </c>
      <c r="I1099" s="1">
        <v>46218</v>
      </c>
      <c r="J1099" t="s">
        <v>45</v>
      </c>
      <c r="K1099" t="s">
        <v>45</v>
      </c>
      <c r="L1099" t="s">
        <v>72</v>
      </c>
      <c r="M1099" s="1">
        <v>42898</v>
      </c>
      <c r="N1099" t="s">
        <v>47</v>
      </c>
      <c r="O1099" t="s">
        <v>48</v>
      </c>
      <c r="P1099" t="s">
        <v>49</v>
      </c>
      <c r="Q1099" t="s">
        <v>8251</v>
      </c>
      <c r="R1099" t="s">
        <v>8252</v>
      </c>
      <c r="S1099">
        <v>3800</v>
      </c>
      <c r="T1099" t="s">
        <v>92</v>
      </c>
      <c r="U1099" t="s">
        <v>139</v>
      </c>
      <c r="V1099" t="s">
        <v>140</v>
      </c>
      <c r="W1099" t="s">
        <v>141</v>
      </c>
      <c r="X1099" t="s">
        <v>92</v>
      </c>
      <c r="Y1099" t="s">
        <v>110</v>
      </c>
      <c r="Z1099">
        <v>401</v>
      </c>
      <c r="AA1099">
        <v>59</v>
      </c>
      <c r="AB1099">
        <v>158</v>
      </c>
      <c r="AC1099" t="s">
        <v>8048</v>
      </c>
      <c r="AD1099" t="s">
        <v>8049</v>
      </c>
      <c r="AE1099" t="s">
        <v>8050</v>
      </c>
      <c r="AF1099" t="s">
        <v>145</v>
      </c>
      <c r="AG1099" t="s">
        <v>146</v>
      </c>
      <c r="AH1099" t="s">
        <v>147</v>
      </c>
      <c r="AI1099" t="s">
        <v>8051</v>
      </c>
      <c r="AJ1099" s="2">
        <v>45664.702499999999</v>
      </c>
      <c r="AK1099" t="s">
        <v>149</v>
      </c>
      <c r="AL1099" t="s">
        <v>65</v>
      </c>
      <c r="AM1099" s="4">
        <v>0.39583333333333331</v>
      </c>
      <c r="AN1099" t="s">
        <v>66</v>
      </c>
      <c r="AO1099" t="s">
        <v>67</v>
      </c>
    </row>
    <row r="1100" spans="1:41" x14ac:dyDescent="0.2">
      <c r="A1100">
        <v>371601</v>
      </c>
      <c r="B1100" t="s">
        <v>8253</v>
      </c>
      <c r="C1100" t="s">
        <v>86</v>
      </c>
      <c r="D1100" t="s">
        <v>8254</v>
      </c>
      <c r="E1100" t="s">
        <v>8255</v>
      </c>
      <c r="F1100">
        <v>202801</v>
      </c>
      <c r="G1100" s="1">
        <v>34790</v>
      </c>
      <c r="H1100" s="1">
        <v>45773</v>
      </c>
      <c r="I1100" s="1">
        <v>46143</v>
      </c>
      <c r="J1100" t="s">
        <v>45</v>
      </c>
      <c r="K1100" t="s">
        <v>45</v>
      </c>
      <c r="L1100" t="s">
        <v>72</v>
      </c>
      <c r="M1100" s="1">
        <v>43437</v>
      </c>
      <c r="N1100" t="s">
        <v>47</v>
      </c>
      <c r="O1100" t="s">
        <v>48</v>
      </c>
      <c r="P1100" t="s">
        <v>49</v>
      </c>
      <c r="Q1100" t="s">
        <v>8256</v>
      </c>
      <c r="R1100" t="s">
        <v>8257</v>
      </c>
      <c r="S1100">
        <v>1120</v>
      </c>
      <c r="T1100" t="s">
        <v>92</v>
      </c>
      <c r="U1100" t="s">
        <v>93</v>
      </c>
      <c r="V1100" t="s">
        <v>506</v>
      </c>
      <c r="W1100" t="s">
        <v>507</v>
      </c>
      <c r="X1100" t="s">
        <v>92</v>
      </c>
      <c r="Y1100" t="s">
        <v>110</v>
      </c>
      <c r="Z1100">
        <v>1972</v>
      </c>
      <c r="AA1100">
        <v>38</v>
      </c>
      <c r="AB1100">
        <v>144</v>
      </c>
      <c r="AC1100" t="s">
        <v>508</v>
      </c>
      <c r="AD1100" t="s">
        <v>509</v>
      </c>
      <c r="AE1100" t="s">
        <v>510</v>
      </c>
      <c r="AF1100" t="s">
        <v>8258</v>
      </c>
      <c r="AG1100" t="s">
        <v>8259</v>
      </c>
      <c r="AH1100" t="s">
        <v>8260</v>
      </c>
      <c r="AI1100" t="s">
        <v>8261</v>
      </c>
      <c r="AJ1100" s="2">
        <v>45817.70275462963</v>
      </c>
      <c r="AK1100" t="s">
        <v>100</v>
      </c>
      <c r="AL1100" t="s">
        <v>65</v>
      </c>
      <c r="AM1100" s="4">
        <v>0.5</v>
      </c>
      <c r="AN1100" t="s">
        <v>66</v>
      </c>
      <c r="AO1100" t="s">
        <v>67</v>
      </c>
    </row>
    <row r="1101" spans="1:41" x14ac:dyDescent="0.2">
      <c r="A1101">
        <v>370193</v>
      </c>
      <c r="B1101" t="s">
        <v>8262</v>
      </c>
      <c r="C1101" t="s">
        <v>323</v>
      </c>
      <c r="D1101" t="s">
        <v>4275</v>
      </c>
      <c r="E1101" t="s">
        <v>8263</v>
      </c>
      <c r="F1101">
        <v>500968</v>
      </c>
      <c r="G1101" s="1">
        <v>38580</v>
      </c>
      <c r="H1101" s="1">
        <v>45415</v>
      </c>
      <c r="J1101" t="s">
        <v>45</v>
      </c>
      <c r="K1101" t="s">
        <v>45</v>
      </c>
      <c r="L1101" t="s">
        <v>72</v>
      </c>
      <c r="N1101" t="s">
        <v>47</v>
      </c>
      <c r="O1101" t="s">
        <v>48</v>
      </c>
      <c r="P1101" t="s">
        <v>406</v>
      </c>
      <c r="Q1101" t="s">
        <v>8264</v>
      </c>
      <c r="R1101" t="s">
        <v>8265</v>
      </c>
      <c r="S1101">
        <v>344</v>
      </c>
      <c r="T1101" t="s">
        <v>1328</v>
      </c>
      <c r="U1101" t="s">
        <v>3114</v>
      </c>
      <c r="V1101" t="s">
        <v>8266</v>
      </c>
      <c r="W1101" t="s">
        <v>3116</v>
      </c>
      <c r="X1101" t="s">
        <v>1328</v>
      </c>
      <c r="Y1101" t="s">
        <v>770</v>
      </c>
      <c r="Z1101">
        <v>2755</v>
      </c>
      <c r="AA1101">
        <v>51</v>
      </c>
      <c r="AB1101">
        <v>210</v>
      </c>
      <c r="AC1101" t="s">
        <v>8267</v>
      </c>
      <c r="AD1101" t="s">
        <v>8268</v>
      </c>
      <c r="AE1101" t="s">
        <v>8269</v>
      </c>
      <c r="AJ1101" s="2">
        <v>45764.81591435185</v>
      </c>
      <c r="AK1101" t="s">
        <v>2866</v>
      </c>
      <c r="AL1101" t="s">
        <v>65</v>
      </c>
      <c r="AM1101" s="3">
        <v>1.2222222222222223</v>
      </c>
      <c r="AN1101" t="s">
        <v>66</v>
      </c>
      <c r="AO1101" t="s">
        <v>67</v>
      </c>
    </row>
    <row r="1102" spans="1:41" x14ac:dyDescent="0.2">
      <c r="A1102">
        <v>363325</v>
      </c>
      <c r="B1102" t="s">
        <v>8270</v>
      </c>
      <c r="C1102" t="s">
        <v>345</v>
      </c>
      <c r="D1102" t="s">
        <v>4103</v>
      </c>
      <c r="E1102" t="s">
        <v>8271</v>
      </c>
      <c r="F1102">
        <v>50106</v>
      </c>
      <c r="G1102" s="1">
        <v>33380</v>
      </c>
      <c r="H1102" s="1">
        <v>45506</v>
      </c>
      <c r="I1102" s="1">
        <v>45931</v>
      </c>
      <c r="J1102" t="s">
        <v>45</v>
      </c>
      <c r="K1102" t="s">
        <v>45</v>
      </c>
      <c r="L1102" t="s">
        <v>429</v>
      </c>
      <c r="M1102" s="1">
        <v>35593</v>
      </c>
      <c r="N1102" t="s">
        <v>47</v>
      </c>
      <c r="O1102" t="s">
        <v>48</v>
      </c>
      <c r="P1102" t="s">
        <v>49</v>
      </c>
      <c r="Q1102" t="s">
        <v>8272</v>
      </c>
      <c r="R1102" t="s">
        <v>8273</v>
      </c>
      <c r="S1102">
        <v>7240</v>
      </c>
      <c r="T1102" t="s">
        <v>365</v>
      </c>
      <c r="U1102" t="s">
        <v>432</v>
      </c>
      <c r="V1102" t="s">
        <v>4107</v>
      </c>
      <c r="W1102" t="s">
        <v>367</v>
      </c>
      <c r="X1102" t="s">
        <v>55</v>
      </c>
      <c r="Y1102" t="s">
        <v>434</v>
      </c>
      <c r="Z1102">
        <v>118</v>
      </c>
      <c r="AA1102">
        <v>47</v>
      </c>
      <c r="AB1102">
        <v>158</v>
      </c>
      <c r="AC1102" t="s">
        <v>8274</v>
      </c>
      <c r="AD1102" t="s">
        <v>4109</v>
      </c>
      <c r="AE1102" t="s">
        <v>4110</v>
      </c>
      <c r="AF1102" t="s">
        <v>4111</v>
      </c>
      <c r="AG1102" t="s">
        <v>4112</v>
      </c>
      <c r="AH1102" t="s">
        <v>4113</v>
      </c>
      <c r="AI1102" t="s">
        <v>179</v>
      </c>
      <c r="AJ1102" s="2">
        <v>45509.897222222222</v>
      </c>
      <c r="AK1102" t="s">
        <v>64</v>
      </c>
      <c r="AL1102" t="s">
        <v>65</v>
      </c>
      <c r="AM1102" s="3">
        <v>1.9236111111111112</v>
      </c>
      <c r="AN1102" t="s">
        <v>66</v>
      </c>
      <c r="AO1102" t="s">
        <v>67</v>
      </c>
    </row>
    <row r="1103" spans="1:41" x14ac:dyDescent="0.2">
      <c r="A1103">
        <v>372529</v>
      </c>
      <c r="B1103" t="s">
        <v>8275</v>
      </c>
      <c r="C1103" t="s">
        <v>692</v>
      </c>
      <c r="D1103" t="s">
        <v>3845</v>
      </c>
      <c r="E1103" s="5">
        <v>3284570000</v>
      </c>
      <c r="F1103">
        <v>480120</v>
      </c>
      <c r="G1103" s="1">
        <v>40737</v>
      </c>
      <c r="H1103" s="1">
        <v>45799</v>
      </c>
      <c r="I1103" s="1">
        <v>46188</v>
      </c>
      <c r="J1103" t="s">
        <v>45</v>
      </c>
      <c r="K1103" t="s">
        <v>45</v>
      </c>
      <c r="L1103" t="s">
        <v>72</v>
      </c>
      <c r="M1103" s="1">
        <v>42457</v>
      </c>
      <c r="N1103" t="s">
        <v>47</v>
      </c>
      <c r="O1103" t="s">
        <v>48</v>
      </c>
      <c r="P1103" t="s">
        <v>49</v>
      </c>
      <c r="Q1103" t="s">
        <v>8276</v>
      </c>
      <c r="R1103" t="s">
        <v>8277</v>
      </c>
      <c r="S1103">
        <v>7900</v>
      </c>
      <c r="T1103" t="s">
        <v>257</v>
      </c>
      <c r="U1103" t="s">
        <v>283</v>
      </c>
      <c r="V1103" t="s">
        <v>2084</v>
      </c>
      <c r="W1103" t="s">
        <v>260</v>
      </c>
      <c r="X1103" t="s">
        <v>257</v>
      </c>
      <c r="Y1103" t="s">
        <v>110</v>
      </c>
      <c r="Z1103">
        <v>4786</v>
      </c>
      <c r="AA1103">
        <v>24</v>
      </c>
      <c r="AB1103">
        <v>210</v>
      </c>
      <c r="AC1103" t="s">
        <v>2085</v>
      </c>
      <c r="AD1103" t="s">
        <v>2086</v>
      </c>
      <c r="AE1103" t="s">
        <v>2087</v>
      </c>
      <c r="AF1103" t="s">
        <v>2088</v>
      </c>
      <c r="AG1103" t="s">
        <v>2089</v>
      </c>
      <c r="AI1103" t="s">
        <v>2086</v>
      </c>
      <c r="AJ1103" s="2">
        <v>45841.943043981482</v>
      </c>
      <c r="AK1103" t="s">
        <v>2085</v>
      </c>
      <c r="AL1103" t="s">
        <v>65</v>
      </c>
      <c r="AM1103" s="3">
        <v>2.0555555555555554</v>
      </c>
      <c r="AN1103" t="s">
        <v>66</v>
      </c>
      <c r="AO1103" t="s">
        <v>67</v>
      </c>
    </row>
    <row r="1104" spans="1:41" x14ac:dyDescent="0.2">
      <c r="A1104">
        <v>372701</v>
      </c>
      <c r="B1104" t="s">
        <v>8278</v>
      </c>
      <c r="C1104" t="s">
        <v>278</v>
      </c>
      <c r="D1104" t="s">
        <v>8279</v>
      </c>
      <c r="E1104" t="s">
        <v>8280</v>
      </c>
      <c r="F1104">
        <v>421093</v>
      </c>
      <c r="G1104" s="1">
        <v>44082</v>
      </c>
      <c r="H1104" s="1">
        <v>45850</v>
      </c>
      <c r="I1104" s="1">
        <v>46204</v>
      </c>
      <c r="J1104" t="s">
        <v>45</v>
      </c>
      <c r="K1104" t="s">
        <v>45</v>
      </c>
      <c r="L1104" t="s">
        <v>46</v>
      </c>
      <c r="N1104" t="s">
        <v>47</v>
      </c>
      <c r="O1104" t="s">
        <v>48</v>
      </c>
      <c r="P1104" t="s">
        <v>49</v>
      </c>
      <c r="Q1104" t="s">
        <v>8281</v>
      </c>
      <c r="R1104" t="s">
        <v>8282</v>
      </c>
      <c r="S1104">
        <v>5237</v>
      </c>
      <c r="T1104" t="s">
        <v>52</v>
      </c>
      <c r="U1104">
        <v>4</v>
      </c>
      <c r="V1104" t="s">
        <v>1991</v>
      </c>
      <c r="W1104" t="s">
        <v>54</v>
      </c>
      <c r="X1104" t="s">
        <v>76</v>
      </c>
      <c r="Y1104" t="s">
        <v>56</v>
      </c>
      <c r="Z1104">
        <v>2584</v>
      </c>
      <c r="AA1104">
        <v>46</v>
      </c>
      <c r="AB1104">
        <v>144</v>
      </c>
      <c r="AC1104" t="s">
        <v>1992</v>
      </c>
      <c r="AD1104" t="s">
        <v>1993</v>
      </c>
      <c r="AE1104" t="s">
        <v>1994</v>
      </c>
      <c r="AF1104" t="s">
        <v>1995</v>
      </c>
      <c r="AG1104" t="s">
        <v>1996</v>
      </c>
      <c r="AH1104" t="s">
        <v>1997</v>
      </c>
      <c r="AI1104" t="s">
        <v>1998</v>
      </c>
      <c r="AJ1104" s="2">
        <v>45851.028229166666</v>
      </c>
      <c r="AK1104" t="s">
        <v>800</v>
      </c>
      <c r="AL1104" t="s">
        <v>65</v>
      </c>
      <c r="AM1104" s="3">
        <v>1.9027777777777777</v>
      </c>
      <c r="AN1104" t="s">
        <v>66</v>
      </c>
      <c r="AO1104" t="s">
        <v>67</v>
      </c>
    </row>
    <row r="1105" spans="1:41" x14ac:dyDescent="0.2">
      <c r="A1105">
        <v>358742</v>
      </c>
      <c r="B1105" t="s">
        <v>8283</v>
      </c>
      <c r="C1105" t="s">
        <v>167</v>
      </c>
      <c r="D1105" t="s">
        <v>3504</v>
      </c>
      <c r="E1105">
        <v>60002482</v>
      </c>
      <c r="F1105">
        <v>352562</v>
      </c>
      <c r="G1105" s="1">
        <v>38198</v>
      </c>
      <c r="H1105" s="1">
        <v>45328</v>
      </c>
      <c r="I1105" s="1">
        <v>46218</v>
      </c>
      <c r="J1105" t="s">
        <v>45</v>
      </c>
      <c r="K1105" t="s">
        <v>45</v>
      </c>
      <c r="L1105" t="s">
        <v>72</v>
      </c>
      <c r="M1105" s="1">
        <v>45329</v>
      </c>
      <c r="N1105" t="s">
        <v>47</v>
      </c>
      <c r="O1105" t="s">
        <v>48</v>
      </c>
      <c r="P1105" t="s">
        <v>49</v>
      </c>
      <c r="Q1105" t="s">
        <v>8284</v>
      </c>
      <c r="R1105" t="s">
        <v>8285</v>
      </c>
      <c r="S1105">
        <v>3047</v>
      </c>
      <c r="T1105" t="s">
        <v>92</v>
      </c>
      <c r="U1105" t="s">
        <v>3030</v>
      </c>
      <c r="V1105" t="s">
        <v>3031</v>
      </c>
      <c r="W1105" t="s">
        <v>3032</v>
      </c>
      <c r="X1105" t="s">
        <v>52</v>
      </c>
      <c r="Y1105" t="s">
        <v>110</v>
      </c>
      <c r="Z1105">
        <v>1564</v>
      </c>
      <c r="AA1105">
        <v>31</v>
      </c>
      <c r="AB1105">
        <v>176</v>
      </c>
      <c r="AC1105" t="s">
        <v>8286</v>
      </c>
      <c r="AD1105" t="s">
        <v>8287</v>
      </c>
      <c r="AE1105" t="s">
        <v>8288</v>
      </c>
      <c r="AF1105" t="s">
        <v>7888</v>
      </c>
      <c r="AG1105" t="s">
        <v>4832</v>
      </c>
      <c r="AH1105" t="s">
        <v>4833</v>
      </c>
      <c r="AI1105" t="s">
        <v>8287</v>
      </c>
      <c r="AJ1105" s="2">
        <v>45369.710324074076</v>
      </c>
      <c r="AK1105" t="s">
        <v>8289</v>
      </c>
      <c r="AL1105" t="s">
        <v>65</v>
      </c>
      <c r="AM1105" s="4">
        <v>0.54166666666666663</v>
      </c>
      <c r="AN1105" t="s">
        <v>66</v>
      </c>
      <c r="AO1105" t="s">
        <v>67</v>
      </c>
    </row>
    <row r="1106" spans="1:41" x14ac:dyDescent="0.2">
      <c r="A1106">
        <v>353169</v>
      </c>
      <c r="B1106" t="s">
        <v>8283</v>
      </c>
      <c r="C1106" t="s">
        <v>182</v>
      </c>
      <c r="D1106" t="s">
        <v>1813</v>
      </c>
      <c r="E1106" t="s">
        <v>8290</v>
      </c>
      <c r="F1106">
        <v>44210</v>
      </c>
      <c r="G1106" s="1">
        <v>44375</v>
      </c>
      <c r="H1106" s="1">
        <v>44740</v>
      </c>
      <c r="I1106" s="1">
        <v>46174</v>
      </c>
      <c r="J1106" t="s">
        <v>45</v>
      </c>
      <c r="K1106" t="s">
        <v>45</v>
      </c>
      <c r="L1106" t="s">
        <v>72</v>
      </c>
      <c r="M1106" s="1">
        <v>44376</v>
      </c>
      <c r="N1106" t="s">
        <v>89</v>
      </c>
      <c r="O1106" t="s">
        <v>48</v>
      </c>
      <c r="P1106" t="s">
        <v>49</v>
      </c>
      <c r="Q1106" t="s">
        <v>8291</v>
      </c>
      <c r="R1106" t="s">
        <v>8292</v>
      </c>
      <c r="S1106">
        <v>8035</v>
      </c>
      <c r="T1106" t="s">
        <v>52</v>
      </c>
      <c r="U1106">
        <v>5</v>
      </c>
      <c r="V1106" t="s">
        <v>1817</v>
      </c>
      <c r="W1106" t="s">
        <v>54</v>
      </c>
      <c r="X1106" t="s">
        <v>493</v>
      </c>
      <c r="Y1106" t="s">
        <v>434</v>
      </c>
      <c r="Z1106">
        <v>9306</v>
      </c>
      <c r="AA1106">
        <v>32</v>
      </c>
      <c r="AB1106">
        <v>166</v>
      </c>
      <c r="AC1106" t="s">
        <v>1821</v>
      </c>
      <c r="AD1106" t="s">
        <v>1822</v>
      </c>
      <c r="AE1106" t="s">
        <v>1823</v>
      </c>
      <c r="AF1106" t="s">
        <v>8293</v>
      </c>
      <c r="AG1106" t="s">
        <v>8294</v>
      </c>
      <c r="AH1106" t="s">
        <v>8295</v>
      </c>
      <c r="AI1106" t="s">
        <v>500</v>
      </c>
      <c r="AJ1106" s="2">
        <v>45197.583020833335</v>
      </c>
      <c r="AK1106" t="s">
        <v>149</v>
      </c>
      <c r="AL1106" t="s">
        <v>65</v>
      </c>
      <c r="AM1106" s="4">
        <v>0.79861111111111116</v>
      </c>
      <c r="AN1106" t="s">
        <v>66</v>
      </c>
      <c r="AO1106" t="s">
        <v>67</v>
      </c>
    </row>
    <row r="1107" spans="1:41" x14ac:dyDescent="0.2">
      <c r="A1107">
        <v>366363</v>
      </c>
      <c r="B1107" t="s">
        <v>8296</v>
      </c>
      <c r="C1107" t="s">
        <v>754</v>
      </c>
      <c r="D1107" t="s">
        <v>8297</v>
      </c>
      <c r="E1107" t="s">
        <v>8298</v>
      </c>
      <c r="F1107">
        <v>180201</v>
      </c>
      <c r="G1107" s="1">
        <v>35886</v>
      </c>
      <c r="H1107" s="1">
        <v>45615</v>
      </c>
      <c r="J1107" t="s">
        <v>45</v>
      </c>
      <c r="K1107" t="s">
        <v>45</v>
      </c>
      <c r="L1107" t="s">
        <v>72</v>
      </c>
      <c r="M1107" s="1">
        <v>39125</v>
      </c>
      <c r="N1107" t="s">
        <v>47</v>
      </c>
      <c r="O1107" t="s">
        <v>48</v>
      </c>
      <c r="P1107" t="s">
        <v>49</v>
      </c>
      <c r="Q1107" t="s">
        <v>8299</v>
      </c>
      <c r="R1107" t="s">
        <v>8300</v>
      </c>
      <c r="S1107">
        <v>1090</v>
      </c>
      <c r="T1107" t="s">
        <v>92</v>
      </c>
      <c r="U1107" t="s">
        <v>4785</v>
      </c>
      <c r="V1107" t="s">
        <v>768</v>
      </c>
      <c r="W1107" t="s">
        <v>4786</v>
      </c>
      <c r="X1107" t="s">
        <v>52</v>
      </c>
      <c r="Y1107" t="s">
        <v>770</v>
      </c>
      <c r="Z1107">
        <v>2650</v>
      </c>
      <c r="AA1107">
        <v>37</v>
      </c>
      <c r="AB1107">
        <v>160</v>
      </c>
      <c r="AC1107" t="s">
        <v>4790</v>
      </c>
      <c r="AD1107" t="s">
        <v>8301</v>
      </c>
      <c r="AE1107" t="s">
        <v>4792</v>
      </c>
      <c r="AF1107" t="s">
        <v>8302</v>
      </c>
      <c r="AG1107" t="s">
        <v>8303</v>
      </c>
      <c r="AH1107" t="s">
        <v>8304</v>
      </c>
      <c r="AJ1107" s="2">
        <v>45615.970046296294</v>
      </c>
      <c r="AK1107" t="s">
        <v>4793</v>
      </c>
      <c r="AL1107" t="s">
        <v>65</v>
      </c>
      <c r="AM1107" s="4">
        <v>0.81944444444444442</v>
      </c>
      <c r="AN1107" t="s">
        <v>66</v>
      </c>
      <c r="AO1107" t="s">
        <v>67</v>
      </c>
    </row>
    <row r="1108" spans="1:41" x14ac:dyDescent="0.2">
      <c r="A1108">
        <v>369533</v>
      </c>
      <c r="B1108" t="s">
        <v>8305</v>
      </c>
      <c r="C1108" t="s">
        <v>182</v>
      </c>
      <c r="D1108" t="s">
        <v>3983</v>
      </c>
      <c r="E1108" t="s">
        <v>8306</v>
      </c>
      <c r="F1108">
        <v>43613</v>
      </c>
      <c r="G1108" s="1">
        <v>32509</v>
      </c>
      <c r="H1108" s="1">
        <v>45736</v>
      </c>
      <c r="J1108" t="s">
        <v>45</v>
      </c>
      <c r="K1108" t="s">
        <v>45</v>
      </c>
      <c r="L1108" t="s">
        <v>72</v>
      </c>
      <c r="N1108" t="s">
        <v>47</v>
      </c>
      <c r="O1108" t="s">
        <v>48</v>
      </c>
      <c r="P1108" t="s">
        <v>49</v>
      </c>
      <c r="Q1108" t="s">
        <v>8307</v>
      </c>
      <c r="R1108" t="s">
        <v>8308</v>
      </c>
      <c r="S1108">
        <v>1108</v>
      </c>
      <c r="T1108" t="s">
        <v>92</v>
      </c>
      <c r="U1108" t="s">
        <v>187</v>
      </c>
      <c r="V1108" t="s">
        <v>447</v>
      </c>
      <c r="W1108" t="s">
        <v>448</v>
      </c>
      <c r="X1108" t="s">
        <v>92</v>
      </c>
      <c r="Y1108" t="s">
        <v>450</v>
      </c>
      <c r="Z1108">
        <v>1238</v>
      </c>
      <c r="AA1108">
        <v>44</v>
      </c>
      <c r="AB1108">
        <v>152</v>
      </c>
      <c r="AC1108" t="s">
        <v>451</v>
      </c>
      <c r="AD1108" t="s">
        <v>472</v>
      </c>
      <c r="AE1108" t="s">
        <v>453</v>
      </c>
      <c r="AF1108" t="s">
        <v>454</v>
      </c>
      <c r="AG1108" t="s">
        <v>473</v>
      </c>
      <c r="AH1108" t="s">
        <v>474</v>
      </c>
      <c r="AJ1108" s="2">
        <v>45743.636886574073</v>
      </c>
      <c r="AK1108" t="s">
        <v>526</v>
      </c>
      <c r="AL1108" t="s">
        <v>65</v>
      </c>
      <c r="AM1108" s="4">
        <v>0.15277777777777779</v>
      </c>
      <c r="AN1108" t="s">
        <v>66</v>
      </c>
      <c r="AO1108" t="s">
        <v>67</v>
      </c>
    </row>
    <row r="1109" spans="1:41" x14ac:dyDescent="0.2">
      <c r="A1109">
        <v>367303</v>
      </c>
      <c r="B1109" t="s">
        <v>8309</v>
      </c>
      <c r="C1109" t="s">
        <v>118</v>
      </c>
      <c r="D1109" t="s">
        <v>1410</v>
      </c>
      <c r="E1109" t="s">
        <v>8310</v>
      </c>
      <c r="F1109">
        <v>20284</v>
      </c>
      <c r="G1109" s="1">
        <v>35692</v>
      </c>
      <c r="H1109" s="1">
        <v>45667</v>
      </c>
      <c r="I1109" s="1">
        <v>46023</v>
      </c>
      <c r="J1109" t="s">
        <v>45</v>
      </c>
      <c r="K1109" t="s">
        <v>326</v>
      </c>
      <c r="L1109" t="s">
        <v>429</v>
      </c>
      <c r="M1109" s="1">
        <v>42678</v>
      </c>
      <c r="N1109" t="s">
        <v>47</v>
      </c>
      <c r="O1109" t="s">
        <v>48</v>
      </c>
      <c r="P1109" t="s">
        <v>49</v>
      </c>
      <c r="Q1109" t="s">
        <v>8311</v>
      </c>
      <c r="R1109" t="s">
        <v>8312</v>
      </c>
      <c r="S1109">
        <v>6923</v>
      </c>
      <c r="T1109" t="s">
        <v>52</v>
      </c>
      <c r="U1109">
        <v>3</v>
      </c>
      <c r="V1109" t="s">
        <v>6686</v>
      </c>
      <c r="W1109" t="s">
        <v>54</v>
      </c>
      <c r="X1109" t="s">
        <v>55</v>
      </c>
      <c r="Y1109" t="s">
        <v>56</v>
      </c>
      <c r="Z1109">
        <v>623</v>
      </c>
      <c r="AA1109">
        <v>55</v>
      </c>
      <c r="AB1109">
        <v>174</v>
      </c>
      <c r="AC1109" t="s">
        <v>6766</v>
      </c>
      <c r="AD1109" t="s">
        <v>6767</v>
      </c>
      <c r="AE1109" t="s">
        <v>6768</v>
      </c>
      <c r="AF1109" t="s">
        <v>6769</v>
      </c>
      <c r="AG1109" t="s">
        <v>6770</v>
      </c>
      <c r="AI1109" t="s">
        <v>8313</v>
      </c>
      <c r="AJ1109" s="2">
        <v>45671.576261574075</v>
      </c>
      <c r="AK1109" t="s">
        <v>64</v>
      </c>
      <c r="AL1109" t="s">
        <v>65</v>
      </c>
      <c r="AM1109" s="4">
        <v>0.6875</v>
      </c>
      <c r="AN1109" t="s">
        <v>66</v>
      </c>
      <c r="AO1109" t="s">
        <v>67</v>
      </c>
    </row>
    <row r="1110" spans="1:41" x14ac:dyDescent="0.2">
      <c r="A1110">
        <v>368743</v>
      </c>
      <c r="B1110" t="s">
        <v>8314</v>
      </c>
      <c r="C1110" t="s">
        <v>2298</v>
      </c>
      <c r="D1110" t="s">
        <v>6780</v>
      </c>
      <c r="E1110" t="s">
        <v>8315</v>
      </c>
      <c r="F1110">
        <v>227601</v>
      </c>
      <c r="G1110" s="1">
        <v>38050</v>
      </c>
      <c r="H1110" s="1">
        <v>45706</v>
      </c>
      <c r="J1110" t="s">
        <v>45</v>
      </c>
      <c r="K1110" t="s">
        <v>45</v>
      </c>
      <c r="L1110" t="s">
        <v>72</v>
      </c>
      <c r="M1110" s="1">
        <v>42309</v>
      </c>
      <c r="N1110" t="s">
        <v>47</v>
      </c>
      <c r="O1110" t="s">
        <v>48</v>
      </c>
      <c r="P1110" t="s">
        <v>49</v>
      </c>
      <c r="Q1110" t="s">
        <v>8316</v>
      </c>
      <c r="R1110" t="s">
        <v>8317</v>
      </c>
      <c r="S1110">
        <v>156</v>
      </c>
      <c r="T1110" t="s">
        <v>92</v>
      </c>
      <c r="U1110" t="s">
        <v>5509</v>
      </c>
      <c r="V1110" t="s">
        <v>5510</v>
      </c>
      <c r="W1110" t="s">
        <v>5511</v>
      </c>
      <c r="X1110" t="s">
        <v>52</v>
      </c>
      <c r="Y1110" t="s">
        <v>770</v>
      </c>
      <c r="Z1110">
        <v>2442</v>
      </c>
      <c r="AA1110">
        <v>30</v>
      </c>
      <c r="AB1110">
        <v>144</v>
      </c>
      <c r="AC1110" t="s">
        <v>5512</v>
      </c>
      <c r="AD1110" t="s">
        <v>5513</v>
      </c>
      <c r="AE1110" t="s">
        <v>5514</v>
      </c>
      <c r="AF1110" t="s">
        <v>5515</v>
      </c>
      <c r="AG1110" t="s">
        <v>5516</v>
      </c>
      <c r="AH1110" t="s">
        <v>5517</v>
      </c>
      <c r="AI1110" t="s">
        <v>5518</v>
      </c>
      <c r="AJ1110" s="2">
        <v>45824.58525462963</v>
      </c>
      <c r="AK1110" t="s">
        <v>5519</v>
      </c>
      <c r="AL1110" t="s">
        <v>65</v>
      </c>
      <c r="AM1110" s="4">
        <v>0.58333333333333337</v>
      </c>
      <c r="AN1110" t="s">
        <v>66</v>
      </c>
      <c r="AO1110" t="s">
        <v>67</v>
      </c>
    </row>
    <row r="1111" spans="1:41" x14ac:dyDescent="0.2">
      <c r="A1111">
        <v>367670</v>
      </c>
      <c r="B1111" t="s">
        <v>8318</v>
      </c>
      <c r="C1111" t="s">
        <v>1000</v>
      </c>
      <c r="D1111" t="s">
        <v>8319</v>
      </c>
      <c r="E1111">
        <v>2600176</v>
      </c>
      <c r="F1111">
        <v>401801</v>
      </c>
      <c r="G1111" s="1">
        <v>40367</v>
      </c>
      <c r="H1111" s="1">
        <v>45615</v>
      </c>
      <c r="J1111" t="s">
        <v>45</v>
      </c>
      <c r="K1111" t="s">
        <v>45</v>
      </c>
      <c r="L1111" t="s">
        <v>72</v>
      </c>
      <c r="M1111" s="1">
        <v>44519</v>
      </c>
      <c r="N1111" t="s">
        <v>47</v>
      </c>
      <c r="O1111" t="s">
        <v>48</v>
      </c>
      <c r="P1111" t="s">
        <v>49</v>
      </c>
      <c r="Q1111" t="s">
        <v>8320</v>
      </c>
      <c r="R1111" t="s">
        <v>8321</v>
      </c>
      <c r="S1111">
        <v>499</v>
      </c>
      <c r="T1111" t="s">
        <v>92</v>
      </c>
      <c r="U1111" t="s">
        <v>1005</v>
      </c>
      <c r="V1111" t="s">
        <v>590</v>
      </c>
      <c r="W1111" t="s">
        <v>1006</v>
      </c>
      <c r="X1111" t="s">
        <v>92</v>
      </c>
      <c r="Y1111" t="s">
        <v>770</v>
      </c>
      <c r="Z1111">
        <v>2408</v>
      </c>
      <c r="AA1111">
        <v>46</v>
      </c>
      <c r="AB1111">
        <v>144</v>
      </c>
      <c r="AC1111" t="s">
        <v>4136</v>
      </c>
      <c r="AD1111" t="s">
        <v>4137</v>
      </c>
      <c r="AE1111" t="s">
        <v>4138</v>
      </c>
      <c r="AI1111" t="s">
        <v>1010</v>
      </c>
      <c r="AJ1111" s="2">
        <v>45686.248344907406</v>
      </c>
      <c r="AK1111" t="s">
        <v>1011</v>
      </c>
      <c r="AL1111" t="s">
        <v>65</v>
      </c>
      <c r="AM1111" s="4">
        <v>0.21527777777777779</v>
      </c>
      <c r="AN1111" t="s">
        <v>66</v>
      </c>
      <c r="AO1111" t="s">
        <v>67</v>
      </c>
    </row>
    <row r="1112" spans="1:41" x14ac:dyDescent="0.2">
      <c r="A1112">
        <v>357973</v>
      </c>
      <c r="B1112" t="s">
        <v>8322</v>
      </c>
      <c r="C1112" t="s">
        <v>103</v>
      </c>
      <c r="D1112" t="s">
        <v>8323</v>
      </c>
      <c r="E1112">
        <v>32859000</v>
      </c>
      <c r="F1112">
        <v>313001</v>
      </c>
      <c r="G1112" s="1">
        <v>37357</v>
      </c>
      <c r="H1112" s="1">
        <v>45342</v>
      </c>
      <c r="I1112" s="1">
        <v>39414</v>
      </c>
      <c r="J1112" t="s">
        <v>45</v>
      </c>
      <c r="K1112" t="s">
        <v>45</v>
      </c>
      <c r="L1112" t="s">
        <v>72</v>
      </c>
      <c r="M1112" s="1">
        <v>42367</v>
      </c>
      <c r="N1112" t="s">
        <v>47</v>
      </c>
      <c r="O1112" t="s">
        <v>48</v>
      </c>
      <c r="P1112" t="s">
        <v>49</v>
      </c>
      <c r="Q1112" t="s">
        <v>8324</v>
      </c>
      <c r="R1112" t="s">
        <v>8325</v>
      </c>
      <c r="S1112">
        <v>42</v>
      </c>
      <c r="T1112" t="s">
        <v>92</v>
      </c>
      <c r="U1112" t="s">
        <v>107</v>
      </c>
      <c r="V1112" t="s">
        <v>108</v>
      </c>
      <c r="W1112" t="s">
        <v>109</v>
      </c>
      <c r="X1112" t="s">
        <v>52</v>
      </c>
      <c r="Y1112" t="s">
        <v>110</v>
      </c>
      <c r="Z1112">
        <v>2057</v>
      </c>
      <c r="AA1112">
        <v>43</v>
      </c>
      <c r="AB1112">
        <v>160</v>
      </c>
      <c r="AC1112" t="s">
        <v>5994</v>
      </c>
      <c r="AD1112" t="s">
        <v>5995</v>
      </c>
      <c r="AE1112" t="s">
        <v>5996</v>
      </c>
      <c r="AF1112" t="s">
        <v>6984</v>
      </c>
      <c r="AG1112" t="s">
        <v>6985</v>
      </c>
      <c r="AH1112" t="s">
        <v>6986</v>
      </c>
      <c r="AI1112" t="s">
        <v>5995</v>
      </c>
      <c r="AJ1112" s="2">
        <v>45818.719537037039</v>
      </c>
      <c r="AK1112" t="s">
        <v>100</v>
      </c>
      <c r="AL1112" t="s">
        <v>65</v>
      </c>
      <c r="AM1112" s="4">
        <v>0.70833333333333337</v>
      </c>
      <c r="AN1112" t="s">
        <v>66</v>
      </c>
      <c r="AO1112" t="s">
        <v>67</v>
      </c>
    </row>
    <row r="1113" spans="1:41" x14ac:dyDescent="0.2">
      <c r="A1113">
        <v>371225</v>
      </c>
      <c r="B1113" t="s">
        <v>8326</v>
      </c>
      <c r="C1113" t="s">
        <v>662</v>
      </c>
      <c r="D1113" t="s">
        <v>8327</v>
      </c>
      <c r="E1113" t="s">
        <v>8328</v>
      </c>
      <c r="F1113">
        <v>419602</v>
      </c>
      <c r="G1113" s="1">
        <v>37307</v>
      </c>
      <c r="H1113" s="1">
        <v>45547</v>
      </c>
      <c r="I1113" s="1">
        <v>46266</v>
      </c>
      <c r="J1113" t="s">
        <v>45</v>
      </c>
      <c r="K1113" t="s">
        <v>45</v>
      </c>
      <c r="L1113" t="s">
        <v>72</v>
      </c>
      <c r="M1113" s="1">
        <v>45798</v>
      </c>
      <c r="N1113" t="s">
        <v>47</v>
      </c>
      <c r="O1113" t="s">
        <v>48</v>
      </c>
      <c r="P1113" t="s">
        <v>49</v>
      </c>
      <c r="Q1113" t="s">
        <v>8329</v>
      </c>
      <c r="R1113" t="s">
        <v>8330</v>
      </c>
      <c r="S1113">
        <v>478</v>
      </c>
      <c r="T1113" t="s">
        <v>92</v>
      </c>
      <c r="U1113" t="s">
        <v>1197</v>
      </c>
      <c r="V1113" t="s">
        <v>1198</v>
      </c>
      <c r="W1113" t="s">
        <v>1199</v>
      </c>
      <c r="X1113" t="s">
        <v>52</v>
      </c>
      <c r="Y1113" t="s">
        <v>110</v>
      </c>
      <c r="Z1113">
        <v>2123</v>
      </c>
      <c r="AA1113">
        <v>49</v>
      </c>
      <c r="AB1113">
        <v>158</v>
      </c>
      <c r="AC1113" t="s">
        <v>1200</v>
      </c>
      <c r="AD1113" t="s">
        <v>1201</v>
      </c>
      <c r="AE1113" t="s">
        <v>1202</v>
      </c>
      <c r="AF1113" t="s">
        <v>4740</v>
      </c>
      <c r="AG1113" t="s">
        <v>4741</v>
      </c>
      <c r="AH1113" t="s">
        <v>4742</v>
      </c>
      <c r="AJ1113" s="2">
        <v>45799.665011574078</v>
      </c>
      <c r="AK1113" t="s">
        <v>4740</v>
      </c>
      <c r="AL1113" t="s">
        <v>65</v>
      </c>
      <c r="AM1113" s="4">
        <v>0.27083333333333331</v>
      </c>
      <c r="AN1113" t="s">
        <v>66</v>
      </c>
      <c r="AO1113" t="s">
        <v>67</v>
      </c>
    </row>
    <row r="1114" spans="1:41" x14ac:dyDescent="0.2">
      <c r="A1114">
        <v>372459</v>
      </c>
      <c r="B1114" t="s">
        <v>8326</v>
      </c>
      <c r="C1114" t="s">
        <v>583</v>
      </c>
      <c r="E1114" t="s">
        <v>8331</v>
      </c>
      <c r="F1114">
        <v>151191</v>
      </c>
      <c r="G1114" s="1">
        <v>37560</v>
      </c>
      <c r="H1114" s="1">
        <v>45826</v>
      </c>
      <c r="I1114" s="1">
        <v>46188</v>
      </c>
      <c r="J1114" t="s">
        <v>45</v>
      </c>
      <c r="K1114" t="s">
        <v>45</v>
      </c>
      <c r="L1114" t="s">
        <v>72</v>
      </c>
      <c r="M1114" s="1">
        <v>45560</v>
      </c>
      <c r="N1114" t="s">
        <v>47</v>
      </c>
      <c r="O1114" t="s">
        <v>48</v>
      </c>
      <c r="P1114" t="s">
        <v>586</v>
      </c>
      <c r="Q1114" t="s">
        <v>8332</v>
      </c>
      <c r="R1114" t="s">
        <v>8333</v>
      </c>
      <c r="S1114">
        <v>552</v>
      </c>
      <c r="T1114" t="s">
        <v>92</v>
      </c>
      <c r="U1114" t="s">
        <v>589</v>
      </c>
      <c r="V1114" t="s">
        <v>590</v>
      </c>
      <c r="W1114" t="s">
        <v>591</v>
      </c>
      <c r="X1114" t="s">
        <v>52</v>
      </c>
      <c r="Y1114" t="s">
        <v>110</v>
      </c>
      <c r="Z1114">
        <v>2283</v>
      </c>
      <c r="AA1114">
        <v>44</v>
      </c>
      <c r="AB1114">
        <v>45</v>
      </c>
      <c r="AC1114" t="s">
        <v>592</v>
      </c>
      <c r="AD1114" t="s">
        <v>593</v>
      </c>
      <c r="AE1114" t="s">
        <v>594</v>
      </c>
      <c r="AF1114" t="s">
        <v>8334</v>
      </c>
      <c r="AG1114" t="s">
        <v>8335</v>
      </c>
      <c r="AH1114" t="s">
        <v>8336</v>
      </c>
      <c r="AI1114" t="s">
        <v>8337</v>
      </c>
      <c r="AJ1114" s="2">
        <v>45840.489988425928</v>
      </c>
      <c r="AK1114" t="s">
        <v>592</v>
      </c>
      <c r="AL1114" t="s">
        <v>65</v>
      </c>
      <c r="AM1114" s="3">
        <v>2.3263888888888888</v>
      </c>
      <c r="AN1114" t="s">
        <v>66</v>
      </c>
      <c r="AO1114" t="s">
        <v>101</v>
      </c>
    </row>
    <row r="1115" spans="1:41" x14ac:dyDescent="0.2">
      <c r="A1115">
        <v>370164</v>
      </c>
      <c r="B1115" t="s">
        <v>8338</v>
      </c>
      <c r="C1115" t="s">
        <v>278</v>
      </c>
      <c r="D1115" t="s">
        <v>279</v>
      </c>
      <c r="E1115" t="s">
        <v>8339</v>
      </c>
      <c r="G1115" s="1">
        <v>42138</v>
      </c>
      <c r="H1115" s="1">
        <v>44490</v>
      </c>
      <c r="J1115" t="s">
        <v>326</v>
      </c>
      <c r="K1115" t="s">
        <v>326</v>
      </c>
      <c r="L1115" t="s">
        <v>72</v>
      </c>
      <c r="M1115" s="1">
        <v>35873</v>
      </c>
      <c r="N1115" t="s">
        <v>89</v>
      </c>
      <c r="O1115" t="s">
        <v>121</v>
      </c>
      <c r="P1115" t="s">
        <v>1752</v>
      </c>
      <c r="Q1115" t="s">
        <v>8340</v>
      </c>
      <c r="R1115" t="s">
        <v>8341</v>
      </c>
      <c r="S1115">
        <v>6134</v>
      </c>
      <c r="T1115" t="s">
        <v>365</v>
      </c>
      <c r="U1115" t="s">
        <v>432</v>
      </c>
      <c r="V1115" t="s">
        <v>1499</v>
      </c>
      <c r="W1115" t="s">
        <v>409</v>
      </c>
      <c r="X1115" t="s">
        <v>76</v>
      </c>
      <c r="Y1115" t="s">
        <v>410</v>
      </c>
      <c r="Z1115">
        <v>1396</v>
      </c>
      <c r="AA1115">
        <v>73</v>
      </c>
      <c r="AB1115">
        <v>78</v>
      </c>
      <c r="AC1115" t="s">
        <v>1500</v>
      </c>
      <c r="AD1115" t="s">
        <v>1501</v>
      </c>
      <c r="AE1115" t="s">
        <v>1502</v>
      </c>
      <c r="AH1115" t="s">
        <v>1504</v>
      </c>
      <c r="AJ1115" s="2">
        <v>45764.632905092592</v>
      </c>
      <c r="AK1115" t="s">
        <v>1500</v>
      </c>
      <c r="AL1115" t="s">
        <v>3105</v>
      </c>
      <c r="AM1115" s="4">
        <v>0.42569444444444443</v>
      </c>
      <c r="AN1115" t="s">
        <v>66</v>
      </c>
      <c r="AO1115" t="s">
        <v>67</v>
      </c>
    </row>
    <row r="1116" spans="1:41" x14ac:dyDescent="0.2">
      <c r="A1116">
        <v>373064</v>
      </c>
      <c r="B1116" t="s">
        <v>8342</v>
      </c>
      <c r="C1116" t="s">
        <v>134</v>
      </c>
      <c r="D1116" t="s">
        <v>1099</v>
      </c>
      <c r="E1116" t="s">
        <v>8343</v>
      </c>
      <c r="F1116">
        <v>451718</v>
      </c>
      <c r="G1116" s="1">
        <v>37427</v>
      </c>
      <c r="H1116" s="1">
        <v>45800</v>
      </c>
      <c r="I1116" s="1">
        <v>46157</v>
      </c>
      <c r="J1116" t="s">
        <v>45</v>
      </c>
      <c r="K1116" t="s">
        <v>45</v>
      </c>
      <c r="L1116" t="s">
        <v>72</v>
      </c>
      <c r="M1116" s="1">
        <v>42516</v>
      </c>
      <c r="N1116" t="s">
        <v>47</v>
      </c>
      <c r="O1116" t="s">
        <v>48</v>
      </c>
      <c r="P1116" t="s">
        <v>49</v>
      </c>
      <c r="Q1116" t="s">
        <v>8344</v>
      </c>
      <c r="R1116" t="s">
        <v>8345</v>
      </c>
      <c r="S1116">
        <v>2405</v>
      </c>
      <c r="T1116" t="s">
        <v>92</v>
      </c>
      <c r="U1116" t="s">
        <v>139</v>
      </c>
      <c r="V1116" t="s">
        <v>140</v>
      </c>
      <c r="W1116" t="s">
        <v>141</v>
      </c>
      <c r="X1116" t="s">
        <v>92</v>
      </c>
      <c r="Y1116" t="s">
        <v>110</v>
      </c>
      <c r="Z1116">
        <v>397</v>
      </c>
      <c r="AA1116">
        <v>71</v>
      </c>
      <c r="AB1116">
        <v>144</v>
      </c>
      <c r="AC1116" t="s">
        <v>1103</v>
      </c>
      <c r="AD1116" t="s">
        <v>1104</v>
      </c>
      <c r="AE1116" t="s">
        <v>8346</v>
      </c>
      <c r="AF1116" t="s">
        <v>145</v>
      </c>
      <c r="AG1116" t="s">
        <v>146</v>
      </c>
      <c r="AH1116" t="s">
        <v>147</v>
      </c>
      <c r="AI1116" t="s">
        <v>148</v>
      </c>
      <c r="AJ1116" s="2">
        <v>45856.605081018519</v>
      </c>
      <c r="AK1116" t="s">
        <v>1103</v>
      </c>
      <c r="AL1116" t="s">
        <v>65</v>
      </c>
      <c r="AM1116" s="4">
        <v>3.4722222222222224E-2</v>
      </c>
      <c r="AN1116" t="s">
        <v>66</v>
      </c>
      <c r="AO1116" t="s">
        <v>67</v>
      </c>
    </row>
    <row r="1117" spans="1:41" x14ac:dyDescent="0.2">
      <c r="A1117">
        <v>370014</v>
      </c>
      <c r="B1117" t="s">
        <v>8347</v>
      </c>
      <c r="C1117" t="s">
        <v>118</v>
      </c>
      <c r="D1117" t="s">
        <v>598</v>
      </c>
      <c r="E1117" t="s">
        <v>8348</v>
      </c>
      <c r="F1117">
        <v>20404</v>
      </c>
      <c r="G1117" s="1">
        <v>38846</v>
      </c>
      <c r="H1117" s="1">
        <v>45754</v>
      </c>
      <c r="I1117" s="1">
        <v>46068</v>
      </c>
      <c r="J1117" t="s">
        <v>45</v>
      </c>
      <c r="K1117" t="s">
        <v>45</v>
      </c>
      <c r="L1117" t="s">
        <v>429</v>
      </c>
      <c r="M1117" s="1">
        <v>45505</v>
      </c>
      <c r="N1117" t="s">
        <v>47</v>
      </c>
      <c r="O1117" t="s">
        <v>48</v>
      </c>
      <c r="P1117" t="s">
        <v>49</v>
      </c>
      <c r="Q1117" t="s">
        <v>8349</v>
      </c>
      <c r="R1117" t="s">
        <v>8350</v>
      </c>
      <c r="S1117">
        <v>8240</v>
      </c>
      <c r="T1117" t="s">
        <v>52</v>
      </c>
      <c r="U1117">
        <v>3</v>
      </c>
      <c r="V1117" t="s">
        <v>602</v>
      </c>
      <c r="W1117" t="s">
        <v>54</v>
      </c>
      <c r="X1117" t="s">
        <v>55</v>
      </c>
      <c r="Y1117" t="s">
        <v>56</v>
      </c>
      <c r="Z1117">
        <v>603</v>
      </c>
      <c r="AA1117">
        <v>55</v>
      </c>
      <c r="AB1117">
        <v>146</v>
      </c>
      <c r="AC1117" t="s">
        <v>8351</v>
      </c>
      <c r="AD1117" t="s">
        <v>8352</v>
      </c>
      <c r="AE1117" t="s">
        <v>8353</v>
      </c>
      <c r="AF1117" t="s">
        <v>8354</v>
      </c>
      <c r="AG1117" t="s">
        <v>8355</v>
      </c>
      <c r="AH1117" t="s">
        <v>8356</v>
      </c>
      <c r="AI1117" t="s">
        <v>8357</v>
      </c>
      <c r="AJ1117" s="2">
        <v>45761.776145833333</v>
      </c>
      <c r="AK1117" t="s">
        <v>609</v>
      </c>
      <c r="AL1117" t="s">
        <v>65</v>
      </c>
      <c r="AM1117" s="3">
        <v>1.4895833333333333</v>
      </c>
      <c r="AN1117" t="s">
        <v>809</v>
      </c>
      <c r="AO1117" t="s">
        <v>67</v>
      </c>
    </row>
    <row r="1118" spans="1:41" x14ac:dyDescent="0.2">
      <c r="A1118">
        <v>362529</v>
      </c>
      <c r="B1118" t="s">
        <v>8358</v>
      </c>
      <c r="C1118" t="s">
        <v>221</v>
      </c>
      <c r="D1118" t="s">
        <v>8359</v>
      </c>
      <c r="E1118" t="s">
        <v>8360</v>
      </c>
      <c r="F1118">
        <v>15201</v>
      </c>
      <c r="G1118" s="1">
        <v>42675</v>
      </c>
      <c r="H1118" s="1">
        <v>45435</v>
      </c>
      <c r="I1118" s="1">
        <v>46113</v>
      </c>
      <c r="J1118" t="s">
        <v>45</v>
      </c>
      <c r="K1118" t="s">
        <v>45</v>
      </c>
      <c r="L1118" t="s">
        <v>72</v>
      </c>
      <c r="M1118" s="1">
        <v>45489</v>
      </c>
      <c r="N1118" t="s">
        <v>47</v>
      </c>
      <c r="O1118" t="s">
        <v>48</v>
      </c>
      <c r="P1118" t="s">
        <v>49</v>
      </c>
      <c r="Q1118" t="s">
        <v>8361</v>
      </c>
      <c r="R1118" t="s">
        <v>8362</v>
      </c>
      <c r="S1118">
        <v>445</v>
      </c>
      <c r="T1118" t="s">
        <v>92</v>
      </c>
      <c r="U1118" t="s">
        <v>226</v>
      </c>
      <c r="V1118" t="s">
        <v>227</v>
      </c>
      <c r="W1118" t="s">
        <v>228</v>
      </c>
      <c r="X1118" t="s">
        <v>92</v>
      </c>
      <c r="Y1118" t="s">
        <v>110</v>
      </c>
      <c r="Z1118">
        <v>8470</v>
      </c>
      <c r="AA1118">
        <v>15</v>
      </c>
      <c r="AB1118">
        <v>78</v>
      </c>
      <c r="AC1118" t="s">
        <v>229</v>
      </c>
      <c r="AD1118" t="s">
        <v>230</v>
      </c>
      <c r="AE1118" t="s">
        <v>231</v>
      </c>
      <c r="AF1118" t="s">
        <v>232</v>
      </c>
      <c r="AG1118" t="s">
        <v>233</v>
      </c>
      <c r="AH1118" t="s">
        <v>234</v>
      </c>
      <c r="AJ1118" s="2">
        <v>45489.820937500001</v>
      </c>
      <c r="AK1118" t="s">
        <v>229</v>
      </c>
      <c r="AL1118" t="s">
        <v>65</v>
      </c>
      <c r="AM1118" s="3">
        <v>1.0833333333333333</v>
      </c>
      <c r="AN1118" t="s">
        <v>66</v>
      </c>
      <c r="AO1118" t="s">
        <v>67</v>
      </c>
    </row>
    <row r="1119" spans="1:41" x14ac:dyDescent="0.2">
      <c r="A1119">
        <v>371916</v>
      </c>
      <c r="B1119" t="s">
        <v>8363</v>
      </c>
      <c r="C1119" t="s">
        <v>662</v>
      </c>
      <c r="D1119" t="s">
        <v>8364</v>
      </c>
      <c r="E1119" t="s">
        <v>8365</v>
      </c>
      <c r="F1119">
        <v>418101</v>
      </c>
      <c r="G1119" s="1">
        <v>37941</v>
      </c>
      <c r="H1119" s="1">
        <v>45741</v>
      </c>
      <c r="I1119" s="1">
        <v>46127</v>
      </c>
      <c r="J1119" t="s">
        <v>45</v>
      </c>
      <c r="K1119" t="s">
        <v>45</v>
      </c>
      <c r="L1119" t="s">
        <v>72</v>
      </c>
      <c r="M1119" s="1">
        <v>45726</v>
      </c>
      <c r="N1119" t="s">
        <v>47</v>
      </c>
      <c r="O1119" t="s">
        <v>48</v>
      </c>
      <c r="P1119" t="s">
        <v>49</v>
      </c>
      <c r="Q1119" t="s">
        <v>8366</v>
      </c>
      <c r="R1119" t="s">
        <v>8367</v>
      </c>
      <c r="S1119">
        <v>1147</v>
      </c>
      <c r="T1119" t="s">
        <v>92</v>
      </c>
      <c r="U1119" t="s">
        <v>1197</v>
      </c>
      <c r="V1119" t="s">
        <v>1198</v>
      </c>
      <c r="W1119" t="s">
        <v>1199</v>
      </c>
      <c r="X1119" t="s">
        <v>52</v>
      </c>
      <c r="Y1119" t="s">
        <v>110</v>
      </c>
      <c r="Z1119">
        <v>2517</v>
      </c>
      <c r="AA1119">
        <v>42</v>
      </c>
      <c r="AB1119">
        <v>158</v>
      </c>
      <c r="AC1119" t="s">
        <v>1200</v>
      </c>
      <c r="AD1119" t="s">
        <v>1201</v>
      </c>
      <c r="AE1119" t="s">
        <v>1202</v>
      </c>
      <c r="AF1119" t="s">
        <v>1786</v>
      </c>
      <c r="AG1119" t="s">
        <v>1787</v>
      </c>
      <c r="AH1119" t="s">
        <v>1788</v>
      </c>
      <c r="AJ1119" s="2">
        <v>45824.821898148148</v>
      </c>
      <c r="AK1119" t="s">
        <v>1200</v>
      </c>
      <c r="AL1119" t="s">
        <v>65</v>
      </c>
      <c r="AM1119" s="4">
        <v>0.2638888888888889</v>
      </c>
      <c r="AN1119" t="s">
        <v>66</v>
      </c>
      <c r="AO1119" t="s">
        <v>67</v>
      </c>
    </row>
    <row r="1120" spans="1:41" x14ac:dyDescent="0.2">
      <c r="A1120">
        <v>369686</v>
      </c>
      <c r="B1120" t="s">
        <v>8368</v>
      </c>
      <c r="C1120" t="s">
        <v>3878</v>
      </c>
      <c r="D1120" t="s">
        <v>8369</v>
      </c>
      <c r="E1120" t="s">
        <v>8370</v>
      </c>
      <c r="F1120">
        <v>512901</v>
      </c>
      <c r="G1120" s="1">
        <v>38527</v>
      </c>
      <c r="H1120" s="1">
        <v>45615</v>
      </c>
      <c r="I1120" s="1">
        <v>45992</v>
      </c>
      <c r="J1120" t="s">
        <v>45</v>
      </c>
      <c r="K1120" t="s">
        <v>45</v>
      </c>
      <c r="L1120" t="s">
        <v>46</v>
      </c>
      <c r="M1120" s="1">
        <v>43446</v>
      </c>
      <c r="N1120" t="s">
        <v>47</v>
      </c>
      <c r="O1120" t="s">
        <v>48</v>
      </c>
      <c r="P1120" t="s">
        <v>49</v>
      </c>
      <c r="Q1120" t="s">
        <v>8371</v>
      </c>
      <c r="R1120" t="s">
        <v>8372</v>
      </c>
      <c r="S1120">
        <v>53</v>
      </c>
      <c r="T1120" t="s">
        <v>52</v>
      </c>
      <c r="U1120">
        <v>8</v>
      </c>
      <c r="V1120" t="s">
        <v>4254</v>
      </c>
      <c r="W1120" t="s">
        <v>54</v>
      </c>
      <c r="X1120" t="s">
        <v>76</v>
      </c>
      <c r="Y1120" t="s">
        <v>56</v>
      </c>
      <c r="Z1120">
        <v>2722</v>
      </c>
      <c r="AA1120">
        <v>41</v>
      </c>
      <c r="AB1120">
        <v>97</v>
      </c>
      <c r="AC1120" t="s">
        <v>4255</v>
      </c>
      <c r="AD1120" t="s">
        <v>4256</v>
      </c>
      <c r="AE1120" t="s">
        <v>4257</v>
      </c>
      <c r="AF1120" t="s">
        <v>8373</v>
      </c>
      <c r="AG1120" t="s">
        <v>8374</v>
      </c>
      <c r="AH1120" t="s">
        <v>8375</v>
      </c>
      <c r="AI1120" t="s">
        <v>8376</v>
      </c>
      <c r="AJ1120" s="2">
        <v>45749.532546296294</v>
      </c>
      <c r="AK1120" t="s">
        <v>4255</v>
      </c>
      <c r="AL1120" t="s">
        <v>65</v>
      </c>
      <c r="AM1120" s="3">
        <v>1.3854166666666667</v>
      </c>
      <c r="AN1120" t="s">
        <v>66</v>
      </c>
      <c r="AO1120" t="s">
        <v>101</v>
      </c>
    </row>
    <row r="1121" spans="1:41" x14ac:dyDescent="0.2">
      <c r="A1121">
        <v>365668</v>
      </c>
      <c r="B1121" t="s">
        <v>8377</v>
      </c>
      <c r="C1121" t="s">
        <v>692</v>
      </c>
      <c r="D1121" t="s">
        <v>8378</v>
      </c>
      <c r="E1121" t="s">
        <v>8379</v>
      </c>
      <c r="F1121">
        <v>483101</v>
      </c>
      <c r="G1121" s="1">
        <v>42059</v>
      </c>
      <c r="H1121" s="1">
        <v>45588</v>
      </c>
      <c r="I1121" s="1">
        <v>45931</v>
      </c>
      <c r="J1121" t="s">
        <v>45</v>
      </c>
      <c r="K1121" t="s">
        <v>45</v>
      </c>
      <c r="L1121" t="s">
        <v>72</v>
      </c>
      <c r="N1121" t="s">
        <v>47</v>
      </c>
      <c r="O1121" t="s">
        <v>48</v>
      </c>
      <c r="P1121" t="s">
        <v>49</v>
      </c>
      <c r="Q1121" t="s">
        <v>8380</v>
      </c>
      <c r="R1121" t="s">
        <v>8381</v>
      </c>
      <c r="S1121">
        <v>4785</v>
      </c>
      <c r="T1121" t="s">
        <v>365</v>
      </c>
      <c r="U1121" t="s">
        <v>432</v>
      </c>
      <c r="V1121" t="s">
        <v>3668</v>
      </c>
      <c r="W1121" t="s">
        <v>367</v>
      </c>
      <c r="X1121" t="s">
        <v>76</v>
      </c>
      <c r="Y1121" t="s">
        <v>434</v>
      </c>
      <c r="Z1121">
        <v>7466</v>
      </c>
      <c r="AA1121">
        <v>18</v>
      </c>
      <c r="AB1121">
        <v>20</v>
      </c>
      <c r="AC1121" t="s">
        <v>3669</v>
      </c>
      <c r="AD1121" t="s">
        <v>3670</v>
      </c>
      <c r="AE1121" t="s">
        <v>3671</v>
      </c>
      <c r="AF1121" t="s">
        <v>4528</v>
      </c>
      <c r="AG1121" t="s">
        <v>4529</v>
      </c>
      <c r="AH1121" t="s">
        <v>4530</v>
      </c>
      <c r="AJ1121" s="2">
        <v>45589.131874999999</v>
      </c>
      <c r="AK1121" t="s">
        <v>704</v>
      </c>
      <c r="AL1121" t="s">
        <v>65</v>
      </c>
      <c r="AM1121" s="4">
        <v>0.33333333333333331</v>
      </c>
      <c r="AN1121" t="s">
        <v>66</v>
      </c>
      <c r="AO1121" t="s">
        <v>67</v>
      </c>
    </row>
    <row r="1122" spans="1:41" x14ac:dyDescent="0.2">
      <c r="A1122">
        <v>360696</v>
      </c>
      <c r="B1122" t="s">
        <v>8382</v>
      </c>
      <c r="C1122" t="s">
        <v>103</v>
      </c>
      <c r="D1122" t="s">
        <v>1194</v>
      </c>
      <c r="E1122" t="s">
        <v>8383</v>
      </c>
      <c r="F1122">
        <v>316102</v>
      </c>
      <c r="G1122" s="1">
        <v>36455</v>
      </c>
      <c r="H1122" s="1">
        <v>45394</v>
      </c>
      <c r="I1122" s="1">
        <v>46327</v>
      </c>
      <c r="J1122" t="s">
        <v>45</v>
      </c>
      <c r="K1122" t="s">
        <v>45</v>
      </c>
      <c r="L1122" t="s">
        <v>72</v>
      </c>
      <c r="M1122" s="1">
        <v>41599</v>
      </c>
      <c r="N1122" t="s">
        <v>47</v>
      </c>
      <c r="O1122" t="s">
        <v>48</v>
      </c>
      <c r="P1122" t="s">
        <v>49</v>
      </c>
      <c r="Q1122" t="s">
        <v>8384</v>
      </c>
      <c r="R1122" t="s">
        <v>8385</v>
      </c>
      <c r="S1122">
        <v>2701</v>
      </c>
      <c r="T1122" t="s">
        <v>92</v>
      </c>
      <c r="U1122" t="s">
        <v>107</v>
      </c>
      <c r="V1122" t="s">
        <v>108</v>
      </c>
      <c r="W1122" t="s">
        <v>109</v>
      </c>
      <c r="X1122" t="s">
        <v>52</v>
      </c>
      <c r="Y1122" t="s">
        <v>110</v>
      </c>
      <c r="Z1122">
        <v>1582</v>
      </c>
      <c r="AA1122">
        <v>60</v>
      </c>
      <c r="AB1122">
        <v>144</v>
      </c>
      <c r="AC1122" t="s">
        <v>8386</v>
      </c>
      <c r="AD1122" t="s">
        <v>8387</v>
      </c>
      <c r="AE1122" t="s">
        <v>8388</v>
      </c>
      <c r="AF1122" t="s">
        <v>114</v>
      </c>
      <c r="AG1122" t="s">
        <v>115</v>
      </c>
      <c r="AH1122" t="s">
        <v>116</v>
      </c>
      <c r="AI1122" t="s">
        <v>8387</v>
      </c>
      <c r="AJ1122" s="2">
        <v>45818.719537037039</v>
      </c>
      <c r="AK1122" t="s">
        <v>100</v>
      </c>
      <c r="AL1122" t="s">
        <v>65</v>
      </c>
      <c r="AM1122" s="4">
        <v>0.41666666666666669</v>
      </c>
      <c r="AN1122" t="s">
        <v>66</v>
      </c>
      <c r="AO1122" t="s">
        <v>67</v>
      </c>
    </row>
    <row r="1123" spans="1:41" x14ac:dyDescent="0.2">
      <c r="A1123">
        <v>372975</v>
      </c>
      <c r="B1123" t="s">
        <v>8389</v>
      </c>
      <c r="C1123" t="s">
        <v>1687</v>
      </c>
      <c r="D1123" t="s">
        <v>8390</v>
      </c>
      <c r="E1123">
        <v>32744686</v>
      </c>
      <c r="F1123">
        <v>161902</v>
      </c>
      <c r="G1123" s="1">
        <v>36812</v>
      </c>
      <c r="H1123" s="1">
        <v>45686</v>
      </c>
      <c r="I1123" s="1">
        <v>46054</v>
      </c>
      <c r="J1123" t="s">
        <v>45</v>
      </c>
      <c r="K1123" t="s">
        <v>45</v>
      </c>
      <c r="L1123" t="s">
        <v>4306</v>
      </c>
      <c r="M1123" s="1">
        <v>44144</v>
      </c>
      <c r="N1123" t="s">
        <v>47</v>
      </c>
      <c r="O1123" t="s">
        <v>48</v>
      </c>
      <c r="P1123" t="s">
        <v>49</v>
      </c>
      <c r="Q1123" t="s">
        <v>8391</v>
      </c>
      <c r="R1123" t="s">
        <v>8392</v>
      </c>
      <c r="S1123">
        <v>300</v>
      </c>
      <c r="T1123" t="s">
        <v>52</v>
      </c>
      <c r="U1123">
        <v>8</v>
      </c>
      <c r="V1123" t="s">
        <v>4309</v>
      </c>
      <c r="W1123" t="s">
        <v>54</v>
      </c>
      <c r="X1123" t="s">
        <v>76</v>
      </c>
      <c r="Y1123" t="s">
        <v>56</v>
      </c>
      <c r="Z1123">
        <v>1082</v>
      </c>
      <c r="AA1123">
        <v>42</v>
      </c>
      <c r="AB1123">
        <v>45</v>
      </c>
      <c r="AC1123" t="s">
        <v>4310</v>
      </c>
      <c r="AD1123" t="s">
        <v>4311</v>
      </c>
      <c r="AE1123" t="s">
        <v>4312</v>
      </c>
      <c r="AF1123" t="s">
        <v>4313</v>
      </c>
      <c r="AG1123" t="s">
        <v>4314</v>
      </c>
      <c r="AH1123" t="s">
        <v>4315</v>
      </c>
      <c r="AJ1123" s="2">
        <v>45855.971192129633</v>
      </c>
      <c r="AK1123" t="s">
        <v>556</v>
      </c>
      <c r="AL1123" t="s">
        <v>65</v>
      </c>
      <c r="AM1123" s="3">
        <v>1.7708333333333333</v>
      </c>
      <c r="AN1123" t="s">
        <v>66</v>
      </c>
      <c r="AO1123" t="s">
        <v>101</v>
      </c>
    </row>
    <row r="1124" spans="1:41" x14ac:dyDescent="0.2">
      <c r="A1124">
        <v>370808</v>
      </c>
      <c r="B1124" t="s">
        <v>8393</v>
      </c>
      <c r="C1124" t="s">
        <v>345</v>
      </c>
      <c r="D1124" t="s">
        <v>8394</v>
      </c>
      <c r="E1124" t="s">
        <v>8395</v>
      </c>
      <c r="G1124" s="1">
        <v>45784</v>
      </c>
      <c r="H1124" s="1">
        <v>45679</v>
      </c>
      <c r="I1124" s="1">
        <v>46023</v>
      </c>
      <c r="J1124" t="s">
        <v>45</v>
      </c>
      <c r="K1124" t="s">
        <v>45</v>
      </c>
      <c r="L1124" t="s">
        <v>72</v>
      </c>
      <c r="M1124" s="1">
        <v>40814</v>
      </c>
      <c r="N1124" t="s">
        <v>47</v>
      </c>
      <c r="O1124" t="s">
        <v>121</v>
      </c>
      <c r="P1124" t="s">
        <v>49</v>
      </c>
      <c r="Q1124" t="s">
        <v>8396</v>
      </c>
      <c r="R1124" t="s">
        <v>8397</v>
      </c>
      <c r="S1124">
        <v>8490</v>
      </c>
      <c r="T1124" t="s">
        <v>365</v>
      </c>
      <c r="U1124" t="s">
        <v>432</v>
      </c>
      <c r="V1124" t="s">
        <v>2611</v>
      </c>
      <c r="W1124" t="s">
        <v>367</v>
      </c>
      <c r="X1124" t="s">
        <v>76</v>
      </c>
      <c r="Y1124" t="s">
        <v>125</v>
      </c>
      <c r="Z1124">
        <v>2425</v>
      </c>
      <c r="AA1124">
        <v>129</v>
      </c>
      <c r="AB1124">
        <v>160</v>
      </c>
      <c r="AC1124" t="s">
        <v>8398</v>
      </c>
      <c r="AD1124" t="s">
        <v>8399</v>
      </c>
      <c r="AE1124" t="s">
        <v>8400</v>
      </c>
      <c r="AF1124" t="s">
        <v>8401</v>
      </c>
      <c r="AG1124" t="s">
        <v>8402</v>
      </c>
      <c r="AH1124" t="s">
        <v>8403</v>
      </c>
      <c r="AJ1124" s="2">
        <v>45784.793946759259</v>
      </c>
      <c r="AK1124" t="s">
        <v>2068</v>
      </c>
      <c r="AL1124" t="s">
        <v>65</v>
      </c>
      <c r="AM1124" s="3">
        <v>1.6736111111111112</v>
      </c>
      <c r="AN1124" t="s">
        <v>66</v>
      </c>
      <c r="AO1124" t="s">
        <v>67</v>
      </c>
    </row>
    <row r="1125" spans="1:41" x14ac:dyDescent="0.2">
      <c r="A1125">
        <v>370499</v>
      </c>
      <c r="B1125" t="s">
        <v>8404</v>
      </c>
      <c r="C1125" t="s">
        <v>345</v>
      </c>
      <c r="D1125" t="s">
        <v>8405</v>
      </c>
      <c r="E1125" t="s">
        <v>8406</v>
      </c>
      <c r="G1125" s="1">
        <v>45588</v>
      </c>
      <c r="H1125" s="1">
        <v>45589</v>
      </c>
      <c r="I1125" s="1">
        <v>46249</v>
      </c>
      <c r="J1125" t="s">
        <v>45</v>
      </c>
      <c r="K1125" t="s">
        <v>45</v>
      </c>
      <c r="L1125" t="s">
        <v>72</v>
      </c>
      <c r="N1125" t="s">
        <v>47</v>
      </c>
      <c r="O1125" t="s">
        <v>121</v>
      </c>
      <c r="P1125" t="s">
        <v>49</v>
      </c>
      <c r="Q1125" t="s">
        <v>8407</v>
      </c>
      <c r="R1125" t="s">
        <v>8408</v>
      </c>
      <c r="S1125">
        <v>9400</v>
      </c>
      <c r="T1125" t="s">
        <v>52</v>
      </c>
      <c r="U1125">
        <v>2</v>
      </c>
      <c r="V1125" t="s">
        <v>8005</v>
      </c>
      <c r="W1125" t="s">
        <v>54</v>
      </c>
      <c r="X1125" t="s">
        <v>52</v>
      </c>
      <c r="Y1125" t="s">
        <v>125</v>
      </c>
      <c r="Z1125">
        <v>8226</v>
      </c>
      <c r="AA1125">
        <v>60</v>
      </c>
      <c r="AB1125">
        <v>78</v>
      </c>
      <c r="AC1125" t="s">
        <v>8409</v>
      </c>
      <c r="AD1125" t="s">
        <v>8410</v>
      </c>
      <c r="AE1125" t="s">
        <v>8411</v>
      </c>
      <c r="AF1125" t="s">
        <v>8412</v>
      </c>
      <c r="AG1125" t="s">
        <v>8413</v>
      </c>
      <c r="AH1125" t="s">
        <v>8414</v>
      </c>
      <c r="AI1125" t="s">
        <v>8415</v>
      </c>
      <c r="AJ1125" s="2">
        <v>45776.821956018517</v>
      </c>
      <c r="AK1125" t="s">
        <v>1167</v>
      </c>
      <c r="AL1125" t="s">
        <v>65</v>
      </c>
      <c r="AM1125" s="4">
        <v>0.8125</v>
      </c>
      <c r="AN1125" t="s">
        <v>66</v>
      </c>
      <c r="AO1125" t="s">
        <v>67</v>
      </c>
    </row>
    <row r="1126" spans="1:41" x14ac:dyDescent="0.2">
      <c r="A1126">
        <v>369302</v>
      </c>
      <c r="B1126" t="s">
        <v>8416</v>
      </c>
      <c r="C1126" t="s">
        <v>118</v>
      </c>
      <c r="D1126" t="s">
        <v>1410</v>
      </c>
      <c r="E1126">
        <v>32582312</v>
      </c>
      <c r="F1126">
        <v>20223</v>
      </c>
      <c r="G1126" s="1">
        <v>34598</v>
      </c>
      <c r="H1126" s="1">
        <v>45601</v>
      </c>
      <c r="I1126" s="1">
        <v>46266</v>
      </c>
      <c r="J1126" t="s">
        <v>45</v>
      </c>
      <c r="K1126" t="s">
        <v>45</v>
      </c>
      <c r="L1126" t="s">
        <v>429</v>
      </c>
      <c r="M1126" s="1">
        <v>45376</v>
      </c>
      <c r="N1126" t="s">
        <v>47</v>
      </c>
      <c r="O1126" t="s">
        <v>48</v>
      </c>
      <c r="P1126" t="s">
        <v>49</v>
      </c>
      <c r="Q1126" t="s">
        <v>8417</v>
      </c>
      <c r="R1126" t="s">
        <v>8418</v>
      </c>
      <c r="S1126">
        <v>5284</v>
      </c>
      <c r="T1126" t="s">
        <v>365</v>
      </c>
      <c r="U1126" t="s">
        <v>815</v>
      </c>
      <c r="V1126" t="s">
        <v>958</v>
      </c>
      <c r="W1126" t="s">
        <v>367</v>
      </c>
      <c r="X1126" t="s">
        <v>55</v>
      </c>
      <c r="Y1126" t="s">
        <v>434</v>
      </c>
      <c r="Z1126">
        <v>48</v>
      </c>
      <c r="AA1126">
        <v>62</v>
      </c>
      <c r="AB1126">
        <v>28</v>
      </c>
      <c r="AC1126" t="s">
        <v>2717</v>
      </c>
      <c r="AD1126" t="s">
        <v>2718</v>
      </c>
      <c r="AE1126" t="s">
        <v>2719</v>
      </c>
      <c r="AF1126" t="s">
        <v>2720</v>
      </c>
      <c r="AG1126" t="s">
        <v>963</v>
      </c>
      <c r="AH1126" t="s">
        <v>2721</v>
      </c>
      <c r="AI1126" t="s">
        <v>179</v>
      </c>
      <c r="AJ1126" s="2">
        <v>45734.536944444444</v>
      </c>
      <c r="AK1126" t="s">
        <v>2717</v>
      </c>
      <c r="AL1126" t="s">
        <v>65</v>
      </c>
      <c r="AM1126" s="3">
        <v>1.4236111111111112</v>
      </c>
      <c r="AN1126" t="s">
        <v>66</v>
      </c>
      <c r="AO1126" t="s">
        <v>67</v>
      </c>
    </row>
    <row r="1127" spans="1:41" x14ac:dyDescent="0.2">
      <c r="A1127">
        <v>363613</v>
      </c>
      <c r="B1127" t="s">
        <v>8416</v>
      </c>
      <c r="C1127" t="s">
        <v>345</v>
      </c>
      <c r="D1127" t="s">
        <v>950</v>
      </c>
      <c r="E1127" t="s">
        <v>8419</v>
      </c>
      <c r="F1127">
        <v>50404</v>
      </c>
      <c r="G1127" s="1">
        <v>32029</v>
      </c>
      <c r="H1127" s="1">
        <v>45517</v>
      </c>
      <c r="I1127" s="1">
        <v>45931</v>
      </c>
      <c r="J1127" t="s">
        <v>45</v>
      </c>
      <c r="K1127" t="s">
        <v>45</v>
      </c>
      <c r="L1127" t="s">
        <v>72</v>
      </c>
      <c r="M1127" s="1">
        <v>43053</v>
      </c>
      <c r="N1127" t="s">
        <v>47</v>
      </c>
      <c r="O1127" t="s">
        <v>48</v>
      </c>
      <c r="P1127" t="s">
        <v>49</v>
      </c>
      <c r="Q1127" t="s">
        <v>8420</v>
      </c>
      <c r="R1127" t="s">
        <v>8421</v>
      </c>
      <c r="S1127">
        <v>8420</v>
      </c>
      <c r="T1127" t="s">
        <v>365</v>
      </c>
      <c r="U1127" t="s">
        <v>432</v>
      </c>
      <c r="V1127" t="s">
        <v>4107</v>
      </c>
      <c r="W1127" t="s">
        <v>367</v>
      </c>
      <c r="X1127" t="s">
        <v>55</v>
      </c>
      <c r="Y1127" t="s">
        <v>434</v>
      </c>
      <c r="Z1127">
        <v>115</v>
      </c>
      <c r="AA1127">
        <v>63</v>
      </c>
      <c r="AB1127">
        <v>158</v>
      </c>
      <c r="AC1127" t="s">
        <v>5835</v>
      </c>
      <c r="AD1127" t="s">
        <v>4112</v>
      </c>
      <c r="AE1127" t="s">
        <v>4113</v>
      </c>
      <c r="AI1127" t="s">
        <v>179</v>
      </c>
      <c r="AJ1127" s="2">
        <v>45518.194201388891</v>
      </c>
      <c r="AK1127" t="s">
        <v>4471</v>
      </c>
      <c r="AL1127" t="s">
        <v>65</v>
      </c>
      <c r="AM1127" s="3">
        <v>1.9305555555555556</v>
      </c>
      <c r="AN1127" t="s">
        <v>66</v>
      </c>
      <c r="AO1127" t="s">
        <v>67</v>
      </c>
    </row>
    <row r="1128" spans="1:41" x14ac:dyDescent="0.2">
      <c r="A1128">
        <v>361030</v>
      </c>
      <c r="B1128" t="s">
        <v>8422</v>
      </c>
      <c r="C1128" t="s">
        <v>221</v>
      </c>
      <c r="D1128" t="s">
        <v>5488</v>
      </c>
      <c r="E1128" t="s">
        <v>8423</v>
      </c>
      <c r="F1128">
        <v>14801</v>
      </c>
      <c r="G1128" s="1">
        <v>42614</v>
      </c>
      <c r="H1128" s="1">
        <v>45435</v>
      </c>
      <c r="I1128" s="1">
        <v>46113</v>
      </c>
      <c r="J1128" t="s">
        <v>45</v>
      </c>
      <c r="K1128" t="s">
        <v>45</v>
      </c>
      <c r="L1128" t="s">
        <v>72</v>
      </c>
      <c r="N1128" t="s">
        <v>47</v>
      </c>
      <c r="O1128" t="s">
        <v>48</v>
      </c>
      <c r="P1128" t="s">
        <v>49</v>
      </c>
      <c r="Q1128" t="s">
        <v>8424</v>
      </c>
      <c r="R1128" t="s">
        <v>8425</v>
      </c>
      <c r="S1128">
        <v>216</v>
      </c>
      <c r="T1128" t="s">
        <v>92</v>
      </c>
      <c r="U1128" t="s">
        <v>226</v>
      </c>
      <c r="V1128" t="s">
        <v>227</v>
      </c>
      <c r="W1128" t="s">
        <v>228</v>
      </c>
      <c r="X1128" t="s">
        <v>92</v>
      </c>
      <c r="Y1128" t="s">
        <v>110</v>
      </c>
      <c r="Z1128">
        <v>8467</v>
      </c>
      <c r="AA1128">
        <v>20</v>
      </c>
      <c r="AB1128">
        <v>78</v>
      </c>
      <c r="AC1128" t="s">
        <v>229</v>
      </c>
      <c r="AD1128" t="s">
        <v>230</v>
      </c>
      <c r="AE1128" t="s">
        <v>231</v>
      </c>
      <c r="AF1128" t="s">
        <v>232</v>
      </c>
      <c r="AG1128" t="s">
        <v>233</v>
      </c>
      <c r="AH1128" t="s">
        <v>234</v>
      </c>
      <c r="AJ1128" s="2">
        <v>45443.900625000002</v>
      </c>
      <c r="AK1128" t="s">
        <v>229</v>
      </c>
      <c r="AL1128" t="s">
        <v>65</v>
      </c>
      <c r="AM1128" s="3">
        <v>1.0625</v>
      </c>
      <c r="AN1128" t="s">
        <v>66</v>
      </c>
      <c r="AO1128" t="s">
        <v>67</v>
      </c>
    </row>
    <row r="1129" spans="1:41" x14ac:dyDescent="0.2">
      <c r="A1129">
        <v>367533</v>
      </c>
      <c r="B1129" t="s">
        <v>8426</v>
      </c>
      <c r="C1129" t="s">
        <v>118</v>
      </c>
      <c r="D1129" t="s">
        <v>119</v>
      </c>
      <c r="E1129">
        <v>32583064</v>
      </c>
      <c r="F1129">
        <v>21104</v>
      </c>
      <c r="G1129" s="1">
        <v>31371</v>
      </c>
      <c r="H1129" s="1">
        <v>45664</v>
      </c>
      <c r="I1129" s="1">
        <v>46054</v>
      </c>
      <c r="J1129" t="s">
        <v>45</v>
      </c>
      <c r="K1129" t="s">
        <v>45</v>
      </c>
      <c r="L1129" t="s">
        <v>429</v>
      </c>
      <c r="M1129" s="1">
        <v>44235</v>
      </c>
      <c r="N1129" t="s">
        <v>47</v>
      </c>
      <c r="O1129" t="s">
        <v>48</v>
      </c>
      <c r="P1129" t="s">
        <v>49</v>
      </c>
      <c r="Q1129" t="s">
        <v>8427</v>
      </c>
      <c r="R1129" t="s">
        <v>8428</v>
      </c>
      <c r="S1129">
        <v>6340</v>
      </c>
      <c r="T1129" t="s">
        <v>365</v>
      </c>
      <c r="U1129" t="s">
        <v>815</v>
      </c>
      <c r="V1129" t="s">
        <v>2649</v>
      </c>
      <c r="W1129" t="s">
        <v>367</v>
      </c>
      <c r="X1129" t="s">
        <v>55</v>
      </c>
      <c r="Y1129" t="s">
        <v>434</v>
      </c>
      <c r="Z1129">
        <v>70</v>
      </c>
      <c r="AA1129">
        <v>47</v>
      </c>
      <c r="AB1129">
        <v>28</v>
      </c>
      <c r="AC1129" t="s">
        <v>8429</v>
      </c>
      <c r="AD1129" t="s">
        <v>2651</v>
      </c>
      <c r="AE1129" t="s">
        <v>2652</v>
      </c>
      <c r="AF1129" t="s">
        <v>2653</v>
      </c>
      <c r="AG1129" t="s">
        <v>2654</v>
      </c>
      <c r="AH1129" t="s">
        <v>8430</v>
      </c>
      <c r="AI1129" t="s">
        <v>179</v>
      </c>
      <c r="AJ1129" s="2">
        <v>45680.600717592592</v>
      </c>
      <c r="AK1129" t="s">
        <v>568</v>
      </c>
      <c r="AL1129" t="s">
        <v>65</v>
      </c>
      <c r="AM1129" s="4">
        <v>0.15277777777777779</v>
      </c>
      <c r="AN1129" t="s">
        <v>66</v>
      </c>
      <c r="AO1129" t="s">
        <v>67</v>
      </c>
    </row>
    <row r="1130" spans="1:41" x14ac:dyDescent="0.2">
      <c r="A1130">
        <v>369435</v>
      </c>
      <c r="B1130" t="s">
        <v>8431</v>
      </c>
      <c r="C1130" t="s">
        <v>979</v>
      </c>
      <c r="D1130" t="s">
        <v>8432</v>
      </c>
      <c r="E1130" t="s">
        <v>8433</v>
      </c>
      <c r="F1130">
        <v>33202</v>
      </c>
      <c r="G1130" s="1">
        <v>38099</v>
      </c>
      <c r="H1130" s="1">
        <v>45728</v>
      </c>
      <c r="I1130" s="1">
        <v>46082</v>
      </c>
      <c r="J1130" t="s">
        <v>45</v>
      </c>
      <c r="K1130" t="s">
        <v>45</v>
      </c>
      <c r="L1130" t="s">
        <v>72</v>
      </c>
      <c r="M1130" s="1">
        <v>44726</v>
      </c>
      <c r="N1130" t="s">
        <v>47</v>
      </c>
      <c r="O1130" t="s">
        <v>48</v>
      </c>
      <c r="P1130" t="s">
        <v>49</v>
      </c>
      <c r="Q1130" t="s">
        <v>8434</v>
      </c>
      <c r="R1130" t="s">
        <v>8435</v>
      </c>
      <c r="S1130">
        <v>610</v>
      </c>
      <c r="T1130" t="s">
        <v>92</v>
      </c>
      <c r="U1130" t="s">
        <v>2996</v>
      </c>
      <c r="V1130" t="s">
        <v>2997</v>
      </c>
      <c r="W1130" t="s">
        <v>2998</v>
      </c>
      <c r="X1130" t="s">
        <v>92</v>
      </c>
      <c r="Y1130" t="s">
        <v>110</v>
      </c>
      <c r="Z1130">
        <v>2562</v>
      </c>
      <c r="AA1130">
        <v>30</v>
      </c>
      <c r="AB1130">
        <v>158</v>
      </c>
      <c r="AC1130" t="s">
        <v>2999</v>
      </c>
      <c r="AD1130" t="s">
        <v>3000</v>
      </c>
      <c r="AE1130" t="s">
        <v>3001</v>
      </c>
      <c r="AF1130" t="s">
        <v>8436</v>
      </c>
      <c r="AG1130" t="s">
        <v>3003</v>
      </c>
      <c r="AH1130" t="s">
        <v>3004</v>
      </c>
      <c r="AJ1130" s="2">
        <v>45740.801562499997</v>
      </c>
      <c r="AK1130" t="s">
        <v>2999</v>
      </c>
      <c r="AL1130" t="s">
        <v>65</v>
      </c>
      <c r="AM1130" s="4">
        <v>0.43055555555555558</v>
      </c>
      <c r="AN1130" t="s">
        <v>66</v>
      </c>
      <c r="AO1130" t="s">
        <v>67</v>
      </c>
    </row>
    <row r="1131" spans="1:41" x14ac:dyDescent="0.2">
      <c r="A1131">
        <v>371603</v>
      </c>
      <c r="B1131" t="s">
        <v>8437</v>
      </c>
      <c r="C1131" t="s">
        <v>86</v>
      </c>
      <c r="D1131" t="s">
        <v>8438</v>
      </c>
      <c r="E1131">
        <v>8003658</v>
      </c>
      <c r="F1131">
        <v>200703</v>
      </c>
      <c r="G1131" s="1">
        <v>32964</v>
      </c>
      <c r="H1131" s="1">
        <v>45785</v>
      </c>
      <c r="I1131" s="1">
        <v>46143</v>
      </c>
      <c r="J1131" t="s">
        <v>45</v>
      </c>
      <c r="K1131" t="s">
        <v>45</v>
      </c>
      <c r="L1131" t="s">
        <v>72</v>
      </c>
      <c r="M1131" s="1">
        <v>43003</v>
      </c>
      <c r="N1131" t="s">
        <v>47</v>
      </c>
      <c r="O1131" t="s">
        <v>48</v>
      </c>
      <c r="P1131" t="s">
        <v>49</v>
      </c>
      <c r="Q1131" t="s">
        <v>8439</v>
      </c>
      <c r="R1131" t="s">
        <v>8440</v>
      </c>
      <c r="S1131">
        <v>1259</v>
      </c>
      <c r="T1131" t="s">
        <v>92</v>
      </c>
      <c r="U1131" t="s">
        <v>93</v>
      </c>
      <c r="V1131" t="s">
        <v>506</v>
      </c>
      <c r="W1131" t="s">
        <v>507</v>
      </c>
      <c r="X1131" t="s">
        <v>92</v>
      </c>
      <c r="Y1131" t="s">
        <v>110</v>
      </c>
      <c r="Z1131">
        <v>1965</v>
      </c>
      <c r="AA1131">
        <v>41</v>
      </c>
      <c r="AB1131">
        <v>144</v>
      </c>
      <c r="AC1131" t="s">
        <v>508</v>
      </c>
      <c r="AD1131" t="s">
        <v>509</v>
      </c>
      <c r="AE1131" t="s">
        <v>510</v>
      </c>
      <c r="AF1131" t="s">
        <v>8441</v>
      </c>
      <c r="AG1131" t="s">
        <v>8442</v>
      </c>
      <c r="AH1131" t="s">
        <v>8443</v>
      </c>
      <c r="AI1131" t="s">
        <v>8444</v>
      </c>
      <c r="AJ1131" s="2">
        <v>45817.703738425924</v>
      </c>
      <c r="AK1131" t="s">
        <v>100</v>
      </c>
      <c r="AL1131" t="s">
        <v>65</v>
      </c>
      <c r="AM1131" s="4">
        <v>0.51388888888888884</v>
      </c>
      <c r="AN1131" t="s">
        <v>66</v>
      </c>
      <c r="AO1131" t="s">
        <v>67</v>
      </c>
    </row>
    <row r="1132" spans="1:41" x14ac:dyDescent="0.2">
      <c r="A1132">
        <v>364805</v>
      </c>
      <c r="B1132" t="s">
        <v>8445</v>
      </c>
      <c r="C1132" t="s">
        <v>345</v>
      </c>
      <c r="D1132" t="s">
        <v>6579</v>
      </c>
      <c r="E1132" t="s">
        <v>8446</v>
      </c>
      <c r="F1132">
        <v>51607</v>
      </c>
      <c r="G1132" s="1">
        <v>33380</v>
      </c>
      <c r="H1132" s="1">
        <v>45559</v>
      </c>
      <c r="I1132" s="1">
        <v>46188</v>
      </c>
      <c r="J1132" t="s">
        <v>45</v>
      </c>
      <c r="K1132" t="s">
        <v>45</v>
      </c>
      <c r="L1132" t="s">
        <v>72</v>
      </c>
      <c r="M1132" s="1">
        <v>39927</v>
      </c>
      <c r="N1132" t="s">
        <v>47</v>
      </c>
      <c r="O1132" t="s">
        <v>48</v>
      </c>
      <c r="P1132" t="s">
        <v>49</v>
      </c>
      <c r="Q1132" t="s">
        <v>8447</v>
      </c>
      <c r="R1132" t="s">
        <v>8448</v>
      </c>
      <c r="S1132">
        <v>7412</v>
      </c>
      <c r="T1132" t="s">
        <v>365</v>
      </c>
      <c r="U1132" t="s">
        <v>432</v>
      </c>
      <c r="V1132" t="s">
        <v>6159</v>
      </c>
      <c r="W1132" t="s">
        <v>367</v>
      </c>
      <c r="X1132" t="s">
        <v>55</v>
      </c>
      <c r="Y1132" t="s">
        <v>434</v>
      </c>
      <c r="Z1132">
        <v>123</v>
      </c>
      <c r="AA1132">
        <v>47</v>
      </c>
      <c r="AB1132">
        <v>66</v>
      </c>
      <c r="AC1132" t="s">
        <v>8449</v>
      </c>
      <c r="AD1132" t="s">
        <v>8450</v>
      </c>
      <c r="AE1132" t="s">
        <v>8451</v>
      </c>
      <c r="AF1132" t="s">
        <v>8452</v>
      </c>
      <c r="AG1132" t="s">
        <v>6066</v>
      </c>
      <c r="AH1132" t="s">
        <v>6164</v>
      </c>
      <c r="AI1132" t="s">
        <v>6165</v>
      </c>
      <c r="AJ1132" s="2">
        <v>45560.120104166665</v>
      </c>
      <c r="AK1132" t="s">
        <v>4471</v>
      </c>
      <c r="AL1132" t="s">
        <v>65</v>
      </c>
      <c r="AM1132" s="4">
        <v>0.54861111111111116</v>
      </c>
      <c r="AN1132" t="s">
        <v>66</v>
      </c>
      <c r="AO1132" t="s">
        <v>67</v>
      </c>
    </row>
    <row r="1133" spans="1:41" x14ac:dyDescent="0.2">
      <c r="A1133">
        <v>363616</v>
      </c>
      <c r="B1133" t="s">
        <v>8453</v>
      </c>
      <c r="C1133" t="s">
        <v>558</v>
      </c>
      <c r="D1133" t="s">
        <v>1315</v>
      </c>
      <c r="E1133" t="s">
        <v>8454</v>
      </c>
      <c r="G1133" s="1">
        <v>45517</v>
      </c>
      <c r="H1133" s="1">
        <v>45518</v>
      </c>
      <c r="I1133" s="1">
        <v>46188</v>
      </c>
      <c r="J1133" t="s">
        <v>45</v>
      </c>
      <c r="K1133" t="s">
        <v>45</v>
      </c>
      <c r="L1133" t="s">
        <v>72</v>
      </c>
      <c r="M1133" s="1">
        <v>43088</v>
      </c>
      <c r="N1133" t="s">
        <v>89</v>
      </c>
      <c r="O1133" t="s">
        <v>121</v>
      </c>
      <c r="P1133" t="s">
        <v>49</v>
      </c>
      <c r="Q1133" t="s">
        <v>8455</v>
      </c>
      <c r="R1133" t="s">
        <v>8456</v>
      </c>
      <c r="S1133">
        <v>7096</v>
      </c>
      <c r="T1133" t="s">
        <v>52</v>
      </c>
      <c r="U1133">
        <v>4</v>
      </c>
      <c r="V1133" t="s">
        <v>1271</v>
      </c>
      <c r="W1133" t="s">
        <v>54</v>
      </c>
      <c r="X1133" t="s">
        <v>52</v>
      </c>
      <c r="Y1133" t="s">
        <v>125</v>
      </c>
      <c r="Z1133">
        <v>1649</v>
      </c>
      <c r="AA1133">
        <v>81</v>
      </c>
      <c r="AB1133">
        <v>210</v>
      </c>
      <c r="AC1133" t="s">
        <v>8457</v>
      </c>
      <c r="AD1133" t="s">
        <v>8458</v>
      </c>
      <c r="AE1133" t="s">
        <v>8459</v>
      </c>
      <c r="AF1133" t="s">
        <v>8460</v>
      </c>
      <c r="AG1133" t="s">
        <v>8458</v>
      </c>
      <c r="AH1133" t="s">
        <v>8461</v>
      </c>
      <c r="AJ1133" s="2">
        <v>45518.447881944441</v>
      </c>
      <c r="AK1133" t="s">
        <v>132</v>
      </c>
      <c r="AL1133" t="s">
        <v>65</v>
      </c>
      <c r="AM1133" s="3">
        <v>2.0763888888888888</v>
      </c>
      <c r="AN1133" t="s">
        <v>66</v>
      </c>
      <c r="AO1133" t="s">
        <v>67</v>
      </c>
    </row>
    <row r="1134" spans="1:41" x14ac:dyDescent="0.2">
      <c r="A1134">
        <v>368043</v>
      </c>
      <c r="B1134" t="s">
        <v>8462</v>
      </c>
      <c r="C1134" t="s">
        <v>558</v>
      </c>
      <c r="D1134" t="s">
        <v>746</v>
      </c>
      <c r="E1134" t="s">
        <v>8463</v>
      </c>
      <c r="G1134" s="1">
        <v>45219</v>
      </c>
      <c r="H1134" s="1">
        <v>45699</v>
      </c>
      <c r="I1134" s="1">
        <v>46266</v>
      </c>
      <c r="J1134" t="s">
        <v>45</v>
      </c>
      <c r="K1134" t="s">
        <v>45</v>
      </c>
      <c r="L1134" t="s">
        <v>72</v>
      </c>
      <c r="N1134" t="s">
        <v>89</v>
      </c>
      <c r="O1134" t="s">
        <v>121</v>
      </c>
      <c r="P1134" t="s">
        <v>49</v>
      </c>
      <c r="Q1134" t="s">
        <v>8464</v>
      </c>
      <c r="R1134" t="s">
        <v>8465</v>
      </c>
      <c r="S1134">
        <v>6750</v>
      </c>
      <c r="T1134" t="s">
        <v>52</v>
      </c>
      <c r="U1134">
        <v>4</v>
      </c>
      <c r="V1134" t="s">
        <v>1271</v>
      </c>
      <c r="W1134" t="s">
        <v>54</v>
      </c>
      <c r="X1134" t="s">
        <v>52</v>
      </c>
      <c r="Y1134" t="s">
        <v>125</v>
      </c>
      <c r="Z1134">
        <v>1952</v>
      </c>
      <c r="AA1134">
        <v>68</v>
      </c>
      <c r="AB1134">
        <v>166</v>
      </c>
      <c r="AC1134" t="s">
        <v>8466</v>
      </c>
      <c r="AD1134" t="s">
        <v>8467</v>
      </c>
      <c r="AE1134" t="s">
        <v>8468</v>
      </c>
      <c r="AI1134" t="s">
        <v>8469</v>
      </c>
      <c r="AJ1134" s="2">
        <v>45699.537870370368</v>
      </c>
      <c r="AK1134" t="s">
        <v>132</v>
      </c>
      <c r="AL1134" t="s">
        <v>65</v>
      </c>
      <c r="AM1134" s="4">
        <v>0.51388888888888884</v>
      </c>
      <c r="AN1134" t="s">
        <v>66</v>
      </c>
      <c r="AO1134" t="s">
        <v>67</v>
      </c>
    </row>
    <row r="1135" spans="1:41" x14ac:dyDescent="0.2">
      <c r="A1135">
        <v>371750</v>
      </c>
      <c r="B1135" t="s">
        <v>8470</v>
      </c>
      <c r="C1135" t="s">
        <v>558</v>
      </c>
      <c r="D1135" t="s">
        <v>746</v>
      </c>
      <c r="E1135" s="5">
        <v>32886300</v>
      </c>
      <c r="F1135">
        <v>43792</v>
      </c>
      <c r="G1135" s="1">
        <v>45659</v>
      </c>
      <c r="H1135" s="1">
        <v>45660</v>
      </c>
      <c r="I1135" s="1">
        <v>45962</v>
      </c>
      <c r="J1135" t="s">
        <v>45</v>
      </c>
      <c r="K1135" t="s">
        <v>45</v>
      </c>
      <c r="L1135" t="s">
        <v>72</v>
      </c>
      <c r="M1135" s="1">
        <v>42255</v>
      </c>
      <c r="N1135" t="s">
        <v>89</v>
      </c>
      <c r="O1135" t="s">
        <v>121</v>
      </c>
      <c r="P1135" t="s">
        <v>49</v>
      </c>
      <c r="Q1135" t="s">
        <v>8471</v>
      </c>
      <c r="R1135" t="s">
        <v>8472</v>
      </c>
      <c r="S1135">
        <v>6640</v>
      </c>
      <c r="T1135" t="s">
        <v>52</v>
      </c>
      <c r="U1135">
        <v>4</v>
      </c>
      <c r="V1135" t="s">
        <v>1271</v>
      </c>
      <c r="W1135" t="s">
        <v>54</v>
      </c>
      <c r="X1135" t="s">
        <v>52</v>
      </c>
      <c r="Y1135" t="s">
        <v>125</v>
      </c>
      <c r="Z1135">
        <v>2598</v>
      </c>
      <c r="AA1135">
        <v>75</v>
      </c>
      <c r="AB1135">
        <v>158</v>
      </c>
      <c r="AC1135" t="s">
        <v>8473</v>
      </c>
      <c r="AD1135" t="s">
        <v>8474</v>
      </c>
      <c r="AE1135" t="s">
        <v>8475</v>
      </c>
      <c r="AF1135" t="s">
        <v>8476</v>
      </c>
      <c r="AG1135" t="s">
        <v>8477</v>
      </c>
      <c r="AH1135" t="s">
        <v>8478</v>
      </c>
      <c r="AJ1135" s="2">
        <v>45818.856006944443</v>
      </c>
      <c r="AK1135" t="s">
        <v>132</v>
      </c>
      <c r="AL1135" t="s">
        <v>65</v>
      </c>
      <c r="AM1135" s="3">
        <v>2.2569444444444446</v>
      </c>
      <c r="AN1135" t="s">
        <v>66</v>
      </c>
      <c r="AO1135" t="s">
        <v>67</v>
      </c>
    </row>
    <row r="1136" spans="1:41" x14ac:dyDescent="0.2">
      <c r="A1136">
        <v>367504</v>
      </c>
      <c r="B1136" t="s">
        <v>8479</v>
      </c>
      <c r="C1136" t="s">
        <v>558</v>
      </c>
      <c r="D1136" t="s">
        <v>1268</v>
      </c>
      <c r="E1136" t="s">
        <v>8480</v>
      </c>
      <c r="G1136" s="1">
        <v>45678</v>
      </c>
      <c r="H1136" s="1">
        <v>45679</v>
      </c>
      <c r="I1136" s="1">
        <v>45992</v>
      </c>
      <c r="J1136" t="s">
        <v>45</v>
      </c>
      <c r="K1136" t="s">
        <v>45</v>
      </c>
      <c r="L1136" t="s">
        <v>72</v>
      </c>
      <c r="M1136" s="1">
        <v>42137</v>
      </c>
      <c r="N1136" t="s">
        <v>89</v>
      </c>
      <c r="O1136" t="s">
        <v>121</v>
      </c>
      <c r="P1136" t="s">
        <v>49</v>
      </c>
      <c r="Q1136" t="s">
        <v>8481</v>
      </c>
      <c r="R1136" t="s">
        <v>8482</v>
      </c>
      <c r="S1136">
        <v>6283</v>
      </c>
      <c r="T1136" t="s">
        <v>52</v>
      </c>
      <c r="U1136">
        <v>4</v>
      </c>
      <c r="V1136" t="s">
        <v>1271</v>
      </c>
      <c r="W1136" t="s">
        <v>54</v>
      </c>
      <c r="X1136" t="s">
        <v>52</v>
      </c>
      <c r="Y1136" t="s">
        <v>125</v>
      </c>
      <c r="Z1136">
        <v>2704</v>
      </c>
      <c r="AA1136">
        <v>69</v>
      </c>
      <c r="AB1136">
        <v>158</v>
      </c>
      <c r="AC1136" t="s">
        <v>8466</v>
      </c>
      <c r="AD1136" t="s">
        <v>8467</v>
      </c>
      <c r="AE1136" t="s">
        <v>8468</v>
      </c>
      <c r="AJ1136" s="2">
        <v>45679.502847222226</v>
      </c>
      <c r="AK1136" t="s">
        <v>132</v>
      </c>
      <c r="AL1136" t="s">
        <v>65</v>
      </c>
      <c r="AM1136" s="3">
        <v>2.4583333333333335</v>
      </c>
      <c r="AN1136" t="s">
        <v>66</v>
      </c>
      <c r="AO1136" t="s">
        <v>67</v>
      </c>
    </row>
    <row r="1137" spans="1:41" x14ac:dyDescent="0.2">
      <c r="A1137">
        <v>368225</v>
      </c>
      <c r="B1137" t="s">
        <v>8483</v>
      </c>
      <c r="C1137" t="s">
        <v>42</v>
      </c>
      <c r="D1137" t="s">
        <v>8484</v>
      </c>
      <c r="E1137" t="s">
        <v>8485</v>
      </c>
      <c r="F1137">
        <v>292702</v>
      </c>
      <c r="G1137" s="1">
        <v>32953</v>
      </c>
      <c r="H1137" s="1">
        <v>45698</v>
      </c>
      <c r="I1137" s="1">
        <v>46054</v>
      </c>
      <c r="J1137" t="s">
        <v>45</v>
      </c>
      <c r="K1137" t="s">
        <v>45</v>
      </c>
      <c r="L1137" t="s">
        <v>429</v>
      </c>
      <c r="M1137" s="1">
        <v>44013</v>
      </c>
      <c r="N1137" t="s">
        <v>47</v>
      </c>
      <c r="O1137" t="s">
        <v>48</v>
      </c>
      <c r="P1137" t="s">
        <v>49</v>
      </c>
      <c r="Q1137" t="s">
        <v>8486</v>
      </c>
      <c r="R1137" t="s">
        <v>8487</v>
      </c>
      <c r="S1137">
        <v>4290</v>
      </c>
      <c r="T1137" t="s">
        <v>365</v>
      </c>
      <c r="U1137" t="s">
        <v>432</v>
      </c>
      <c r="V1137" t="s">
        <v>6599</v>
      </c>
      <c r="W1137" t="s">
        <v>367</v>
      </c>
      <c r="X1137" t="s">
        <v>55</v>
      </c>
      <c r="Y1137" t="s">
        <v>434</v>
      </c>
      <c r="Z1137">
        <v>227</v>
      </c>
      <c r="AA1137">
        <v>54</v>
      </c>
      <c r="AB1137">
        <v>158</v>
      </c>
      <c r="AC1137" t="s">
        <v>6600</v>
      </c>
      <c r="AD1137" t="s">
        <v>6601</v>
      </c>
      <c r="AE1137" t="s">
        <v>6602</v>
      </c>
      <c r="AF1137" t="s">
        <v>6603</v>
      </c>
      <c r="AG1137" t="s">
        <v>6604</v>
      </c>
      <c r="AH1137" t="s">
        <v>6605</v>
      </c>
      <c r="AI1137" t="s">
        <v>4342</v>
      </c>
      <c r="AJ1137" s="2">
        <v>45706.740844907406</v>
      </c>
      <c r="AK1137" t="s">
        <v>609</v>
      </c>
      <c r="AL1137" t="s">
        <v>65</v>
      </c>
      <c r="AM1137" s="3">
        <v>1.7013888888888888</v>
      </c>
      <c r="AN1137" t="s">
        <v>66</v>
      </c>
      <c r="AO1137" t="s">
        <v>67</v>
      </c>
    </row>
    <row r="1138" spans="1:41" x14ac:dyDescent="0.2">
      <c r="A1138">
        <v>372783</v>
      </c>
      <c r="B1138" t="s">
        <v>8488</v>
      </c>
      <c r="C1138" t="s">
        <v>134</v>
      </c>
      <c r="E1138">
        <v>32617342</v>
      </c>
      <c r="F1138">
        <v>451115</v>
      </c>
      <c r="G1138" s="1">
        <v>33212</v>
      </c>
      <c r="H1138" s="1">
        <v>45467</v>
      </c>
      <c r="I1138" s="1">
        <v>46188</v>
      </c>
      <c r="J1138" t="s">
        <v>45</v>
      </c>
      <c r="K1138" t="s">
        <v>45</v>
      </c>
      <c r="L1138" t="s">
        <v>429</v>
      </c>
      <c r="M1138" s="1">
        <v>42901</v>
      </c>
      <c r="N1138" t="s">
        <v>47</v>
      </c>
      <c r="O1138" t="s">
        <v>48</v>
      </c>
      <c r="P1138" t="s">
        <v>49</v>
      </c>
      <c r="Q1138" t="s">
        <v>8489</v>
      </c>
      <c r="R1138" t="s">
        <v>8490</v>
      </c>
      <c r="S1138">
        <v>3613</v>
      </c>
      <c r="T1138" t="s">
        <v>52</v>
      </c>
      <c r="U1138">
        <v>6</v>
      </c>
      <c r="V1138" t="s">
        <v>3547</v>
      </c>
      <c r="W1138" t="s">
        <v>54</v>
      </c>
      <c r="X1138" t="s">
        <v>76</v>
      </c>
      <c r="Y1138" t="s">
        <v>56</v>
      </c>
      <c r="Z1138">
        <v>768</v>
      </c>
      <c r="AA1138">
        <v>46</v>
      </c>
      <c r="AB1138">
        <v>158</v>
      </c>
      <c r="AC1138" t="s">
        <v>3548</v>
      </c>
      <c r="AD1138" t="s">
        <v>3549</v>
      </c>
      <c r="AE1138" t="s">
        <v>3550</v>
      </c>
      <c r="AF1138" t="s">
        <v>4330</v>
      </c>
      <c r="AG1138" t="s">
        <v>3552</v>
      </c>
      <c r="AH1138" t="s">
        <v>3553</v>
      </c>
      <c r="AI1138" t="s">
        <v>179</v>
      </c>
      <c r="AJ1138" s="2">
        <v>45853.759525462963</v>
      </c>
      <c r="AK1138" t="s">
        <v>3554</v>
      </c>
      <c r="AL1138" t="s">
        <v>65</v>
      </c>
      <c r="AM1138" s="3">
        <v>2.2291666666666665</v>
      </c>
      <c r="AN1138" t="s">
        <v>66</v>
      </c>
      <c r="AO1138" t="s">
        <v>67</v>
      </c>
    </row>
    <row r="1139" spans="1:41" x14ac:dyDescent="0.2">
      <c r="A1139">
        <v>372883</v>
      </c>
      <c r="B1139" t="s">
        <v>8491</v>
      </c>
      <c r="C1139" t="s">
        <v>323</v>
      </c>
      <c r="D1139" t="s">
        <v>8492</v>
      </c>
      <c r="E1139">
        <v>32471784</v>
      </c>
      <c r="F1139">
        <v>501044</v>
      </c>
      <c r="G1139" s="1">
        <v>31552</v>
      </c>
      <c r="H1139" s="1">
        <v>45852</v>
      </c>
      <c r="I1139" s="1">
        <v>46174</v>
      </c>
      <c r="J1139" t="s">
        <v>45</v>
      </c>
      <c r="K1139" t="s">
        <v>45</v>
      </c>
      <c r="L1139" t="s">
        <v>429</v>
      </c>
      <c r="M1139" s="1">
        <v>45852</v>
      </c>
      <c r="N1139" t="s">
        <v>47</v>
      </c>
      <c r="O1139" t="s">
        <v>48</v>
      </c>
      <c r="P1139" t="s">
        <v>49</v>
      </c>
      <c r="Q1139" t="s">
        <v>8493</v>
      </c>
      <c r="R1139" t="s">
        <v>8494</v>
      </c>
      <c r="S1139">
        <v>671</v>
      </c>
      <c r="T1139" t="s">
        <v>52</v>
      </c>
      <c r="U1139">
        <v>10</v>
      </c>
      <c r="V1139" t="s">
        <v>2192</v>
      </c>
      <c r="W1139" t="s">
        <v>54</v>
      </c>
      <c r="X1139" t="s">
        <v>76</v>
      </c>
      <c r="Y1139" t="s">
        <v>56</v>
      </c>
      <c r="Z1139">
        <v>884</v>
      </c>
      <c r="AA1139">
        <v>48</v>
      </c>
      <c r="AB1139">
        <v>66</v>
      </c>
      <c r="AC1139" t="s">
        <v>8495</v>
      </c>
      <c r="AD1139" t="s">
        <v>8496</v>
      </c>
      <c r="AE1139" t="s">
        <v>8497</v>
      </c>
      <c r="AF1139" t="s">
        <v>8498</v>
      </c>
      <c r="AG1139" t="s">
        <v>8499</v>
      </c>
      <c r="AH1139" t="s">
        <v>8500</v>
      </c>
      <c r="AI1139" t="s">
        <v>8501</v>
      </c>
      <c r="AJ1139" s="2">
        <v>45855.74560185185</v>
      </c>
      <c r="AK1139" t="s">
        <v>717</v>
      </c>
      <c r="AL1139" t="s">
        <v>65</v>
      </c>
      <c r="AM1139" s="3">
        <v>2.2916666666666665</v>
      </c>
      <c r="AN1139" t="s">
        <v>66</v>
      </c>
      <c r="AO1139" t="s">
        <v>67</v>
      </c>
    </row>
    <row r="1140" spans="1:41" x14ac:dyDescent="0.2">
      <c r="A1140">
        <v>367333</v>
      </c>
      <c r="B1140" t="s">
        <v>8502</v>
      </c>
      <c r="C1140" t="s">
        <v>309</v>
      </c>
      <c r="D1140" t="s">
        <v>309</v>
      </c>
      <c r="E1140" t="s">
        <v>8503</v>
      </c>
      <c r="F1140">
        <v>150105</v>
      </c>
      <c r="G1140" s="1">
        <v>37357</v>
      </c>
      <c r="H1140" s="1">
        <v>45671</v>
      </c>
      <c r="I1140" s="1">
        <v>46006</v>
      </c>
      <c r="J1140" t="s">
        <v>45</v>
      </c>
      <c r="K1140" t="s">
        <v>72</v>
      </c>
      <c r="L1140" t="s">
        <v>72</v>
      </c>
      <c r="M1140" s="1">
        <v>41346</v>
      </c>
      <c r="N1140" t="s">
        <v>47</v>
      </c>
      <c r="O1140" t="s">
        <v>48</v>
      </c>
      <c r="P1140" t="s">
        <v>49</v>
      </c>
      <c r="Q1140" t="s">
        <v>8504</v>
      </c>
      <c r="R1140" t="s">
        <v>8505</v>
      </c>
      <c r="S1140">
        <v>6549</v>
      </c>
      <c r="T1140" t="s">
        <v>156</v>
      </c>
      <c r="U1140" t="s">
        <v>4608</v>
      </c>
      <c r="V1140" t="s">
        <v>8506</v>
      </c>
      <c r="W1140" t="s">
        <v>159</v>
      </c>
      <c r="X1140" t="s">
        <v>156</v>
      </c>
      <c r="Y1140" t="s">
        <v>110</v>
      </c>
      <c r="Z1140">
        <v>2187</v>
      </c>
      <c r="AA1140">
        <v>38</v>
      </c>
      <c r="AB1140">
        <v>160</v>
      </c>
      <c r="AC1140" t="s">
        <v>646</v>
      </c>
      <c r="AD1140" t="s">
        <v>8507</v>
      </c>
      <c r="AE1140" t="s">
        <v>648</v>
      </c>
      <c r="AF1140" t="s">
        <v>4613</v>
      </c>
      <c r="AG1140" t="s">
        <v>4614</v>
      </c>
      <c r="AH1140" t="s">
        <v>4615</v>
      </c>
      <c r="AJ1140" s="2">
        <v>45672.034236111111</v>
      </c>
      <c r="AK1140" t="s">
        <v>646</v>
      </c>
      <c r="AL1140" t="s">
        <v>65</v>
      </c>
      <c r="AM1140" s="3">
        <v>1.875</v>
      </c>
      <c r="AN1140" t="s">
        <v>66</v>
      </c>
      <c r="AO1140" t="s">
        <v>67</v>
      </c>
    </row>
    <row r="1141" spans="1:41" x14ac:dyDescent="0.2">
      <c r="A1141">
        <v>307252</v>
      </c>
      <c r="B1141" t="s">
        <v>8508</v>
      </c>
      <c r="C1141" t="s">
        <v>309</v>
      </c>
      <c r="D1141" t="s">
        <v>8509</v>
      </c>
      <c r="E1141" t="s">
        <v>8510</v>
      </c>
      <c r="G1141" s="1">
        <v>37161</v>
      </c>
      <c r="H1141" s="1">
        <v>41989</v>
      </c>
      <c r="J1141" t="s">
        <v>72</v>
      </c>
      <c r="K1141" t="s">
        <v>326</v>
      </c>
      <c r="L1141" t="s">
        <v>72</v>
      </c>
      <c r="M1141" s="1">
        <v>41989</v>
      </c>
      <c r="N1141" t="s">
        <v>89</v>
      </c>
      <c r="O1141" t="s">
        <v>48</v>
      </c>
      <c r="P1141" t="s">
        <v>1752</v>
      </c>
      <c r="Q1141" t="s">
        <v>8511</v>
      </c>
      <c r="R1141" t="s">
        <v>8512</v>
      </c>
      <c r="S1141">
        <v>1150</v>
      </c>
      <c r="T1141" t="s">
        <v>92</v>
      </c>
      <c r="U1141" t="s">
        <v>313</v>
      </c>
      <c r="V1141" t="s">
        <v>8513</v>
      </c>
      <c r="W1141" t="s">
        <v>3116</v>
      </c>
      <c r="X1141" t="s">
        <v>92</v>
      </c>
      <c r="Y1141" t="s">
        <v>410</v>
      </c>
      <c r="Z1141">
        <v>1909</v>
      </c>
      <c r="AA1141">
        <v>34</v>
      </c>
      <c r="AB1141">
        <v>14</v>
      </c>
      <c r="AC1141" t="s">
        <v>8514</v>
      </c>
      <c r="AD1141" t="s">
        <v>8515</v>
      </c>
      <c r="AE1141" t="s">
        <v>8516</v>
      </c>
      <c r="AF1141" t="s">
        <v>8517</v>
      </c>
      <c r="AH1141" t="s">
        <v>8518</v>
      </c>
      <c r="AI1141" t="s">
        <v>8515</v>
      </c>
      <c r="AJ1141" s="2">
        <v>44142.640370370369</v>
      </c>
      <c r="AK1141" t="s">
        <v>132</v>
      </c>
      <c r="AL1141" t="s">
        <v>3105</v>
      </c>
      <c r="AM1141" s="3">
        <v>1</v>
      </c>
      <c r="AN1141" t="s">
        <v>66</v>
      </c>
      <c r="AO1141" t="s">
        <v>67</v>
      </c>
    </row>
    <row r="1142" spans="1:41" x14ac:dyDescent="0.2">
      <c r="A1142">
        <v>362622</v>
      </c>
      <c r="B1142" t="s">
        <v>8519</v>
      </c>
      <c r="C1142" t="s">
        <v>692</v>
      </c>
      <c r="D1142" t="s">
        <v>8520</v>
      </c>
      <c r="E1142">
        <v>32317700</v>
      </c>
      <c r="F1142">
        <v>481309</v>
      </c>
      <c r="G1142" s="1">
        <v>35601</v>
      </c>
      <c r="H1142" s="1">
        <v>45491</v>
      </c>
      <c r="I1142" s="1">
        <v>46204</v>
      </c>
      <c r="J1142" t="s">
        <v>45</v>
      </c>
      <c r="K1142" t="s">
        <v>45</v>
      </c>
      <c r="L1142" t="s">
        <v>72</v>
      </c>
      <c r="M1142" s="1">
        <v>44715</v>
      </c>
      <c r="N1142" t="s">
        <v>47</v>
      </c>
      <c r="O1142" t="s">
        <v>48</v>
      </c>
      <c r="P1142" t="s">
        <v>49</v>
      </c>
      <c r="Q1142" t="s">
        <v>8521</v>
      </c>
      <c r="R1142" t="s">
        <v>8522</v>
      </c>
      <c r="S1142">
        <v>8530</v>
      </c>
      <c r="T1142" t="s">
        <v>52</v>
      </c>
      <c r="U1142">
        <v>4</v>
      </c>
      <c r="V1142" t="s">
        <v>1423</v>
      </c>
      <c r="W1142" t="s">
        <v>54</v>
      </c>
      <c r="X1142" t="s">
        <v>76</v>
      </c>
      <c r="Y1142" t="s">
        <v>56</v>
      </c>
      <c r="Z1142">
        <v>1019</v>
      </c>
      <c r="AA1142">
        <v>54</v>
      </c>
      <c r="AB1142">
        <v>138</v>
      </c>
      <c r="AC1142" t="s">
        <v>3743</v>
      </c>
      <c r="AD1142" t="s">
        <v>1425</v>
      </c>
      <c r="AE1142" t="s">
        <v>1426</v>
      </c>
      <c r="AF1142" t="s">
        <v>3743</v>
      </c>
      <c r="AG1142" t="s">
        <v>1425</v>
      </c>
      <c r="AH1142" t="s">
        <v>1426</v>
      </c>
      <c r="AI1142" t="s">
        <v>8523</v>
      </c>
      <c r="AJ1142" s="2">
        <v>45492.036180555559</v>
      </c>
      <c r="AK1142" t="s">
        <v>132</v>
      </c>
      <c r="AL1142" t="s">
        <v>65</v>
      </c>
      <c r="AM1142" s="3">
        <v>1.0833333333333333</v>
      </c>
      <c r="AN1142" t="s">
        <v>66</v>
      </c>
      <c r="AO1142" t="s">
        <v>67</v>
      </c>
    </row>
    <row r="1143" spans="1:41" x14ac:dyDescent="0.2">
      <c r="A1143">
        <v>367694</v>
      </c>
      <c r="B1143" t="s">
        <v>8524</v>
      </c>
      <c r="C1143" t="s">
        <v>1000</v>
      </c>
      <c r="D1143" t="s">
        <v>8525</v>
      </c>
      <c r="E1143">
        <v>2601200</v>
      </c>
      <c r="F1143">
        <v>403301</v>
      </c>
      <c r="G1143" s="1">
        <v>37922</v>
      </c>
      <c r="H1143" s="1">
        <v>45630</v>
      </c>
      <c r="J1143" t="s">
        <v>45</v>
      </c>
      <c r="K1143" t="s">
        <v>45</v>
      </c>
      <c r="L1143" t="s">
        <v>72</v>
      </c>
      <c r="M1143" s="1">
        <v>45630</v>
      </c>
      <c r="N1143" t="s">
        <v>47</v>
      </c>
      <c r="O1143" t="s">
        <v>48</v>
      </c>
      <c r="P1143" t="s">
        <v>49</v>
      </c>
      <c r="Q1143" t="s">
        <v>8526</v>
      </c>
      <c r="R1143" t="s">
        <v>8527</v>
      </c>
      <c r="S1143">
        <v>1163</v>
      </c>
      <c r="T1143" t="s">
        <v>92</v>
      </c>
      <c r="U1143" t="s">
        <v>1005</v>
      </c>
      <c r="V1143" t="s">
        <v>590</v>
      </c>
      <c r="W1143" t="s">
        <v>1006</v>
      </c>
      <c r="X1143" t="s">
        <v>92</v>
      </c>
      <c r="Y1143" t="s">
        <v>770</v>
      </c>
      <c r="Z1143">
        <v>2409</v>
      </c>
      <c r="AA1143">
        <v>37</v>
      </c>
      <c r="AB1143">
        <v>144</v>
      </c>
      <c r="AC1143" t="s">
        <v>8528</v>
      </c>
      <c r="AD1143" t="s">
        <v>5089</v>
      </c>
      <c r="AE1143" t="s">
        <v>5090</v>
      </c>
      <c r="AI1143" t="s">
        <v>1010</v>
      </c>
      <c r="AJ1143" s="2">
        <v>45686.598321759258</v>
      </c>
      <c r="AK1143" t="s">
        <v>1011</v>
      </c>
      <c r="AL1143" t="s">
        <v>65</v>
      </c>
      <c r="AM1143" s="4">
        <v>0.22222222222222221</v>
      </c>
      <c r="AN1143" t="s">
        <v>66</v>
      </c>
      <c r="AO1143" t="s">
        <v>67</v>
      </c>
    </row>
    <row r="1144" spans="1:41" x14ac:dyDescent="0.2">
      <c r="A1144">
        <v>372064</v>
      </c>
      <c r="B1144" t="s">
        <v>8529</v>
      </c>
      <c r="C1144" t="s">
        <v>1013</v>
      </c>
      <c r="D1144" t="s">
        <v>8530</v>
      </c>
      <c r="E1144" t="s">
        <v>8531</v>
      </c>
      <c r="F1144">
        <v>320701</v>
      </c>
      <c r="G1144" s="1">
        <v>37591</v>
      </c>
      <c r="H1144" s="1">
        <v>45554</v>
      </c>
      <c r="J1144" t="s">
        <v>45</v>
      </c>
      <c r="K1144" t="s">
        <v>45</v>
      </c>
      <c r="L1144" t="s">
        <v>72</v>
      </c>
      <c r="M1144" s="1">
        <v>44089</v>
      </c>
      <c r="N1144" t="s">
        <v>47</v>
      </c>
      <c r="O1144" t="s">
        <v>48</v>
      </c>
      <c r="P1144" t="s">
        <v>49</v>
      </c>
      <c r="Q1144" t="s">
        <v>8532</v>
      </c>
      <c r="R1144" t="s">
        <v>8533</v>
      </c>
      <c r="S1144">
        <v>1582</v>
      </c>
      <c r="T1144" t="s">
        <v>156</v>
      </c>
      <c r="U1144" t="s">
        <v>1018</v>
      </c>
      <c r="V1144" t="s">
        <v>8534</v>
      </c>
      <c r="W1144" t="s">
        <v>159</v>
      </c>
      <c r="X1144" t="s">
        <v>156</v>
      </c>
      <c r="Y1144" t="s">
        <v>450</v>
      </c>
      <c r="Z1144">
        <v>2271</v>
      </c>
      <c r="AA1144">
        <v>41</v>
      </c>
      <c r="AB1144">
        <v>52</v>
      </c>
      <c r="AC1144" t="s">
        <v>1020</v>
      </c>
      <c r="AD1144" t="s">
        <v>8535</v>
      </c>
      <c r="AE1144" t="s">
        <v>1022</v>
      </c>
      <c r="AF1144" t="s">
        <v>8536</v>
      </c>
      <c r="AG1144" t="s">
        <v>5887</v>
      </c>
      <c r="AH1144" t="s">
        <v>8537</v>
      </c>
      <c r="AI1144" t="s">
        <v>5889</v>
      </c>
      <c r="AJ1144" s="2">
        <v>45828.621458333335</v>
      </c>
      <c r="AK1144" t="s">
        <v>1024</v>
      </c>
      <c r="AL1144" t="s">
        <v>65</v>
      </c>
      <c r="AM1144" s="3">
        <v>2.4375</v>
      </c>
      <c r="AN1144" t="s">
        <v>66</v>
      </c>
      <c r="AO1144" t="s">
        <v>67</v>
      </c>
    </row>
    <row r="1145" spans="1:41" x14ac:dyDescent="0.2">
      <c r="A1145">
        <v>368795</v>
      </c>
      <c r="B1145" t="s">
        <v>8538</v>
      </c>
      <c r="C1145" t="s">
        <v>309</v>
      </c>
      <c r="D1145" t="s">
        <v>8539</v>
      </c>
      <c r="E1145" t="s">
        <v>8540</v>
      </c>
      <c r="F1145">
        <v>492021</v>
      </c>
      <c r="G1145" s="1">
        <v>45713</v>
      </c>
      <c r="H1145" s="1">
        <v>45713</v>
      </c>
      <c r="I1145" s="1">
        <v>46054</v>
      </c>
      <c r="J1145" t="s">
        <v>326</v>
      </c>
      <c r="K1145" t="s">
        <v>45</v>
      </c>
      <c r="L1145" t="s">
        <v>46</v>
      </c>
      <c r="N1145" t="s">
        <v>47</v>
      </c>
      <c r="O1145" t="s">
        <v>48</v>
      </c>
      <c r="P1145" t="s">
        <v>1752</v>
      </c>
      <c r="Q1145" t="s">
        <v>8541</v>
      </c>
      <c r="R1145" t="s">
        <v>8542</v>
      </c>
      <c r="S1145">
        <v>30</v>
      </c>
      <c r="T1145" t="s">
        <v>156</v>
      </c>
      <c r="U1145" t="s">
        <v>4608</v>
      </c>
      <c r="V1145" t="s">
        <v>8543</v>
      </c>
      <c r="W1145" t="s">
        <v>159</v>
      </c>
      <c r="X1145" t="s">
        <v>156</v>
      </c>
      <c r="Y1145" t="s">
        <v>110</v>
      </c>
      <c r="Z1145">
        <v>3075</v>
      </c>
      <c r="AA1145">
        <v>29</v>
      </c>
      <c r="AB1145">
        <v>38</v>
      </c>
      <c r="AC1145" t="s">
        <v>646</v>
      </c>
      <c r="AD1145" t="s">
        <v>647</v>
      </c>
      <c r="AE1145" t="s">
        <v>648</v>
      </c>
      <c r="AI1145" t="s">
        <v>647</v>
      </c>
      <c r="AJ1145" s="2">
        <v>45721.985543981478</v>
      </c>
      <c r="AK1145" t="s">
        <v>100</v>
      </c>
      <c r="AL1145" t="s">
        <v>65</v>
      </c>
      <c r="AM1145" s="3">
        <v>1.7430555555555556</v>
      </c>
      <c r="AN1145" t="s">
        <v>66</v>
      </c>
      <c r="AO1145" t="s">
        <v>67</v>
      </c>
    </row>
    <row r="1146" spans="1:41" x14ac:dyDescent="0.2">
      <c r="A1146">
        <v>369832</v>
      </c>
      <c r="B1146" t="s">
        <v>8544</v>
      </c>
      <c r="C1146" t="s">
        <v>309</v>
      </c>
      <c r="D1146" t="s">
        <v>8509</v>
      </c>
      <c r="E1146" t="s">
        <v>8545</v>
      </c>
      <c r="G1146" s="1">
        <v>45754</v>
      </c>
      <c r="H1146" s="1">
        <v>45566</v>
      </c>
      <c r="J1146" t="s">
        <v>45</v>
      </c>
      <c r="K1146" t="s">
        <v>45</v>
      </c>
      <c r="L1146" t="s">
        <v>46</v>
      </c>
      <c r="N1146" t="s">
        <v>47</v>
      </c>
      <c r="O1146" t="s">
        <v>48</v>
      </c>
      <c r="P1146" t="s">
        <v>49</v>
      </c>
      <c r="Q1146" t="s">
        <v>8546</v>
      </c>
      <c r="R1146" t="s">
        <v>8547</v>
      </c>
      <c r="S1146">
        <v>607</v>
      </c>
      <c r="T1146" t="s">
        <v>92</v>
      </c>
      <c r="U1146" t="s">
        <v>313</v>
      </c>
      <c r="V1146" t="s">
        <v>314</v>
      </c>
      <c r="W1146" t="s">
        <v>315</v>
      </c>
      <c r="X1146" t="s">
        <v>92</v>
      </c>
      <c r="Y1146" t="s">
        <v>96</v>
      </c>
      <c r="Z1146">
        <v>12293</v>
      </c>
      <c r="AA1146">
        <v>6</v>
      </c>
      <c r="AB1146">
        <v>44</v>
      </c>
      <c r="AC1146" t="s">
        <v>316</v>
      </c>
      <c r="AD1146" t="s">
        <v>317</v>
      </c>
      <c r="AE1146" t="s">
        <v>318</v>
      </c>
      <c r="AF1146" t="s">
        <v>8548</v>
      </c>
      <c r="AG1146" t="s">
        <v>8549</v>
      </c>
      <c r="AH1146" t="s">
        <v>8550</v>
      </c>
      <c r="AJ1146" s="2">
        <v>45755.623414351852</v>
      </c>
      <c r="AK1146" t="s">
        <v>660</v>
      </c>
      <c r="AL1146" t="s">
        <v>65</v>
      </c>
      <c r="AM1146" s="3">
        <v>1.9895833333333333</v>
      </c>
      <c r="AN1146" t="s">
        <v>66</v>
      </c>
      <c r="AO1146" t="s">
        <v>67</v>
      </c>
    </row>
    <row r="1147" spans="1:41" x14ac:dyDescent="0.2">
      <c r="A1147">
        <v>368744</v>
      </c>
      <c r="B1147" t="s">
        <v>8551</v>
      </c>
      <c r="C1147" t="s">
        <v>2298</v>
      </c>
      <c r="D1147" t="s">
        <v>8552</v>
      </c>
      <c r="E1147" t="s">
        <v>8553</v>
      </c>
      <c r="F1147">
        <v>228002</v>
      </c>
      <c r="G1147" s="1">
        <v>37579</v>
      </c>
      <c r="H1147" s="1">
        <v>45706</v>
      </c>
      <c r="J1147" t="s">
        <v>45</v>
      </c>
      <c r="K1147" t="s">
        <v>45</v>
      </c>
      <c r="L1147" t="s">
        <v>72</v>
      </c>
      <c r="N1147" t="s">
        <v>47</v>
      </c>
      <c r="O1147" t="s">
        <v>48</v>
      </c>
      <c r="P1147" t="s">
        <v>49</v>
      </c>
      <c r="Q1147" t="s">
        <v>8554</v>
      </c>
      <c r="R1147" t="s">
        <v>8555</v>
      </c>
      <c r="S1147">
        <v>98</v>
      </c>
      <c r="T1147" t="s">
        <v>92</v>
      </c>
      <c r="U1147" t="s">
        <v>5509</v>
      </c>
      <c r="V1147" t="s">
        <v>5510</v>
      </c>
      <c r="W1147" t="s">
        <v>5511</v>
      </c>
      <c r="X1147" t="s">
        <v>52</v>
      </c>
      <c r="Y1147" t="s">
        <v>770</v>
      </c>
      <c r="Z1147">
        <v>2297</v>
      </c>
      <c r="AA1147">
        <v>35</v>
      </c>
      <c r="AB1147">
        <v>144</v>
      </c>
      <c r="AC1147" t="s">
        <v>5512</v>
      </c>
      <c r="AD1147" t="s">
        <v>5513</v>
      </c>
      <c r="AE1147" t="s">
        <v>5514</v>
      </c>
      <c r="AF1147" t="s">
        <v>5515</v>
      </c>
      <c r="AG1147" t="s">
        <v>5516</v>
      </c>
      <c r="AH1147" t="s">
        <v>5517</v>
      </c>
      <c r="AI1147" t="s">
        <v>5518</v>
      </c>
      <c r="AJ1147" s="2">
        <v>45824.58525462963</v>
      </c>
      <c r="AK1147" t="s">
        <v>5519</v>
      </c>
      <c r="AL1147" t="s">
        <v>65</v>
      </c>
      <c r="AM1147" s="4">
        <v>0.3888888888888889</v>
      </c>
      <c r="AN1147" t="s">
        <v>66</v>
      </c>
      <c r="AO1147" t="s">
        <v>67</v>
      </c>
    </row>
    <row r="1148" spans="1:41" x14ac:dyDescent="0.2">
      <c r="A1148">
        <v>364806</v>
      </c>
      <c r="B1148" t="s">
        <v>8556</v>
      </c>
      <c r="C1148" t="s">
        <v>345</v>
      </c>
      <c r="E1148">
        <v>32574066</v>
      </c>
      <c r="F1148">
        <v>51608</v>
      </c>
      <c r="G1148" s="1">
        <v>38587</v>
      </c>
      <c r="H1148" s="1">
        <v>45559</v>
      </c>
      <c r="I1148" s="1">
        <v>46174</v>
      </c>
      <c r="J1148" t="s">
        <v>45</v>
      </c>
      <c r="K1148" t="s">
        <v>45</v>
      </c>
      <c r="L1148" t="s">
        <v>72</v>
      </c>
      <c r="N1148" t="s">
        <v>47</v>
      </c>
      <c r="O1148" t="s">
        <v>48</v>
      </c>
      <c r="P1148" t="s">
        <v>49</v>
      </c>
      <c r="Q1148" t="s">
        <v>8557</v>
      </c>
      <c r="R1148" t="s">
        <v>8558</v>
      </c>
      <c r="S1148">
        <v>7834</v>
      </c>
      <c r="T1148" t="s">
        <v>52</v>
      </c>
      <c r="U1148">
        <v>2</v>
      </c>
      <c r="V1148" t="s">
        <v>6064</v>
      </c>
      <c r="W1148" t="s">
        <v>54</v>
      </c>
      <c r="X1148" t="s">
        <v>55</v>
      </c>
      <c r="Y1148" t="s">
        <v>56</v>
      </c>
      <c r="Z1148">
        <v>2242</v>
      </c>
      <c r="AA1148">
        <v>46</v>
      </c>
      <c r="AB1148">
        <v>158</v>
      </c>
      <c r="AC1148" t="s">
        <v>6163</v>
      </c>
      <c r="AD1148" t="s">
        <v>6066</v>
      </c>
      <c r="AF1148" t="s">
        <v>6068</v>
      </c>
      <c r="AG1148" t="s">
        <v>6069</v>
      </c>
      <c r="AH1148" t="s">
        <v>6067</v>
      </c>
      <c r="AI1148" t="s">
        <v>8559</v>
      </c>
      <c r="AJ1148" s="2">
        <v>45560.142974537041</v>
      </c>
      <c r="AK1148" t="s">
        <v>4471</v>
      </c>
      <c r="AL1148" t="s">
        <v>65</v>
      </c>
      <c r="AM1148" s="3">
        <v>2.2986111111111112</v>
      </c>
      <c r="AN1148" t="s">
        <v>66</v>
      </c>
      <c r="AO1148" t="s">
        <v>67</v>
      </c>
    </row>
    <row r="1149" spans="1:41" x14ac:dyDescent="0.2">
      <c r="A1149">
        <v>367792</v>
      </c>
      <c r="B1149" t="s">
        <v>8560</v>
      </c>
      <c r="C1149" t="s">
        <v>118</v>
      </c>
      <c r="D1149" t="s">
        <v>1410</v>
      </c>
      <c r="E1149" t="s">
        <v>8561</v>
      </c>
      <c r="F1149">
        <v>20291</v>
      </c>
      <c r="G1149" s="1">
        <v>37106</v>
      </c>
      <c r="H1149" s="1">
        <v>45687</v>
      </c>
      <c r="I1149" s="1">
        <v>46023</v>
      </c>
      <c r="J1149" t="s">
        <v>45</v>
      </c>
      <c r="K1149" t="s">
        <v>45</v>
      </c>
      <c r="L1149" t="s">
        <v>429</v>
      </c>
      <c r="M1149" s="1">
        <v>42307</v>
      </c>
      <c r="N1149" t="s">
        <v>47</v>
      </c>
      <c r="O1149" t="s">
        <v>48</v>
      </c>
      <c r="P1149" t="s">
        <v>49</v>
      </c>
      <c r="Q1149" t="s">
        <v>8562</v>
      </c>
      <c r="R1149" t="s">
        <v>8563</v>
      </c>
      <c r="S1149">
        <v>6793</v>
      </c>
      <c r="T1149" t="s">
        <v>52</v>
      </c>
      <c r="U1149">
        <v>3</v>
      </c>
      <c r="V1149" t="s">
        <v>5310</v>
      </c>
      <c r="W1149" t="s">
        <v>54</v>
      </c>
      <c r="X1149" t="s">
        <v>55</v>
      </c>
      <c r="Y1149" t="s">
        <v>56</v>
      </c>
      <c r="Z1149">
        <v>941</v>
      </c>
      <c r="AA1149">
        <v>46</v>
      </c>
      <c r="AB1149">
        <v>166</v>
      </c>
      <c r="AC1149" t="s">
        <v>5311</v>
      </c>
      <c r="AD1149" t="s">
        <v>5312</v>
      </c>
      <c r="AE1149" t="s">
        <v>5313</v>
      </c>
      <c r="AI1149" t="s">
        <v>1809</v>
      </c>
      <c r="AJ1149" s="2">
        <v>45691.69258101852</v>
      </c>
      <c r="AK1149" t="s">
        <v>64</v>
      </c>
      <c r="AL1149" t="s">
        <v>65</v>
      </c>
      <c r="AM1149" s="4">
        <v>8.3333333333333329E-2</v>
      </c>
      <c r="AN1149" t="s">
        <v>66</v>
      </c>
      <c r="AO1149" t="s">
        <v>67</v>
      </c>
    </row>
    <row r="1150" spans="1:41" x14ac:dyDescent="0.2">
      <c r="A1150">
        <v>363660</v>
      </c>
      <c r="B1150" t="s">
        <v>8564</v>
      </c>
      <c r="C1150" t="s">
        <v>345</v>
      </c>
      <c r="D1150" t="s">
        <v>950</v>
      </c>
      <c r="E1150" t="s">
        <v>8565</v>
      </c>
      <c r="F1150">
        <v>50402</v>
      </c>
      <c r="G1150" s="1">
        <v>38504</v>
      </c>
      <c r="H1150" s="1">
        <v>45518</v>
      </c>
      <c r="I1150" s="1">
        <v>45962</v>
      </c>
      <c r="J1150" t="s">
        <v>45</v>
      </c>
      <c r="K1150" t="s">
        <v>45</v>
      </c>
      <c r="L1150" t="s">
        <v>72</v>
      </c>
      <c r="M1150" s="1">
        <v>44638</v>
      </c>
      <c r="N1150" t="s">
        <v>47</v>
      </c>
      <c r="O1150" t="s">
        <v>48</v>
      </c>
      <c r="P1150" t="s">
        <v>49</v>
      </c>
      <c r="Q1150" t="s">
        <v>8566</v>
      </c>
      <c r="R1150" t="s">
        <v>8567</v>
      </c>
      <c r="S1150">
        <v>8500</v>
      </c>
      <c r="T1150" t="s">
        <v>52</v>
      </c>
      <c r="U1150">
        <v>2</v>
      </c>
      <c r="V1150" t="s">
        <v>945</v>
      </c>
      <c r="W1150" t="s">
        <v>54</v>
      </c>
      <c r="X1150" t="s">
        <v>55</v>
      </c>
      <c r="Y1150" t="s">
        <v>56</v>
      </c>
      <c r="Z1150">
        <v>1033</v>
      </c>
      <c r="AA1150">
        <v>57</v>
      </c>
      <c r="AB1150">
        <v>160</v>
      </c>
      <c r="AC1150" t="s">
        <v>946</v>
      </c>
      <c r="AD1150" t="s">
        <v>947</v>
      </c>
      <c r="AE1150" t="s">
        <v>948</v>
      </c>
      <c r="AI1150" t="s">
        <v>5572</v>
      </c>
      <c r="AJ1150" s="2">
        <v>45519.447256944448</v>
      </c>
      <c r="AK1150" t="s">
        <v>4471</v>
      </c>
      <c r="AL1150" t="s">
        <v>65</v>
      </c>
      <c r="AM1150" s="3">
        <v>2.3888888888888888</v>
      </c>
      <c r="AN1150" t="s">
        <v>66</v>
      </c>
      <c r="AO1150" t="s">
        <v>67</v>
      </c>
    </row>
    <row r="1151" spans="1:41" x14ac:dyDescent="0.2">
      <c r="A1151">
        <v>373019</v>
      </c>
      <c r="B1151" t="s">
        <v>8568</v>
      </c>
      <c r="C1151" t="s">
        <v>1531</v>
      </c>
      <c r="D1151" t="s">
        <v>6040</v>
      </c>
      <c r="E1151" t="s">
        <v>8569</v>
      </c>
      <c r="F1151">
        <v>125701</v>
      </c>
      <c r="G1151" s="1">
        <v>37446</v>
      </c>
      <c r="H1151" s="1">
        <v>45576</v>
      </c>
      <c r="I1151" s="1">
        <v>46266</v>
      </c>
      <c r="J1151" t="s">
        <v>45</v>
      </c>
      <c r="K1151" t="s">
        <v>45</v>
      </c>
      <c r="L1151" t="s">
        <v>46</v>
      </c>
      <c r="M1151" s="1">
        <v>42908</v>
      </c>
      <c r="N1151" t="s">
        <v>47</v>
      </c>
      <c r="O1151" t="s">
        <v>48</v>
      </c>
      <c r="P1151" t="s">
        <v>49</v>
      </c>
      <c r="Q1151" t="s">
        <v>8570</v>
      </c>
      <c r="R1151" t="s">
        <v>8571</v>
      </c>
      <c r="S1151">
        <v>750</v>
      </c>
      <c r="T1151" t="s">
        <v>52</v>
      </c>
      <c r="U1151">
        <v>9</v>
      </c>
      <c r="V1151" t="s">
        <v>8572</v>
      </c>
      <c r="W1151" t="s">
        <v>54</v>
      </c>
      <c r="X1151" t="s">
        <v>76</v>
      </c>
      <c r="Y1151" t="s">
        <v>56</v>
      </c>
      <c r="Z1151">
        <v>1173</v>
      </c>
      <c r="AA1151">
        <v>42</v>
      </c>
      <c r="AB1151">
        <v>152</v>
      </c>
      <c r="AC1151" t="s">
        <v>8573</v>
      </c>
      <c r="AD1151" t="s">
        <v>8574</v>
      </c>
      <c r="AE1151" t="s">
        <v>8575</v>
      </c>
      <c r="AF1151" t="s">
        <v>8576</v>
      </c>
      <c r="AG1151" t="s">
        <v>8577</v>
      </c>
      <c r="AH1151" t="s">
        <v>8578</v>
      </c>
      <c r="AI1151" t="s">
        <v>8579</v>
      </c>
      <c r="AJ1151" s="2">
        <v>45856.021886574075</v>
      </c>
      <c r="AK1151" t="s">
        <v>556</v>
      </c>
      <c r="AL1151" t="s">
        <v>65</v>
      </c>
      <c r="AM1151" s="4">
        <v>0.39583333333333331</v>
      </c>
      <c r="AN1151" t="s">
        <v>66</v>
      </c>
      <c r="AO1151" t="s">
        <v>67</v>
      </c>
    </row>
    <row r="1152" spans="1:41" x14ac:dyDescent="0.2">
      <c r="A1152">
        <v>364440</v>
      </c>
      <c r="B1152" t="s">
        <v>8580</v>
      </c>
      <c r="C1152" t="s">
        <v>323</v>
      </c>
      <c r="E1152" t="s">
        <v>8581</v>
      </c>
      <c r="G1152" s="1">
        <v>38101</v>
      </c>
      <c r="H1152" s="1">
        <v>45504</v>
      </c>
      <c r="I1152" s="1">
        <v>46037</v>
      </c>
      <c r="J1152" t="s">
        <v>72</v>
      </c>
      <c r="K1152" t="s">
        <v>72</v>
      </c>
      <c r="L1152" t="s">
        <v>72</v>
      </c>
      <c r="M1152" s="1">
        <v>45141</v>
      </c>
      <c r="N1152" t="s">
        <v>47</v>
      </c>
      <c r="O1152" t="s">
        <v>48</v>
      </c>
      <c r="P1152" t="s">
        <v>406</v>
      </c>
      <c r="Q1152" t="s">
        <v>8582</v>
      </c>
      <c r="R1152" t="s">
        <v>8583</v>
      </c>
      <c r="S1152">
        <v>4300</v>
      </c>
      <c r="T1152" t="s">
        <v>257</v>
      </c>
      <c r="U1152" t="s">
        <v>329</v>
      </c>
      <c r="V1152" t="s">
        <v>8584</v>
      </c>
      <c r="W1152" t="s">
        <v>260</v>
      </c>
      <c r="X1152" t="s">
        <v>257</v>
      </c>
      <c r="Y1152" t="s">
        <v>110</v>
      </c>
      <c r="Z1152">
        <v>2555</v>
      </c>
      <c r="AA1152">
        <v>55</v>
      </c>
      <c r="AB1152">
        <v>160</v>
      </c>
      <c r="AC1152" t="s">
        <v>4991</v>
      </c>
      <c r="AD1152" t="s">
        <v>4992</v>
      </c>
      <c r="AE1152" t="s">
        <v>4993</v>
      </c>
      <c r="AF1152" t="s">
        <v>4994</v>
      </c>
      <c r="AG1152" t="s">
        <v>4995</v>
      </c>
      <c r="AH1152" t="s">
        <v>5692</v>
      </c>
      <c r="AI1152" t="s">
        <v>4997</v>
      </c>
      <c r="AJ1152" s="2">
        <v>45546.819675925923</v>
      </c>
      <c r="AK1152" t="s">
        <v>5693</v>
      </c>
      <c r="AL1152" t="s">
        <v>1168</v>
      </c>
      <c r="AM1152" s="3">
        <v>1.8125</v>
      </c>
      <c r="AN1152" t="s">
        <v>66</v>
      </c>
      <c r="AO1152" t="s">
        <v>67</v>
      </c>
    </row>
    <row r="1153" spans="1:41" x14ac:dyDescent="0.2">
      <c r="A1153">
        <v>365044</v>
      </c>
      <c r="B1153" t="s">
        <v>8585</v>
      </c>
      <c r="C1153" t="s">
        <v>735</v>
      </c>
      <c r="D1153" t="s">
        <v>736</v>
      </c>
      <c r="E1153" t="s">
        <v>8586</v>
      </c>
      <c r="F1153">
        <v>245416</v>
      </c>
      <c r="G1153" s="1">
        <v>39706</v>
      </c>
      <c r="H1153" s="1">
        <v>45566</v>
      </c>
      <c r="I1153" s="1">
        <v>45915</v>
      </c>
      <c r="J1153" t="s">
        <v>45</v>
      </c>
      <c r="K1153" t="s">
        <v>45</v>
      </c>
      <c r="L1153" t="s">
        <v>72</v>
      </c>
      <c r="M1153" s="1">
        <v>41038</v>
      </c>
      <c r="N1153" t="s">
        <v>47</v>
      </c>
      <c r="O1153" t="s">
        <v>48</v>
      </c>
      <c r="P1153" t="s">
        <v>49</v>
      </c>
      <c r="Q1153" t="s">
        <v>8587</v>
      </c>
      <c r="R1153" t="s">
        <v>8588</v>
      </c>
      <c r="S1153">
        <v>8400</v>
      </c>
      <c r="T1153" t="s">
        <v>52</v>
      </c>
      <c r="U1153">
        <v>1</v>
      </c>
      <c r="V1153" t="s">
        <v>740</v>
      </c>
      <c r="W1153" t="s">
        <v>54</v>
      </c>
      <c r="X1153" t="s">
        <v>76</v>
      </c>
      <c r="Y1153" t="s">
        <v>56</v>
      </c>
      <c r="Z1153">
        <v>3009</v>
      </c>
      <c r="AA1153">
        <v>31</v>
      </c>
      <c r="AB1153">
        <v>66</v>
      </c>
      <c r="AC1153" t="s">
        <v>2072</v>
      </c>
      <c r="AD1153" t="s">
        <v>742</v>
      </c>
      <c r="AE1153" t="s">
        <v>743</v>
      </c>
      <c r="AI1153" t="s">
        <v>744</v>
      </c>
      <c r="AJ1153" s="2">
        <v>45567.141168981485</v>
      </c>
      <c r="AK1153" t="s">
        <v>704</v>
      </c>
      <c r="AL1153" t="s">
        <v>65</v>
      </c>
      <c r="AM1153" s="4">
        <v>0.21527777777777779</v>
      </c>
      <c r="AN1153" t="s">
        <v>66</v>
      </c>
      <c r="AO1153" t="s">
        <v>67</v>
      </c>
    </row>
    <row r="1154" spans="1:41" x14ac:dyDescent="0.2">
      <c r="A1154">
        <v>371302</v>
      </c>
      <c r="B1154" t="s">
        <v>8589</v>
      </c>
      <c r="C1154" t="s">
        <v>167</v>
      </c>
      <c r="D1154" t="s">
        <v>6896</v>
      </c>
      <c r="E1154" t="s">
        <v>8590</v>
      </c>
      <c r="F1154">
        <v>351502</v>
      </c>
      <c r="G1154" s="1">
        <v>33438</v>
      </c>
      <c r="H1154" s="1">
        <v>45800</v>
      </c>
      <c r="I1154" s="1">
        <v>46143</v>
      </c>
      <c r="J1154" t="s">
        <v>45</v>
      </c>
      <c r="K1154" t="s">
        <v>45</v>
      </c>
      <c r="L1154" t="s">
        <v>429</v>
      </c>
      <c r="M1154" s="1">
        <v>41177</v>
      </c>
      <c r="N1154" t="s">
        <v>47</v>
      </c>
      <c r="O1154" t="s">
        <v>48</v>
      </c>
      <c r="P1154" t="s">
        <v>49</v>
      </c>
      <c r="Q1154" t="s">
        <v>8591</v>
      </c>
      <c r="R1154" t="s">
        <v>8592</v>
      </c>
      <c r="S1154">
        <v>6071</v>
      </c>
      <c r="T1154" t="s">
        <v>52</v>
      </c>
      <c r="U1154">
        <v>6</v>
      </c>
      <c r="V1154" t="s">
        <v>2875</v>
      </c>
      <c r="W1154" t="s">
        <v>54</v>
      </c>
      <c r="X1154" t="s">
        <v>76</v>
      </c>
      <c r="Y1154" t="s">
        <v>56</v>
      </c>
      <c r="Z1154">
        <v>871</v>
      </c>
      <c r="AA1154">
        <v>56</v>
      </c>
      <c r="AB1154">
        <v>160</v>
      </c>
      <c r="AC1154" t="s">
        <v>2876</v>
      </c>
      <c r="AD1154" t="s">
        <v>2877</v>
      </c>
      <c r="AE1154" t="s">
        <v>2878</v>
      </c>
      <c r="AF1154" t="s">
        <v>2879</v>
      </c>
      <c r="AG1154" t="s">
        <v>2880</v>
      </c>
      <c r="AH1154" t="s">
        <v>2881</v>
      </c>
      <c r="AI1154" t="s">
        <v>2882</v>
      </c>
      <c r="AJ1154" s="2">
        <v>45804.703379629631</v>
      </c>
      <c r="AK1154" t="s">
        <v>568</v>
      </c>
      <c r="AL1154" t="s">
        <v>65</v>
      </c>
      <c r="AM1154" s="3">
        <v>2.3194444444444446</v>
      </c>
      <c r="AN1154" t="s">
        <v>66</v>
      </c>
      <c r="AO1154" t="s">
        <v>67</v>
      </c>
    </row>
    <row r="1155" spans="1:41" x14ac:dyDescent="0.2">
      <c r="A1155">
        <v>362405</v>
      </c>
      <c r="B1155" t="s">
        <v>8593</v>
      </c>
      <c r="C1155" t="s">
        <v>182</v>
      </c>
      <c r="D1155" t="s">
        <v>4517</v>
      </c>
      <c r="E1155" t="s">
        <v>8594</v>
      </c>
      <c r="F1155">
        <v>45337</v>
      </c>
      <c r="G1155" s="1">
        <v>43749</v>
      </c>
      <c r="H1155" s="1">
        <v>45414</v>
      </c>
      <c r="I1155" s="1">
        <v>46068</v>
      </c>
      <c r="J1155" t="s">
        <v>45</v>
      </c>
      <c r="K1155" t="s">
        <v>45</v>
      </c>
      <c r="L1155" t="s">
        <v>46</v>
      </c>
      <c r="N1155" t="s">
        <v>47</v>
      </c>
      <c r="O1155" t="s">
        <v>48</v>
      </c>
      <c r="P1155" t="s">
        <v>49</v>
      </c>
      <c r="Q1155" t="s">
        <v>8595</v>
      </c>
      <c r="R1155" t="s">
        <v>8596</v>
      </c>
      <c r="S1155">
        <v>1037</v>
      </c>
      <c r="T1155" t="s">
        <v>92</v>
      </c>
      <c r="U1155" t="s">
        <v>187</v>
      </c>
      <c r="V1155" t="s">
        <v>8597</v>
      </c>
      <c r="W1155" t="s">
        <v>8598</v>
      </c>
      <c r="X1155" t="s">
        <v>92</v>
      </c>
      <c r="Y1155" t="s">
        <v>110</v>
      </c>
      <c r="Z1155">
        <v>10247</v>
      </c>
      <c r="AA1155">
        <v>20</v>
      </c>
      <c r="AB1155">
        <v>76</v>
      </c>
      <c r="AC1155" t="s">
        <v>8599</v>
      </c>
      <c r="AD1155" t="s">
        <v>8600</v>
      </c>
      <c r="AE1155" t="s">
        <v>8601</v>
      </c>
      <c r="AF1155" t="s">
        <v>8602</v>
      </c>
      <c r="AG1155" t="s">
        <v>8603</v>
      </c>
      <c r="AH1155" t="s">
        <v>8604</v>
      </c>
      <c r="AI1155" t="s">
        <v>8603</v>
      </c>
      <c r="AJ1155" s="2">
        <v>45485.690555555557</v>
      </c>
      <c r="AK1155" t="s">
        <v>8605</v>
      </c>
      <c r="AL1155" t="s">
        <v>65</v>
      </c>
      <c r="AM1155" s="4">
        <v>0.38194444444444442</v>
      </c>
      <c r="AN1155" t="s">
        <v>66</v>
      </c>
      <c r="AO1155" t="s">
        <v>67</v>
      </c>
    </row>
    <row r="1156" spans="1:41" x14ac:dyDescent="0.2">
      <c r="A1156">
        <v>353386</v>
      </c>
      <c r="B1156" t="s">
        <v>8606</v>
      </c>
      <c r="C1156" t="s">
        <v>182</v>
      </c>
      <c r="D1156" t="s">
        <v>2901</v>
      </c>
      <c r="E1156" t="s">
        <v>8607</v>
      </c>
      <c r="F1156">
        <v>45018</v>
      </c>
      <c r="G1156" s="1">
        <v>39773</v>
      </c>
      <c r="H1156" s="1">
        <v>45201</v>
      </c>
      <c r="J1156" t="s">
        <v>45</v>
      </c>
      <c r="K1156" t="s">
        <v>45</v>
      </c>
      <c r="L1156" t="s">
        <v>72</v>
      </c>
      <c r="N1156" t="s">
        <v>47</v>
      </c>
      <c r="O1156" t="s">
        <v>48</v>
      </c>
      <c r="P1156" t="s">
        <v>49</v>
      </c>
      <c r="Q1156" t="s">
        <v>8608</v>
      </c>
      <c r="R1156" t="s">
        <v>8609</v>
      </c>
      <c r="S1156">
        <v>2685</v>
      </c>
      <c r="T1156" t="s">
        <v>92</v>
      </c>
      <c r="U1156" t="s">
        <v>187</v>
      </c>
      <c r="V1156" t="s">
        <v>8218</v>
      </c>
      <c r="W1156" t="s">
        <v>448</v>
      </c>
      <c r="X1156" t="s">
        <v>92</v>
      </c>
      <c r="Y1156" t="s">
        <v>770</v>
      </c>
      <c r="Z1156">
        <v>2898</v>
      </c>
      <c r="AA1156">
        <v>18</v>
      </c>
      <c r="AB1156">
        <v>166</v>
      </c>
      <c r="AC1156" t="s">
        <v>8219</v>
      </c>
      <c r="AD1156" t="s">
        <v>8220</v>
      </c>
      <c r="AE1156" t="s">
        <v>8221</v>
      </c>
      <c r="AJ1156" s="2">
        <v>45203.778680555559</v>
      </c>
      <c r="AK1156" t="s">
        <v>526</v>
      </c>
      <c r="AL1156" t="s">
        <v>65</v>
      </c>
      <c r="AM1156" s="4">
        <v>0.55555555555555558</v>
      </c>
      <c r="AN1156" t="s">
        <v>66</v>
      </c>
      <c r="AO1156" t="s">
        <v>67</v>
      </c>
    </row>
    <row r="1157" spans="1:41" x14ac:dyDescent="0.2">
      <c r="A1157">
        <v>371467</v>
      </c>
      <c r="B1157" t="s">
        <v>8610</v>
      </c>
      <c r="C1157" t="s">
        <v>167</v>
      </c>
      <c r="D1157" t="s">
        <v>1628</v>
      </c>
      <c r="E1157" t="s">
        <v>8611</v>
      </c>
      <c r="G1157" s="1">
        <v>44320</v>
      </c>
      <c r="H1157" s="1">
        <v>45806</v>
      </c>
      <c r="I1157" s="1">
        <v>46174</v>
      </c>
      <c r="J1157" t="s">
        <v>45</v>
      </c>
      <c r="K1157" t="s">
        <v>45</v>
      </c>
      <c r="L1157" t="s">
        <v>72</v>
      </c>
      <c r="N1157" t="s">
        <v>89</v>
      </c>
      <c r="O1157" t="s">
        <v>121</v>
      </c>
      <c r="P1157" t="s">
        <v>49</v>
      </c>
      <c r="Q1157" t="s">
        <v>8612</v>
      </c>
      <c r="R1157" t="s">
        <v>8613</v>
      </c>
      <c r="S1157">
        <v>4687</v>
      </c>
      <c r="T1157" t="s">
        <v>156</v>
      </c>
      <c r="U1157" t="s">
        <v>4608</v>
      </c>
      <c r="V1157" t="s">
        <v>8614</v>
      </c>
      <c r="W1157" t="s">
        <v>159</v>
      </c>
      <c r="X1157" t="s">
        <v>156</v>
      </c>
      <c r="Y1157" t="s">
        <v>110</v>
      </c>
      <c r="Z1157">
        <v>1886</v>
      </c>
      <c r="AA1157">
        <v>77</v>
      </c>
      <c r="AB1157">
        <v>166</v>
      </c>
      <c r="AC1157" t="s">
        <v>4610</v>
      </c>
      <c r="AD1157" t="s">
        <v>4611</v>
      </c>
      <c r="AE1157" t="s">
        <v>4612</v>
      </c>
      <c r="AF1157" t="s">
        <v>4613</v>
      </c>
      <c r="AG1157" t="s">
        <v>4614</v>
      </c>
      <c r="AH1157" t="s">
        <v>4615</v>
      </c>
      <c r="AJ1157" s="2">
        <v>45812.621898148151</v>
      </c>
      <c r="AK1157" t="s">
        <v>4610</v>
      </c>
      <c r="AL1157" t="s">
        <v>65</v>
      </c>
      <c r="AM1157" s="3">
        <v>1.4930555555555556</v>
      </c>
      <c r="AN1157" t="s">
        <v>66</v>
      </c>
      <c r="AO1157" t="s">
        <v>67</v>
      </c>
    </row>
    <row r="1158" spans="1:41" x14ac:dyDescent="0.2">
      <c r="A1158">
        <v>367189</v>
      </c>
      <c r="B1158" t="s">
        <v>8615</v>
      </c>
      <c r="C1158" t="s">
        <v>735</v>
      </c>
      <c r="D1158" t="s">
        <v>6379</v>
      </c>
      <c r="E1158" t="s">
        <v>8616</v>
      </c>
      <c r="F1158">
        <v>243004</v>
      </c>
      <c r="G1158" s="1">
        <v>40558</v>
      </c>
      <c r="H1158" s="1">
        <v>45566</v>
      </c>
      <c r="I1158" s="1">
        <v>45945</v>
      </c>
      <c r="J1158" t="s">
        <v>45</v>
      </c>
      <c r="K1158" t="s">
        <v>45</v>
      </c>
      <c r="L1158" t="s">
        <v>72</v>
      </c>
      <c r="M1158" s="1">
        <v>43980</v>
      </c>
      <c r="N1158" t="s">
        <v>47</v>
      </c>
      <c r="O1158" t="s">
        <v>48</v>
      </c>
      <c r="P1158" t="s">
        <v>49</v>
      </c>
      <c r="Q1158" t="s">
        <v>8617</v>
      </c>
      <c r="R1158" t="s">
        <v>8618</v>
      </c>
      <c r="S1158">
        <v>5386</v>
      </c>
      <c r="T1158" t="s">
        <v>92</v>
      </c>
      <c r="U1158" t="s">
        <v>3192</v>
      </c>
      <c r="V1158" t="s">
        <v>3193</v>
      </c>
      <c r="W1158" t="s">
        <v>3194</v>
      </c>
      <c r="X1158" t="s">
        <v>92</v>
      </c>
      <c r="Y1158" t="s">
        <v>110</v>
      </c>
      <c r="Z1158">
        <v>4246</v>
      </c>
      <c r="AA1158">
        <v>34</v>
      </c>
      <c r="AB1158">
        <v>210</v>
      </c>
      <c r="AC1158" t="s">
        <v>8619</v>
      </c>
      <c r="AD1158" t="s">
        <v>8620</v>
      </c>
      <c r="AE1158" t="s">
        <v>8621</v>
      </c>
      <c r="AF1158" t="s">
        <v>3198</v>
      </c>
      <c r="AG1158" t="s">
        <v>3199</v>
      </c>
      <c r="AH1158" t="s">
        <v>3200</v>
      </c>
      <c r="AJ1158" s="2">
        <v>45664.735196759262</v>
      </c>
      <c r="AK1158" t="s">
        <v>3198</v>
      </c>
      <c r="AL1158" t="s">
        <v>65</v>
      </c>
      <c r="AM1158" s="3">
        <v>1.1458333333333333</v>
      </c>
      <c r="AN1158" t="s">
        <v>66</v>
      </c>
      <c r="AO1158" t="s">
        <v>67</v>
      </c>
    </row>
    <row r="1159" spans="1:41" x14ac:dyDescent="0.2">
      <c r="A1159">
        <v>368440</v>
      </c>
      <c r="B1159" t="s">
        <v>8622</v>
      </c>
      <c r="C1159" t="s">
        <v>182</v>
      </c>
      <c r="D1159" t="s">
        <v>1026</v>
      </c>
      <c r="E1159" t="s">
        <v>8623</v>
      </c>
      <c r="F1159">
        <v>44319</v>
      </c>
      <c r="G1159" s="1">
        <v>35521</v>
      </c>
      <c r="H1159" s="1">
        <v>45707</v>
      </c>
      <c r="J1159" t="s">
        <v>45</v>
      </c>
      <c r="K1159" t="s">
        <v>72</v>
      </c>
      <c r="L1159" t="s">
        <v>72</v>
      </c>
      <c r="M1159" s="1">
        <v>37824</v>
      </c>
      <c r="N1159" t="s">
        <v>47</v>
      </c>
      <c r="O1159" t="s">
        <v>48</v>
      </c>
      <c r="P1159" t="s">
        <v>49</v>
      </c>
      <c r="Q1159" t="s">
        <v>8624</v>
      </c>
      <c r="R1159" t="s">
        <v>8625</v>
      </c>
      <c r="S1159">
        <v>1885</v>
      </c>
      <c r="T1159" t="s">
        <v>92</v>
      </c>
      <c r="U1159" t="s">
        <v>187</v>
      </c>
      <c r="V1159" t="s">
        <v>447</v>
      </c>
      <c r="W1159" t="s">
        <v>448</v>
      </c>
      <c r="X1159" t="s">
        <v>92</v>
      </c>
      <c r="Y1159" t="s">
        <v>450</v>
      </c>
      <c r="Z1159">
        <v>1226</v>
      </c>
      <c r="AA1159">
        <v>51</v>
      </c>
      <c r="AB1159">
        <v>66</v>
      </c>
      <c r="AC1159" t="s">
        <v>451</v>
      </c>
      <c r="AD1159" t="s">
        <v>452</v>
      </c>
      <c r="AE1159" t="s">
        <v>453</v>
      </c>
      <c r="AF1159" t="s">
        <v>454</v>
      </c>
      <c r="AG1159" t="s">
        <v>473</v>
      </c>
      <c r="AH1159" t="s">
        <v>474</v>
      </c>
      <c r="AJ1159" s="2">
        <v>45712.682812500003</v>
      </c>
      <c r="AK1159" t="s">
        <v>526</v>
      </c>
      <c r="AL1159" t="s">
        <v>65</v>
      </c>
      <c r="AM1159" s="4">
        <v>0.49305555555555558</v>
      </c>
      <c r="AN1159" t="s">
        <v>66</v>
      </c>
      <c r="AO1159" t="s">
        <v>67</v>
      </c>
    </row>
    <row r="1160" spans="1:41" x14ac:dyDescent="0.2">
      <c r="A1160">
        <v>367920</v>
      </c>
      <c r="B1160" t="s">
        <v>8626</v>
      </c>
      <c r="C1160" t="s">
        <v>788</v>
      </c>
      <c r="D1160" t="s">
        <v>1336</v>
      </c>
      <c r="E1160" t="s">
        <v>8627</v>
      </c>
      <c r="F1160">
        <v>85302</v>
      </c>
      <c r="G1160" s="1">
        <v>45002</v>
      </c>
      <c r="H1160" s="1">
        <v>45679</v>
      </c>
      <c r="J1160" t="s">
        <v>45</v>
      </c>
      <c r="K1160" t="s">
        <v>45</v>
      </c>
      <c r="L1160" t="s">
        <v>72</v>
      </c>
      <c r="N1160" t="s">
        <v>47</v>
      </c>
      <c r="O1160" t="s">
        <v>48</v>
      </c>
      <c r="P1160" t="s">
        <v>49</v>
      </c>
      <c r="Q1160" t="s">
        <v>8628</v>
      </c>
      <c r="R1160" t="s">
        <v>8629</v>
      </c>
      <c r="S1160">
        <v>115</v>
      </c>
      <c r="T1160" t="s">
        <v>156</v>
      </c>
      <c r="U1160" t="s">
        <v>157</v>
      </c>
      <c r="V1160" t="s">
        <v>8630</v>
      </c>
      <c r="W1160" t="s">
        <v>159</v>
      </c>
      <c r="X1160" t="s">
        <v>156</v>
      </c>
      <c r="Y1160" t="s">
        <v>450</v>
      </c>
      <c r="Z1160">
        <v>12136</v>
      </c>
      <c r="AA1160">
        <v>13</v>
      </c>
      <c r="AB1160">
        <v>39</v>
      </c>
      <c r="AC1160" t="s">
        <v>6395</v>
      </c>
      <c r="AD1160" t="s">
        <v>6396</v>
      </c>
      <c r="AE1160" t="s">
        <v>8631</v>
      </c>
      <c r="AJ1160" s="2">
        <v>45693.810543981483</v>
      </c>
      <c r="AK1160" t="s">
        <v>526</v>
      </c>
      <c r="AL1160" t="s">
        <v>65</v>
      </c>
      <c r="AM1160" s="3">
        <v>2.0729166666666665</v>
      </c>
      <c r="AN1160" t="s">
        <v>66</v>
      </c>
      <c r="AO1160" t="s">
        <v>101</v>
      </c>
    </row>
    <row r="1161" spans="1:41" x14ac:dyDescent="0.2">
      <c r="A1161">
        <v>369624</v>
      </c>
      <c r="B1161" t="s">
        <v>8632</v>
      </c>
      <c r="C1161" t="s">
        <v>118</v>
      </c>
      <c r="D1161" t="s">
        <v>2713</v>
      </c>
      <c r="E1161" t="s">
        <v>8633</v>
      </c>
      <c r="F1161">
        <v>20118</v>
      </c>
      <c r="G1161" s="1">
        <v>34667</v>
      </c>
      <c r="H1161" s="1">
        <v>45740</v>
      </c>
      <c r="I1161" s="1">
        <v>46096</v>
      </c>
      <c r="J1161" t="s">
        <v>45</v>
      </c>
      <c r="K1161" t="s">
        <v>45</v>
      </c>
      <c r="L1161" t="s">
        <v>429</v>
      </c>
      <c r="M1161" s="1">
        <v>44456</v>
      </c>
      <c r="N1161" t="s">
        <v>47</v>
      </c>
      <c r="O1161" t="s">
        <v>48</v>
      </c>
      <c r="P1161" t="s">
        <v>49</v>
      </c>
      <c r="Q1161" t="s">
        <v>8634</v>
      </c>
      <c r="R1161" t="s">
        <v>8635</v>
      </c>
      <c r="S1161">
        <v>475</v>
      </c>
      <c r="T1161" t="s">
        <v>365</v>
      </c>
      <c r="U1161" t="s">
        <v>815</v>
      </c>
      <c r="V1161" t="s">
        <v>8067</v>
      </c>
      <c r="W1161" t="s">
        <v>367</v>
      </c>
      <c r="X1161" t="s">
        <v>55</v>
      </c>
      <c r="Y1161" t="s">
        <v>434</v>
      </c>
      <c r="Z1161">
        <v>73</v>
      </c>
      <c r="AA1161">
        <v>63</v>
      </c>
      <c r="AB1161">
        <v>166</v>
      </c>
      <c r="AC1161" t="s">
        <v>8636</v>
      </c>
      <c r="AD1161" t="s">
        <v>8637</v>
      </c>
      <c r="AE1161" t="s">
        <v>8638</v>
      </c>
      <c r="AF1161" t="s">
        <v>8068</v>
      </c>
      <c r="AG1161" t="s">
        <v>8069</v>
      </c>
      <c r="AH1161" t="s">
        <v>8070</v>
      </c>
      <c r="AI1161" t="s">
        <v>179</v>
      </c>
      <c r="AJ1161" s="2">
        <v>45747.677893518521</v>
      </c>
      <c r="AK1161" t="s">
        <v>307</v>
      </c>
      <c r="AL1161" t="s">
        <v>65</v>
      </c>
      <c r="AM1161" s="3">
        <v>2.1944444444444446</v>
      </c>
      <c r="AN1161" t="s">
        <v>66</v>
      </c>
      <c r="AO1161" t="s">
        <v>67</v>
      </c>
    </row>
    <row r="1162" spans="1:41" x14ac:dyDescent="0.2">
      <c r="A1162">
        <v>370473</v>
      </c>
      <c r="B1162" t="s">
        <v>8639</v>
      </c>
      <c r="C1162" t="s">
        <v>182</v>
      </c>
      <c r="D1162" t="s">
        <v>8640</v>
      </c>
      <c r="E1162" t="s">
        <v>8641</v>
      </c>
      <c r="F1162">
        <v>42010</v>
      </c>
      <c r="G1162" s="1">
        <v>32509</v>
      </c>
      <c r="H1162" s="1">
        <v>45770</v>
      </c>
      <c r="J1162" t="s">
        <v>45</v>
      </c>
      <c r="K1162" t="s">
        <v>326</v>
      </c>
      <c r="L1162" t="s">
        <v>72</v>
      </c>
      <c r="N1162" t="s">
        <v>47</v>
      </c>
      <c r="O1162" t="s">
        <v>48</v>
      </c>
      <c r="P1162" t="s">
        <v>49</v>
      </c>
      <c r="Q1162" t="s">
        <v>8642</v>
      </c>
      <c r="R1162" t="s">
        <v>8643</v>
      </c>
      <c r="S1162">
        <v>2024</v>
      </c>
      <c r="T1162" t="s">
        <v>92</v>
      </c>
      <c r="U1162" t="s">
        <v>187</v>
      </c>
      <c r="V1162" t="s">
        <v>447</v>
      </c>
      <c r="W1162" t="s">
        <v>448</v>
      </c>
      <c r="X1162" t="s">
        <v>92</v>
      </c>
      <c r="Y1162" t="s">
        <v>450</v>
      </c>
      <c r="Z1162">
        <v>1239</v>
      </c>
      <c r="AA1162">
        <v>48</v>
      </c>
      <c r="AB1162">
        <v>144</v>
      </c>
      <c r="AC1162" t="s">
        <v>451</v>
      </c>
      <c r="AD1162" t="s">
        <v>4047</v>
      </c>
      <c r="AE1162" t="s">
        <v>453</v>
      </c>
      <c r="AF1162" t="s">
        <v>454</v>
      </c>
      <c r="AG1162" t="s">
        <v>473</v>
      </c>
      <c r="AH1162" t="s">
        <v>474</v>
      </c>
      <c r="AJ1162" s="2">
        <v>45776.643206018518</v>
      </c>
      <c r="AK1162" t="s">
        <v>456</v>
      </c>
      <c r="AL1162" t="s">
        <v>475</v>
      </c>
      <c r="AM1162" s="3">
        <v>2.3541666666666665</v>
      </c>
      <c r="AN1162" t="s">
        <v>66</v>
      </c>
      <c r="AO1162" t="s">
        <v>67</v>
      </c>
    </row>
    <row r="1163" spans="1:41" x14ac:dyDescent="0.2">
      <c r="A1163">
        <v>372319</v>
      </c>
      <c r="B1163" t="s">
        <v>8644</v>
      </c>
      <c r="C1163" t="s">
        <v>323</v>
      </c>
      <c r="D1163" t="s">
        <v>3273</v>
      </c>
      <c r="E1163">
        <v>32437758</v>
      </c>
      <c r="F1163">
        <v>500214</v>
      </c>
      <c r="G1163" s="1">
        <v>36700</v>
      </c>
      <c r="H1163" s="1">
        <v>45796</v>
      </c>
      <c r="I1163" s="1">
        <v>46037</v>
      </c>
      <c r="J1163" t="s">
        <v>45</v>
      </c>
      <c r="K1163" t="s">
        <v>45</v>
      </c>
      <c r="L1163" t="s">
        <v>72</v>
      </c>
      <c r="M1163" s="1">
        <v>45420</v>
      </c>
      <c r="N1163" t="s">
        <v>47</v>
      </c>
      <c r="O1163" t="s">
        <v>48</v>
      </c>
      <c r="P1163" t="s">
        <v>49</v>
      </c>
      <c r="Q1163" t="s">
        <v>8645</v>
      </c>
      <c r="R1163" t="s">
        <v>8646</v>
      </c>
      <c r="S1163">
        <v>405</v>
      </c>
      <c r="T1163" t="s">
        <v>365</v>
      </c>
      <c r="U1163" t="s">
        <v>366</v>
      </c>
      <c r="V1163" t="s">
        <v>330</v>
      </c>
      <c r="W1163" t="s">
        <v>367</v>
      </c>
      <c r="X1163" t="s">
        <v>76</v>
      </c>
      <c r="Y1163" t="s">
        <v>110</v>
      </c>
      <c r="Z1163">
        <v>31</v>
      </c>
      <c r="AA1163">
        <v>43</v>
      </c>
      <c r="AB1163">
        <v>158</v>
      </c>
      <c r="AC1163" t="s">
        <v>368</v>
      </c>
      <c r="AD1163" t="s">
        <v>369</v>
      </c>
      <c r="AE1163" t="s">
        <v>370</v>
      </c>
      <c r="AF1163" t="s">
        <v>384</v>
      </c>
      <c r="AG1163" t="s">
        <v>385</v>
      </c>
      <c r="AH1163" t="s">
        <v>386</v>
      </c>
      <c r="AJ1163" s="2">
        <v>45838.500462962962</v>
      </c>
      <c r="AK1163" t="s">
        <v>132</v>
      </c>
      <c r="AL1163" t="s">
        <v>65</v>
      </c>
      <c r="AM1163" s="4">
        <v>0.82638888888888884</v>
      </c>
      <c r="AN1163" t="s">
        <v>66</v>
      </c>
      <c r="AO1163" t="s">
        <v>67</v>
      </c>
    </row>
    <row r="1164" spans="1:41" x14ac:dyDescent="0.2">
      <c r="A1164">
        <v>368861</v>
      </c>
      <c r="B1164" t="s">
        <v>8647</v>
      </c>
      <c r="C1164" t="s">
        <v>182</v>
      </c>
      <c r="D1164" t="s">
        <v>1467</v>
      </c>
      <c r="E1164" t="s">
        <v>8648</v>
      </c>
      <c r="F1164">
        <v>40503</v>
      </c>
      <c r="G1164" s="1">
        <v>33319</v>
      </c>
      <c r="H1164" s="1">
        <v>45699</v>
      </c>
      <c r="I1164" s="1">
        <v>46113</v>
      </c>
      <c r="J1164" t="s">
        <v>45</v>
      </c>
      <c r="K1164" t="s">
        <v>45</v>
      </c>
      <c r="L1164" t="s">
        <v>429</v>
      </c>
      <c r="M1164" s="1">
        <v>42522</v>
      </c>
      <c r="N1164" t="s">
        <v>47</v>
      </c>
      <c r="O1164" t="s">
        <v>48</v>
      </c>
      <c r="P1164" t="s">
        <v>49</v>
      </c>
      <c r="Q1164" t="s">
        <v>8649</v>
      </c>
      <c r="R1164" t="s">
        <v>8650</v>
      </c>
      <c r="S1164">
        <v>2325</v>
      </c>
      <c r="T1164" t="s">
        <v>52</v>
      </c>
      <c r="U1164">
        <v>5</v>
      </c>
      <c r="V1164" t="s">
        <v>1068</v>
      </c>
      <c r="W1164" t="s">
        <v>54</v>
      </c>
      <c r="X1164" t="s">
        <v>493</v>
      </c>
      <c r="Y1164" t="s">
        <v>434</v>
      </c>
      <c r="Z1164">
        <v>953</v>
      </c>
      <c r="AA1164">
        <v>64</v>
      </c>
      <c r="AB1164">
        <v>34</v>
      </c>
      <c r="AC1164" t="s">
        <v>1069</v>
      </c>
      <c r="AD1164" t="s">
        <v>1070</v>
      </c>
      <c r="AE1164" t="s">
        <v>1071</v>
      </c>
      <c r="AF1164" t="s">
        <v>1072</v>
      </c>
      <c r="AG1164" t="s">
        <v>1073</v>
      </c>
      <c r="AH1164" t="s">
        <v>1071</v>
      </c>
      <c r="AI1164" t="s">
        <v>8651</v>
      </c>
      <c r="AJ1164" s="2">
        <v>45722.878912037035</v>
      </c>
      <c r="AK1164" t="s">
        <v>501</v>
      </c>
      <c r="AL1164" t="s">
        <v>65</v>
      </c>
      <c r="AM1164" s="3">
        <v>1.0208333333333333</v>
      </c>
      <c r="AN1164" t="s">
        <v>66</v>
      </c>
      <c r="AO1164" t="s">
        <v>67</v>
      </c>
    </row>
    <row r="1165" spans="1:41" x14ac:dyDescent="0.2">
      <c r="A1165">
        <v>369805</v>
      </c>
      <c r="B1165" t="s">
        <v>8652</v>
      </c>
      <c r="C1165" t="s">
        <v>167</v>
      </c>
      <c r="D1165" t="s">
        <v>1474</v>
      </c>
      <c r="E1165" t="s">
        <v>8653</v>
      </c>
      <c r="F1165">
        <v>352107</v>
      </c>
      <c r="G1165" s="1">
        <v>40715</v>
      </c>
      <c r="H1165" s="1">
        <v>45748</v>
      </c>
      <c r="I1165" s="1">
        <v>46143</v>
      </c>
      <c r="J1165" t="s">
        <v>45</v>
      </c>
      <c r="K1165" t="s">
        <v>326</v>
      </c>
      <c r="L1165" t="s">
        <v>429</v>
      </c>
      <c r="M1165" s="1">
        <v>42432</v>
      </c>
      <c r="N1165" t="s">
        <v>47</v>
      </c>
      <c r="O1165" t="s">
        <v>48</v>
      </c>
      <c r="P1165" t="s">
        <v>49</v>
      </c>
      <c r="Q1165" t="s">
        <v>8654</v>
      </c>
      <c r="R1165" t="s">
        <v>8655</v>
      </c>
      <c r="S1165">
        <v>3168</v>
      </c>
      <c r="T1165" t="s">
        <v>52</v>
      </c>
      <c r="U1165">
        <v>6</v>
      </c>
      <c r="V1165" t="s">
        <v>1477</v>
      </c>
      <c r="W1165" t="s">
        <v>54</v>
      </c>
      <c r="X1165" t="s">
        <v>76</v>
      </c>
      <c r="Y1165" t="s">
        <v>56</v>
      </c>
      <c r="Z1165">
        <v>799</v>
      </c>
      <c r="AA1165">
        <v>59</v>
      </c>
      <c r="AB1165">
        <v>28</v>
      </c>
      <c r="AC1165" t="s">
        <v>1478</v>
      </c>
      <c r="AD1165" t="s">
        <v>1479</v>
      </c>
      <c r="AE1165" t="s">
        <v>1480</v>
      </c>
      <c r="AF1165" t="s">
        <v>1478</v>
      </c>
      <c r="AG1165" t="s">
        <v>1479</v>
      </c>
      <c r="AH1165" t="s">
        <v>1480</v>
      </c>
      <c r="AI1165" t="s">
        <v>1481</v>
      </c>
      <c r="AJ1165" s="2">
        <v>45754.653287037036</v>
      </c>
      <c r="AK1165" t="s">
        <v>1999</v>
      </c>
      <c r="AL1165" t="s">
        <v>65</v>
      </c>
      <c r="AM1165" s="4">
        <v>8.3333333333333329E-2</v>
      </c>
      <c r="AN1165" t="s">
        <v>66</v>
      </c>
      <c r="AO1165" t="s">
        <v>67</v>
      </c>
    </row>
    <row r="1166" spans="1:41" x14ac:dyDescent="0.2">
      <c r="A1166">
        <v>361236</v>
      </c>
      <c r="B1166" t="s">
        <v>8656</v>
      </c>
      <c r="C1166" t="s">
        <v>763</v>
      </c>
      <c r="D1166" t="s">
        <v>8657</v>
      </c>
      <c r="E1166">
        <v>53709618</v>
      </c>
      <c r="F1166">
        <v>470804</v>
      </c>
      <c r="G1166" s="1">
        <v>35370</v>
      </c>
      <c r="H1166" s="1">
        <v>45443</v>
      </c>
      <c r="J1166" t="s">
        <v>45</v>
      </c>
      <c r="K1166" t="s">
        <v>45</v>
      </c>
      <c r="L1166" t="s">
        <v>72</v>
      </c>
      <c r="M1166" s="1">
        <v>41451</v>
      </c>
      <c r="N1166" t="s">
        <v>47</v>
      </c>
      <c r="O1166" t="s">
        <v>48</v>
      </c>
      <c r="P1166" t="s">
        <v>49</v>
      </c>
      <c r="Q1166" t="s">
        <v>8658</v>
      </c>
      <c r="R1166" t="s">
        <v>8659</v>
      </c>
      <c r="S1166">
        <v>1079</v>
      </c>
      <c r="T1166" t="s">
        <v>92</v>
      </c>
      <c r="U1166" t="s">
        <v>767</v>
      </c>
      <c r="V1166" t="s">
        <v>768</v>
      </c>
      <c r="W1166" t="s">
        <v>769</v>
      </c>
      <c r="X1166" t="s">
        <v>92</v>
      </c>
      <c r="Y1166" t="s">
        <v>770</v>
      </c>
      <c r="Z1166">
        <v>2626</v>
      </c>
      <c r="AA1166">
        <v>38</v>
      </c>
      <c r="AB1166">
        <v>146</v>
      </c>
      <c r="AC1166" t="s">
        <v>1717</v>
      </c>
      <c r="AD1166" t="s">
        <v>1718</v>
      </c>
      <c r="AE1166" t="s">
        <v>1719</v>
      </c>
      <c r="AF1166" t="s">
        <v>774</v>
      </c>
      <c r="AG1166" t="s">
        <v>775</v>
      </c>
      <c r="AH1166" t="s">
        <v>776</v>
      </c>
      <c r="AI1166" t="s">
        <v>1720</v>
      </c>
      <c r="AJ1166" s="2">
        <v>45449.819872685184</v>
      </c>
      <c r="AK1166" t="s">
        <v>1721</v>
      </c>
      <c r="AL1166" t="s">
        <v>65</v>
      </c>
      <c r="AM1166" s="4">
        <v>0.14583333333333334</v>
      </c>
      <c r="AN1166" t="s">
        <v>66</v>
      </c>
      <c r="AO1166" t="s">
        <v>67</v>
      </c>
    </row>
    <row r="1167" spans="1:41" x14ac:dyDescent="0.2">
      <c r="A1167">
        <v>364678</v>
      </c>
      <c r="B1167" t="s">
        <v>8660</v>
      </c>
      <c r="C1167" t="s">
        <v>118</v>
      </c>
      <c r="D1167" t="s">
        <v>4293</v>
      </c>
      <c r="E1167" t="s">
        <v>8661</v>
      </c>
      <c r="F1167">
        <v>21409</v>
      </c>
      <c r="G1167" s="1">
        <v>34723</v>
      </c>
      <c r="H1167" s="1">
        <v>45554</v>
      </c>
      <c r="I1167" s="1">
        <v>45945</v>
      </c>
      <c r="J1167" t="s">
        <v>45</v>
      </c>
      <c r="K1167" t="s">
        <v>45</v>
      </c>
      <c r="L1167" t="s">
        <v>72</v>
      </c>
      <c r="M1167" s="1">
        <v>45063</v>
      </c>
      <c r="N1167" t="s">
        <v>47</v>
      </c>
      <c r="O1167" t="s">
        <v>48</v>
      </c>
      <c r="P1167" t="s">
        <v>49</v>
      </c>
      <c r="Q1167" t="s">
        <v>8662</v>
      </c>
      <c r="R1167" t="s">
        <v>8663</v>
      </c>
      <c r="S1167">
        <v>5400</v>
      </c>
      <c r="T1167" t="s">
        <v>257</v>
      </c>
      <c r="U1167" t="s">
        <v>283</v>
      </c>
      <c r="V1167" t="s">
        <v>8664</v>
      </c>
      <c r="W1167" t="s">
        <v>260</v>
      </c>
      <c r="X1167" t="s">
        <v>257</v>
      </c>
      <c r="Y1167" t="s">
        <v>110</v>
      </c>
      <c r="Z1167">
        <v>925</v>
      </c>
      <c r="AA1167">
        <v>62</v>
      </c>
      <c r="AB1167">
        <v>158</v>
      </c>
      <c r="AC1167" t="s">
        <v>4438</v>
      </c>
      <c r="AD1167" t="s">
        <v>4299</v>
      </c>
      <c r="AE1167" t="s">
        <v>4300</v>
      </c>
      <c r="AF1167" t="s">
        <v>1808</v>
      </c>
      <c r="AG1167" t="s">
        <v>1809</v>
      </c>
      <c r="AH1167" t="s">
        <v>1810</v>
      </c>
      <c r="AI1167" t="s">
        <v>1809</v>
      </c>
      <c r="AJ1167" s="2">
        <v>45555.025625000002</v>
      </c>
      <c r="AK1167" t="s">
        <v>4438</v>
      </c>
      <c r="AL1167" t="s">
        <v>65</v>
      </c>
      <c r="AM1167" s="3">
        <v>1.5416666666666667</v>
      </c>
      <c r="AN1167" t="s">
        <v>66</v>
      </c>
      <c r="AO1167" t="s">
        <v>67</v>
      </c>
    </row>
    <row r="1168" spans="1:41" x14ac:dyDescent="0.2">
      <c r="A1168">
        <v>364613</v>
      </c>
      <c r="B1168" t="s">
        <v>8660</v>
      </c>
      <c r="C1168" t="s">
        <v>831</v>
      </c>
      <c r="D1168" t="s">
        <v>8665</v>
      </c>
      <c r="E1168" t="s">
        <v>8666</v>
      </c>
      <c r="F1168">
        <v>440901</v>
      </c>
      <c r="G1168" s="1">
        <v>39030</v>
      </c>
      <c r="H1168" s="1">
        <v>45525</v>
      </c>
      <c r="I1168" s="1">
        <v>46235</v>
      </c>
      <c r="J1168" t="s">
        <v>45</v>
      </c>
      <c r="K1168" t="s">
        <v>45</v>
      </c>
      <c r="L1168" t="s">
        <v>72</v>
      </c>
      <c r="M1168" s="1">
        <v>42411</v>
      </c>
      <c r="N1168" t="s">
        <v>47</v>
      </c>
      <c r="O1168" t="s">
        <v>48</v>
      </c>
      <c r="P1168" t="s">
        <v>49</v>
      </c>
      <c r="Q1168" t="s">
        <v>8667</v>
      </c>
      <c r="R1168" t="s">
        <v>8668</v>
      </c>
      <c r="S1168">
        <v>1200</v>
      </c>
      <c r="T1168" t="s">
        <v>257</v>
      </c>
      <c r="U1168" t="s">
        <v>836</v>
      </c>
      <c r="V1168" t="s">
        <v>837</v>
      </c>
      <c r="W1168" t="s">
        <v>260</v>
      </c>
      <c r="X1168" t="s">
        <v>257</v>
      </c>
      <c r="Y1168" t="s">
        <v>110</v>
      </c>
      <c r="Z1168">
        <v>1656</v>
      </c>
      <c r="AA1168">
        <v>42</v>
      </c>
      <c r="AB1168">
        <v>45</v>
      </c>
      <c r="AC1168" t="s">
        <v>838</v>
      </c>
      <c r="AD1168" t="s">
        <v>839</v>
      </c>
      <c r="AE1168" t="s">
        <v>840</v>
      </c>
      <c r="AF1168" t="s">
        <v>841</v>
      </c>
      <c r="AG1168" t="s">
        <v>842</v>
      </c>
      <c r="AH1168" t="s">
        <v>843</v>
      </c>
      <c r="AI1168" t="s">
        <v>844</v>
      </c>
      <c r="AJ1168" s="2">
        <v>45553.7421875</v>
      </c>
      <c r="AK1168" t="s">
        <v>838</v>
      </c>
      <c r="AL1168" t="s">
        <v>65</v>
      </c>
      <c r="AM1168" s="3">
        <v>1.9236111111111112</v>
      </c>
      <c r="AN1168" t="s">
        <v>66</v>
      </c>
      <c r="AO1168" t="s">
        <v>101</v>
      </c>
    </row>
    <row r="1169" spans="1:41" x14ac:dyDescent="0.2">
      <c r="A1169">
        <v>370219</v>
      </c>
      <c r="B1169" t="s">
        <v>8669</v>
      </c>
      <c r="C1169" t="s">
        <v>182</v>
      </c>
      <c r="D1169" t="s">
        <v>811</v>
      </c>
      <c r="E1169" t="s">
        <v>8670</v>
      </c>
      <c r="F1169">
        <v>45133</v>
      </c>
      <c r="G1169" s="1">
        <v>40500</v>
      </c>
      <c r="H1169" s="1">
        <v>45763</v>
      </c>
      <c r="I1169" s="1">
        <v>46082</v>
      </c>
      <c r="J1169" t="s">
        <v>45</v>
      </c>
      <c r="K1169" t="s">
        <v>45</v>
      </c>
      <c r="L1169" t="s">
        <v>46</v>
      </c>
      <c r="M1169" s="1">
        <v>45001</v>
      </c>
      <c r="N1169" t="s">
        <v>47</v>
      </c>
      <c r="O1169" t="s">
        <v>48</v>
      </c>
      <c r="P1169" t="s">
        <v>49</v>
      </c>
      <c r="Q1169" t="s">
        <v>8671</v>
      </c>
      <c r="R1169" t="s">
        <v>8672</v>
      </c>
      <c r="S1169">
        <v>6455</v>
      </c>
      <c r="T1169" t="s">
        <v>52</v>
      </c>
      <c r="U1169">
        <v>5</v>
      </c>
      <c r="V1169" t="s">
        <v>1665</v>
      </c>
      <c r="W1169" t="s">
        <v>54</v>
      </c>
      <c r="X1169" t="s">
        <v>493</v>
      </c>
      <c r="Y1169" t="s">
        <v>434</v>
      </c>
      <c r="Z1169">
        <v>2973</v>
      </c>
      <c r="AA1169">
        <v>48</v>
      </c>
      <c r="AB1169">
        <v>28</v>
      </c>
      <c r="AC1169" t="s">
        <v>1666</v>
      </c>
      <c r="AD1169" t="s">
        <v>1667</v>
      </c>
      <c r="AE1169" t="s">
        <v>1668</v>
      </c>
      <c r="AI1169" t="s">
        <v>8673</v>
      </c>
      <c r="AJ1169" s="2">
        <v>45765.747523148151</v>
      </c>
      <c r="AK1169" t="s">
        <v>307</v>
      </c>
      <c r="AL1169" t="s">
        <v>65</v>
      </c>
      <c r="AM1169" s="4">
        <v>0.63194444444444442</v>
      </c>
      <c r="AN1169" t="s">
        <v>66</v>
      </c>
      <c r="AO1169" t="s">
        <v>67</v>
      </c>
    </row>
    <row r="1170" spans="1:41" x14ac:dyDescent="0.2">
      <c r="A1170">
        <v>347637</v>
      </c>
      <c r="B1170" t="s">
        <v>8674</v>
      </c>
      <c r="C1170" t="s">
        <v>735</v>
      </c>
      <c r="E1170" t="s">
        <v>8675</v>
      </c>
      <c r="G1170" s="1">
        <v>38521</v>
      </c>
      <c r="H1170" s="1">
        <v>38521</v>
      </c>
      <c r="J1170" t="s">
        <v>72</v>
      </c>
      <c r="K1170" t="s">
        <v>326</v>
      </c>
      <c r="L1170" t="s">
        <v>72</v>
      </c>
      <c r="N1170" t="s">
        <v>89</v>
      </c>
      <c r="O1170" t="s">
        <v>48</v>
      </c>
      <c r="P1170" t="s">
        <v>1752</v>
      </c>
      <c r="Q1170" t="s">
        <v>8676</v>
      </c>
      <c r="R1170" t="s">
        <v>8677</v>
      </c>
      <c r="S1170">
        <v>4439</v>
      </c>
      <c r="T1170" t="s">
        <v>3098</v>
      </c>
      <c r="U1170" t="s">
        <v>7801</v>
      </c>
      <c r="V1170" t="s">
        <v>7801</v>
      </c>
      <c r="W1170" t="s">
        <v>3099</v>
      </c>
      <c r="X1170" t="s">
        <v>3098</v>
      </c>
      <c r="Y1170" t="s">
        <v>410</v>
      </c>
      <c r="Z1170">
        <v>2641</v>
      </c>
      <c r="AA1170">
        <v>9</v>
      </c>
      <c r="AB1170">
        <v>172</v>
      </c>
      <c r="AC1170" t="s">
        <v>8678</v>
      </c>
      <c r="AD1170" t="s">
        <v>8679</v>
      </c>
      <c r="AE1170" t="s">
        <v>8680</v>
      </c>
      <c r="AF1170" t="s">
        <v>8681</v>
      </c>
      <c r="AH1170" t="s">
        <v>8682</v>
      </c>
      <c r="AJ1170" s="2">
        <v>45029.660416666666</v>
      </c>
      <c r="AK1170" t="s">
        <v>100</v>
      </c>
      <c r="AL1170" t="s">
        <v>3105</v>
      </c>
      <c r="AM1170" s="4">
        <v>0.20833333333333334</v>
      </c>
      <c r="AN1170" t="s">
        <v>66</v>
      </c>
      <c r="AO1170" t="s">
        <v>67</v>
      </c>
    </row>
    <row r="1171" spans="1:41" x14ac:dyDescent="0.2">
      <c r="A1171">
        <v>371568</v>
      </c>
      <c r="B1171" t="s">
        <v>8683</v>
      </c>
      <c r="C1171" t="s">
        <v>662</v>
      </c>
      <c r="D1171" t="s">
        <v>8684</v>
      </c>
      <c r="E1171" t="s">
        <v>8685</v>
      </c>
      <c r="F1171">
        <v>418401</v>
      </c>
      <c r="G1171" s="1">
        <v>40898</v>
      </c>
      <c r="H1171" s="1">
        <v>45784</v>
      </c>
      <c r="I1171" s="1">
        <v>46127</v>
      </c>
      <c r="J1171" t="s">
        <v>45</v>
      </c>
      <c r="K1171" t="s">
        <v>326</v>
      </c>
      <c r="L1171" t="s">
        <v>72</v>
      </c>
      <c r="M1171" s="1">
        <v>41675</v>
      </c>
      <c r="N1171" t="s">
        <v>47</v>
      </c>
      <c r="O1171" t="s">
        <v>48</v>
      </c>
      <c r="P1171" t="s">
        <v>49</v>
      </c>
      <c r="Q1171" t="s">
        <v>8686</v>
      </c>
      <c r="R1171" t="s">
        <v>8687</v>
      </c>
      <c r="S1171">
        <v>581</v>
      </c>
      <c r="T1171" t="s">
        <v>92</v>
      </c>
      <c r="U1171" t="s">
        <v>1197</v>
      </c>
      <c r="V1171" t="s">
        <v>1198</v>
      </c>
      <c r="W1171" t="s">
        <v>1199</v>
      </c>
      <c r="X1171" t="s">
        <v>92</v>
      </c>
      <c r="Y1171" t="s">
        <v>110</v>
      </c>
      <c r="Z1171">
        <v>4529</v>
      </c>
      <c r="AA1171">
        <v>25</v>
      </c>
      <c r="AB1171">
        <v>210</v>
      </c>
      <c r="AC1171" t="s">
        <v>6845</v>
      </c>
      <c r="AD1171" t="s">
        <v>1201</v>
      </c>
      <c r="AE1171" t="s">
        <v>1202</v>
      </c>
      <c r="AF1171" t="s">
        <v>1786</v>
      </c>
      <c r="AG1171" t="s">
        <v>1787</v>
      </c>
      <c r="AH1171" t="s">
        <v>1788</v>
      </c>
      <c r="AJ1171" s="2">
        <v>45816.839490740742</v>
      </c>
      <c r="AK1171" t="s">
        <v>132</v>
      </c>
      <c r="AL1171" t="s">
        <v>65</v>
      </c>
      <c r="AM1171" s="3">
        <v>1.9444444444444444</v>
      </c>
      <c r="AN1171" t="s">
        <v>66</v>
      </c>
      <c r="AO1171" t="s">
        <v>67</v>
      </c>
    </row>
    <row r="1172" spans="1:41" x14ac:dyDescent="0.2">
      <c r="A1172">
        <v>366719</v>
      </c>
      <c r="B1172" t="s">
        <v>8688</v>
      </c>
      <c r="C1172" t="s">
        <v>118</v>
      </c>
      <c r="D1172" t="s">
        <v>1389</v>
      </c>
      <c r="E1172" t="s">
        <v>8689</v>
      </c>
      <c r="F1172">
        <v>20301</v>
      </c>
      <c r="G1172" s="1">
        <v>36559</v>
      </c>
      <c r="H1172" s="1">
        <v>45632</v>
      </c>
      <c r="I1172" s="1">
        <v>45945</v>
      </c>
      <c r="J1172" t="s">
        <v>45</v>
      </c>
      <c r="K1172" t="s">
        <v>45</v>
      </c>
      <c r="L1172" t="s">
        <v>72</v>
      </c>
      <c r="M1172" s="1">
        <v>43060</v>
      </c>
      <c r="N1172" t="s">
        <v>47</v>
      </c>
      <c r="O1172" t="s">
        <v>48</v>
      </c>
      <c r="P1172" t="s">
        <v>49</v>
      </c>
      <c r="Q1172" t="s">
        <v>8690</v>
      </c>
      <c r="R1172" t="s">
        <v>8691</v>
      </c>
      <c r="S1172">
        <v>6635</v>
      </c>
      <c r="T1172" t="s">
        <v>52</v>
      </c>
      <c r="U1172">
        <v>3</v>
      </c>
      <c r="V1172" t="s">
        <v>602</v>
      </c>
      <c r="W1172" t="s">
        <v>54</v>
      </c>
      <c r="X1172" t="s">
        <v>55</v>
      </c>
      <c r="Y1172" t="s">
        <v>56</v>
      </c>
      <c r="Z1172">
        <v>1603</v>
      </c>
      <c r="AA1172">
        <v>42</v>
      </c>
      <c r="AB1172">
        <v>166</v>
      </c>
      <c r="AC1172" t="s">
        <v>8692</v>
      </c>
      <c r="AD1172" t="s">
        <v>8693</v>
      </c>
      <c r="AE1172" t="s">
        <v>8694</v>
      </c>
      <c r="AF1172" t="s">
        <v>8695</v>
      </c>
      <c r="AG1172" t="s">
        <v>8696</v>
      </c>
      <c r="AH1172" t="s">
        <v>8697</v>
      </c>
      <c r="AI1172" t="s">
        <v>8698</v>
      </c>
      <c r="AJ1172" s="2">
        <v>45635.697476851848</v>
      </c>
      <c r="AK1172" t="s">
        <v>3738</v>
      </c>
      <c r="AL1172" t="s">
        <v>65</v>
      </c>
      <c r="AM1172" s="4">
        <v>0.125</v>
      </c>
      <c r="AN1172" t="s">
        <v>66</v>
      </c>
      <c r="AO1172" t="s">
        <v>67</v>
      </c>
    </row>
    <row r="1173" spans="1:41" x14ac:dyDescent="0.2">
      <c r="A1173">
        <v>363530</v>
      </c>
      <c r="B1173" t="s">
        <v>8699</v>
      </c>
      <c r="C1173" t="s">
        <v>735</v>
      </c>
      <c r="D1173" t="s">
        <v>1825</v>
      </c>
      <c r="E1173" t="s">
        <v>8700</v>
      </c>
      <c r="F1173">
        <v>244603</v>
      </c>
      <c r="G1173" s="1">
        <v>37021</v>
      </c>
      <c r="H1173" s="1">
        <v>45514</v>
      </c>
      <c r="I1173" s="1">
        <v>46235</v>
      </c>
      <c r="J1173" t="s">
        <v>45</v>
      </c>
      <c r="K1173" t="s">
        <v>45</v>
      </c>
      <c r="L1173" t="s">
        <v>72</v>
      </c>
      <c r="M1173" s="1">
        <v>44350</v>
      </c>
      <c r="N1173" t="s">
        <v>47</v>
      </c>
      <c r="O1173" t="s">
        <v>48</v>
      </c>
      <c r="P1173" t="s">
        <v>49</v>
      </c>
      <c r="Q1173" t="s">
        <v>8701</v>
      </c>
      <c r="R1173" t="s">
        <v>8702</v>
      </c>
      <c r="S1173">
        <v>6700</v>
      </c>
      <c r="T1173" t="s">
        <v>52</v>
      </c>
      <c r="U1173">
        <v>1</v>
      </c>
      <c r="V1173" t="s">
        <v>1122</v>
      </c>
      <c r="W1173" t="s">
        <v>54</v>
      </c>
      <c r="X1173" t="s">
        <v>76</v>
      </c>
      <c r="Y1173" t="s">
        <v>56</v>
      </c>
      <c r="Z1173">
        <v>1011</v>
      </c>
      <c r="AA1173">
        <v>44</v>
      </c>
      <c r="AB1173">
        <v>30</v>
      </c>
      <c r="AC1173" t="s">
        <v>8703</v>
      </c>
      <c r="AD1173" t="s">
        <v>8704</v>
      </c>
      <c r="AE1173" t="s">
        <v>8705</v>
      </c>
      <c r="AF1173" t="s">
        <v>1832</v>
      </c>
      <c r="AG1173" t="s">
        <v>1833</v>
      </c>
      <c r="AH1173" t="s">
        <v>5821</v>
      </c>
      <c r="AI1173" t="s">
        <v>8706</v>
      </c>
      <c r="AJ1173" s="2">
        <v>45516.621689814812</v>
      </c>
      <c r="AK1173" t="s">
        <v>717</v>
      </c>
      <c r="AL1173" t="s">
        <v>65</v>
      </c>
      <c r="AM1173" s="3">
        <v>1.6458333333333333</v>
      </c>
      <c r="AN1173" t="s">
        <v>66</v>
      </c>
      <c r="AO1173" t="s">
        <v>67</v>
      </c>
    </row>
    <row r="1174" spans="1:41" x14ac:dyDescent="0.2">
      <c r="A1174">
        <v>372047</v>
      </c>
      <c r="B1174" t="s">
        <v>8707</v>
      </c>
      <c r="C1174" t="s">
        <v>167</v>
      </c>
      <c r="D1174" t="s">
        <v>8708</v>
      </c>
      <c r="E1174" t="s">
        <v>8709</v>
      </c>
      <c r="F1174">
        <v>350920</v>
      </c>
      <c r="G1174" s="1">
        <v>33982</v>
      </c>
      <c r="H1174" s="1">
        <v>45827</v>
      </c>
      <c r="I1174" s="1">
        <v>46174</v>
      </c>
      <c r="J1174" t="s">
        <v>45</v>
      </c>
      <c r="K1174" t="s">
        <v>45</v>
      </c>
      <c r="L1174" t="s">
        <v>429</v>
      </c>
      <c r="M1174" s="1">
        <v>37783</v>
      </c>
      <c r="N1174" t="s">
        <v>47</v>
      </c>
      <c r="O1174" t="s">
        <v>48</v>
      </c>
      <c r="P1174" t="s">
        <v>49</v>
      </c>
      <c r="Q1174" t="s">
        <v>8710</v>
      </c>
      <c r="R1174" t="s">
        <v>8711</v>
      </c>
      <c r="S1174">
        <v>2679</v>
      </c>
      <c r="T1174" t="s">
        <v>296</v>
      </c>
      <c r="U1174" t="s">
        <v>2267</v>
      </c>
      <c r="V1174" t="s">
        <v>8712</v>
      </c>
      <c r="W1174" t="s">
        <v>299</v>
      </c>
      <c r="X1174" t="s">
        <v>76</v>
      </c>
      <c r="Y1174" t="s">
        <v>56</v>
      </c>
      <c r="Z1174">
        <v>14</v>
      </c>
      <c r="AA1174">
        <v>70</v>
      </c>
      <c r="AB1174">
        <v>158</v>
      </c>
      <c r="AC1174" t="s">
        <v>8713</v>
      </c>
      <c r="AD1174" t="s">
        <v>8714</v>
      </c>
      <c r="AE1174" t="s">
        <v>8715</v>
      </c>
      <c r="AF1174" t="s">
        <v>8716</v>
      </c>
      <c r="AG1174" t="s">
        <v>8717</v>
      </c>
      <c r="AH1174" t="s">
        <v>8718</v>
      </c>
      <c r="AI1174" t="s">
        <v>2274</v>
      </c>
      <c r="AJ1174" s="2">
        <v>45828.238900462966</v>
      </c>
      <c r="AK1174" t="s">
        <v>717</v>
      </c>
      <c r="AL1174" t="s">
        <v>65</v>
      </c>
      <c r="AM1174" s="3">
        <v>1.0069444444444444</v>
      </c>
      <c r="AN1174" t="s">
        <v>66</v>
      </c>
      <c r="AO1174" t="s">
        <v>67</v>
      </c>
    </row>
    <row r="1175" spans="1:41" x14ac:dyDescent="0.2">
      <c r="A1175">
        <v>371409</v>
      </c>
      <c r="B1175" t="s">
        <v>8719</v>
      </c>
      <c r="C1175" t="s">
        <v>345</v>
      </c>
      <c r="D1175" t="s">
        <v>941</v>
      </c>
      <c r="E1175" t="s">
        <v>8720</v>
      </c>
      <c r="F1175">
        <v>50606</v>
      </c>
      <c r="G1175" s="1">
        <v>45160</v>
      </c>
      <c r="H1175" s="1">
        <v>45809</v>
      </c>
      <c r="I1175" s="1">
        <v>46054</v>
      </c>
      <c r="J1175" t="s">
        <v>45</v>
      </c>
      <c r="K1175" t="s">
        <v>45</v>
      </c>
      <c r="L1175" t="s">
        <v>72</v>
      </c>
      <c r="N1175" t="s">
        <v>47</v>
      </c>
      <c r="O1175" t="s">
        <v>48</v>
      </c>
      <c r="P1175" t="s">
        <v>49</v>
      </c>
      <c r="Q1175" t="s">
        <v>8721</v>
      </c>
      <c r="R1175" t="s">
        <v>8722</v>
      </c>
      <c r="S1175">
        <v>6730</v>
      </c>
      <c r="T1175" t="s">
        <v>92</v>
      </c>
      <c r="U1175" t="s">
        <v>350</v>
      </c>
      <c r="V1175" t="s">
        <v>3231</v>
      </c>
      <c r="W1175" t="s">
        <v>3232</v>
      </c>
      <c r="X1175" t="s">
        <v>92</v>
      </c>
      <c r="Y1175" t="s">
        <v>110</v>
      </c>
      <c r="Z1175">
        <v>12175</v>
      </c>
      <c r="AA1175">
        <v>11</v>
      </c>
      <c r="AB1175">
        <v>44</v>
      </c>
      <c r="AC1175" t="s">
        <v>3233</v>
      </c>
      <c r="AD1175" t="s">
        <v>3234</v>
      </c>
      <c r="AE1175" t="s">
        <v>3235</v>
      </c>
      <c r="AF1175" t="s">
        <v>3236</v>
      </c>
      <c r="AG1175" t="s">
        <v>3237</v>
      </c>
      <c r="AH1175" t="s">
        <v>3238</v>
      </c>
      <c r="AJ1175" s="2">
        <v>45809.915682870371</v>
      </c>
      <c r="AK1175" t="s">
        <v>3236</v>
      </c>
      <c r="AL1175" t="s">
        <v>65</v>
      </c>
      <c r="AM1175" s="3">
        <v>1.3159722222222223</v>
      </c>
      <c r="AN1175" t="s">
        <v>66</v>
      </c>
      <c r="AO1175" t="s">
        <v>67</v>
      </c>
    </row>
    <row r="1176" spans="1:41" x14ac:dyDescent="0.2">
      <c r="A1176">
        <v>365011</v>
      </c>
      <c r="B1176" t="s">
        <v>8723</v>
      </c>
      <c r="C1176" t="s">
        <v>735</v>
      </c>
      <c r="D1176" t="s">
        <v>2158</v>
      </c>
      <c r="E1176">
        <v>32568782</v>
      </c>
      <c r="F1176">
        <v>241907</v>
      </c>
      <c r="G1176" s="1">
        <v>33533</v>
      </c>
      <c r="H1176" s="1">
        <v>45563</v>
      </c>
      <c r="I1176" s="1">
        <v>46249</v>
      </c>
      <c r="J1176" t="s">
        <v>45</v>
      </c>
      <c r="K1176" t="s">
        <v>45</v>
      </c>
      <c r="L1176" t="s">
        <v>429</v>
      </c>
      <c r="M1176" s="1">
        <v>43259</v>
      </c>
      <c r="N1176" t="s">
        <v>47</v>
      </c>
      <c r="O1176" t="s">
        <v>48</v>
      </c>
      <c r="P1176" t="s">
        <v>49</v>
      </c>
      <c r="Q1176" t="s">
        <v>8724</v>
      </c>
      <c r="R1176" t="s">
        <v>8725</v>
      </c>
      <c r="S1176">
        <v>3800</v>
      </c>
      <c r="T1176" t="s">
        <v>52</v>
      </c>
      <c r="U1176">
        <v>1</v>
      </c>
      <c r="V1176" t="s">
        <v>7012</v>
      </c>
      <c r="W1176" t="s">
        <v>54</v>
      </c>
      <c r="X1176" t="s">
        <v>76</v>
      </c>
      <c r="Y1176" t="s">
        <v>56</v>
      </c>
      <c r="Z1176">
        <v>195</v>
      </c>
      <c r="AA1176">
        <v>50</v>
      </c>
      <c r="AB1176">
        <v>158</v>
      </c>
      <c r="AC1176" t="s">
        <v>8726</v>
      </c>
      <c r="AD1176" t="s">
        <v>8727</v>
      </c>
      <c r="AE1176" t="s">
        <v>8728</v>
      </c>
      <c r="AI1176" t="s">
        <v>179</v>
      </c>
      <c r="AJ1176" s="2">
        <v>45566.693391203706</v>
      </c>
      <c r="AK1176" t="s">
        <v>717</v>
      </c>
      <c r="AL1176" t="s">
        <v>65</v>
      </c>
      <c r="AM1176" s="3">
        <v>2.2083333333333335</v>
      </c>
      <c r="AN1176" t="s">
        <v>66</v>
      </c>
      <c r="AO1176" t="s">
        <v>67</v>
      </c>
    </row>
    <row r="1177" spans="1:41" x14ac:dyDescent="0.2">
      <c r="A1177">
        <v>373056</v>
      </c>
      <c r="B1177" t="s">
        <v>8729</v>
      </c>
      <c r="C1177" t="s">
        <v>69</v>
      </c>
      <c r="D1177" t="s">
        <v>3081</v>
      </c>
      <c r="E1177" t="s">
        <v>8730</v>
      </c>
      <c r="F1177">
        <v>101098</v>
      </c>
      <c r="G1177" s="1">
        <v>45566</v>
      </c>
      <c r="H1177" s="1">
        <v>45856</v>
      </c>
      <c r="I1177" s="1">
        <v>46188</v>
      </c>
      <c r="J1177" t="s">
        <v>45</v>
      </c>
      <c r="K1177" t="s">
        <v>326</v>
      </c>
      <c r="L1177" t="s">
        <v>72</v>
      </c>
      <c r="M1177" s="1">
        <v>42111</v>
      </c>
      <c r="N1177" t="s">
        <v>47</v>
      </c>
      <c r="O1177" t="s">
        <v>121</v>
      </c>
      <c r="P1177" t="s">
        <v>49</v>
      </c>
      <c r="Q1177" t="s">
        <v>2851</v>
      </c>
      <c r="R1177" t="s">
        <v>3083</v>
      </c>
      <c r="S1177">
        <v>2865</v>
      </c>
      <c r="T1177" t="s">
        <v>52</v>
      </c>
      <c r="U1177">
        <v>1</v>
      </c>
      <c r="V1177" t="s">
        <v>7012</v>
      </c>
      <c r="W1177" t="s">
        <v>54</v>
      </c>
      <c r="X1177" t="s">
        <v>52</v>
      </c>
      <c r="Y1177" t="s">
        <v>125</v>
      </c>
      <c r="Z1177">
        <v>3406</v>
      </c>
      <c r="AA1177">
        <v>61</v>
      </c>
      <c r="AB1177">
        <v>160</v>
      </c>
      <c r="AC1177" t="s">
        <v>8731</v>
      </c>
      <c r="AD1177" t="s">
        <v>8732</v>
      </c>
      <c r="AE1177" t="s">
        <v>8733</v>
      </c>
      <c r="AF1177" t="s">
        <v>8726</v>
      </c>
      <c r="AG1177" t="s">
        <v>8727</v>
      </c>
      <c r="AH1177" t="s">
        <v>8728</v>
      </c>
      <c r="AI1177" t="s">
        <v>8734</v>
      </c>
      <c r="AJ1177" s="2">
        <v>45856.46429398148</v>
      </c>
      <c r="AK1177" t="s">
        <v>800</v>
      </c>
      <c r="AL1177" t="s">
        <v>65</v>
      </c>
      <c r="AM1177" s="3">
        <v>1.9583333333333333</v>
      </c>
      <c r="AN1177" t="s">
        <v>66</v>
      </c>
      <c r="AO1177" t="s">
        <v>67</v>
      </c>
    </row>
    <row r="1178" spans="1:41" x14ac:dyDescent="0.2">
      <c r="A1178">
        <v>361905</v>
      </c>
      <c r="B1178" t="s">
        <v>8735</v>
      </c>
      <c r="C1178" t="s">
        <v>735</v>
      </c>
      <c r="D1178" t="s">
        <v>2158</v>
      </c>
      <c r="E1178" t="s">
        <v>8736</v>
      </c>
      <c r="G1178" s="1">
        <v>45468</v>
      </c>
      <c r="H1178" s="1">
        <v>45453</v>
      </c>
      <c r="I1178" s="1">
        <v>46113</v>
      </c>
      <c r="J1178" t="s">
        <v>45</v>
      </c>
      <c r="K1178" t="s">
        <v>45</v>
      </c>
      <c r="L1178" t="s">
        <v>72</v>
      </c>
      <c r="N1178" t="s">
        <v>47</v>
      </c>
      <c r="O1178" t="s">
        <v>121</v>
      </c>
      <c r="P1178" t="s">
        <v>49</v>
      </c>
      <c r="Q1178" t="s">
        <v>8737</v>
      </c>
      <c r="R1178" t="s">
        <v>8738</v>
      </c>
      <c r="S1178">
        <v>4479</v>
      </c>
      <c r="T1178" t="s">
        <v>52</v>
      </c>
      <c r="U1178">
        <v>1</v>
      </c>
      <c r="V1178" t="s">
        <v>7012</v>
      </c>
      <c r="W1178" t="s">
        <v>54</v>
      </c>
      <c r="X1178" t="s">
        <v>52</v>
      </c>
      <c r="Y1178" t="s">
        <v>125</v>
      </c>
      <c r="Z1178">
        <v>6606</v>
      </c>
      <c r="AA1178">
        <v>46</v>
      </c>
      <c r="AB1178">
        <v>78</v>
      </c>
      <c r="AC1178" t="s">
        <v>8731</v>
      </c>
      <c r="AD1178" t="s">
        <v>8732</v>
      </c>
      <c r="AE1178" t="s">
        <v>8733</v>
      </c>
      <c r="AF1178" t="s">
        <v>8726</v>
      </c>
      <c r="AG1178" t="s">
        <v>8727</v>
      </c>
      <c r="AH1178" t="s">
        <v>8728</v>
      </c>
      <c r="AI1178" t="s">
        <v>8734</v>
      </c>
      <c r="AJ1178" s="2">
        <v>45468.730532407404</v>
      </c>
      <c r="AK1178" t="s">
        <v>660</v>
      </c>
      <c r="AL1178" t="s">
        <v>65</v>
      </c>
      <c r="AM1178" s="3">
        <v>1.2430555555555556</v>
      </c>
      <c r="AN1178" t="s">
        <v>66</v>
      </c>
      <c r="AO1178" t="s">
        <v>67</v>
      </c>
    </row>
    <row r="1179" spans="1:41" x14ac:dyDescent="0.2">
      <c r="A1179">
        <v>368919</v>
      </c>
      <c r="B1179" t="s">
        <v>8739</v>
      </c>
      <c r="C1179" t="s">
        <v>182</v>
      </c>
      <c r="D1179" t="s">
        <v>6734</v>
      </c>
      <c r="E1179" t="s">
        <v>8740</v>
      </c>
      <c r="F1179">
        <v>42608</v>
      </c>
      <c r="G1179" s="1">
        <v>38091</v>
      </c>
      <c r="H1179" s="1">
        <v>45468</v>
      </c>
      <c r="I1179" s="1">
        <v>46174</v>
      </c>
      <c r="J1179" t="s">
        <v>45</v>
      </c>
      <c r="K1179" t="s">
        <v>45</v>
      </c>
      <c r="L1179" t="s">
        <v>429</v>
      </c>
      <c r="M1179" s="1">
        <v>45096</v>
      </c>
      <c r="N1179" t="s">
        <v>47</v>
      </c>
      <c r="O1179" t="s">
        <v>48</v>
      </c>
      <c r="P1179" t="s">
        <v>49</v>
      </c>
      <c r="Q1179" t="s">
        <v>8741</v>
      </c>
      <c r="R1179" t="s">
        <v>8742</v>
      </c>
      <c r="S1179">
        <v>5240</v>
      </c>
      <c r="T1179" t="s">
        <v>52</v>
      </c>
      <c r="U1179">
        <v>5</v>
      </c>
      <c r="V1179" t="s">
        <v>1619</v>
      </c>
      <c r="W1179" t="s">
        <v>54</v>
      </c>
      <c r="X1179" t="s">
        <v>493</v>
      </c>
      <c r="Y1179" t="s">
        <v>434</v>
      </c>
      <c r="Z1179">
        <v>686</v>
      </c>
      <c r="AA1179">
        <v>61</v>
      </c>
      <c r="AB1179">
        <v>158</v>
      </c>
      <c r="AC1179" t="s">
        <v>1620</v>
      </c>
      <c r="AD1179" t="s">
        <v>1621</v>
      </c>
      <c r="AE1179" t="s">
        <v>1622</v>
      </c>
      <c r="AF1179" t="s">
        <v>8743</v>
      </c>
      <c r="AG1179" t="s">
        <v>8744</v>
      </c>
      <c r="AH1179" t="s">
        <v>8745</v>
      </c>
      <c r="AI1179" t="s">
        <v>1626</v>
      </c>
      <c r="AJ1179" s="2">
        <v>45722.910393518519</v>
      </c>
      <c r="AK1179" t="s">
        <v>1472</v>
      </c>
      <c r="AL1179" t="s">
        <v>65</v>
      </c>
      <c r="AM1179" s="4">
        <v>0.40277777777777779</v>
      </c>
      <c r="AN1179" t="s">
        <v>66</v>
      </c>
      <c r="AO1179" t="s">
        <v>67</v>
      </c>
    </row>
    <row r="1180" spans="1:41" x14ac:dyDescent="0.2">
      <c r="A1180">
        <v>372177</v>
      </c>
      <c r="B1180" t="s">
        <v>8746</v>
      </c>
      <c r="C1180" t="s">
        <v>69</v>
      </c>
      <c r="D1180" t="s">
        <v>69</v>
      </c>
      <c r="E1180" t="s">
        <v>8747</v>
      </c>
      <c r="F1180">
        <v>101019</v>
      </c>
      <c r="G1180" s="1">
        <v>37486</v>
      </c>
      <c r="H1180" s="1">
        <v>45832</v>
      </c>
      <c r="I1180" s="1">
        <v>46204</v>
      </c>
      <c r="J1180" t="s">
        <v>45</v>
      </c>
      <c r="K1180" t="s">
        <v>45</v>
      </c>
      <c r="L1180" t="s">
        <v>3920</v>
      </c>
      <c r="M1180" s="1">
        <v>42592</v>
      </c>
      <c r="N1180" t="s">
        <v>47</v>
      </c>
      <c r="O1180" t="s">
        <v>48</v>
      </c>
      <c r="P1180" t="s">
        <v>49</v>
      </c>
      <c r="Q1180" t="s">
        <v>8748</v>
      </c>
      <c r="R1180" t="s">
        <v>8749</v>
      </c>
      <c r="S1180">
        <v>8100</v>
      </c>
      <c r="T1180" t="s">
        <v>52</v>
      </c>
      <c r="U1180">
        <v>1</v>
      </c>
      <c r="V1180" t="s">
        <v>2563</v>
      </c>
      <c r="W1180" t="s">
        <v>54</v>
      </c>
      <c r="X1180" t="s">
        <v>76</v>
      </c>
      <c r="Y1180" t="s">
        <v>56</v>
      </c>
      <c r="Z1180">
        <v>1713</v>
      </c>
      <c r="AA1180">
        <v>49</v>
      </c>
      <c r="AB1180">
        <v>152</v>
      </c>
      <c r="AC1180" t="s">
        <v>2564</v>
      </c>
      <c r="AD1180" t="s">
        <v>2565</v>
      </c>
      <c r="AE1180" t="s">
        <v>8750</v>
      </c>
      <c r="AF1180" t="s">
        <v>2582</v>
      </c>
      <c r="AG1180" t="s">
        <v>2583</v>
      </c>
      <c r="AH1180" t="s">
        <v>2584</v>
      </c>
      <c r="AI1180" t="s">
        <v>8751</v>
      </c>
      <c r="AJ1180" s="2">
        <v>45833.031678240739</v>
      </c>
      <c r="AK1180" t="s">
        <v>568</v>
      </c>
      <c r="AL1180" t="s">
        <v>65</v>
      </c>
      <c r="AM1180" s="4">
        <v>0.125</v>
      </c>
      <c r="AN1180" t="s">
        <v>66</v>
      </c>
      <c r="AO1180" t="s">
        <v>67</v>
      </c>
    </row>
    <row r="1181" spans="1:41" x14ac:dyDescent="0.2">
      <c r="A1181">
        <v>371797</v>
      </c>
      <c r="B1181" t="s">
        <v>8752</v>
      </c>
      <c r="C1181" t="s">
        <v>323</v>
      </c>
      <c r="D1181" t="s">
        <v>372</v>
      </c>
      <c r="E1181" t="s">
        <v>8753</v>
      </c>
      <c r="F1181">
        <v>500731</v>
      </c>
      <c r="G1181" s="1">
        <v>37022</v>
      </c>
      <c r="H1181" s="1">
        <v>45777</v>
      </c>
      <c r="I1181" s="1">
        <v>46037</v>
      </c>
      <c r="J1181" t="s">
        <v>45</v>
      </c>
      <c r="K1181" t="s">
        <v>45</v>
      </c>
      <c r="L1181" t="s">
        <v>72</v>
      </c>
      <c r="M1181" s="1">
        <v>45047</v>
      </c>
      <c r="N1181" t="s">
        <v>47</v>
      </c>
      <c r="O1181" t="s">
        <v>48</v>
      </c>
      <c r="P1181" t="s">
        <v>49</v>
      </c>
      <c r="Q1181" t="s">
        <v>8754</v>
      </c>
      <c r="R1181" t="s">
        <v>8755</v>
      </c>
      <c r="S1181">
        <v>2895</v>
      </c>
      <c r="T1181" t="s">
        <v>156</v>
      </c>
      <c r="U1181" t="s">
        <v>460</v>
      </c>
      <c r="V1181" t="s">
        <v>330</v>
      </c>
      <c r="W1181" t="s">
        <v>159</v>
      </c>
      <c r="X1181" t="s">
        <v>76</v>
      </c>
      <c r="Y1181" t="s">
        <v>110</v>
      </c>
      <c r="Z1181">
        <v>38</v>
      </c>
      <c r="AA1181">
        <v>42</v>
      </c>
      <c r="AB1181">
        <v>158</v>
      </c>
      <c r="AC1181" t="s">
        <v>368</v>
      </c>
      <c r="AD1181" t="s">
        <v>369</v>
      </c>
      <c r="AE1181" t="s">
        <v>370</v>
      </c>
      <c r="AF1181" t="s">
        <v>463</v>
      </c>
      <c r="AG1181" t="s">
        <v>464</v>
      </c>
      <c r="AH1181" t="s">
        <v>465</v>
      </c>
      <c r="AI1181" t="s">
        <v>466</v>
      </c>
      <c r="AJ1181" s="2">
        <v>45819.751516203702</v>
      </c>
      <c r="AK1181" t="s">
        <v>727</v>
      </c>
      <c r="AL1181" t="s">
        <v>65</v>
      </c>
      <c r="AM1181" s="4">
        <v>0.77083333333333337</v>
      </c>
      <c r="AN1181" t="s">
        <v>66</v>
      </c>
      <c r="AO1181" t="s">
        <v>67</v>
      </c>
    </row>
    <row r="1182" spans="1:41" x14ac:dyDescent="0.2">
      <c r="A1182">
        <v>370177</v>
      </c>
      <c r="B1182" t="s">
        <v>8756</v>
      </c>
      <c r="C1182" t="s">
        <v>662</v>
      </c>
      <c r="D1182" t="s">
        <v>8757</v>
      </c>
      <c r="E1182">
        <v>88413016</v>
      </c>
      <c r="F1182">
        <v>412202</v>
      </c>
      <c r="G1182" s="1">
        <v>37630</v>
      </c>
      <c r="H1182" s="1">
        <v>45565</v>
      </c>
      <c r="I1182" s="1">
        <v>45915</v>
      </c>
      <c r="J1182" t="s">
        <v>45</v>
      </c>
      <c r="K1182" t="s">
        <v>45</v>
      </c>
      <c r="L1182" t="s">
        <v>72</v>
      </c>
      <c r="M1182" s="1">
        <v>45492</v>
      </c>
      <c r="N1182" t="s">
        <v>47</v>
      </c>
      <c r="O1182" t="s">
        <v>48</v>
      </c>
      <c r="P1182" t="s">
        <v>49</v>
      </c>
      <c r="Q1182" t="s">
        <v>8758</v>
      </c>
      <c r="R1182" t="s">
        <v>8759</v>
      </c>
      <c r="S1182">
        <v>353</v>
      </c>
      <c r="T1182" t="s">
        <v>92</v>
      </c>
      <c r="U1182" t="s">
        <v>1197</v>
      </c>
      <c r="V1182" t="s">
        <v>1198</v>
      </c>
      <c r="W1182" t="s">
        <v>1199</v>
      </c>
      <c r="X1182" t="s">
        <v>52</v>
      </c>
      <c r="Y1182" t="s">
        <v>110</v>
      </c>
      <c r="Z1182">
        <v>2092</v>
      </c>
      <c r="AA1182">
        <v>41</v>
      </c>
      <c r="AB1182">
        <v>158</v>
      </c>
      <c r="AC1182" t="s">
        <v>1200</v>
      </c>
      <c r="AD1182" t="s">
        <v>1201</v>
      </c>
      <c r="AE1182" t="s">
        <v>1202</v>
      </c>
      <c r="AF1182" t="s">
        <v>1203</v>
      </c>
      <c r="AG1182" t="s">
        <v>1204</v>
      </c>
      <c r="AH1182" t="s">
        <v>1205</v>
      </c>
      <c r="AJ1182" s="2">
        <v>45764.688032407408</v>
      </c>
      <c r="AK1182" t="s">
        <v>800</v>
      </c>
      <c r="AL1182" t="s">
        <v>65</v>
      </c>
      <c r="AM1182" s="4">
        <v>0.25694444444444442</v>
      </c>
      <c r="AN1182" t="s">
        <v>66</v>
      </c>
      <c r="AO1182" t="s">
        <v>67</v>
      </c>
    </row>
    <row r="1183" spans="1:41" x14ac:dyDescent="0.2">
      <c r="A1183">
        <v>370780</v>
      </c>
      <c r="B1183" t="s">
        <v>8760</v>
      </c>
      <c r="C1183" t="s">
        <v>182</v>
      </c>
      <c r="D1183" t="s">
        <v>183</v>
      </c>
      <c r="E1183" s="5" t="s">
        <v>8761</v>
      </c>
      <c r="F1183">
        <v>45439</v>
      </c>
      <c r="G1183" s="1">
        <v>40694</v>
      </c>
      <c r="H1183" s="1">
        <v>45751</v>
      </c>
      <c r="I1183" s="1">
        <v>46037</v>
      </c>
      <c r="J1183" t="s">
        <v>45</v>
      </c>
      <c r="K1183" t="s">
        <v>45</v>
      </c>
      <c r="L1183" t="s">
        <v>72</v>
      </c>
      <c r="M1183" s="1">
        <v>43104</v>
      </c>
      <c r="N1183" t="s">
        <v>47</v>
      </c>
      <c r="O1183" t="s">
        <v>48</v>
      </c>
      <c r="P1183" t="s">
        <v>49</v>
      </c>
      <c r="Q1183" t="s">
        <v>8762</v>
      </c>
      <c r="R1183" t="s">
        <v>8763</v>
      </c>
      <c r="S1183">
        <v>2800</v>
      </c>
      <c r="T1183" t="s">
        <v>92</v>
      </c>
      <c r="U1183" t="s">
        <v>187</v>
      </c>
      <c r="V1183" t="s">
        <v>188</v>
      </c>
      <c r="W1183" t="s">
        <v>189</v>
      </c>
      <c r="X1183" t="s">
        <v>92</v>
      </c>
      <c r="Y1183" t="s">
        <v>110</v>
      </c>
      <c r="Z1183">
        <v>3098</v>
      </c>
      <c r="AA1183">
        <v>46</v>
      </c>
      <c r="AB1183">
        <v>38</v>
      </c>
      <c r="AC1183" t="s">
        <v>190</v>
      </c>
      <c r="AD1183" t="s">
        <v>191</v>
      </c>
      <c r="AE1183" t="s">
        <v>192</v>
      </c>
      <c r="AF1183" t="s">
        <v>4170</v>
      </c>
      <c r="AG1183" t="s">
        <v>4171</v>
      </c>
      <c r="AH1183" t="s">
        <v>4172</v>
      </c>
      <c r="AJ1183" s="2">
        <v>45784.664224537039</v>
      </c>
      <c r="AK1183" t="s">
        <v>190</v>
      </c>
      <c r="AL1183" t="s">
        <v>65</v>
      </c>
      <c r="AM1183" s="3">
        <v>2.4166666666666665</v>
      </c>
      <c r="AN1183" t="s">
        <v>66</v>
      </c>
      <c r="AO1183" t="s">
        <v>67</v>
      </c>
    </row>
    <row r="1184" spans="1:41" x14ac:dyDescent="0.2">
      <c r="A1184">
        <v>372406</v>
      </c>
      <c r="B1184" t="s">
        <v>8764</v>
      </c>
      <c r="C1184" t="s">
        <v>278</v>
      </c>
      <c r="D1184" t="s">
        <v>279</v>
      </c>
      <c r="E1184" s="5" t="s">
        <v>8765</v>
      </c>
      <c r="F1184">
        <v>422611</v>
      </c>
      <c r="G1184" s="1">
        <v>39701</v>
      </c>
      <c r="H1184" s="1">
        <v>45835</v>
      </c>
      <c r="I1184" s="1">
        <v>46096</v>
      </c>
      <c r="J1184" t="s">
        <v>45</v>
      </c>
      <c r="K1184" t="s">
        <v>45</v>
      </c>
      <c r="L1184" t="s">
        <v>46</v>
      </c>
      <c r="M1184" s="1">
        <v>40137</v>
      </c>
      <c r="N1184" t="s">
        <v>47</v>
      </c>
      <c r="O1184" t="s">
        <v>48</v>
      </c>
      <c r="P1184" t="s">
        <v>49</v>
      </c>
      <c r="Q1184" t="s">
        <v>8766</v>
      </c>
      <c r="R1184" t="s">
        <v>8767</v>
      </c>
      <c r="S1184">
        <v>8294</v>
      </c>
      <c r="T1184" t="s">
        <v>365</v>
      </c>
      <c r="U1184" t="s">
        <v>432</v>
      </c>
      <c r="V1184" t="s">
        <v>5393</v>
      </c>
      <c r="W1184" t="s">
        <v>367</v>
      </c>
      <c r="X1184" t="s">
        <v>55</v>
      </c>
      <c r="Y1184" t="s">
        <v>434</v>
      </c>
      <c r="Z1184">
        <v>3004</v>
      </c>
      <c r="AA1184">
        <v>43</v>
      </c>
      <c r="AB1184">
        <v>146</v>
      </c>
      <c r="AC1184" t="s">
        <v>8768</v>
      </c>
      <c r="AD1184" t="s">
        <v>8769</v>
      </c>
      <c r="AE1184" t="s">
        <v>8770</v>
      </c>
      <c r="AI1184" t="s">
        <v>179</v>
      </c>
      <c r="AJ1184" s="2">
        <v>45838.905694444446</v>
      </c>
      <c r="AK1184" t="s">
        <v>307</v>
      </c>
      <c r="AL1184" t="s">
        <v>65</v>
      </c>
      <c r="AM1184" s="3">
        <v>2.3777777777777778</v>
      </c>
      <c r="AN1184" t="s">
        <v>66</v>
      </c>
      <c r="AO1184" t="s">
        <v>67</v>
      </c>
    </row>
    <row r="1185" spans="1:41" x14ac:dyDescent="0.2">
      <c r="A1185">
        <v>368441</v>
      </c>
      <c r="B1185" t="s">
        <v>8771</v>
      </c>
      <c r="C1185" t="s">
        <v>182</v>
      </c>
      <c r="D1185" t="s">
        <v>8772</v>
      </c>
      <c r="E1185" t="s">
        <v>8773</v>
      </c>
      <c r="F1185">
        <v>44409</v>
      </c>
      <c r="G1185" s="1">
        <v>32509</v>
      </c>
      <c r="H1185" s="1">
        <v>45707</v>
      </c>
      <c r="J1185" t="s">
        <v>45</v>
      </c>
      <c r="K1185" t="s">
        <v>72</v>
      </c>
      <c r="L1185" t="s">
        <v>72</v>
      </c>
      <c r="N1185" t="s">
        <v>47</v>
      </c>
      <c r="O1185" t="s">
        <v>48</v>
      </c>
      <c r="P1185" t="s">
        <v>49</v>
      </c>
      <c r="Q1185" t="s">
        <v>8774</v>
      </c>
      <c r="R1185" t="s">
        <v>8775</v>
      </c>
      <c r="S1185">
        <v>3733</v>
      </c>
      <c r="T1185" t="s">
        <v>92</v>
      </c>
      <c r="U1185" t="s">
        <v>187</v>
      </c>
      <c r="V1185" t="s">
        <v>447</v>
      </c>
      <c r="W1185" t="s">
        <v>448</v>
      </c>
      <c r="X1185" t="s">
        <v>92</v>
      </c>
      <c r="Y1185" t="s">
        <v>450</v>
      </c>
      <c r="Z1185">
        <v>1240</v>
      </c>
      <c r="AA1185">
        <v>42</v>
      </c>
      <c r="AB1185">
        <v>152</v>
      </c>
      <c r="AC1185" t="s">
        <v>451</v>
      </c>
      <c r="AD1185" t="s">
        <v>452</v>
      </c>
      <c r="AE1185" t="s">
        <v>453</v>
      </c>
      <c r="AF1185" t="s">
        <v>454</v>
      </c>
      <c r="AG1185" t="s">
        <v>473</v>
      </c>
      <c r="AH1185" t="s">
        <v>474</v>
      </c>
      <c r="AJ1185" s="2">
        <v>45712.683495370373</v>
      </c>
      <c r="AK1185" t="s">
        <v>526</v>
      </c>
      <c r="AL1185" t="s">
        <v>475</v>
      </c>
      <c r="AM1185" s="4">
        <v>0.29166666666666669</v>
      </c>
      <c r="AN1185" t="s">
        <v>66</v>
      </c>
      <c r="AO1185" t="s">
        <v>67</v>
      </c>
    </row>
    <row r="1186" spans="1:41" x14ac:dyDescent="0.2">
      <c r="A1186">
        <v>372710</v>
      </c>
      <c r="B1186" t="s">
        <v>8776</v>
      </c>
      <c r="C1186" t="s">
        <v>278</v>
      </c>
      <c r="D1186" t="s">
        <v>1987</v>
      </c>
      <c r="E1186" t="s">
        <v>8777</v>
      </c>
      <c r="F1186">
        <v>420705</v>
      </c>
      <c r="G1186" s="1">
        <v>35643</v>
      </c>
      <c r="H1186" s="1">
        <v>45848</v>
      </c>
      <c r="I1186" s="1">
        <v>46204</v>
      </c>
      <c r="J1186" t="s">
        <v>45</v>
      </c>
      <c r="K1186" t="s">
        <v>45</v>
      </c>
      <c r="L1186" t="s">
        <v>429</v>
      </c>
      <c r="N1186" t="s">
        <v>47</v>
      </c>
      <c r="O1186" t="s">
        <v>48</v>
      </c>
      <c r="P1186" t="s">
        <v>49</v>
      </c>
      <c r="Q1186" t="s">
        <v>8778</v>
      </c>
      <c r="R1186" t="s">
        <v>8779</v>
      </c>
      <c r="S1186">
        <v>9186</v>
      </c>
      <c r="T1186" t="s">
        <v>52</v>
      </c>
      <c r="U1186">
        <v>4</v>
      </c>
      <c r="V1186" t="s">
        <v>1991</v>
      </c>
      <c r="W1186" t="s">
        <v>54</v>
      </c>
      <c r="X1186" t="s">
        <v>76</v>
      </c>
      <c r="Y1186" t="s">
        <v>56</v>
      </c>
      <c r="Z1186">
        <v>673</v>
      </c>
      <c r="AA1186">
        <v>51</v>
      </c>
      <c r="AB1186">
        <v>152</v>
      </c>
      <c r="AC1186" t="s">
        <v>1992</v>
      </c>
      <c r="AD1186" t="s">
        <v>1993</v>
      </c>
      <c r="AE1186" t="s">
        <v>1994</v>
      </c>
      <c r="AF1186" t="s">
        <v>1995</v>
      </c>
      <c r="AG1186" t="s">
        <v>1996</v>
      </c>
      <c r="AH1186" t="s">
        <v>1997</v>
      </c>
      <c r="AI1186" t="s">
        <v>1998</v>
      </c>
      <c r="AJ1186" s="2">
        <v>45851.748136574075</v>
      </c>
      <c r="AK1186" t="s">
        <v>800</v>
      </c>
      <c r="AL1186" t="s">
        <v>65</v>
      </c>
      <c r="AM1186" s="4">
        <v>0.4513888888888889</v>
      </c>
      <c r="AN1186" t="s">
        <v>66</v>
      </c>
      <c r="AO1186" t="s">
        <v>67</v>
      </c>
    </row>
    <row r="1187" spans="1:41" x14ac:dyDescent="0.2">
      <c r="A1187">
        <v>366778</v>
      </c>
      <c r="B1187" t="s">
        <v>8780</v>
      </c>
      <c r="C1187" t="s">
        <v>236</v>
      </c>
      <c r="D1187" t="s">
        <v>7034</v>
      </c>
      <c r="E1187" t="s">
        <v>8781</v>
      </c>
      <c r="F1187">
        <v>210512</v>
      </c>
      <c r="G1187" s="1">
        <v>34804</v>
      </c>
      <c r="H1187" s="1">
        <v>45581</v>
      </c>
      <c r="J1187" t="s">
        <v>45</v>
      </c>
      <c r="K1187" t="s">
        <v>45</v>
      </c>
      <c r="L1187" t="s">
        <v>72</v>
      </c>
      <c r="M1187" s="1">
        <v>42594</v>
      </c>
      <c r="N1187" t="s">
        <v>47</v>
      </c>
      <c r="O1187" t="s">
        <v>48</v>
      </c>
      <c r="P1187" t="s">
        <v>49</v>
      </c>
      <c r="Q1187" t="s">
        <v>8782</v>
      </c>
      <c r="R1187" t="s">
        <v>8783</v>
      </c>
      <c r="S1187">
        <v>1350</v>
      </c>
      <c r="T1187" t="s">
        <v>92</v>
      </c>
      <c r="U1187" t="s">
        <v>1509</v>
      </c>
      <c r="V1187" t="s">
        <v>506</v>
      </c>
      <c r="W1187" t="s">
        <v>1510</v>
      </c>
      <c r="X1187" t="s">
        <v>52</v>
      </c>
      <c r="Y1187" t="s">
        <v>410</v>
      </c>
      <c r="Z1187">
        <v>1382</v>
      </c>
      <c r="AA1187">
        <v>48</v>
      </c>
      <c r="AB1187">
        <v>174</v>
      </c>
      <c r="AC1187" t="s">
        <v>1511</v>
      </c>
      <c r="AD1187" t="s">
        <v>1512</v>
      </c>
      <c r="AE1187" t="s">
        <v>1513</v>
      </c>
      <c r="AF1187" t="s">
        <v>8784</v>
      </c>
      <c r="AG1187" t="s">
        <v>8785</v>
      </c>
      <c r="AH1187" t="s">
        <v>8786</v>
      </c>
      <c r="AI1187" t="s">
        <v>8787</v>
      </c>
      <c r="AJ1187" s="2">
        <v>45791.806805555556</v>
      </c>
      <c r="AK1187" t="s">
        <v>100</v>
      </c>
      <c r="AL1187" t="s">
        <v>65</v>
      </c>
      <c r="AM1187" s="4">
        <v>0.2986111111111111</v>
      </c>
      <c r="AN1187" t="s">
        <v>66</v>
      </c>
      <c r="AO1187" t="s">
        <v>67</v>
      </c>
    </row>
    <row r="1188" spans="1:41" x14ac:dyDescent="0.2">
      <c r="A1188">
        <v>367933</v>
      </c>
      <c r="B1188" t="s">
        <v>8788</v>
      </c>
      <c r="C1188" t="s">
        <v>662</v>
      </c>
      <c r="D1188" t="s">
        <v>5754</v>
      </c>
      <c r="E1188" t="s">
        <v>8789</v>
      </c>
      <c r="G1188" s="1">
        <v>45336</v>
      </c>
      <c r="H1188" s="1">
        <v>45687</v>
      </c>
      <c r="J1188" t="s">
        <v>45</v>
      </c>
      <c r="K1188" t="s">
        <v>45</v>
      </c>
      <c r="L1188" t="s">
        <v>72</v>
      </c>
      <c r="N1188" t="s">
        <v>47</v>
      </c>
      <c r="O1188" t="s">
        <v>48</v>
      </c>
      <c r="P1188" t="s">
        <v>49</v>
      </c>
      <c r="Q1188" t="s">
        <v>8790</v>
      </c>
      <c r="R1188" t="s">
        <v>8791</v>
      </c>
      <c r="S1188">
        <v>1070</v>
      </c>
      <c r="T1188" t="s">
        <v>92</v>
      </c>
      <c r="U1188" t="s">
        <v>1197</v>
      </c>
      <c r="V1188" t="s">
        <v>8190</v>
      </c>
      <c r="W1188" t="s">
        <v>8191</v>
      </c>
      <c r="X1188" t="s">
        <v>92</v>
      </c>
      <c r="Y1188" t="s">
        <v>450</v>
      </c>
      <c r="Z1188">
        <v>12223</v>
      </c>
      <c r="AA1188">
        <v>5</v>
      </c>
      <c r="AB1188">
        <v>20</v>
      </c>
      <c r="AC1188" t="s">
        <v>8192</v>
      </c>
      <c r="AD1188" t="s">
        <v>8193</v>
      </c>
      <c r="AE1188" t="s">
        <v>8194</v>
      </c>
      <c r="AF1188" t="s">
        <v>8792</v>
      </c>
      <c r="AG1188" t="s">
        <v>8793</v>
      </c>
      <c r="AH1188" t="s">
        <v>8794</v>
      </c>
      <c r="AJ1188" s="2">
        <v>45693.839814814812</v>
      </c>
      <c r="AK1188" t="s">
        <v>526</v>
      </c>
      <c r="AL1188" t="s">
        <v>65</v>
      </c>
      <c r="AM1188" s="4">
        <v>0.71250000000000002</v>
      </c>
      <c r="AN1188" t="s">
        <v>66</v>
      </c>
      <c r="AO1188" t="s">
        <v>67</v>
      </c>
    </row>
    <row r="1189" spans="1:41" x14ac:dyDescent="0.2">
      <c r="A1189">
        <v>368905</v>
      </c>
      <c r="B1189" t="s">
        <v>8795</v>
      </c>
      <c r="C1189" t="s">
        <v>182</v>
      </c>
      <c r="D1189" t="s">
        <v>2295</v>
      </c>
      <c r="E1189" t="s">
        <v>8796</v>
      </c>
      <c r="F1189">
        <v>40732</v>
      </c>
      <c r="G1189" s="1">
        <v>40673</v>
      </c>
      <c r="H1189" s="1">
        <v>45583</v>
      </c>
      <c r="I1189" s="1">
        <v>45931</v>
      </c>
      <c r="J1189" t="s">
        <v>45</v>
      </c>
      <c r="K1189" t="s">
        <v>45</v>
      </c>
      <c r="L1189" t="s">
        <v>429</v>
      </c>
      <c r="M1189" s="1">
        <v>39679</v>
      </c>
      <c r="N1189" t="s">
        <v>47</v>
      </c>
      <c r="O1189" t="s">
        <v>48</v>
      </c>
      <c r="P1189" t="s">
        <v>49</v>
      </c>
      <c r="Q1189" t="s">
        <v>8797</v>
      </c>
      <c r="R1189" t="s">
        <v>8798</v>
      </c>
      <c r="S1189">
        <v>4452</v>
      </c>
      <c r="T1189" t="s">
        <v>365</v>
      </c>
      <c r="U1189" t="s">
        <v>562</v>
      </c>
      <c r="V1189" t="s">
        <v>1746</v>
      </c>
      <c r="W1189" t="s">
        <v>367</v>
      </c>
      <c r="X1189" t="s">
        <v>493</v>
      </c>
      <c r="Y1189" t="s">
        <v>434</v>
      </c>
      <c r="Z1189">
        <v>141</v>
      </c>
      <c r="AA1189">
        <v>93</v>
      </c>
      <c r="AB1189">
        <v>158</v>
      </c>
      <c r="AC1189" t="s">
        <v>1747</v>
      </c>
      <c r="AD1189" t="s">
        <v>2887</v>
      </c>
      <c r="AE1189" t="s">
        <v>1749</v>
      </c>
      <c r="AI1189" t="s">
        <v>500</v>
      </c>
      <c r="AJ1189" s="2">
        <v>45722.904756944445</v>
      </c>
      <c r="AK1189" t="s">
        <v>1472</v>
      </c>
      <c r="AL1189" t="s">
        <v>65</v>
      </c>
      <c r="AM1189" s="4">
        <v>0.47916666666666669</v>
      </c>
      <c r="AN1189" t="s">
        <v>66</v>
      </c>
      <c r="AO1189" t="s">
        <v>67</v>
      </c>
    </row>
    <row r="1190" spans="1:41" x14ac:dyDescent="0.2">
      <c r="A1190">
        <v>372946</v>
      </c>
      <c r="B1190" t="s">
        <v>8799</v>
      </c>
      <c r="C1190" t="s">
        <v>86</v>
      </c>
      <c r="D1190" t="s">
        <v>8114</v>
      </c>
      <c r="E1190" t="s">
        <v>8800</v>
      </c>
      <c r="F1190">
        <v>201103</v>
      </c>
      <c r="G1190" s="1">
        <v>37806</v>
      </c>
      <c r="H1190" s="1">
        <v>45777</v>
      </c>
      <c r="I1190" s="1">
        <v>46157</v>
      </c>
      <c r="J1190" t="s">
        <v>45</v>
      </c>
      <c r="K1190" t="s">
        <v>45</v>
      </c>
      <c r="L1190" t="s">
        <v>46</v>
      </c>
      <c r="M1190" s="1">
        <v>39207</v>
      </c>
      <c r="N1190" t="s">
        <v>47</v>
      </c>
      <c r="O1190" t="s">
        <v>48</v>
      </c>
      <c r="P1190" t="s">
        <v>49</v>
      </c>
      <c r="Q1190" t="s">
        <v>8801</v>
      </c>
      <c r="R1190" t="s">
        <v>8802</v>
      </c>
      <c r="S1190">
        <v>826</v>
      </c>
      <c r="T1190" t="s">
        <v>52</v>
      </c>
      <c r="U1190">
        <v>9</v>
      </c>
      <c r="V1190" t="s">
        <v>1678</v>
      </c>
      <c r="W1190" t="s">
        <v>54</v>
      </c>
      <c r="X1190" t="s">
        <v>76</v>
      </c>
      <c r="Y1190" t="s">
        <v>56</v>
      </c>
      <c r="Z1190">
        <v>1099</v>
      </c>
      <c r="AA1190">
        <v>49</v>
      </c>
      <c r="AB1190">
        <v>37</v>
      </c>
      <c r="AC1190" t="s">
        <v>6483</v>
      </c>
      <c r="AD1190" t="s">
        <v>8803</v>
      </c>
      <c r="AE1190" t="s">
        <v>6485</v>
      </c>
      <c r="AJ1190" s="2">
        <v>45855.937395833331</v>
      </c>
      <c r="AK1190" t="s">
        <v>556</v>
      </c>
      <c r="AL1190" t="s">
        <v>65</v>
      </c>
      <c r="AM1190" s="4">
        <v>0.97916666666666663</v>
      </c>
      <c r="AN1190" t="s">
        <v>66</v>
      </c>
      <c r="AO1190" t="s">
        <v>67</v>
      </c>
    </row>
    <row r="1191" spans="1:41" x14ac:dyDescent="0.2">
      <c r="A1191">
        <v>371880</v>
      </c>
      <c r="B1191" t="s">
        <v>8804</v>
      </c>
      <c r="C1191" t="s">
        <v>182</v>
      </c>
      <c r="D1191" t="s">
        <v>1628</v>
      </c>
      <c r="E1191" t="s">
        <v>8805</v>
      </c>
      <c r="F1191">
        <v>41402</v>
      </c>
      <c r="G1191" s="1">
        <v>35579</v>
      </c>
      <c r="H1191" s="1">
        <v>45817</v>
      </c>
      <c r="I1191" s="1">
        <v>46204</v>
      </c>
      <c r="J1191" t="s">
        <v>45</v>
      </c>
      <c r="K1191" t="s">
        <v>45</v>
      </c>
      <c r="L1191" t="s">
        <v>429</v>
      </c>
      <c r="M1191" s="1">
        <v>45064</v>
      </c>
      <c r="N1191" t="s">
        <v>47</v>
      </c>
      <c r="O1191" t="s">
        <v>48</v>
      </c>
      <c r="P1191" t="s">
        <v>49</v>
      </c>
      <c r="Q1191" t="s">
        <v>8806</v>
      </c>
      <c r="R1191" t="s">
        <v>8807</v>
      </c>
      <c r="S1191">
        <v>4807</v>
      </c>
      <c r="T1191" t="s">
        <v>52</v>
      </c>
      <c r="U1191">
        <v>5</v>
      </c>
      <c r="V1191" t="s">
        <v>492</v>
      </c>
      <c r="W1191" t="s">
        <v>54</v>
      </c>
      <c r="X1191" t="s">
        <v>493</v>
      </c>
      <c r="Y1191" t="s">
        <v>434</v>
      </c>
      <c r="Z1191">
        <v>934</v>
      </c>
      <c r="AA1191">
        <v>62</v>
      </c>
      <c r="AB1191">
        <v>34</v>
      </c>
      <c r="AC1191" t="s">
        <v>6995</v>
      </c>
      <c r="AD1191" t="s">
        <v>6919</v>
      </c>
      <c r="AE1191" t="s">
        <v>6920</v>
      </c>
      <c r="AF1191" t="s">
        <v>6921</v>
      </c>
      <c r="AG1191" t="s">
        <v>6922</v>
      </c>
      <c r="AH1191" t="s">
        <v>6923</v>
      </c>
      <c r="AI1191" t="s">
        <v>6924</v>
      </c>
      <c r="AJ1191" s="2">
        <v>45821.862766203703</v>
      </c>
      <c r="AK1191" t="s">
        <v>1472</v>
      </c>
      <c r="AL1191" t="s">
        <v>65</v>
      </c>
      <c r="AM1191" s="3">
        <v>1.5</v>
      </c>
      <c r="AN1191" t="s">
        <v>66</v>
      </c>
      <c r="AO1191" t="s">
        <v>67</v>
      </c>
    </row>
    <row r="1192" spans="1:41" x14ac:dyDescent="0.2">
      <c r="A1192">
        <v>372920</v>
      </c>
      <c r="B1192" t="s">
        <v>8808</v>
      </c>
      <c r="C1192" t="s">
        <v>167</v>
      </c>
      <c r="D1192" t="s">
        <v>3504</v>
      </c>
      <c r="E1192" t="s">
        <v>8809</v>
      </c>
      <c r="F1192">
        <v>352550</v>
      </c>
      <c r="G1192" s="1">
        <v>30517</v>
      </c>
      <c r="H1192" s="1">
        <v>45700</v>
      </c>
      <c r="I1192" s="1">
        <v>46054</v>
      </c>
      <c r="J1192" t="s">
        <v>45</v>
      </c>
      <c r="K1192" t="s">
        <v>45</v>
      </c>
      <c r="L1192" t="s">
        <v>429</v>
      </c>
      <c r="M1192" s="1">
        <v>41815</v>
      </c>
      <c r="N1192" t="s">
        <v>47</v>
      </c>
      <c r="O1192" t="s">
        <v>48</v>
      </c>
      <c r="P1192" t="s">
        <v>49</v>
      </c>
      <c r="Q1192" t="s">
        <v>8810</v>
      </c>
      <c r="R1192" t="s">
        <v>8811</v>
      </c>
      <c r="S1192">
        <v>1915</v>
      </c>
      <c r="T1192" t="s">
        <v>365</v>
      </c>
      <c r="U1192" t="s">
        <v>532</v>
      </c>
      <c r="V1192" t="s">
        <v>3508</v>
      </c>
      <c r="W1192" t="s">
        <v>367</v>
      </c>
      <c r="X1192" t="s">
        <v>76</v>
      </c>
      <c r="Y1192" t="s">
        <v>434</v>
      </c>
      <c r="Z1192">
        <v>299</v>
      </c>
      <c r="AA1192">
        <v>66</v>
      </c>
      <c r="AB1192">
        <v>38</v>
      </c>
      <c r="AC1192" t="s">
        <v>3254</v>
      </c>
      <c r="AD1192" t="s">
        <v>3255</v>
      </c>
      <c r="AE1192" t="s">
        <v>3256</v>
      </c>
      <c r="AI1192" t="s">
        <v>179</v>
      </c>
      <c r="AJ1192" s="2">
        <v>45855.901203703703</v>
      </c>
      <c r="AK1192" t="s">
        <v>556</v>
      </c>
      <c r="AL1192" t="s">
        <v>65</v>
      </c>
      <c r="AM1192" s="3">
        <v>2.2430555555555554</v>
      </c>
      <c r="AN1192" t="s">
        <v>66</v>
      </c>
      <c r="AO1192" t="s">
        <v>67</v>
      </c>
    </row>
    <row r="1193" spans="1:41" x14ac:dyDescent="0.2">
      <c r="A1193">
        <v>368930</v>
      </c>
      <c r="B1193" t="s">
        <v>8812</v>
      </c>
      <c r="C1193" t="s">
        <v>182</v>
      </c>
      <c r="D1193" t="s">
        <v>443</v>
      </c>
      <c r="E1193" t="s">
        <v>8813</v>
      </c>
      <c r="F1193">
        <v>44520</v>
      </c>
      <c r="G1193" s="1">
        <v>37081</v>
      </c>
      <c r="H1193" s="1">
        <v>45546</v>
      </c>
      <c r="I1193" s="1">
        <v>46188</v>
      </c>
      <c r="J1193" t="s">
        <v>45</v>
      </c>
      <c r="K1193" t="s">
        <v>45</v>
      </c>
      <c r="L1193" t="s">
        <v>46</v>
      </c>
      <c r="M1193" s="1">
        <v>42908</v>
      </c>
      <c r="N1193" t="s">
        <v>47</v>
      </c>
      <c r="O1193" t="s">
        <v>48</v>
      </c>
      <c r="P1193" t="s">
        <v>49</v>
      </c>
      <c r="Q1193" t="s">
        <v>8814</v>
      </c>
      <c r="R1193" t="s">
        <v>8815</v>
      </c>
      <c r="S1193">
        <v>7431</v>
      </c>
      <c r="T1193" t="s">
        <v>52</v>
      </c>
      <c r="U1193">
        <v>5</v>
      </c>
      <c r="V1193" t="s">
        <v>1817</v>
      </c>
      <c r="W1193" t="s">
        <v>54</v>
      </c>
      <c r="X1193" t="s">
        <v>493</v>
      </c>
      <c r="Y1193" t="s">
        <v>434</v>
      </c>
      <c r="Z1193">
        <v>1877</v>
      </c>
      <c r="AA1193">
        <v>60</v>
      </c>
      <c r="AB1193">
        <v>144</v>
      </c>
      <c r="AC1193" t="s">
        <v>1821</v>
      </c>
      <c r="AD1193" t="s">
        <v>1822</v>
      </c>
      <c r="AE1193" t="s">
        <v>1823</v>
      </c>
      <c r="AF1193" t="s">
        <v>6403</v>
      </c>
      <c r="AG1193" t="s">
        <v>6404</v>
      </c>
      <c r="AH1193" t="s">
        <v>6405</v>
      </c>
      <c r="AI1193" t="s">
        <v>8816</v>
      </c>
      <c r="AJ1193" s="2">
        <v>45722.91547453704</v>
      </c>
      <c r="AK1193" t="s">
        <v>501</v>
      </c>
      <c r="AL1193" t="s">
        <v>65</v>
      </c>
      <c r="AM1193" s="3">
        <v>2.1597222222222223</v>
      </c>
      <c r="AN1193" t="s">
        <v>66</v>
      </c>
      <c r="AO1193" t="s">
        <v>67</v>
      </c>
    </row>
    <row r="1194" spans="1:41" x14ac:dyDescent="0.2">
      <c r="A1194">
        <v>364729</v>
      </c>
      <c r="B1194" t="s">
        <v>8817</v>
      </c>
      <c r="C1194" t="s">
        <v>134</v>
      </c>
      <c r="D1194" t="s">
        <v>8818</v>
      </c>
      <c r="E1194">
        <v>52125562</v>
      </c>
      <c r="F1194">
        <v>452318</v>
      </c>
      <c r="G1194" s="1">
        <v>39216</v>
      </c>
      <c r="H1194" s="1">
        <v>45554</v>
      </c>
      <c r="I1194" s="1">
        <v>46266</v>
      </c>
      <c r="J1194" t="s">
        <v>45</v>
      </c>
      <c r="K1194" t="s">
        <v>45</v>
      </c>
      <c r="L1194" t="s">
        <v>429</v>
      </c>
      <c r="N1194" t="s">
        <v>47</v>
      </c>
      <c r="O1194" t="s">
        <v>48</v>
      </c>
      <c r="P1194" t="s">
        <v>49</v>
      </c>
      <c r="Q1194" t="s">
        <v>8819</v>
      </c>
      <c r="R1194" t="s">
        <v>8820</v>
      </c>
      <c r="S1194">
        <v>2106</v>
      </c>
      <c r="T1194" t="s">
        <v>296</v>
      </c>
      <c r="U1194" t="s">
        <v>2267</v>
      </c>
      <c r="V1194" t="s">
        <v>8821</v>
      </c>
      <c r="W1194" t="s">
        <v>299</v>
      </c>
      <c r="X1194" t="s">
        <v>76</v>
      </c>
      <c r="Y1194" t="s">
        <v>56</v>
      </c>
      <c r="Z1194">
        <v>2912</v>
      </c>
      <c r="AA1194">
        <v>32</v>
      </c>
      <c r="AB1194">
        <v>166</v>
      </c>
      <c r="AC1194" t="s">
        <v>8822</v>
      </c>
      <c r="AD1194" t="s">
        <v>8823</v>
      </c>
      <c r="AE1194" t="s">
        <v>8824</v>
      </c>
      <c r="AF1194" t="s">
        <v>8825</v>
      </c>
      <c r="AG1194" t="s">
        <v>8826</v>
      </c>
      <c r="AH1194" t="s">
        <v>8824</v>
      </c>
      <c r="AI1194" t="s">
        <v>2274</v>
      </c>
      <c r="AJ1194" s="2">
        <v>45558.684189814812</v>
      </c>
      <c r="AK1194" t="s">
        <v>2517</v>
      </c>
      <c r="AL1194" t="s">
        <v>65</v>
      </c>
      <c r="AM1194" s="3">
        <v>2.3333333333333335</v>
      </c>
      <c r="AN1194" t="s">
        <v>66</v>
      </c>
      <c r="AO1194" t="s">
        <v>67</v>
      </c>
    </row>
    <row r="1195" spans="1:41" x14ac:dyDescent="0.2">
      <c r="A1195">
        <v>368870</v>
      </c>
      <c r="B1195" t="s">
        <v>8827</v>
      </c>
      <c r="C1195" t="s">
        <v>182</v>
      </c>
      <c r="D1195" t="s">
        <v>779</v>
      </c>
      <c r="E1195" s="5" t="s">
        <v>8828</v>
      </c>
      <c r="F1195">
        <v>45627</v>
      </c>
      <c r="G1195" s="1">
        <v>39865</v>
      </c>
      <c r="H1195" s="1">
        <v>45713</v>
      </c>
      <c r="I1195" s="1">
        <v>46068</v>
      </c>
      <c r="J1195" t="s">
        <v>45</v>
      </c>
      <c r="K1195" t="s">
        <v>45</v>
      </c>
      <c r="L1195" t="s">
        <v>429</v>
      </c>
      <c r="M1195" s="1">
        <v>43603</v>
      </c>
      <c r="N1195" t="s">
        <v>47</v>
      </c>
      <c r="O1195" t="s">
        <v>48</v>
      </c>
      <c r="P1195" t="s">
        <v>49</v>
      </c>
      <c r="Q1195" t="s">
        <v>8829</v>
      </c>
      <c r="R1195" t="s">
        <v>8830</v>
      </c>
      <c r="S1195">
        <v>2233</v>
      </c>
      <c r="T1195" t="s">
        <v>365</v>
      </c>
      <c r="U1195" t="s">
        <v>815</v>
      </c>
      <c r="V1195" t="s">
        <v>816</v>
      </c>
      <c r="W1195" t="s">
        <v>367</v>
      </c>
      <c r="X1195" t="s">
        <v>493</v>
      </c>
      <c r="Y1195" t="s">
        <v>434</v>
      </c>
      <c r="Z1195">
        <v>183</v>
      </c>
      <c r="AA1195">
        <v>77</v>
      </c>
      <c r="AB1195">
        <v>80</v>
      </c>
      <c r="AC1195" t="s">
        <v>817</v>
      </c>
      <c r="AD1195" t="s">
        <v>818</v>
      </c>
      <c r="AE1195" t="s">
        <v>819</v>
      </c>
      <c r="AI1195" t="s">
        <v>179</v>
      </c>
      <c r="AJ1195" s="2">
        <v>45722.884143518517</v>
      </c>
      <c r="AK1195" t="s">
        <v>1472</v>
      </c>
      <c r="AL1195" t="s">
        <v>65</v>
      </c>
      <c r="AM1195" s="4">
        <v>0.70138888888888884</v>
      </c>
      <c r="AN1195" t="s">
        <v>66</v>
      </c>
      <c r="AO1195" t="s">
        <v>67</v>
      </c>
    </row>
    <row r="1196" spans="1:41" x14ac:dyDescent="0.2">
      <c r="A1196">
        <v>371217</v>
      </c>
      <c r="B1196" t="s">
        <v>8831</v>
      </c>
      <c r="C1196" t="s">
        <v>103</v>
      </c>
      <c r="D1196" t="s">
        <v>1216</v>
      </c>
      <c r="E1196" s="5">
        <v>333667</v>
      </c>
      <c r="F1196">
        <v>315803</v>
      </c>
      <c r="G1196" s="1">
        <v>35735</v>
      </c>
      <c r="H1196" s="1">
        <v>45793</v>
      </c>
      <c r="I1196" s="1">
        <v>46143</v>
      </c>
      <c r="J1196" t="s">
        <v>45</v>
      </c>
      <c r="K1196" t="s">
        <v>45</v>
      </c>
      <c r="L1196" t="s">
        <v>46</v>
      </c>
      <c r="M1196" s="1">
        <v>45795</v>
      </c>
      <c r="N1196" t="s">
        <v>47</v>
      </c>
      <c r="O1196" t="s">
        <v>48</v>
      </c>
      <c r="P1196" t="s">
        <v>49</v>
      </c>
      <c r="Q1196" t="s">
        <v>8832</v>
      </c>
      <c r="R1196" t="s">
        <v>8833</v>
      </c>
      <c r="S1196">
        <v>4203</v>
      </c>
      <c r="T1196" t="s">
        <v>52</v>
      </c>
      <c r="U1196">
        <v>8</v>
      </c>
      <c r="V1196" t="s">
        <v>3759</v>
      </c>
      <c r="W1196" t="s">
        <v>54</v>
      </c>
      <c r="X1196" t="s">
        <v>76</v>
      </c>
      <c r="Y1196" t="s">
        <v>56</v>
      </c>
      <c r="Z1196">
        <v>1131</v>
      </c>
      <c r="AA1196">
        <v>36</v>
      </c>
      <c r="AB1196">
        <v>15</v>
      </c>
      <c r="AC1196" t="s">
        <v>4921</v>
      </c>
      <c r="AD1196" t="s">
        <v>5874</v>
      </c>
      <c r="AE1196" t="s">
        <v>8172</v>
      </c>
      <c r="AF1196" t="s">
        <v>3760</v>
      </c>
      <c r="AG1196" t="s">
        <v>5874</v>
      </c>
      <c r="AH1196" t="s">
        <v>3762</v>
      </c>
      <c r="AJ1196" s="2">
        <v>45798.894571759258</v>
      </c>
      <c r="AK1196" t="s">
        <v>717</v>
      </c>
      <c r="AL1196" t="s">
        <v>65</v>
      </c>
      <c r="AM1196" s="4">
        <v>0.72569444444444442</v>
      </c>
      <c r="AN1196" t="s">
        <v>66</v>
      </c>
      <c r="AO1196" t="s">
        <v>101</v>
      </c>
    </row>
    <row r="1197" spans="1:41" x14ac:dyDescent="0.2">
      <c r="A1197">
        <v>371395</v>
      </c>
      <c r="B1197" t="s">
        <v>8834</v>
      </c>
      <c r="C1197" t="s">
        <v>2298</v>
      </c>
      <c r="E1197" t="s">
        <v>8835</v>
      </c>
      <c r="F1197">
        <v>221502</v>
      </c>
      <c r="G1197" s="1">
        <v>35556</v>
      </c>
      <c r="H1197" s="1">
        <v>45470</v>
      </c>
      <c r="I1197" s="1">
        <v>46204</v>
      </c>
      <c r="J1197" t="s">
        <v>45</v>
      </c>
      <c r="K1197" t="s">
        <v>45</v>
      </c>
      <c r="L1197" t="s">
        <v>72</v>
      </c>
      <c r="M1197" s="1">
        <v>44153</v>
      </c>
      <c r="N1197" t="s">
        <v>47</v>
      </c>
      <c r="O1197" t="s">
        <v>48</v>
      </c>
      <c r="P1197" t="s">
        <v>49</v>
      </c>
      <c r="Q1197" t="s">
        <v>8836</v>
      </c>
      <c r="R1197" t="s">
        <v>8837</v>
      </c>
      <c r="S1197">
        <v>320</v>
      </c>
      <c r="T1197" t="s">
        <v>257</v>
      </c>
      <c r="U1197" t="s">
        <v>1691</v>
      </c>
      <c r="V1197" t="s">
        <v>8838</v>
      </c>
      <c r="W1197" t="s">
        <v>260</v>
      </c>
      <c r="X1197" t="s">
        <v>257</v>
      </c>
      <c r="Y1197" t="s">
        <v>110</v>
      </c>
      <c r="Z1197">
        <v>1194</v>
      </c>
      <c r="AA1197">
        <v>47</v>
      </c>
      <c r="AB1197">
        <v>66</v>
      </c>
      <c r="AC1197" t="s">
        <v>8839</v>
      </c>
      <c r="AD1197" t="s">
        <v>8840</v>
      </c>
      <c r="AE1197" t="s">
        <v>8841</v>
      </c>
      <c r="AF1197" t="s">
        <v>8842</v>
      </c>
      <c r="AG1197" t="s">
        <v>8843</v>
      </c>
      <c r="AI1197" t="s">
        <v>8840</v>
      </c>
      <c r="AJ1197" s="2">
        <v>45807.679502314815</v>
      </c>
      <c r="AK1197" t="s">
        <v>8839</v>
      </c>
      <c r="AL1197" t="s">
        <v>65</v>
      </c>
      <c r="AM1197" s="3">
        <v>2.1944444444444446</v>
      </c>
      <c r="AN1197" t="s">
        <v>66</v>
      </c>
      <c r="AO1197" t="s">
        <v>67</v>
      </c>
    </row>
    <row r="1198" spans="1:41" x14ac:dyDescent="0.2">
      <c r="A1198">
        <v>366781</v>
      </c>
      <c r="B1198" t="s">
        <v>8844</v>
      </c>
      <c r="C1198" t="s">
        <v>236</v>
      </c>
      <c r="D1198" t="s">
        <v>5957</v>
      </c>
      <c r="E1198" t="s">
        <v>8845</v>
      </c>
      <c r="F1198">
        <v>211702</v>
      </c>
      <c r="G1198" s="1">
        <v>37328</v>
      </c>
      <c r="H1198" s="1">
        <v>45573</v>
      </c>
      <c r="J1198" t="s">
        <v>45</v>
      </c>
      <c r="K1198" t="s">
        <v>45</v>
      </c>
      <c r="L1198" t="s">
        <v>72</v>
      </c>
      <c r="M1198" s="1">
        <v>44516</v>
      </c>
      <c r="N1198" t="s">
        <v>47</v>
      </c>
      <c r="O1198" t="s">
        <v>48</v>
      </c>
      <c r="P1198" t="s">
        <v>49</v>
      </c>
      <c r="Q1198" t="s">
        <v>8846</v>
      </c>
      <c r="R1198" t="s">
        <v>8847</v>
      </c>
      <c r="S1198">
        <v>1295</v>
      </c>
      <c r="T1198" t="s">
        <v>92</v>
      </c>
      <c r="U1198" t="s">
        <v>1509</v>
      </c>
      <c r="V1198" t="s">
        <v>506</v>
      </c>
      <c r="W1198" t="s">
        <v>1510</v>
      </c>
      <c r="X1198" t="s">
        <v>52</v>
      </c>
      <c r="Y1198" t="s">
        <v>410</v>
      </c>
      <c r="Z1198">
        <v>1392</v>
      </c>
      <c r="AA1198">
        <v>52</v>
      </c>
      <c r="AB1198">
        <v>174</v>
      </c>
      <c r="AC1198" t="s">
        <v>1511</v>
      </c>
      <c r="AD1198" t="s">
        <v>1512</v>
      </c>
      <c r="AE1198" t="s">
        <v>1513</v>
      </c>
      <c r="AF1198" t="s">
        <v>8848</v>
      </c>
      <c r="AG1198" t="s">
        <v>6934</v>
      </c>
      <c r="AH1198" t="s">
        <v>6935</v>
      </c>
      <c r="AI1198" t="s">
        <v>6936</v>
      </c>
      <c r="AJ1198" s="2">
        <v>45791.806805555556</v>
      </c>
      <c r="AK1198" t="s">
        <v>100</v>
      </c>
      <c r="AL1198" t="s">
        <v>65</v>
      </c>
      <c r="AM1198" s="4">
        <v>0.30555555555555558</v>
      </c>
      <c r="AN1198" t="s">
        <v>66</v>
      </c>
      <c r="AO1198" t="s">
        <v>67</v>
      </c>
    </row>
    <row r="1199" spans="1:41" x14ac:dyDescent="0.2">
      <c r="A1199">
        <v>369961</v>
      </c>
      <c r="B1199" t="s">
        <v>8849</v>
      </c>
      <c r="C1199" t="s">
        <v>1244</v>
      </c>
      <c r="D1199" t="s">
        <v>8552</v>
      </c>
      <c r="E1199" t="s">
        <v>8850</v>
      </c>
      <c r="F1199">
        <v>460101</v>
      </c>
      <c r="G1199" s="1">
        <v>38449</v>
      </c>
      <c r="H1199" s="1">
        <v>45630</v>
      </c>
      <c r="J1199" t="s">
        <v>45</v>
      </c>
      <c r="K1199" t="s">
        <v>45</v>
      </c>
      <c r="L1199" t="s">
        <v>545</v>
      </c>
      <c r="M1199" s="1">
        <v>43581</v>
      </c>
      <c r="N1199" t="s">
        <v>47</v>
      </c>
      <c r="O1199" t="s">
        <v>48</v>
      </c>
      <c r="P1199" t="s">
        <v>49</v>
      </c>
      <c r="Q1199" t="s">
        <v>8851</v>
      </c>
      <c r="R1199" t="s">
        <v>8852</v>
      </c>
      <c r="S1199">
        <v>1142</v>
      </c>
      <c r="T1199" t="s">
        <v>92</v>
      </c>
      <c r="U1199" t="s">
        <v>1249</v>
      </c>
      <c r="V1199" t="s">
        <v>1250</v>
      </c>
      <c r="W1199" t="s">
        <v>1251</v>
      </c>
      <c r="X1199" t="s">
        <v>92</v>
      </c>
      <c r="Y1199" t="s">
        <v>770</v>
      </c>
      <c r="Z1199">
        <v>2692</v>
      </c>
      <c r="AA1199">
        <v>36</v>
      </c>
      <c r="AB1199">
        <v>144</v>
      </c>
      <c r="AC1199" t="s">
        <v>8853</v>
      </c>
      <c r="AD1199" t="s">
        <v>8854</v>
      </c>
      <c r="AE1199" t="s">
        <v>1254</v>
      </c>
      <c r="AF1199" t="s">
        <v>1255</v>
      </c>
      <c r="AG1199" t="s">
        <v>1256</v>
      </c>
      <c r="AH1199" t="s">
        <v>1257</v>
      </c>
      <c r="AI1199" t="s">
        <v>1258</v>
      </c>
      <c r="AJ1199" s="2">
        <v>45758.627835648149</v>
      </c>
      <c r="AK1199" t="s">
        <v>375</v>
      </c>
      <c r="AL1199" t="s">
        <v>65</v>
      </c>
      <c r="AM1199" s="4">
        <v>0.6875</v>
      </c>
      <c r="AN1199" t="s">
        <v>66</v>
      </c>
      <c r="AO1199" t="s">
        <v>67</v>
      </c>
    </row>
    <row r="1200" spans="1:41" x14ac:dyDescent="0.2">
      <c r="A1200">
        <v>371532</v>
      </c>
      <c r="B1200" t="s">
        <v>8855</v>
      </c>
      <c r="C1200" t="s">
        <v>735</v>
      </c>
      <c r="D1200" t="s">
        <v>3495</v>
      </c>
      <c r="E1200" t="s">
        <v>8856</v>
      </c>
      <c r="F1200">
        <v>245609</v>
      </c>
      <c r="G1200" s="1">
        <v>37711</v>
      </c>
      <c r="H1200" s="1">
        <v>45798</v>
      </c>
      <c r="I1200" s="1">
        <v>46143</v>
      </c>
      <c r="J1200" t="s">
        <v>45</v>
      </c>
      <c r="K1200" t="s">
        <v>45</v>
      </c>
      <c r="L1200" t="s">
        <v>72</v>
      </c>
      <c r="M1200" s="1">
        <v>40676</v>
      </c>
      <c r="N1200" t="s">
        <v>47</v>
      </c>
      <c r="O1200" t="s">
        <v>48</v>
      </c>
      <c r="P1200" t="s">
        <v>49</v>
      </c>
      <c r="Q1200" t="s">
        <v>8857</v>
      </c>
      <c r="R1200" t="s">
        <v>8858</v>
      </c>
      <c r="S1200">
        <v>3986</v>
      </c>
      <c r="T1200" t="s">
        <v>257</v>
      </c>
      <c r="U1200" t="s">
        <v>283</v>
      </c>
      <c r="V1200" t="s">
        <v>8859</v>
      </c>
      <c r="W1200" t="s">
        <v>260</v>
      </c>
      <c r="X1200" t="s">
        <v>257</v>
      </c>
      <c r="Y1200" t="s">
        <v>110</v>
      </c>
      <c r="Z1200">
        <v>2354</v>
      </c>
      <c r="AA1200">
        <v>41</v>
      </c>
      <c r="AB1200">
        <v>38</v>
      </c>
      <c r="AC1200" t="s">
        <v>3743</v>
      </c>
      <c r="AD1200" t="s">
        <v>1425</v>
      </c>
      <c r="AE1200" t="s">
        <v>8860</v>
      </c>
      <c r="AF1200" t="s">
        <v>8151</v>
      </c>
      <c r="AG1200" t="s">
        <v>8152</v>
      </c>
      <c r="AH1200" t="s">
        <v>8153</v>
      </c>
      <c r="AI1200" t="s">
        <v>1425</v>
      </c>
      <c r="AJ1200" s="2">
        <v>45814.617013888892</v>
      </c>
      <c r="AK1200" t="s">
        <v>3743</v>
      </c>
      <c r="AL1200" t="s">
        <v>65</v>
      </c>
      <c r="AM1200" s="3">
        <v>1.2430555555555556</v>
      </c>
      <c r="AN1200" t="s">
        <v>66</v>
      </c>
      <c r="AO1200" t="s">
        <v>67</v>
      </c>
    </row>
    <row r="1201" spans="1:41" x14ac:dyDescent="0.2">
      <c r="A1201">
        <v>364399</v>
      </c>
      <c r="B1201" t="s">
        <v>8861</v>
      </c>
      <c r="C1201" t="s">
        <v>118</v>
      </c>
      <c r="D1201" t="s">
        <v>1396</v>
      </c>
      <c r="E1201" t="s">
        <v>8862</v>
      </c>
      <c r="F1201">
        <v>20609</v>
      </c>
      <c r="G1201" s="1">
        <v>36846</v>
      </c>
      <c r="H1201" s="1">
        <v>45544</v>
      </c>
      <c r="I1201" s="1">
        <v>46174</v>
      </c>
      <c r="J1201" t="s">
        <v>45</v>
      </c>
      <c r="K1201" t="s">
        <v>45</v>
      </c>
      <c r="L1201" t="s">
        <v>72</v>
      </c>
      <c r="N1201" t="s">
        <v>47</v>
      </c>
      <c r="O1201" t="s">
        <v>48</v>
      </c>
      <c r="P1201" t="s">
        <v>49</v>
      </c>
      <c r="Q1201" t="s">
        <v>8863</v>
      </c>
      <c r="R1201" t="s">
        <v>8864</v>
      </c>
      <c r="S1201">
        <v>5732</v>
      </c>
      <c r="T1201" t="s">
        <v>296</v>
      </c>
      <c r="U1201" t="s">
        <v>297</v>
      </c>
      <c r="V1201" t="s">
        <v>1400</v>
      </c>
      <c r="W1201" t="s">
        <v>299</v>
      </c>
      <c r="X1201" t="s">
        <v>55</v>
      </c>
      <c r="Y1201" t="s">
        <v>56</v>
      </c>
      <c r="Z1201">
        <v>1769</v>
      </c>
      <c r="AA1201">
        <v>39</v>
      </c>
      <c r="AB1201">
        <v>28</v>
      </c>
      <c r="AC1201" t="s">
        <v>1401</v>
      </c>
      <c r="AD1201" t="s">
        <v>1402</v>
      </c>
      <c r="AE1201" t="s">
        <v>1403</v>
      </c>
      <c r="AF1201" t="s">
        <v>303</v>
      </c>
      <c r="AG1201" t="s">
        <v>304</v>
      </c>
      <c r="AH1201" t="s">
        <v>305</v>
      </c>
      <c r="AI1201" t="s">
        <v>306</v>
      </c>
      <c r="AJ1201" s="2">
        <v>45545.214259259257</v>
      </c>
      <c r="AK1201" t="s">
        <v>4471</v>
      </c>
      <c r="AL1201" t="s">
        <v>65</v>
      </c>
      <c r="AM1201" s="3">
        <v>1.3701388888888888</v>
      </c>
      <c r="AN1201" t="s">
        <v>66</v>
      </c>
      <c r="AO1201" t="s">
        <v>67</v>
      </c>
    </row>
    <row r="1202" spans="1:41" x14ac:dyDescent="0.2">
      <c r="A1202">
        <v>371584</v>
      </c>
      <c r="B1202" t="s">
        <v>8865</v>
      </c>
      <c r="C1202" t="s">
        <v>309</v>
      </c>
      <c r="E1202" t="s">
        <v>8866</v>
      </c>
      <c r="F1202" t="s">
        <v>8867</v>
      </c>
      <c r="G1202" s="1">
        <v>45162</v>
      </c>
      <c r="H1202" s="1">
        <v>45733</v>
      </c>
      <c r="I1202" s="1">
        <v>45992</v>
      </c>
      <c r="J1202" t="s">
        <v>45</v>
      </c>
      <c r="K1202" t="s">
        <v>45</v>
      </c>
      <c r="L1202" t="s">
        <v>72</v>
      </c>
      <c r="N1202" t="s">
        <v>89</v>
      </c>
      <c r="O1202" t="s">
        <v>121</v>
      </c>
      <c r="P1202" t="s">
        <v>49</v>
      </c>
      <c r="Q1202" t="s">
        <v>8868</v>
      </c>
      <c r="R1202" t="s">
        <v>8869</v>
      </c>
      <c r="S1202">
        <v>119</v>
      </c>
      <c r="T1202" t="s">
        <v>92</v>
      </c>
      <c r="U1202" t="s">
        <v>313</v>
      </c>
      <c r="V1202" t="s">
        <v>314</v>
      </c>
      <c r="W1202" t="s">
        <v>315</v>
      </c>
      <c r="X1202" t="s">
        <v>92</v>
      </c>
      <c r="Y1202" t="s">
        <v>110</v>
      </c>
      <c r="Z1202">
        <v>4728</v>
      </c>
      <c r="AA1202">
        <v>47</v>
      </c>
      <c r="AB1202">
        <v>210</v>
      </c>
      <c r="AC1202" t="s">
        <v>8870</v>
      </c>
      <c r="AD1202" t="s">
        <v>8871</v>
      </c>
      <c r="AE1202" t="s">
        <v>8872</v>
      </c>
      <c r="AF1202" t="s">
        <v>319</v>
      </c>
      <c r="AG1202" t="s">
        <v>320</v>
      </c>
      <c r="AH1202" t="s">
        <v>8873</v>
      </c>
      <c r="AI1202" t="s">
        <v>321</v>
      </c>
      <c r="AJ1202" s="2">
        <v>45817.638229166667</v>
      </c>
      <c r="AK1202" t="s">
        <v>800</v>
      </c>
      <c r="AL1202" t="s">
        <v>65</v>
      </c>
      <c r="AM1202" s="3">
        <v>2.0138888888888888</v>
      </c>
      <c r="AN1202" t="s">
        <v>66</v>
      </c>
      <c r="AO1202" t="s">
        <v>67</v>
      </c>
    </row>
    <row r="1203" spans="1:41" x14ac:dyDescent="0.2">
      <c r="A1203">
        <v>362624</v>
      </c>
      <c r="B1203" t="s">
        <v>8874</v>
      </c>
      <c r="C1203" t="s">
        <v>692</v>
      </c>
      <c r="D1203" t="s">
        <v>8520</v>
      </c>
      <c r="E1203" t="s">
        <v>8875</v>
      </c>
      <c r="F1203">
        <v>481302</v>
      </c>
      <c r="G1203" s="1">
        <v>35333</v>
      </c>
      <c r="H1203" s="1">
        <v>45491</v>
      </c>
      <c r="I1203" s="1">
        <v>46204</v>
      </c>
      <c r="J1203" t="s">
        <v>45</v>
      </c>
      <c r="K1203" t="s">
        <v>45</v>
      </c>
      <c r="L1203" t="s">
        <v>72</v>
      </c>
      <c r="M1203" s="1">
        <v>37105</v>
      </c>
      <c r="N1203" t="s">
        <v>47</v>
      </c>
      <c r="O1203" t="s">
        <v>48</v>
      </c>
      <c r="P1203" t="s">
        <v>49</v>
      </c>
      <c r="Q1203" t="s">
        <v>8876</v>
      </c>
      <c r="R1203" t="s">
        <v>8877</v>
      </c>
      <c r="S1203">
        <v>6726</v>
      </c>
      <c r="T1203" t="s">
        <v>52</v>
      </c>
      <c r="U1203">
        <v>4</v>
      </c>
      <c r="V1203" t="s">
        <v>1423</v>
      </c>
      <c r="W1203" t="s">
        <v>54</v>
      </c>
      <c r="X1203" t="s">
        <v>76</v>
      </c>
      <c r="Y1203" t="s">
        <v>56</v>
      </c>
      <c r="Z1203">
        <v>785</v>
      </c>
      <c r="AA1203">
        <v>52</v>
      </c>
      <c r="AB1203">
        <v>138</v>
      </c>
      <c r="AC1203" t="s">
        <v>3743</v>
      </c>
      <c r="AD1203" t="s">
        <v>1425</v>
      </c>
      <c r="AE1203" t="s">
        <v>1426</v>
      </c>
      <c r="AF1203" t="s">
        <v>3743</v>
      </c>
      <c r="AG1203" t="s">
        <v>1425</v>
      </c>
      <c r="AH1203" t="s">
        <v>1426</v>
      </c>
      <c r="AI1203" t="s">
        <v>179</v>
      </c>
      <c r="AJ1203" s="2">
        <v>45492.036747685182</v>
      </c>
      <c r="AK1203" t="s">
        <v>132</v>
      </c>
      <c r="AL1203" t="s">
        <v>65</v>
      </c>
      <c r="AM1203" s="3">
        <v>2.1458333333333335</v>
      </c>
      <c r="AN1203" t="s">
        <v>66</v>
      </c>
      <c r="AO1203" t="s">
        <v>67</v>
      </c>
    </row>
    <row r="1204" spans="1:41" x14ac:dyDescent="0.2">
      <c r="A1204">
        <v>371798</v>
      </c>
      <c r="B1204" t="s">
        <v>8878</v>
      </c>
      <c r="C1204" t="s">
        <v>323</v>
      </c>
      <c r="D1204" t="s">
        <v>372</v>
      </c>
      <c r="E1204" t="s">
        <v>8879</v>
      </c>
      <c r="F1204">
        <v>500417</v>
      </c>
      <c r="G1204" s="1">
        <v>33394</v>
      </c>
      <c r="H1204" s="1">
        <v>45776</v>
      </c>
      <c r="I1204" s="1">
        <v>46037</v>
      </c>
      <c r="J1204" t="s">
        <v>45</v>
      </c>
      <c r="K1204" t="s">
        <v>45</v>
      </c>
      <c r="L1204" t="s">
        <v>72</v>
      </c>
      <c r="N1204" t="s">
        <v>47</v>
      </c>
      <c r="O1204" t="s">
        <v>48</v>
      </c>
      <c r="P1204" t="s">
        <v>49</v>
      </c>
      <c r="Q1204" t="s">
        <v>8880</v>
      </c>
      <c r="R1204" t="s">
        <v>8881</v>
      </c>
      <c r="S1204">
        <v>1075</v>
      </c>
      <c r="T1204" t="s">
        <v>156</v>
      </c>
      <c r="U1204" t="s">
        <v>460</v>
      </c>
      <c r="V1204" t="s">
        <v>330</v>
      </c>
      <c r="W1204" t="s">
        <v>159</v>
      </c>
      <c r="X1204" t="s">
        <v>76</v>
      </c>
      <c r="Y1204" t="s">
        <v>110</v>
      </c>
      <c r="Z1204">
        <v>469</v>
      </c>
      <c r="AA1204">
        <v>50</v>
      </c>
      <c r="AB1204">
        <v>158</v>
      </c>
      <c r="AC1204" t="s">
        <v>368</v>
      </c>
      <c r="AD1204" t="s">
        <v>369</v>
      </c>
      <c r="AE1204" t="s">
        <v>370</v>
      </c>
      <c r="AF1204" t="s">
        <v>463</v>
      </c>
      <c r="AG1204" t="s">
        <v>464</v>
      </c>
      <c r="AH1204" t="s">
        <v>465</v>
      </c>
      <c r="AI1204" t="s">
        <v>466</v>
      </c>
      <c r="AJ1204" s="2">
        <v>45819.755891203706</v>
      </c>
      <c r="AK1204" t="s">
        <v>727</v>
      </c>
      <c r="AL1204" t="s">
        <v>65</v>
      </c>
      <c r="AM1204" s="4">
        <v>0.875</v>
      </c>
      <c r="AN1204" t="s">
        <v>66</v>
      </c>
      <c r="AO1204" t="s">
        <v>67</v>
      </c>
    </row>
    <row r="1205" spans="1:41" x14ac:dyDescent="0.2">
      <c r="A1205">
        <v>370235</v>
      </c>
      <c r="B1205" t="s">
        <v>8882</v>
      </c>
      <c r="C1205" t="s">
        <v>182</v>
      </c>
      <c r="D1205" t="s">
        <v>183</v>
      </c>
      <c r="E1205" t="s">
        <v>8883</v>
      </c>
      <c r="G1205" s="1">
        <v>44839</v>
      </c>
      <c r="H1205" s="1">
        <v>45761</v>
      </c>
      <c r="I1205" s="1">
        <v>46113</v>
      </c>
      <c r="J1205" t="s">
        <v>45</v>
      </c>
      <c r="K1205" t="s">
        <v>45</v>
      </c>
      <c r="L1205" t="s">
        <v>46</v>
      </c>
      <c r="M1205" s="1">
        <v>41102</v>
      </c>
      <c r="N1205" t="s">
        <v>47</v>
      </c>
      <c r="O1205" t="s">
        <v>48</v>
      </c>
      <c r="P1205" t="s">
        <v>49</v>
      </c>
      <c r="Q1205" t="s">
        <v>8884</v>
      </c>
      <c r="R1205" t="s">
        <v>8885</v>
      </c>
      <c r="S1205">
        <v>1218</v>
      </c>
      <c r="T1205" t="s">
        <v>1328</v>
      </c>
      <c r="U1205" t="s">
        <v>6905</v>
      </c>
      <c r="V1205" t="s">
        <v>6906</v>
      </c>
      <c r="W1205" t="s">
        <v>6907</v>
      </c>
      <c r="X1205" t="s">
        <v>493</v>
      </c>
      <c r="Y1205" t="s">
        <v>434</v>
      </c>
      <c r="Z1205">
        <v>3050</v>
      </c>
      <c r="AA1205">
        <v>22</v>
      </c>
      <c r="AB1205">
        <v>138</v>
      </c>
      <c r="AC1205" t="s">
        <v>6908</v>
      </c>
      <c r="AD1205" t="s">
        <v>6909</v>
      </c>
      <c r="AE1205" t="s">
        <v>6910</v>
      </c>
      <c r="AF1205" t="s">
        <v>6911</v>
      </c>
      <c r="AG1205" t="s">
        <v>6912</v>
      </c>
      <c r="AH1205" t="s">
        <v>6913</v>
      </c>
      <c r="AJ1205" s="2">
        <v>45768.589953703704</v>
      </c>
      <c r="AK1205" t="s">
        <v>1472</v>
      </c>
      <c r="AL1205" t="s">
        <v>65</v>
      </c>
      <c r="AM1205" s="3">
        <v>1.7986111111111112</v>
      </c>
      <c r="AN1205" t="s">
        <v>66</v>
      </c>
      <c r="AO1205" t="s">
        <v>67</v>
      </c>
    </row>
    <row r="1206" spans="1:41" x14ac:dyDescent="0.2">
      <c r="A1206">
        <v>371073</v>
      </c>
      <c r="B1206" t="s">
        <v>8886</v>
      </c>
      <c r="C1206" t="s">
        <v>103</v>
      </c>
      <c r="D1206" t="s">
        <v>8887</v>
      </c>
      <c r="E1206" t="s">
        <v>8888</v>
      </c>
      <c r="F1206">
        <v>319507</v>
      </c>
      <c r="G1206" s="1">
        <v>37490</v>
      </c>
      <c r="H1206" s="1">
        <v>45006</v>
      </c>
      <c r="I1206" s="1">
        <v>46327</v>
      </c>
      <c r="J1206" t="s">
        <v>45</v>
      </c>
      <c r="K1206" t="s">
        <v>45</v>
      </c>
      <c r="L1206" t="s">
        <v>72</v>
      </c>
      <c r="M1206" s="1">
        <v>41877</v>
      </c>
      <c r="N1206" t="s">
        <v>47</v>
      </c>
      <c r="O1206" t="s">
        <v>48</v>
      </c>
      <c r="P1206" t="s">
        <v>49</v>
      </c>
      <c r="Q1206" t="s">
        <v>8889</v>
      </c>
      <c r="R1206" t="s">
        <v>8890</v>
      </c>
      <c r="S1206">
        <v>42</v>
      </c>
      <c r="T1206" t="s">
        <v>92</v>
      </c>
      <c r="U1206" t="s">
        <v>107</v>
      </c>
      <c r="V1206" t="s">
        <v>108</v>
      </c>
      <c r="W1206" t="s">
        <v>109</v>
      </c>
      <c r="X1206" t="s">
        <v>52</v>
      </c>
      <c r="Y1206" t="s">
        <v>110</v>
      </c>
      <c r="Z1206">
        <v>1943</v>
      </c>
      <c r="AA1206">
        <v>48</v>
      </c>
      <c r="AB1206">
        <v>144</v>
      </c>
      <c r="AC1206" t="s">
        <v>2022</v>
      </c>
      <c r="AD1206" t="s">
        <v>2023</v>
      </c>
      <c r="AE1206" t="s">
        <v>2024</v>
      </c>
      <c r="AF1206" t="s">
        <v>2025</v>
      </c>
      <c r="AG1206" t="s">
        <v>2026</v>
      </c>
      <c r="AH1206" t="s">
        <v>2027</v>
      </c>
      <c r="AI1206" t="s">
        <v>8891</v>
      </c>
      <c r="AJ1206" s="2">
        <v>45818.719537037039</v>
      </c>
      <c r="AK1206" t="s">
        <v>100</v>
      </c>
      <c r="AL1206" t="s">
        <v>65</v>
      </c>
      <c r="AM1206" s="4">
        <v>0.4375</v>
      </c>
      <c r="AN1206" t="s">
        <v>66</v>
      </c>
      <c r="AO1206" t="s">
        <v>67</v>
      </c>
    </row>
    <row r="1207" spans="1:41" x14ac:dyDescent="0.2">
      <c r="A1207">
        <v>371136</v>
      </c>
      <c r="B1207" t="s">
        <v>8892</v>
      </c>
      <c r="C1207" t="s">
        <v>236</v>
      </c>
      <c r="D1207" t="s">
        <v>198</v>
      </c>
      <c r="E1207" t="s">
        <v>8893</v>
      </c>
      <c r="G1207" s="1">
        <v>45790</v>
      </c>
      <c r="H1207" s="1">
        <v>45790</v>
      </c>
      <c r="I1207" s="1">
        <v>45931</v>
      </c>
      <c r="J1207" t="s">
        <v>45</v>
      </c>
      <c r="K1207" t="s">
        <v>45</v>
      </c>
      <c r="L1207" t="s">
        <v>46</v>
      </c>
      <c r="N1207" t="s">
        <v>47</v>
      </c>
      <c r="O1207" t="s">
        <v>48</v>
      </c>
      <c r="P1207" t="s">
        <v>49</v>
      </c>
      <c r="Q1207" t="s">
        <v>8894</v>
      </c>
      <c r="R1207" t="s">
        <v>8895</v>
      </c>
      <c r="S1207">
        <v>1826</v>
      </c>
      <c r="T1207" t="s">
        <v>52</v>
      </c>
      <c r="U1207">
        <v>9</v>
      </c>
      <c r="V1207" t="s">
        <v>7038</v>
      </c>
      <c r="W1207" t="s">
        <v>54</v>
      </c>
      <c r="X1207" t="s">
        <v>76</v>
      </c>
      <c r="Y1207" t="s">
        <v>56</v>
      </c>
      <c r="Z1207">
        <v>12290</v>
      </c>
      <c r="AA1207">
        <v>6</v>
      </c>
      <c r="AB1207">
        <v>15</v>
      </c>
      <c r="AC1207" t="s">
        <v>8896</v>
      </c>
      <c r="AD1207" t="s">
        <v>8897</v>
      </c>
      <c r="AE1207" t="s">
        <v>8898</v>
      </c>
      <c r="AF1207" t="s">
        <v>8899</v>
      </c>
      <c r="AG1207" t="s">
        <v>5961</v>
      </c>
      <c r="AH1207" t="s">
        <v>8900</v>
      </c>
      <c r="AI1207" t="s">
        <v>179</v>
      </c>
      <c r="AJ1207" s="2">
        <v>45797.508773148147</v>
      </c>
      <c r="AK1207" t="s">
        <v>132</v>
      </c>
      <c r="AL1207" t="s">
        <v>65</v>
      </c>
      <c r="AM1207" s="4">
        <v>0.78819444444444442</v>
      </c>
      <c r="AN1207" t="s">
        <v>66</v>
      </c>
      <c r="AO1207" t="s">
        <v>101</v>
      </c>
    </row>
    <row r="1208" spans="1:41" x14ac:dyDescent="0.2">
      <c r="A1208">
        <v>371732</v>
      </c>
      <c r="B1208" t="s">
        <v>8901</v>
      </c>
      <c r="C1208" t="s">
        <v>323</v>
      </c>
      <c r="D1208" t="s">
        <v>372</v>
      </c>
      <c r="E1208" t="s">
        <v>8902</v>
      </c>
      <c r="F1208">
        <v>500309</v>
      </c>
      <c r="G1208" s="1">
        <v>37017</v>
      </c>
      <c r="H1208" s="1">
        <v>45795</v>
      </c>
      <c r="I1208" s="1">
        <v>46037</v>
      </c>
      <c r="J1208" t="s">
        <v>45</v>
      </c>
      <c r="K1208" t="s">
        <v>326</v>
      </c>
      <c r="L1208" t="s">
        <v>72</v>
      </c>
      <c r="M1208" s="1">
        <v>45060</v>
      </c>
      <c r="N1208" t="s">
        <v>47</v>
      </c>
      <c r="O1208" t="s">
        <v>48</v>
      </c>
      <c r="P1208" t="s">
        <v>49</v>
      </c>
      <c r="Q1208" t="s">
        <v>8903</v>
      </c>
      <c r="R1208" t="s">
        <v>8904</v>
      </c>
      <c r="S1208">
        <v>685</v>
      </c>
      <c r="T1208" t="s">
        <v>365</v>
      </c>
      <c r="U1208" t="s">
        <v>366</v>
      </c>
      <c r="V1208" t="s">
        <v>330</v>
      </c>
      <c r="W1208" t="s">
        <v>367</v>
      </c>
      <c r="X1208" t="s">
        <v>76</v>
      </c>
      <c r="Y1208" t="s">
        <v>110</v>
      </c>
      <c r="Z1208">
        <v>35</v>
      </c>
      <c r="AA1208">
        <v>36</v>
      </c>
      <c r="AB1208">
        <v>152</v>
      </c>
      <c r="AC1208" t="s">
        <v>368</v>
      </c>
      <c r="AD1208" t="s">
        <v>369</v>
      </c>
      <c r="AE1208" t="s">
        <v>370</v>
      </c>
      <c r="AF1208" t="s">
        <v>384</v>
      </c>
      <c r="AG1208" t="s">
        <v>385</v>
      </c>
      <c r="AH1208" t="s">
        <v>386</v>
      </c>
      <c r="AJ1208" s="2">
        <v>45818.789201388892</v>
      </c>
      <c r="AK1208" t="s">
        <v>727</v>
      </c>
      <c r="AL1208" t="s">
        <v>475</v>
      </c>
      <c r="AM1208" s="3">
        <v>2.2638888888888888</v>
      </c>
      <c r="AN1208" t="s">
        <v>66</v>
      </c>
      <c r="AO1208" t="s">
        <v>67</v>
      </c>
    </row>
    <row r="1209" spans="1:41" x14ac:dyDescent="0.2">
      <c r="A1209">
        <v>368442</v>
      </c>
      <c r="B1209" t="s">
        <v>8905</v>
      </c>
      <c r="C1209" t="s">
        <v>182</v>
      </c>
      <c r="D1209" t="s">
        <v>8772</v>
      </c>
      <c r="E1209" t="s">
        <v>8906</v>
      </c>
      <c r="F1209">
        <v>44406</v>
      </c>
      <c r="G1209" s="1">
        <v>37602</v>
      </c>
      <c r="H1209" s="1">
        <v>45710</v>
      </c>
      <c r="J1209" t="s">
        <v>45</v>
      </c>
      <c r="K1209" t="s">
        <v>72</v>
      </c>
      <c r="L1209" t="s">
        <v>72</v>
      </c>
      <c r="M1209" s="1">
        <v>38912</v>
      </c>
      <c r="N1209" t="s">
        <v>47</v>
      </c>
      <c r="O1209" t="s">
        <v>48</v>
      </c>
      <c r="P1209" t="s">
        <v>49</v>
      </c>
      <c r="Q1209" t="s">
        <v>8907</v>
      </c>
      <c r="R1209" t="s">
        <v>8908</v>
      </c>
      <c r="S1209">
        <v>404</v>
      </c>
      <c r="T1209" t="s">
        <v>92</v>
      </c>
      <c r="U1209" t="s">
        <v>187</v>
      </c>
      <c r="V1209" t="s">
        <v>447</v>
      </c>
      <c r="W1209" t="s">
        <v>448</v>
      </c>
      <c r="X1209" t="s">
        <v>92</v>
      </c>
      <c r="Y1209" t="s">
        <v>450</v>
      </c>
      <c r="Z1209">
        <v>2337</v>
      </c>
      <c r="AA1209">
        <v>41</v>
      </c>
      <c r="AB1209">
        <v>38</v>
      </c>
      <c r="AC1209" t="s">
        <v>451</v>
      </c>
      <c r="AD1209" t="s">
        <v>452</v>
      </c>
      <c r="AE1209" t="s">
        <v>453</v>
      </c>
      <c r="AF1209" t="s">
        <v>454</v>
      </c>
      <c r="AG1209" t="s">
        <v>473</v>
      </c>
      <c r="AH1209" t="s">
        <v>474</v>
      </c>
      <c r="AJ1209" s="2">
        <v>45712.684166666666</v>
      </c>
      <c r="AK1209" t="s">
        <v>526</v>
      </c>
      <c r="AL1209" t="s">
        <v>65</v>
      </c>
      <c r="AM1209" s="4">
        <v>0.54166666666666663</v>
      </c>
      <c r="AN1209" t="s">
        <v>66</v>
      </c>
      <c r="AO1209" t="s">
        <v>67</v>
      </c>
    </row>
    <row r="1210" spans="1:41" x14ac:dyDescent="0.2">
      <c r="A1210">
        <v>366326</v>
      </c>
      <c r="B1210" t="s">
        <v>8909</v>
      </c>
      <c r="C1210" t="s">
        <v>86</v>
      </c>
      <c r="D1210" t="s">
        <v>8910</v>
      </c>
      <c r="E1210" t="s">
        <v>8911</v>
      </c>
      <c r="F1210">
        <v>206901</v>
      </c>
      <c r="G1210" s="1">
        <v>38932</v>
      </c>
      <c r="H1210" s="1">
        <v>45610</v>
      </c>
      <c r="I1210" s="1">
        <v>45962</v>
      </c>
      <c r="J1210" t="s">
        <v>45</v>
      </c>
      <c r="K1210" t="s">
        <v>45</v>
      </c>
      <c r="L1210" t="s">
        <v>72</v>
      </c>
      <c r="M1210" s="1">
        <v>43749</v>
      </c>
      <c r="N1210" t="s">
        <v>47</v>
      </c>
      <c r="O1210" t="s">
        <v>48</v>
      </c>
      <c r="P1210" t="s">
        <v>49</v>
      </c>
      <c r="Q1210" t="s">
        <v>8912</v>
      </c>
      <c r="R1210" t="s">
        <v>8913</v>
      </c>
      <c r="S1210">
        <v>906</v>
      </c>
      <c r="T1210" t="s">
        <v>92</v>
      </c>
      <c r="U1210" t="s">
        <v>93</v>
      </c>
      <c r="V1210" t="s">
        <v>506</v>
      </c>
      <c r="W1210" t="s">
        <v>507</v>
      </c>
      <c r="X1210" t="s">
        <v>92</v>
      </c>
      <c r="Y1210" t="s">
        <v>110</v>
      </c>
      <c r="Z1210">
        <v>2516</v>
      </c>
      <c r="AA1210">
        <v>38</v>
      </c>
      <c r="AB1210">
        <v>144</v>
      </c>
      <c r="AC1210" t="s">
        <v>508</v>
      </c>
      <c r="AD1210" t="s">
        <v>509</v>
      </c>
      <c r="AE1210" t="s">
        <v>2361</v>
      </c>
      <c r="AF1210" t="s">
        <v>8914</v>
      </c>
      <c r="AG1210" t="s">
        <v>8915</v>
      </c>
      <c r="AH1210" t="s">
        <v>8916</v>
      </c>
      <c r="AI1210" t="s">
        <v>8917</v>
      </c>
      <c r="AJ1210" s="2">
        <v>45615.048726851855</v>
      </c>
      <c r="AK1210" t="s">
        <v>508</v>
      </c>
      <c r="AL1210" t="s">
        <v>65</v>
      </c>
      <c r="AM1210" s="4">
        <v>5.5555555555555552E-2</v>
      </c>
      <c r="AN1210" t="s">
        <v>66</v>
      </c>
      <c r="AO1210" t="s">
        <v>67</v>
      </c>
    </row>
    <row r="1211" spans="1:41" x14ac:dyDescent="0.2">
      <c r="A1211">
        <v>368745</v>
      </c>
      <c r="B1211" t="s">
        <v>8918</v>
      </c>
      <c r="C1211" t="s">
        <v>2298</v>
      </c>
      <c r="D1211" t="s">
        <v>8919</v>
      </c>
      <c r="E1211" t="s">
        <v>8920</v>
      </c>
      <c r="F1211">
        <v>223501</v>
      </c>
      <c r="G1211" s="1">
        <v>38342</v>
      </c>
      <c r="H1211" s="1">
        <v>45706</v>
      </c>
      <c r="J1211" t="s">
        <v>45</v>
      </c>
      <c r="K1211" t="s">
        <v>45</v>
      </c>
      <c r="L1211" t="s">
        <v>72</v>
      </c>
      <c r="N1211" t="s">
        <v>47</v>
      </c>
      <c r="O1211" t="s">
        <v>48</v>
      </c>
      <c r="P1211" t="s">
        <v>49</v>
      </c>
      <c r="Q1211" t="s">
        <v>8921</v>
      </c>
      <c r="R1211" t="s">
        <v>8922</v>
      </c>
      <c r="S1211">
        <v>22</v>
      </c>
      <c r="T1211" t="s">
        <v>92</v>
      </c>
      <c r="U1211" t="s">
        <v>5509</v>
      </c>
      <c r="V1211" t="s">
        <v>5510</v>
      </c>
      <c r="W1211" t="s">
        <v>5511</v>
      </c>
      <c r="X1211" t="s">
        <v>52</v>
      </c>
      <c r="Y1211" t="s">
        <v>770</v>
      </c>
      <c r="Z1211">
        <v>2608</v>
      </c>
      <c r="AA1211">
        <v>29</v>
      </c>
      <c r="AB1211">
        <v>176</v>
      </c>
      <c r="AC1211" t="s">
        <v>5512</v>
      </c>
      <c r="AD1211" t="s">
        <v>5513</v>
      </c>
      <c r="AE1211" t="s">
        <v>5514</v>
      </c>
      <c r="AF1211" t="s">
        <v>5515</v>
      </c>
      <c r="AG1211" t="s">
        <v>5516</v>
      </c>
      <c r="AH1211" t="s">
        <v>5517</v>
      </c>
      <c r="AI1211" t="s">
        <v>5518</v>
      </c>
      <c r="AJ1211" s="2">
        <v>45824.58525462963</v>
      </c>
      <c r="AK1211" t="s">
        <v>5519</v>
      </c>
      <c r="AL1211" t="s">
        <v>65</v>
      </c>
      <c r="AM1211" s="4">
        <v>0.3888888888888889</v>
      </c>
      <c r="AN1211" t="s">
        <v>66</v>
      </c>
      <c r="AO1211" t="s">
        <v>67</v>
      </c>
    </row>
    <row r="1212" spans="1:41" x14ac:dyDescent="0.2">
      <c r="A1212">
        <v>371413</v>
      </c>
      <c r="B1212" t="s">
        <v>8923</v>
      </c>
      <c r="C1212" t="s">
        <v>323</v>
      </c>
      <c r="D1212" t="s">
        <v>3429</v>
      </c>
      <c r="E1212" t="s">
        <v>8924</v>
      </c>
      <c r="F1212">
        <v>500965</v>
      </c>
      <c r="G1212" s="1">
        <v>38946</v>
      </c>
      <c r="H1212" s="1">
        <v>45807</v>
      </c>
      <c r="I1212" s="1">
        <v>46037</v>
      </c>
      <c r="J1212" t="s">
        <v>45</v>
      </c>
      <c r="K1212" t="s">
        <v>45</v>
      </c>
      <c r="L1212" t="s">
        <v>72</v>
      </c>
      <c r="M1212" s="1">
        <v>45807</v>
      </c>
      <c r="N1212" t="s">
        <v>47</v>
      </c>
      <c r="O1212" t="s">
        <v>48</v>
      </c>
      <c r="P1212" t="s">
        <v>49</v>
      </c>
      <c r="Q1212" t="s">
        <v>8925</v>
      </c>
      <c r="R1212" t="s">
        <v>8926</v>
      </c>
      <c r="S1212">
        <v>1112</v>
      </c>
      <c r="T1212" t="s">
        <v>92</v>
      </c>
      <c r="U1212" t="s">
        <v>329</v>
      </c>
      <c r="V1212" t="s">
        <v>722</v>
      </c>
      <c r="W1212" t="s">
        <v>723</v>
      </c>
      <c r="Y1212" t="s">
        <v>110</v>
      </c>
      <c r="Z1212">
        <v>1429</v>
      </c>
      <c r="AA1212">
        <v>35</v>
      </c>
      <c r="AB1212">
        <v>152</v>
      </c>
      <c r="AC1212" t="s">
        <v>368</v>
      </c>
      <c r="AD1212" t="s">
        <v>369</v>
      </c>
      <c r="AE1212" t="s">
        <v>370</v>
      </c>
      <c r="AF1212" t="s">
        <v>2406</v>
      </c>
      <c r="AG1212" t="s">
        <v>332</v>
      </c>
      <c r="AH1212" t="s">
        <v>333</v>
      </c>
      <c r="AI1212" t="s">
        <v>2409</v>
      </c>
      <c r="AJ1212" s="2">
        <v>45810.008125</v>
      </c>
      <c r="AK1212" t="s">
        <v>331</v>
      </c>
      <c r="AL1212" t="s">
        <v>65</v>
      </c>
      <c r="AM1212" s="3">
        <v>2.2708333333333335</v>
      </c>
      <c r="AN1212" t="s">
        <v>66</v>
      </c>
      <c r="AO1212" t="s">
        <v>67</v>
      </c>
    </row>
    <row r="1213" spans="1:41" x14ac:dyDescent="0.2">
      <c r="A1213">
        <v>363156</v>
      </c>
      <c r="B1213" t="s">
        <v>8927</v>
      </c>
      <c r="C1213" t="s">
        <v>182</v>
      </c>
      <c r="D1213" t="s">
        <v>6734</v>
      </c>
      <c r="E1213" t="s">
        <v>8928</v>
      </c>
      <c r="F1213">
        <v>41909</v>
      </c>
      <c r="G1213" s="1">
        <v>40351</v>
      </c>
      <c r="H1213" s="1">
        <v>45503</v>
      </c>
      <c r="J1213" t="s">
        <v>45</v>
      </c>
      <c r="K1213" t="s">
        <v>45</v>
      </c>
      <c r="L1213" t="s">
        <v>72</v>
      </c>
      <c r="M1213" s="1">
        <v>43123</v>
      </c>
      <c r="N1213" t="s">
        <v>47</v>
      </c>
      <c r="O1213" t="s">
        <v>48</v>
      </c>
      <c r="P1213" t="s">
        <v>49</v>
      </c>
      <c r="Q1213" t="s">
        <v>8929</v>
      </c>
      <c r="R1213" t="s">
        <v>8930</v>
      </c>
      <c r="S1213">
        <v>7121</v>
      </c>
      <c r="T1213" t="s">
        <v>92</v>
      </c>
      <c r="U1213" t="s">
        <v>187</v>
      </c>
      <c r="V1213" t="s">
        <v>447</v>
      </c>
      <c r="W1213" t="s">
        <v>448</v>
      </c>
      <c r="X1213" t="s">
        <v>449</v>
      </c>
      <c r="Y1213" t="s">
        <v>450</v>
      </c>
      <c r="Z1213">
        <v>3627</v>
      </c>
      <c r="AA1213">
        <v>32</v>
      </c>
      <c r="AB1213">
        <v>66</v>
      </c>
      <c r="AC1213" t="s">
        <v>451</v>
      </c>
      <c r="AD1213" t="s">
        <v>452</v>
      </c>
      <c r="AE1213" t="s">
        <v>453</v>
      </c>
      <c r="AF1213" t="s">
        <v>8931</v>
      </c>
      <c r="AG1213" t="s">
        <v>8932</v>
      </c>
      <c r="AH1213" t="s">
        <v>8933</v>
      </c>
      <c r="AJ1213" s="2">
        <v>45505.822453703702</v>
      </c>
      <c r="AK1213" t="s">
        <v>650</v>
      </c>
      <c r="AL1213" t="s">
        <v>65</v>
      </c>
      <c r="AM1213" s="4">
        <v>0.80555555555555558</v>
      </c>
      <c r="AN1213" t="s">
        <v>66</v>
      </c>
      <c r="AO1213" t="s">
        <v>67</v>
      </c>
    </row>
    <row r="1214" spans="1:41" x14ac:dyDescent="0.2">
      <c r="A1214">
        <v>372073</v>
      </c>
      <c r="B1214" t="s">
        <v>8934</v>
      </c>
      <c r="C1214" t="s">
        <v>788</v>
      </c>
      <c r="D1214" t="s">
        <v>2282</v>
      </c>
      <c r="E1214" t="s">
        <v>8935</v>
      </c>
      <c r="F1214">
        <v>86301</v>
      </c>
      <c r="G1214" s="1">
        <v>41582</v>
      </c>
      <c r="H1214" s="1">
        <v>45798</v>
      </c>
      <c r="I1214" s="1">
        <v>46174</v>
      </c>
      <c r="J1214" t="s">
        <v>45</v>
      </c>
      <c r="K1214" t="s">
        <v>45</v>
      </c>
      <c r="L1214" t="s">
        <v>72</v>
      </c>
      <c r="M1214" s="1">
        <v>45500</v>
      </c>
      <c r="N1214" t="s">
        <v>47</v>
      </c>
      <c r="O1214" t="s">
        <v>48</v>
      </c>
      <c r="P1214" t="s">
        <v>49</v>
      </c>
      <c r="Q1214" t="s">
        <v>8936</v>
      </c>
      <c r="R1214" t="s">
        <v>8937</v>
      </c>
      <c r="S1214">
        <v>14</v>
      </c>
      <c r="T1214" t="s">
        <v>257</v>
      </c>
      <c r="U1214" t="s">
        <v>1691</v>
      </c>
      <c r="V1214" t="s">
        <v>2286</v>
      </c>
      <c r="W1214" t="s">
        <v>260</v>
      </c>
      <c r="X1214" t="s">
        <v>257</v>
      </c>
      <c r="Y1214" t="s">
        <v>110</v>
      </c>
      <c r="Z1214">
        <v>6566</v>
      </c>
      <c r="AA1214">
        <v>28</v>
      </c>
      <c r="AB1214">
        <v>45</v>
      </c>
      <c r="AC1214" t="s">
        <v>2287</v>
      </c>
      <c r="AD1214" t="s">
        <v>2288</v>
      </c>
      <c r="AE1214" t="s">
        <v>2289</v>
      </c>
      <c r="AF1214" t="s">
        <v>2290</v>
      </c>
      <c r="AG1214" t="s">
        <v>2291</v>
      </c>
      <c r="AH1214" t="s">
        <v>2292</v>
      </c>
      <c r="AI1214" t="s">
        <v>2293</v>
      </c>
      <c r="AJ1214" s="2">
        <v>45828.663182870368</v>
      </c>
      <c r="AK1214" t="s">
        <v>2287</v>
      </c>
      <c r="AL1214" t="s">
        <v>65</v>
      </c>
      <c r="AM1214" s="3">
        <v>1.8958333333333333</v>
      </c>
      <c r="AN1214" t="s">
        <v>66</v>
      </c>
      <c r="AO1214" t="s">
        <v>101</v>
      </c>
    </row>
    <row r="1215" spans="1:41" x14ac:dyDescent="0.2">
      <c r="A1215">
        <v>307254</v>
      </c>
      <c r="B1215" t="s">
        <v>8938</v>
      </c>
      <c r="C1215" t="s">
        <v>309</v>
      </c>
      <c r="D1215" t="s">
        <v>8509</v>
      </c>
      <c r="E1215" s="5">
        <v>327945</v>
      </c>
      <c r="G1215" s="1">
        <v>37162</v>
      </c>
      <c r="H1215" s="1">
        <v>41754</v>
      </c>
      <c r="J1215" t="s">
        <v>72</v>
      </c>
      <c r="K1215" t="s">
        <v>45</v>
      </c>
      <c r="L1215" t="s">
        <v>72</v>
      </c>
      <c r="M1215" s="1">
        <v>41192</v>
      </c>
      <c r="N1215" t="s">
        <v>89</v>
      </c>
      <c r="O1215" t="s">
        <v>48</v>
      </c>
      <c r="P1215" t="s">
        <v>1752</v>
      </c>
      <c r="Q1215" t="s">
        <v>8939</v>
      </c>
      <c r="R1215" t="s">
        <v>8940</v>
      </c>
      <c r="S1215">
        <v>70</v>
      </c>
      <c r="T1215" t="s">
        <v>92</v>
      </c>
      <c r="U1215" t="s">
        <v>313</v>
      </c>
      <c r="V1215" t="s">
        <v>8513</v>
      </c>
      <c r="W1215" t="s">
        <v>3116</v>
      </c>
      <c r="X1215" t="s">
        <v>92</v>
      </c>
      <c r="Y1215" t="s">
        <v>410</v>
      </c>
      <c r="Z1215">
        <v>1912</v>
      </c>
      <c r="AA1215">
        <v>24</v>
      </c>
      <c r="AB1215">
        <v>76</v>
      </c>
      <c r="AC1215" t="s">
        <v>8514</v>
      </c>
      <c r="AD1215" t="s">
        <v>8515</v>
      </c>
      <c r="AE1215" t="s">
        <v>8516</v>
      </c>
      <c r="AF1215" t="s">
        <v>8941</v>
      </c>
      <c r="AH1215" t="s">
        <v>8518</v>
      </c>
      <c r="AI1215" t="s">
        <v>8515</v>
      </c>
      <c r="AJ1215" s="2">
        <v>44142.643541666665</v>
      </c>
      <c r="AK1215" t="s">
        <v>132</v>
      </c>
      <c r="AL1215" t="s">
        <v>3105</v>
      </c>
      <c r="AM1215" s="3">
        <v>2.2430555555555554</v>
      </c>
      <c r="AN1215" t="s">
        <v>66</v>
      </c>
      <c r="AO1215" t="s">
        <v>67</v>
      </c>
    </row>
    <row r="1216" spans="1:41" x14ac:dyDescent="0.2">
      <c r="A1216">
        <v>372022</v>
      </c>
      <c r="B1216" t="s">
        <v>8942</v>
      </c>
      <c r="C1216" t="s">
        <v>309</v>
      </c>
      <c r="D1216" t="s">
        <v>6367</v>
      </c>
      <c r="E1216" t="s">
        <v>8943</v>
      </c>
      <c r="F1216">
        <v>492020</v>
      </c>
      <c r="G1216" s="1">
        <v>39993</v>
      </c>
      <c r="H1216" s="1">
        <v>45602</v>
      </c>
      <c r="J1216" t="s">
        <v>326</v>
      </c>
      <c r="K1216" t="s">
        <v>72</v>
      </c>
      <c r="L1216" t="s">
        <v>72</v>
      </c>
      <c r="M1216" s="1">
        <v>45825</v>
      </c>
      <c r="N1216" t="s">
        <v>47</v>
      </c>
      <c r="O1216" t="s">
        <v>48</v>
      </c>
      <c r="P1216" t="s">
        <v>1752</v>
      </c>
      <c r="Q1216" t="s">
        <v>8944</v>
      </c>
      <c r="R1216" t="s">
        <v>8945</v>
      </c>
      <c r="S1216">
        <v>5</v>
      </c>
      <c r="T1216" t="s">
        <v>156</v>
      </c>
      <c r="U1216" t="s">
        <v>4608</v>
      </c>
      <c r="V1216" t="s">
        <v>8946</v>
      </c>
      <c r="W1216" t="s">
        <v>159</v>
      </c>
      <c r="X1216" t="s">
        <v>156</v>
      </c>
      <c r="Y1216" t="s">
        <v>110</v>
      </c>
      <c r="Z1216">
        <v>3074</v>
      </c>
      <c r="AA1216">
        <v>26</v>
      </c>
      <c r="AB1216">
        <v>38</v>
      </c>
      <c r="AC1216" t="s">
        <v>646</v>
      </c>
      <c r="AD1216" t="s">
        <v>8507</v>
      </c>
      <c r="AE1216" t="s">
        <v>648</v>
      </c>
      <c r="AI1216" t="s">
        <v>647</v>
      </c>
      <c r="AJ1216" s="2">
        <v>45827.099305555559</v>
      </c>
      <c r="AK1216" t="s">
        <v>646</v>
      </c>
      <c r="AL1216" t="s">
        <v>475</v>
      </c>
      <c r="AM1216" s="3">
        <v>1.7361111111111112</v>
      </c>
      <c r="AN1216" t="s">
        <v>809</v>
      </c>
      <c r="AO1216" t="s">
        <v>67</v>
      </c>
    </row>
    <row r="1217" spans="1:41" x14ac:dyDescent="0.2">
      <c r="A1217">
        <v>357460</v>
      </c>
      <c r="B1217" t="s">
        <v>8947</v>
      </c>
      <c r="C1217" t="s">
        <v>167</v>
      </c>
      <c r="D1217" t="s">
        <v>8948</v>
      </c>
      <c r="E1217" t="s">
        <v>8949</v>
      </c>
      <c r="J1217" t="s">
        <v>45</v>
      </c>
      <c r="K1217" t="s">
        <v>45</v>
      </c>
      <c r="L1217" t="s">
        <v>72</v>
      </c>
      <c r="N1217" t="s">
        <v>89</v>
      </c>
      <c r="O1217" t="s">
        <v>48</v>
      </c>
      <c r="P1217" t="s">
        <v>49</v>
      </c>
      <c r="T1217" t="s">
        <v>449</v>
      </c>
      <c r="U1217" t="s">
        <v>3030</v>
      </c>
      <c r="V1217" t="s">
        <v>6945</v>
      </c>
      <c r="W1217" t="s">
        <v>6946</v>
      </c>
      <c r="X1217" t="s">
        <v>449</v>
      </c>
      <c r="Y1217" t="s">
        <v>96</v>
      </c>
      <c r="Z1217">
        <v>11430</v>
      </c>
      <c r="AA1217">
        <v>3</v>
      </c>
      <c r="AB1217">
        <v>210</v>
      </c>
      <c r="AC1217" t="s">
        <v>8950</v>
      </c>
      <c r="AD1217" t="s">
        <v>8951</v>
      </c>
      <c r="AE1217" t="s">
        <v>8952</v>
      </c>
      <c r="AJ1217" s="2">
        <v>45330.712824074071</v>
      </c>
      <c r="AK1217" t="s">
        <v>149</v>
      </c>
      <c r="AL1217" t="s">
        <v>65</v>
      </c>
      <c r="AM1217" s="4">
        <v>0.27777777777777779</v>
      </c>
      <c r="AN1217" t="s">
        <v>66</v>
      </c>
      <c r="AO1217" t="s">
        <v>67</v>
      </c>
    </row>
    <row r="1218" spans="1:41" x14ac:dyDescent="0.2">
      <c r="A1218">
        <v>373052</v>
      </c>
      <c r="B1218" t="s">
        <v>8953</v>
      </c>
      <c r="C1218" t="s">
        <v>69</v>
      </c>
      <c r="D1218" t="s">
        <v>4660</v>
      </c>
      <c r="E1218" t="s">
        <v>8954</v>
      </c>
      <c r="F1218">
        <v>100208</v>
      </c>
      <c r="G1218" s="1">
        <v>34912</v>
      </c>
      <c r="H1218" s="1">
        <v>45855</v>
      </c>
      <c r="I1218" s="1">
        <v>46204</v>
      </c>
      <c r="J1218" t="s">
        <v>45</v>
      </c>
      <c r="K1218" t="s">
        <v>45</v>
      </c>
      <c r="L1218" t="s">
        <v>46</v>
      </c>
      <c r="M1218" s="1">
        <v>44533</v>
      </c>
      <c r="N1218" t="s">
        <v>47</v>
      </c>
      <c r="O1218" t="s">
        <v>48</v>
      </c>
      <c r="P1218" t="s">
        <v>49</v>
      </c>
      <c r="Q1218" t="s">
        <v>8955</v>
      </c>
      <c r="R1218" t="s">
        <v>8956</v>
      </c>
      <c r="S1218">
        <v>2270</v>
      </c>
      <c r="T1218" t="s">
        <v>52</v>
      </c>
      <c r="U1218">
        <v>1</v>
      </c>
      <c r="V1218" t="s">
        <v>3148</v>
      </c>
      <c r="W1218" t="s">
        <v>54</v>
      </c>
      <c r="X1218" t="s">
        <v>76</v>
      </c>
      <c r="Y1218" t="s">
        <v>56</v>
      </c>
      <c r="Z1218">
        <v>1170</v>
      </c>
      <c r="AA1218">
        <v>63</v>
      </c>
      <c r="AB1218">
        <v>146</v>
      </c>
      <c r="AC1218" t="s">
        <v>3149</v>
      </c>
      <c r="AD1218" t="s">
        <v>3150</v>
      </c>
      <c r="AE1218" t="s">
        <v>3151</v>
      </c>
      <c r="AI1218" t="s">
        <v>179</v>
      </c>
      <c r="AJ1218" s="2">
        <v>45856.151342592595</v>
      </c>
      <c r="AK1218" t="s">
        <v>568</v>
      </c>
      <c r="AL1218" t="s">
        <v>65</v>
      </c>
      <c r="AM1218" s="4">
        <v>0.3611111111111111</v>
      </c>
      <c r="AN1218" t="s">
        <v>66</v>
      </c>
      <c r="AO1218" t="s">
        <v>67</v>
      </c>
    </row>
    <row r="1219" spans="1:41" x14ac:dyDescent="0.2">
      <c r="A1219">
        <v>371752</v>
      </c>
      <c r="B1219" t="s">
        <v>8957</v>
      </c>
      <c r="C1219" t="s">
        <v>323</v>
      </c>
      <c r="D1219" t="s">
        <v>3603</v>
      </c>
      <c r="E1219" t="s">
        <v>8958</v>
      </c>
      <c r="F1219">
        <v>500730</v>
      </c>
      <c r="G1219" s="1">
        <v>33765</v>
      </c>
      <c r="H1219" s="1">
        <v>45793</v>
      </c>
      <c r="I1219" s="1">
        <v>46037</v>
      </c>
      <c r="J1219" t="s">
        <v>45</v>
      </c>
      <c r="K1219" t="s">
        <v>45</v>
      </c>
      <c r="L1219" t="s">
        <v>72</v>
      </c>
      <c r="M1219" s="1">
        <v>45444</v>
      </c>
      <c r="N1219" t="s">
        <v>47</v>
      </c>
      <c r="O1219" t="s">
        <v>48</v>
      </c>
      <c r="P1219" t="s">
        <v>49</v>
      </c>
      <c r="Q1219" t="s">
        <v>8959</v>
      </c>
      <c r="R1219" t="s">
        <v>8960</v>
      </c>
      <c r="S1219">
        <v>1495</v>
      </c>
      <c r="T1219" t="s">
        <v>257</v>
      </c>
      <c r="U1219" t="s">
        <v>329</v>
      </c>
      <c r="V1219" t="s">
        <v>6276</v>
      </c>
      <c r="W1219" t="s">
        <v>260</v>
      </c>
      <c r="X1219" t="s">
        <v>76</v>
      </c>
      <c r="Y1219" t="s">
        <v>110</v>
      </c>
      <c r="Z1219">
        <v>501</v>
      </c>
      <c r="AA1219">
        <v>47</v>
      </c>
      <c r="AB1219">
        <v>152</v>
      </c>
      <c r="AC1219" t="s">
        <v>6179</v>
      </c>
      <c r="AD1219" t="s">
        <v>343</v>
      </c>
      <c r="AE1219" t="s">
        <v>6180</v>
      </c>
      <c r="AF1219" t="s">
        <v>368</v>
      </c>
      <c r="AG1219" t="s">
        <v>369</v>
      </c>
      <c r="AH1219" t="s">
        <v>370</v>
      </c>
      <c r="AI1219" t="s">
        <v>332</v>
      </c>
      <c r="AJ1219" s="2">
        <v>45818.863726851851</v>
      </c>
      <c r="AK1219" t="s">
        <v>727</v>
      </c>
      <c r="AL1219" t="s">
        <v>65</v>
      </c>
      <c r="AM1219" s="3">
        <v>2.3333333333333335</v>
      </c>
      <c r="AN1219" t="s">
        <v>66</v>
      </c>
      <c r="AO1219" t="s">
        <v>67</v>
      </c>
    </row>
    <row r="1220" spans="1:41" x14ac:dyDescent="0.2">
      <c r="A1220">
        <v>372693</v>
      </c>
      <c r="B1220" t="s">
        <v>8961</v>
      </c>
      <c r="C1220" t="s">
        <v>323</v>
      </c>
      <c r="D1220" t="s">
        <v>5007</v>
      </c>
      <c r="E1220">
        <v>32493500</v>
      </c>
      <c r="F1220">
        <v>501013</v>
      </c>
      <c r="G1220" s="1">
        <v>37459</v>
      </c>
      <c r="H1220" s="1">
        <v>45848</v>
      </c>
      <c r="I1220" s="1">
        <v>46174</v>
      </c>
      <c r="J1220" t="s">
        <v>45</v>
      </c>
      <c r="K1220" t="s">
        <v>45</v>
      </c>
      <c r="L1220" t="s">
        <v>429</v>
      </c>
      <c r="M1220" s="1">
        <v>42601</v>
      </c>
      <c r="N1220" t="s">
        <v>47</v>
      </c>
      <c r="O1220" t="s">
        <v>48</v>
      </c>
      <c r="P1220" t="s">
        <v>49</v>
      </c>
      <c r="Q1220" t="s">
        <v>8962</v>
      </c>
      <c r="R1220" t="s">
        <v>8963</v>
      </c>
      <c r="S1220">
        <v>574</v>
      </c>
      <c r="T1220" t="s">
        <v>52</v>
      </c>
      <c r="U1220">
        <v>10</v>
      </c>
      <c r="V1220" t="s">
        <v>2192</v>
      </c>
      <c r="W1220" t="s">
        <v>54</v>
      </c>
      <c r="X1220" t="s">
        <v>76</v>
      </c>
      <c r="Y1220" t="s">
        <v>56</v>
      </c>
      <c r="Z1220">
        <v>879</v>
      </c>
      <c r="AA1220">
        <v>46</v>
      </c>
      <c r="AB1220">
        <v>66</v>
      </c>
      <c r="AC1220" t="s">
        <v>8964</v>
      </c>
      <c r="AD1220" t="s">
        <v>2197</v>
      </c>
      <c r="AE1220" t="s">
        <v>2198</v>
      </c>
      <c r="AF1220" t="s">
        <v>2193</v>
      </c>
      <c r="AG1220" t="s">
        <v>2194</v>
      </c>
      <c r="AH1220" t="s">
        <v>8965</v>
      </c>
      <c r="AI1220" t="s">
        <v>8966</v>
      </c>
      <c r="AJ1220" s="2">
        <v>45849.957106481481</v>
      </c>
      <c r="AK1220" t="s">
        <v>717</v>
      </c>
      <c r="AL1220" t="s">
        <v>65</v>
      </c>
      <c r="AM1220" s="3">
        <v>2.3194444444444446</v>
      </c>
      <c r="AN1220" t="s">
        <v>809</v>
      </c>
      <c r="AO1220" t="s">
        <v>67</v>
      </c>
    </row>
    <row r="1221" spans="1:41" x14ac:dyDescent="0.2">
      <c r="A1221">
        <v>368939</v>
      </c>
      <c r="B1221" t="s">
        <v>8967</v>
      </c>
      <c r="C1221" t="s">
        <v>182</v>
      </c>
      <c r="D1221" t="s">
        <v>468</v>
      </c>
      <c r="E1221" t="s">
        <v>8968</v>
      </c>
      <c r="F1221">
        <v>40408</v>
      </c>
      <c r="G1221" s="1">
        <v>36368</v>
      </c>
      <c r="H1221" s="1">
        <v>45510</v>
      </c>
      <c r="I1221" s="1">
        <v>46174</v>
      </c>
      <c r="J1221" t="s">
        <v>45</v>
      </c>
      <c r="K1221" t="s">
        <v>45</v>
      </c>
      <c r="L1221" t="s">
        <v>429</v>
      </c>
      <c r="M1221" s="1">
        <v>39850</v>
      </c>
      <c r="N1221" t="s">
        <v>47</v>
      </c>
      <c r="O1221" t="s">
        <v>48</v>
      </c>
      <c r="P1221" t="s">
        <v>49</v>
      </c>
      <c r="Q1221" t="s">
        <v>8969</v>
      </c>
      <c r="R1221" t="s">
        <v>8970</v>
      </c>
      <c r="S1221">
        <v>375</v>
      </c>
      <c r="T1221" t="s">
        <v>296</v>
      </c>
      <c r="U1221" t="s">
        <v>2366</v>
      </c>
      <c r="V1221" t="s">
        <v>2367</v>
      </c>
      <c r="W1221" t="s">
        <v>299</v>
      </c>
      <c r="X1221" t="s">
        <v>493</v>
      </c>
      <c r="Y1221" t="s">
        <v>56</v>
      </c>
      <c r="Z1221">
        <v>1380</v>
      </c>
      <c r="AA1221">
        <v>62</v>
      </c>
      <c r="AB1221">
        <v>38</v>
      </c>
      <c r="AC1221" t="s">
        <v>2368</v>
      </c>
      <c r="AD1221" t="s">
        <v>2369</v>
      </c>
      <c r="AE1221" t="s">
        <v>2370</v>
      </c>
      <c r="AF1221" t="s">
        <v>2371</v>
      </c>
      <c r="AG1221" t="s">
        <v>2372</v>
      </c>
      <c r="AH1221" t="s">
        <v>2370</v>
      </c>
      <c r="AI1221" t="s">
        <v>2374</v>
      </c>
      <c r="AJ1221" s="2">
        <v>45722.918078703704</v>
      </c>
      <c r="AK1221" t="s">
        <v>1472</v>
      </c>
      <c r="AL1221" t="s">
        <v>65</v>
      </c>
      <c r="AM1221" s="3">
        <v>1.6944444444444444</v>
      </c>
      <c r="AN1221" t="s">
        <v>66</v>
      </c>
      <c r="AO1221" t="s">
        <v>67</v>
      </c>
    </row>
    <row r="1222" spans="1:41" x14ac:dyDescent="0.2">
      <c r="A1222">
        <v>358568</v>
      </c>
      <c r="B1222" t="s">
        <v>8971</v>
      </c>
      <c r="C1222" t="s">
        <v>542</v>
      </c>
      <c r="D1222" t="s">
        <v>8972</v>
      </c>
      <c r="E1222" t="s">
        <v>8973</v>
      </c>
      <c r="F1222">
        <v>360112</v>
      </c>
      <c r="G1222" s="1">
        <v>41117</v>
      </c>
      <c r="H1222" s="1">
        <v>45363</v>
      </c>
      <c r="J1222" t="s">
        <v>45</v>
      </c>
      <c r="K1222" t="s">
        <v>45</v>
      </c>
      <c r="L1222" t="s">
        <v>72</v>
      </c>
      <c r="M1222" s="1">
        <v>44371</v>
      </c>
      <c r="N1222" t="s">
        <v>47</v>
      </c>
      <c r="O1222" t="s">
        <v>48</v>
      </c>
      <c r="P1222" t="s">
        <v>49</v>
      </c>
      <c r="Q1222" t="s">
        <v>8974</v>
      </c>
      <c r="R1222" t="s">
        <v>8975</v>
      </c>
      <c r="S1222">
        <v>444</v>
      </c>
      <c r="T1222" t="s">
        <v>92</v>
      </c>
      <c r="U1222" t="s">
        <v>1133</v>
      </c>
      <c r="V1222" t="s">
        <v>1134</v>
      </c>
      <c r="W1222" t="s">
        <v>1135</v>
      </c>
      <c r="X1222" t="s">
        <v>92</v>
      </c>
      <c r="Y1222" t="s">
        <v>770</v>
      </c>
      <c r="Z1222">
        <v>5526</v>
      </c>
      <c r="AA1222">
        <v>32</v>
      </c>
      <c r="AB1222">
        <v>45</v>
      </c>
      <c r="AC1222" t="s">
        <v>1136</v>
      </c>
      <c r="AD1222" t="s">
        <v>1137</v>
      </c>
      <c r="AE1222" t="s">
        <v>1964</v>
      </c>
      <c r="AI1222" t="s">
        <v>1137</v>
      </c>
      <c r="AJ1222" s="2">
        <v>45363.932280092595</v>
      </c>
      <c r="AK1222" t="s">
        <v>1136</v>
      </c>
      <c r="AL1222" t="s">
        <v>65</v>
      </c>
      <c r="AM1222" s="3">
        <v>1.8194444444444444</v>
      </c>
      <c r="AN1222" t="s">
        <v>66</v>
      </c>
      <c r="AO1222" t="s">
        <v>101</v>
      </c>
    </row>
    <row r="1223" spans="1:41" x14ac:dyDescent="0.2">
      <c r="A1223">
        <v>365245</v>
      </c>
      <c r="B1223" t="s">
        <v>8976</v>
      </c>
      <c r="C1223" t="s">
        <v>118</v>
      </c>
      <c r="D1223" t="s">
        <v>1389</v>
      </c>
      <c r="E1223" t="s">
        <v>8977</v>
      </c>
      <c r="F1223">
        <v>20312</v>
      </c>
      <c r="G1223" s="1">
        <v>37477</v>
      </c>
      <c r="H1223" s="1">
        <v>45573</v>
      </c>
      <c r="I1223" s="1">
        <v>46249</v>
      </c>
      <c r="J1223" t="s">
        <v>45</v>
      </c>
      <c r="K1223" t="s">
        <v>45</v>
      </c>
      <c r="L1223" t="s">
        <v>72</v>
      </c>
      <c r="N1223" t="s">
        <v>47</v>
      </c>
      <c r="O1223" t="s">
        <v>48</v>
      </c>
      <c r="P1223" t="s">
        <v>49</v>
      </c>
      <c r="Q1223" t="s">
        <v>8978</v>
      </c>
      <c r="R1223" t="s">
        <v>8979</v>
      </c>
      <c r="S1223">
        <v>5579</v>
      </c>
      <c r="T1223" t="s">
        <v>296</v>
      </c>
      <c r="U1223" t="s">
        <v>297</v>
      </c>
      <c r="V1223" t="s">
        <v>8980</v>
      </c>
      <c r="W1223" t="s">
        <v>299</v>
      </c>
      <c r="X1223" t="s">
        <v>55</v>
      </c>
      <c r="Y1223" t="s">
        <v>56</v>
      </c>
      <c r="Z1223">
        <v>2266</v>
      </c>
      <c r="AA1223">
        <v>39</v>
      </c>
      <c r="AB1223">
        <v>160</v>
      </c>
      <c r="AC1223" t="s">
        <v>8981</v>
      </c>
      <c r="AD1223" t="s">
        <v>8982</v>
      </c>
      <c r="AE1223" t="s">
        <v>8983</v>
      </c>
      <c r="AF1223" t="s">
        <v>303</v>
      </c>
      <c r="AG1223" t="s">
        <v>304</v>
      </c>
      <c r="AH1223" t="s">
        <v>305</v>
      </c>
      <c r="AI1223" t="s">
        <v>306</v>
      </c>
      <c r="AJ1223" s="2">
        <v>45574.072222222225</v>
      </c>
      <c r="AK1223" t="s">
        <v>4471</v>
      </c>
      <c r="AL1223" t="s">
        <v>65</v>
      </c>
      <c r="AM1223" s="4">
        <v>0.56944444444444442</v>
      </c>
      <c r="AN1223" t="s">
        <v>66</v>
      </c>
      <c r="AO1223" t="s">
        <v>67</v>
      </c>
    </row>
    <row r="1224" spans="1:41" x14ac:dyDescent="0.2">
      <c r="A1224">
        <v>369337</v>
      </c>
      <c r="B1224" t="s">
        <v>8984</v>
      </c>
      <c r="C1224" t="s">
        <v>118</v>
      </c>
      <c r="D1224" t="s">
        <v>2153</v>
      </c>
      <c r="E1224" t="s">
        <v>8985</v>
      </c>
      <c r="F1224">
        <v>21302</v>
      </c>
      <c r="G1224" s="1">
        <v>37174</v>
      </c>
      <c r="H1224" s="1">
        <v>45582</v>
      </c>
      <c r="I1224" s="1">
        <v>45945</v>
      </c>
      <c r="J1224" t="s">
        <v>45</v>
      </c>
      <c r="K1224" t="s">
        <v>45</v>
      </c>
      <c r="L1224" t="s">
        <v>429</v>
      </c>
      <c r="M1224" s="1">
        <v>45733</v>
      </c>
      <c r="N1224" t="s">
        <v>47</v>
      </c>
      <c r="O1224" t="s">
        <v>48</v>
      </c>
      <c r="P1224" t="s">
        <v>49</v>
      </c>
      <c r="Q1224" t="s">
        <v>8986</v>
      </c>
      <c r="R1224" t="s">
        <v>8987</v>
      </c>
      <c r="S1224">
        <v>7120</v>
      </c>
      <c r="T1224" t="s">
        <v>52</v>
      </c>
      <c r="U1224">
        <v>3</v>
      </c>
      <c r="V1224" t="s">
        <v>4297</v>
      </c>
      <c r="W1224" t="s">
        <v>54</v>
      </c>
      <c r="X1224" t="s">
        <v>55</v>
      </c>
      <c r="Y1224" t="s">
        <v>56</v>
      </c>
      <c r="Z1224">
        <v>1930</v>
      </c>
      <c r="AA1224">
        <v>62</v>
      </c>
      <c r="AB1224">
        <v>160</v>
      </c>
      <c r="AC1224" t="s">
        <v>4438</v>
      </c>
      <c r="AD1224" t="s">
        <v>4299</v>
      </c>
      <c r="AE1224" t="s">
        <v>4300</v>
      </c>
      <c r="AF1224" t="s">
        <v>4301</v>
      </c>
      <c r="AG1224" t="s">
        <v>4302</v>
      </c>
      <c r="AH1224" t="s">
        <v>4303</v>
      </c>
      <c r="AI1224" t="s">
        <v>1809</v>
      </c>
      <c r="AJ1224" s="2">
        <v>45734.951574074075</v>
      </c>
      <c r="AK1224" t="s">
        <v>4438</v>
      </c>
      <c r="AL1224" t="s">
        <v>65</v>
      </c>
      <c r="AM1224" s="4">
        <v>0.80555555555555558</v>
      </c>
      <c r="AN1224" t="s">
        <v>66</v>
      </c>
      <c r="AO1224" t="s">
        <v>67</v>
      </c>
    </row>
    <row r="1225" spans="1:41" x14ac:dyDescent="0.2">
      <c r="A1225">
        <v>368690</v>
      </c>
      <c r="B1225" t="s">
        <v>8988</v>
      </c>
      <c r="C1225" t="s">
        <v>182</v>
      </c>
      <c r="E1225" t="s">
        <v>8989</v>
      </c>
      <c r="G1225" s="1">
        <v>37168</v>
      </c>
      <c r="H1225" s="1">
        <v>45714</v>
      </c>
      <c r="I1225" s="1">
        <v>46082</v>
      </c>
      <c r="J1225" t="s">
        <v>45</v>
      </c>
      <c r="K1225" t="s">
        <v>45</v>
      </c>
      <c r="L1225" t="s">
        <v>429</v>
      </c>
      <c r="M1225" s="1">
        <v>41345</v>
      </c>
      <c r="N1225" t="s">
        <v>47</v>
      </c>
      <c r="O1225" t="s">
        <v>48</v>
      </c>
      <c r="P1225" t="s">
        <v>49</v>
      </c>
      <c r="Q1225" t="s">
        <v>8990</v>
      </c>
      <c r="R1225" t="s">
        <v>8991</v>
      </c>
      <c r="S1225">
        <v>2682</v>
      </c>
      <c r="T1225" t="s">
        <v>365</v>
      </c>
      <c r="U1225" t="s">
        <v>562</v>
      </c>
      <c r="V1225" t="s">
        <v>5248</v>
      </c>
      <c r="W1225" t="s">
        <v>367</v>
      </c>
      <c r="X1225" t="s">
        <v>493</v>
      </c>
      <c r="Y1225" t="s">
        <v>434</v>
      </c>
      <c r="Z1225">
        <v>2024</v>
      </c>
      <c r="AA1225">
        <v>49</v>
      </c>
      <c r="AB1225">
        <v>80</v>
      </c>
      <c r="AC1225" t="s">
        <v>5683</v>
      </c>
      <c r="AD1225" t="s">
        <v>5250</v>
      </c>
      <c r="AE1225" t="s">
        <v>5251</v>
      </c>
      <c r="AF1225" t="s">
        <v>5684</v>
      </c>
      <c r="AG1225" t="s">
        <v>5685</v>
      </c>
      <c r="AH1225" t="s">
        <v>5686</v>
      </c>
      <c r="AI1225" t="s">
        <v>500</v>
      </c>
      <c r="AJ1225" s="2">
        <v>45719.884942129633</v>
      </c>
      <c r="AK1225" t="s">
        <v>501</v>
      </c>
      <c r="AL1225" t="s">
        <v>65</v>
      </c>
      <c r="AM1225" s="4">
        <v>0.63194444444444442</v>
      </c>
      <c r="AN1225" t="s">
        <v>66</v>
      </c>
      <c r="AO1225" t="s">
        <v>67</v>
      </c>
    </row>
    <row r="1226" spans="1:41" x14ac:dyDescent="0.2">
      <c r="A1226">
        <v>366896</v>
      </c>
      <c r="B1226" t="s">
        <v>8992</v>
      </c>
      <c r="C1226" t="s">
        <v>763</v>
      </c>
      <c r="D1226" t="s">
        <v>8993</v>
      </c>
      <c r="E1226" t="s">
        <v>8994</v>
      </c>
      <c r="F1226">
        <v>475601</v>
      </c>
      <c r="G1226" s="1">
        <v>37564</v>
      </c>
      <c r="H1226" s="1">
        <v>45562</v>
      </c>
      <c r="I1226" s="1">
        <v>45915</v>
      </c>
      <c r="J1226" t="s">
        <v>45</v>
      </c>
      <c r="K1226" t="s">
        <v>45</v>
      </c>
      <c r="L1226" t="s">
        <v>72</v>
      </c>
      <c r="M1226" s="1">
        <v>41716</v>
      </c>
      <c r="N1226" t="s">
        <v>47</v>
      </c>
      <c r="O1226" t="s">
        <v>48</v>
      </c>
      <c r="P1226" t="s">
        <v>49</v>
      </c>
      <c r="Q1226" t="s">
        <v>8995</v>
      </c>
      <c r="R1226" t="s">
        <v>8996</v>
      </c>
      <c r="S1226">
        <v>800</v>
      </c>
      <c r="T1226" t="s">
        <v>156</v>
      </c>
      <c r="U1226" t="s">
        <v>241</v>
      </c>
      <c r="V1226" t="s">
        <v>8997</v>
      </c>
      <c r="W1226" t="s">
        <v>159</v>
      </c>
      <c r="X1226" t="s">
        <v>156</v>
      </c>
      <c r="Y1226" t="s">
        <v>110</v>
      </c>
      <c r="Z1226">
        <v>2326</v>
      </c>
      <c r="AA1226">
        <v>38</v>
      </c>
      <c r="AB1226">
        <v>189</v>
      </c>
      <c r="AC1226" t="s">
        <v>8998</v>
      </c>
      <c r="AD1226" t="s">
        <v>8999</v>
      </c>
      <c r="AE1226" t="s">
        <v>9000</v>
      </c>
      <c r="AF1226" t="s">
        <v>9001</v>
      </c>
      <c r="AG1226" t="s">
        <v>9002</v>
      </c>
      <c r="AH1226" t="s">
        <v>9003</v>
      </c>
      <c r="AI1226" t="s">
        <v>2419</v>
      </c>
      <c r="AJ1226" s="2">
        <v>45643.721655092595</v>
      </c>
      <c r="AK1226" t="s">
        <v>2496</v>
      </c>
      <c r="AL1226" t="s">
        <v>65</v>
      </c>
      <c r="AM1226" s="3">
        <v>1.2777777777777777</v>
      </c>
      <c r="AN1226" t="s">
        <v>66</v>
      </c>
      <c r="AO1226" t="s">
        <v>101</v>
      </c>
    </row>
    <row r="1227" spans="1:41" x14ac:dyDescent="0.2">
      <c r="A1227">
        <v>371954</v>
      </c>
      <c r="B1227" t="s">
        <v>9004</v>
      </c>
      <c r="C1227" t="s">
        <v>182</v>
      </c>
      <c r="D1227" t="s">
        <v>1064</v>
      </c>
      <c r="E1227" t="s">
        <v>9005</v>
      </c>
      <c r="F1227">
        <v>40248</v>
      </c>
      <c r="G1227" s="1">
        <v>45084</v>
      </c>
      <c r="H1227" s="1">
        <v>45824</v>
      </c>
      <c r="J1227" t="s">
        <v>45</v>
      </c>
      <c r="K1227" t="s">
        <v>45</v>
      </c>
      <c r="L1227" t="s">
        <v>72</v>
      </c>
      <c r="N1227" t="s">
        <v>47</v>
      </c>
      <c r="O1227" t="s">
        <v>48</v>
      </c>
      <c r="P1227" t="s">
        <v>49</v>
      </c>
      <c r="Q1227" t="s">
        <v>9006</v>
      </c>
      <c r="R1227" t="s">
        <v>9007</v>
      </c>
      <c r="S1227">
        <v>2316</v>
      </c>
      <c r="T1227" t="s">
        <v>92</v>
      </c>
      <c r="U1227" t="s">
        <v>187</v>
      </c>
      <c r="V1227" t="s">
        <v>447</v>
      </c>
      <c r="W1227" t="s">
        <v>448</v>
      </c>
      <c r="X1227" t="s">
        <v>92</v>
      </c>
      <c r="Y1227" t="s">
        <v>450</v>
      </c>
      <c r="Z1227">
        <v>11246</v>
      </c>
      <c r="AA1227">
        <v>8</v>
      </c>
      <c r="AB1227">
        <v>78</v>
      </c>
      <c r="AC1227" t="s">
        <v>451</v>
      </c>
      <c r="AD1227" t="s">
        <v>452</v>
      </c>
      <c r="AE1227" t="s">
        <v>453</v>
      </c>
      <c r="AF1227" t="s">
        <v>9008</v>
      </c>
      <c r="AG1227" t="s">
        <v>9009</v>
      </c>
      <c r="AH1227" t="s">
        <v>9010</v>
      </c>
      <c r="AI1227" t="s">
        <v>9011</v>
      </c>
      <c r="AJ1227" s="2">
        <v>45825.70349537037</v>
      </c>
      <c r="AK1227" t="s">
        <v>456</v>
      </c>
      <c r="AL1227" t="s">
        <v>65</v>
      </c>
      <c r="AM1227" s="3">
        <v>2.1666666666666665</v>
      </c>
      <c r="AN1227" t="s">
        <v>66</v>
      </c>
      <c r="AO1227" t="s">
        <v>67</v>
      </c>
    </row>
    <row r="1228" spans="1:41" x14ac:dyDescent="0.2">
      <c r="A1228">
        <v>364147</v>
      </c>
      <c r="B1228" t="s">
        <v>9012</v>
      </c>
      <c r="C1228" t="s">
        <v>735</v>
      </c>
      <c r="D1228" t="s">
        <v>2790</v>
      </c>
      <c r="E1228" t="s">
        <v>9013</v>
      </c>
      <c r="F1228">
        <v>240224</v>
      </c>
      <c r="G1228" s="1">
        <v>31617</v>
      </c>
      <c r="H1228" s="1">
        <v>45519</v>
      </c>
      <c r="I1228" s="1">
        <v>46235</v>
      </c>
      <c r="J1228" t="s">
        <v>45</v>
      </c>
      <c r="K1228" t="s">
        <v>45</v>
      </c>
      <c r="L1228" t="s">
        <v>46</v>
      </c>
      <c r="M1228" s="1">
        <v>43643</v>
      </c>
      <c r="N1228" t="s">
        <v>47</v>
      </c>
      <c r="O1228" t="s">
        <v>48</v>
      </c>
      <c r="P1228" t="s">
        <v>49</v>
      </c>
      <c r="Q1228" t="s">
        <v>9014</v>
      </c>
      <c r="R1228" t="s">
        <v>9015</v>
      </c>
      <c r="S1228">
        <v>6500</v>
      </c>
      <c r="T1228" t="s">
        <v>52</v>
      </c>
      <c r="U1228">
        <v>1</v>
      </c>
      <c r="V1228" t="s">
        <v>2443</v>
      </c>
      <c r="W1228" t="s">
        <v>54</v>
      </c>
      <c r="X1228" t="s">
        <v>76</v>
      </c>
      <c r="Y1228" t="s">
        <v>56</v>
      </c>
      <c r="Z1228">
        <v>548</v>
      </c>
      <c r="AA1228">
        <v>72</v>
      </c>
      <c r="AB1228">
        <v>152</v>
      </c>
      <c r="AC1228" t="s">
        <v>9016</v>
      </c>
      <c r="AD1228" t="s">
        <v>9017</v>
      </c>
      <c r="AE1228" t="s">
        <v>9018</v>
      </c>
      <c r="AF1228" t="s">
        <v>9019</v>
      </c>
      <c r="AG1228" t="s">
        <v>9020</v>
      </c>
      <c r="AH1228" t="s">
        <v>9021</v>
      </c>
      <c r="AI1228" t="s">
        <v>9022</v>
      </c>
      <c r="AJ1228" s="2">
        <v>45533.814780092594</v>
      </c>
      <c r="AK1228" t="s">
        <v>568</v>
      </c>
      <c r="AL1228" t="s">
        <v>65</v>
      </c>
      <c r="AM1228" s="4">
        <v>0.3888888888888889</v>
      </c>
      <c r="AN1228" t="s">
        <v>66</v>
      </c>
      <c r="AO1228" t="s">
        <v>67</v>
      </c>
    </row>
    <row r="1229" spans="1:41" x14ac:dyDescent="0.2">
      <c r="A1229">
        <v>365919</v>
      </c>
      <c r="B1229" t="s">
        <v>9023</v>
      </c>
      <c r="C1229" t="s">
        <v>151</v>
      </c>
      <c r="D1229" t="s">
        <v>9024</v>
      </c>
      <c r="E1229" t="s">
        <v>9025</v>
      </c>
      <c r="F1229">
        <v>383001</v>
      </c>
      <c r="G1229" s="1">
        <v>42117</v>
      </c>
      <c r="H1229" s="1">
        <v>45568</v>
      </c>
      <c r="I1229" s="1">
        <v>45945</v>
      </c>
      <c r="J1229" t="s">
        <v>45</v>
      </c>
      <c r="K1229" t="s">
        <v>45</v>
      </c>
      <c r="L1229" t="s">
        <v>72</v>
      </c>
      <c r="N1229" t="s">
        <v>47</v>
      </c>
      <c r="O1229" t="s">
        <v>48</v>
      </c>
      <c r="P1229" t="s">
        <v>49</v>
      </c>
      <c r="Q1229" t="s">
        <v>9026</v>
      </c>
      <c r="R1229" t="s">
        <v>9027</v>
      </c>
      <c r="S1229">
        <v>8</v>
      </c>
      <c r="T1229" t="s">
        <v>92</v>
      </c>
      <c r="U1229" t="s">
        <v>6005</v>
      </c>
      <c r="V1229" t="s">
        <v>5510</v>
      </c>
      <c r="W1229" t="s">
        <v>6006</v>
      </c>
      <c r="X1229" t="s">
        <v>92</v>
      </c>
      <c r="Y1229" t="s">
        <v>110</v>
      </c>
      <c r="Z1229">
        <v>6926</v>
      </c>
      <c r="AA1229">
        <v>23</v>
      </c>
      <c r="AB1229">
        <v>45</v>
      </c>
      <c r="AC1229" t="s">
        <v>6007</v>
      </c>
      <c r="AD1229" t="s">
        <v>6008</v>
      </c>
      <c r="AE1229" t="s">
        <v>9028</v>
      </c>
      <c r="AF1229" t="s">
        <v>6010</v>
      </c>
      <c r="AG1229" t="s">
        <v>6011</v>
      </c>
      <c r="AH1229" t="s">
        <v>9029</v>
      </c>
      <c r="AJ1229" s="2">
        <v>45595.767083333332</v>
      </c>
      <c r="AK1229" t="s">
        <v>6007</v>
      </c>
      <c r="AL1229" t="s">
        <v>65</v>
      </c>
      <c r="AM1229" s="3">
        <v>1.7638888888888888</v>
      </c>
      <c r="AN1229" t="s">
        <v>66</v>
      </c>
      <c r="AO1229" t="s">
        <v>101</v>
      </c>
    </row>
    <row r="1230" spans="1:41" x14ac:dyDescent="0.2">
      <c r="A1230">
        <v>370770</v>
      </c>
      <c r="B1230" t="s">
        <v>9030</v>
      </c>
      <c r="C1230" t="s">
        <v>69</v>
      </c>
      <c r="D1230" t="s">
        <v>3278</v>
      </c>
      <c r="E1230">
        <v>32513638</v>
      </c>
      <c r="F1230">
        <v>103205</v>
      </c>
      <c r="G1230" s="1">
        <v>29351</v>
      </c>
      <c r="H1230" s="1">
        <v>45783</v>
      </c>
      <c r="I1230" s="1">
        <v>46235</v>
      </c>
      <c r="J1230" t="s">
        <v>45</v>
      </c>
      <c r="K1230" t="s">
        <v>45</v>
      </c>
      <c r="L1230" t="s">
        <v>429</v>
      </c>
      <c r="M1230" s="1">
        <v>41996</v>
      </c>
      <c r="N1230" t="s">
        <v>47</v>
      </c>
      <c r="O1230" t="s">
        <v>48</v>
      </c>
      <c r="P1230" t="s">
        <v>49</v>
      </c>
      <c r="Q1230" t="s">
        <v>9031</v>
      </c>
      <c r="R1230" t="s">
        <v>9032</v>
      </c>
      <c r="S1230">
        <v>5000</v>
      </c>
      <c r="T1230" t="s">
        <v>365</v>
      </c>
      <c r="U1230" t="s">
        <v>532</v>
      </c>
      <c r="V1230" t="s">
        <v>3282</v>
      </c>
      <c r="W1230" t="s">
        <v>367</v>
      </c>
      <c r="X1230" t="s">
        <v>76</v>
      </c>
      <c r="Y1230" t="s">
        <v>434</v>
      </c>
      <c r="Z1230">
        <v>155</v>
      </c>
      <c r="AA1230">
        <v>58</v>
      </c>
      <c r="AB1230">
        <v>158</v>
      </c>
      <c r="AC1230" t="s">
        <v>3283</v>
      </c>
      <c r="AD1230" t="s">
        <v>3284</v>
      </c>
      <c r="AE1230" t="s">
        <v>3285</v>
      </c>
      <c r="AI1230" t="s">
        <v>179</v>
      </c>
      <c r="AJ1230" s="2">
        <v>45784.534722222219</v>
      </c>
      <c r="AK1230" t="s">
        <v>568</v>
      </c>
      <c r="AL1230" t="s">
        <v>65</v>
      </c>
      <c r="AM1230" s="3">
        <v>2.2013888888888888</v>
      </c>
      <c r="AN1230" t="s">
        <v>66</v>
      </c>
      <c r="AO1230" t="s">
        <v>67</v>
      </c>
    </row>
    <row r="1231" spans="1:41" x14ac:dyDescent="0.2">
      <c r="A1231">
        <v>367241</v>
      </c>
      <c r="B1231" t="s">
        <v>9033</v>
      </c>
      <c r="C1231" t="s">
        <v>118</v>
      </c>
      <c r="D1231" t="s">
        <v>2645</v>
      </c>
      <c r="E1231">
        <v>32585582</v>
      </c>
      <c r="F1231">
        <v>20903</v>
      </c>
      <c r="G1231" s="1">
        <v>31933</v>
      </c>
      <c r="H1231" s="1">
        <v>45665</v>
      </c>
      <c r="I1231" s="1">
        <v>46054</v>
      </c>
      <c r="J1231" t="s">
        <v>45</v>
      </c>
      <c r="K1231" t="s">
        <v>45</v>
      </c>
      <c r="L1231" t="s">
        <v>429</v>
      </c>
      <c r="M1231" s="1">
        <v>45552</v>
      </c>
      <c r="N1231" t="s">
        <v>47</v>
      </c>
      <c r="O1231" t="s">
        <v>48</v>
      </c>
      <c r="P1231" t="s">
        <v>49</v>
      </c>
      <c r="Q1231" t="s">
        <v>9034</v>
      </c>
      <c r="R1231" t="s">
        <v>9035</v>
      </c>
      <c r="S1231">
        <v>4097</v>
      </c>
      <c r="T1231" t="s">
        <v>365</v>
      </c>
      <c r="U1231" t="s">
        <v>815</v>
      </c>
      <c r="V1231" t="s">
        <v>2649</v>
      </c>
      <c r="W1231" t="s">
        <v>367</v>
      </c>
      <c r="X1231" t="s">
        <v>55</v>
      </c>
      <c r="Y1231" t="s">
        <v>434</v>
      </c>
      <c r="Z1231">
        <v>69</v>
      </c>
      <c r="AA1231">
        <v>54</v>
      </c>
      <c r="AB1231">
        <v>28</v>
      </c>
      <c r="AC1231" t="s">
        <v>2650</v>
      </c>
      <c r="AD1231" t="s">
        <v>2651</v>
      </c>
      <c r="AE1231" t="s">
        <v>2652</v>
      </c>
      <c r="AF1231" t="s">
        <v>2653</v>
      </c>
      <c r="AG1231" t="s">
        <v>2654</v>
      </c>
      <c r="AH1231" t="s">
        <v>2655</v>
      </c>
      <c r="AI1231" t="s">
        <v>179</v>
      </c>
      <c r="AJ1231" s="2">
        <v>45666.767870370371</v>
      </c>
      <c r="AK1231" t="s">
        <v>568</v>
      </c>
      <c r="AL1231" t="s">
        <v>65</v>
      </c>
      <c r="AM1231" s="4">
        <v>0.11805555555555555</v>
      </c>
      <c r="AN1231" t="s">
        <v>66</v>
      </c>
      <c r="AO1231" t="s">
        <v>67</v>
      </c>
    </row>
    <row r="1232" spans="1:41" x14ac:dyDescent="0.2">
      <c r="A1232">
        <v>372897</v>
      </c>
      <c r="B1232" t="s">
        <v>9036</v>
      </c>
      <c r="C1232" t="s">
        <v>167</v>
      </c>
      <c r="D1232" t="s">
        <v>6822</v>
      </c>
      <c r="E1232" t="s">
        <v>9037</v>
      </c>
      <c r="F1232">
        <v>350727</v>
      </c>
      <c r="G1232" s="1">
        <v>30918</v>
      </c>
      <c r="H1232" s="1">
        <v>45854</v>
      </c>
      <c r="I1232" s="1">
        <v>46218</v>
      </c>
      <c r="J1232" t="s">
        <v>45</v>
      </c>
      <c r="K1232" t="s">
        <v>45</v>
      </c>
      <c r="L1232" t="s">
        <v>429</v>
      </c>
      <c r="M1232" s="1">
        <v>44034</v>
      </c>
      <c r="N1232" t="s">
        <v>47</v>
      </c>
      <c r="O1232" t="s">
        <v>48</v>
      </c>
      <c r="P1232" t="s">
        <v>49</v>
      </c>
      <c r="Q1232" t="s">
        <v>9038</v>
      </c>
      <c r="R1232" t="s">
        <v>9039</v>
      </c>
      <c r="S1232">
        <v>3372</v>
      </c>
      <c r="T1232" t="s">
        <v>365</v>
      </c>
      <c r="U1232" t="s">
        <v>532</v>
      </c>
      <c r="V1232" t="s">
        <v>9040</v>
      </c>
      <c r="W1232" t="s">
        <v>367</v>
      </c>
      <c r="X1232" t="s">
        <v>76</v>
      </c>
      <c r="Y1232" t="s">
        <v>434</v>
      </c>
      <c r="Z1232">
        <v>327</v>
      </c>
      <c r="AA1232">
        <v>89</v>
      </c>
      <c r="AB1232">
        <v>38</v>
      </c>
      <c r="AC1232" t="s">
        <v>3254</v>
      </c>
      <c r="AD1232" t="s">
        <v>3255</v>
      </c>
      <c r="AE1232" t="s">
        <v>3256</v>
      </c>
      <c r="AF1232" t="s">
        <v>9041</v>
      </c>
      <c r="AG1232" t="s">
        <v>9042</v>
      </c>
      <c r="AH1232" t="s">
        <v>9043</v>
      </c>
      <c r="AI1232" t="s">
        <v>179</v>
      </c>
      <c r="AJ1232" s="2">
        <v>45855.873194444444</v>
      </c>
      <c r="AK1232" t="s">
        <v>556</v>
      </c>
      <c r="AL1232" t="s">
        <v>65</v>
      </c>
      <c r="AM1232" s="3">
        <v>1.1458333333333333</v>
      </c>
      <c r="AN1232" t="s">
        <v>66</v>
      </c>
      <c r="AO1232" t="s">
        <v>67</v>
      </c>
    </row>
    <row r="1233" spans="1:41" x14ac:dyDescent="0.2">
      <c r="A1233">
        <v>372382</v>
      </c>
      <c r="B1233" t="s">
        <v>9044</v>
      </c>
      <c r="C1233" t="s">
        <v>278</v>
      </c>
      <c r="D1233" t="s">
        <v>2618</v>
      </c>
      <c r="E1233">
        <v>32540462</v>
      </c>
      <c r="F1233">
        <v>421807</v>
      </c>
      <c r="G1233" s="1">
        <v>33123</v>
      </c>
      <c r="H1233" s="1">
        <v>45833</v>
      </c>
      <c r="I1233" s="1">
        <v>46096</v>
      </c>
      <c r="J1233" t="s">
        <v>45</v>
      </c>
      <c r="K1233" t="s">
        <v>45</v>
      </c>
      <c r="L1233" t="s">
        <v>429</v>
      </c>
      <c r="M1233" s="1">
        <v>42107</v>
      </c>
      <c r="N1233" t="s">
        <v>47</v>
      </c>
      <c r="O1233" t="s">
        <v>48</v>
      </c>
      <c r="P1233" t="s">
        <v>49</v>
      </c>
      <c r="Q1233" t="s">
        <v>9045</v>
      </c>
      <c r="R1233" t="s">
        <v>9046</v>
      </c>
      <c r="S1233">
        <v>6010</v>
      </c>
      <c r="T1233" t="s">
        <v>365</v>
      </c>
      <c r="U1233" t="s">
        <v>432</v>
      </c>
      <c r="V1233" t="s">
        <v>5393</v>
      </c>
      <c r="W1233" t="s">
        <v>367</v>
      </c>
      <c r="X1233" t="s">
        <v>55</v>
      </c>
      <c r="Y1233" t="s">
        <v>434</v>
      </c>
      <c r="Z1233">
        <v>350</v>
      </c>
      <c r="AA1233">
        <v>52</v>
      </c>
      <c r="AB1233">
        <v>166</v>
      </c>
      <c r="AC1233" t="s">
        <v>9047</v>
      </c>
      <c r="AD1233" t="s">
        <v>9048</v>
      </c>
      <c r="AE1233" t="s">
        <v>9049</v>
      </c>
      <c r="AI1233" t="s">
        <v>179</v>
      </c>
      <c r="AJ1233" s="2">
        <v>45838.830127314817</v>
      </c>
      <c r="AK1233" t="s">
        <v>307</v>
      </c>
      <c r="AL1233" t="s">
        <v>65</v>
      </c>
      <c r="AM1233" s="3">
        <v>1.5486111111111112</v>
      </c>
      <c r="AN1233" t="s">
        <v>66</v>
      </c>
      <c r="AO1233" t="s">
        <v>67</v>
      </c>
    </row>
    <row r="1234" spans="1:41" x14ac:dyDescent="0.2">
      <c r="A1234">
        <v>368911</v>
      </c>
      <c r="B1234" t="s">
        <v>9050</v>
      </c>
      <c r="C1234" t="s">
        <v>182</v>
      </c>
      <c r="D1234" t="s">
        <v>2295</v>
      </c>
      <c r="E1234">
        <v>32575310</v>
      </c>
      <c r="F1234">
        <v>40727</v>
      </c>
      <c r="G1234" s="1">
        <v>33521</v>
      </c>
      <c r="H1234" s="1">
        <v>45583</v>
      </c>
      <c r="I1234" s="1">
        <v>45931</v>
      </c>
      <c r="J1234" t="s">
        <v>45</v>
      </c>
      <c r="K1234" t="s">
        <v>45</v>
      </c>
      <c r="L1234" t="s">
        <v>429</v>
      </c>
      <c r="M1234" s="1">
        <v>45260</v>
      </c>
      <c r="N1234" t="s">
        <v>47</v>
      </c>
      <c r="O1234" t="s">
        <v>48</v>
      </c>
      <c r="P1234" t="s">
        <v>49</v>
      </c>
      <c r="Q1234" t="s">
        <v>9051</v>
      </c>
      <c r="R1234" t="s">
        <v>9052</v>
      </c>
      <c r="S1234">
        <v>5100</v>
      </c>
      <c r="T1234" t="s">
        <v>365</v>
      </c>
      <c r="U1234" t="s">
        <v>562</v>
      </c>
      <c r="V1234" t="s">
        <v>1746</v>
      </c>
      <c r="W1234" t="s">
        <v>367</v>
      </c>
      <c r="X1234" t="s">
        <v>493</v>
      </c>
      <c r="Y1234" t="s">
        <v>434</v>
      </c>
      <c r="Z1234">
        <v>103</v>
      </c>
      <c r="AA1234">
        <v>63</v>
      </c>
      <c r="AB1234">
        <v>142</v>
      </c>
      <c r="AC1234" t="s">
        <v>1747</v>
      </c>
      <c r="AD1234" t="s">
        <v>2887</v>
      </c>
      <c r="AE1234" t="s">
        <v>1749</v>
      </c>
      <c r="AI1234" t="s">
        <v>500</v>
      </c>
      <c r="AJ1234" s="2">
        <v>45722.907199074078</v>
      </c>
      <c r="AK1234" t="s">
        <v>1472</v>
      </c>
      <c r="AL1234" t="s">
        <v>65</v>
      </c>
      <c r="AM1234" s="3">
        <v>1.6736111111111112</v>
      </c>
      <c r="AN1234" t="s">
        <v>66</v>
      </c>
      <c r="AO1234" t="s">
        <v>67</v>
      </c>
    </row>
    <row r="1235" spans="1:41" x14ac:dyDescent="0.2">
      <c r="A1235">
        <v>363126</v>
      </c>
      <c r="B1235" t="s">
        <v>9053</v>
      </c>
      <c r="C1235" t="s">
        <v>278</v>
      </c>
      <c r="D1235" t="s">
        <v>1140</v>
      </c>
      <c r="E1235" t="s">
        <v>9054</v>
      </c>
      <c r="F1235">
        <v>421305</v>
      </c>
      <c r="G1235" s="1">
        <v>36005</v>
      </c>
      <c r="H1235" s="1">
        <v>45484</v>
      </c>
      <c r="I1235" s="1">
        <v>46235</v>
      </c>
      <c r="J1235" t="s">
        <v>45</v>
      </c>
      <c r="K1235" t="s">
        <v>45</v>
      </c>
      <c r="L1235" t="s">
        <v>429</v>
      </c>
      <c r="M1235" s="1">
        <v>40932</v>
      </c>
      <c r="N1235" t="s">
        <v>47</v>
      </c>
      <c r="O1235" t="s">
        <v>48</v>
      </c>
      <c r="P1235" t="s">
        <v>49</v>
      </c>
      <c r="Q1235" t="s">
        <v>9055</v>
      </c>
      <c r="R1235" t="s">
        <v>9056</v>
      </c>
      <c r="S1235">
        <v>8530</v>
      </c>
      <c r="T1235" t="s">
        <v>52</v>
      </c>
      <c r="U1235">
        <v>4</v>
      </c>
      <c r="V1235" t="s">
        <v>1143</v>
      </c>
      <c r="W1235" t="s">
        <v>54</v>
      </c>
      <c r="X1235" t="s">
        <v>55</v>
      </c>
      <c r="Y1235" t="s">
        <v>56</v>
      </c>
      <c r="Z1235">
        <v>640</v>
      </c>
      <c r="AA1235">
        <v>61</v>
      </c>
      <c r="AB1235">
        <v>66</v>
      </c>
      <c r="AC1235" t="s">
        <v>1144</v>
      </c>
      <c r="AD1235" t="s">
        <v>1145</v>
      </c>
      <c r="AE1235" t="s">
        <v>1146</v>
      </c>
      <c r="AF1235" t="s">
        <v>1147</v>
      </c>
      <c r="AG1235" t="s">
        <v>1148</v>
      </c>
      <c r="AH1235" t="s">
        <v>1149</v>
      </c>
      <c r="AI1235" t="s">
        <v>4470</v>
      </c>
      <c r="AJ1235" s="2">
        <v>45504.90084490741</v>
      </c>
      <c r="AK1235" t="s">
        <v>609</v>
      </c>
      <c r="AL1235" t="s">
        <v>65</v>
      </c>
      <c r="AM1235" s="4">
        <v>0.53472222222222221</v>
      </c>
      <c r="AN1235" t="s">
        <v>66</v>
      </c>
      <c r="AO1235" t="s">
        <v>67</v>
      </c>
    </row>
    <row r="1236" spans="1:41" x14ac:dyDescent="0.2">
      <c r="A1236">
        <v>364771</v>
      </c>
      <c r="B1236" t="s">
        <v>9057</v>
      </c>
      <c r="C1236" t="s">
        <v>735</v>
      </c>
      <c r="D1236" t="s">
        <v>2528</v>
      </c>
      <c r="E1236">
        <v>32638632</v>
      </c>
      <c r="F1236">
        <v>243704</v>
      </c>
      <c r="G1236" s="1">
        <v>38909</v>
      </c>
      <c r="H1236" s="1">
        <v>45559</v>
      </c>
      <c r="I1236" s="1">
        <v>46280</v>
      </c>
      <c r="J1236" t="s">
        <v>45</v>
      </c>
      <c r="K1236" t="s">
        <v>45</v>
      </c>
      <c r="L1236" t="s">
        <v>72</v>
      </c>
      <c r="M1236" s="1">
        <v>44887</v>
      </c>
      <c r="N1236" t="s">
        <v>47</v>
      </c>
      <c r="O1236" t="s">
        <v>48</v>
      </c>
      <c r="P1236" t="s">
        <v>49</v>
      </c>
      <c r="Q1236" t="s">
        <v>9058</v>
      </c>
      <c r="R1236" t="s">
        <v>9059</v>
      </c>
      <c r="S1236">
        <v>3414</v>
      </c>
      <c r="T1236" t="s">
        <v>365</v>
      </c>
      <c r="U1236" t="s">
        <v>969</v>
      </c>
      <c r="V1236" t="s">
        <v>2523</v>
      </c>
      <c r="W1236" t="s">
        <v>367</v>
      </c>
      <c r="X1236" t="s">
        <v>76</v>
      </c>
      <c r="Y1236" t="s">
        <v>434</v>
      </c>
      <c r="Z1236">
        <v>2854</v>
      </c>
      <c r="AA1236">
        <v>40</v>
      </c>
      <c r="AB1236">
        <v>166</v>
      </c>
      <c r="AC1236" t="s">
        <v>2532</v>
      </c>
      <c r="AD1236" t="s">
        <v>2525</v>
      </c>
      <c r="AE1236" t="s">
        <v>2526</v>
      </c>
      <c r="AF1236" t="s">
        <v>7513</v>
      </c>
      <c r="AH1236" t="s">
        <v>7514</v>
      </c>
      <c r="AI1236" t="s">
        <v>179</v>
      </c>
      <c r="AJ1236" s="2">
        <v>45559.613263888888</v>
      </c>
      <c r="AK1236" t="s">
        <v>660</v>
      </c>
      <c r="AL1236" t="s">
        <v>65</v>
      </c>
      <c r="AM1236" s="3">
        <v>1.6597222222222223</v>
      </c>
      <c r="AN1236" t="s">
        <v>66</v>
      </c>
      <c r="AO1236" t="s">
        <v>67</v>
      </c>
    </row>
    <row r="1237" spans="1:41" x14ac:dyDescent="0.2">
      <c r="A1237">
        <v>366999</v>
      </c>
      <c r="B1237" t="s">
        <v>9060</v>
      </c>
      <c r="C1237" t="s">
        <v>182</v>
      </c>
      <c r="D1237" t="s">
        <v>811</v>
      </c>
      <c r="E1237" t="s">
        <v>9061</v>
      </c>
      <c r="F1237">
        <v>45129</v>
      </c>
      <c r="G1237" s="1">
        <v>33499</v>
      </c>
      <c r="H1237" s="1">
        <v>45643</v>
      </c>
      <c r="I1237" s="1">
        <v>45945</v>
      </c>
      <c r="J1237" t="s">
        <v>45</v>
      </c>
      <c r="K1237" t="s">
        <v>45</v>
      </c>
      <c r="L1237" t="s">
        <v>429</v>
      </c>
      <c r="M1237" s="1">
        <v>44547</v>
      </c>
      <c r="N1237" t="s">
        <v>47</v>
      </c>
      <c r="O1237" t="s">
        <v>48</v>
      </c>
      <c r="P1237" t="s">
        <v>49</v>
      </c>
      <c r="Q1237" t="s">
        <v>9062</v>
      </c>
      <c r="R1237" t="s">
        <v>9063</v>
      </c>
      <c r="S1237">
        <v>5046</v>
      </c>
      <c r="T1237" t="s">
        <v>365</v>
      </c>
      <c r="U1237" t="s">
        <v>815</v>
      </c>
      <c r="V1237" t="s">
        <v>816</v>
      </c>
      <c r="W1237" t="s">
        <v>367</v>
      </c>
      <c r="X1237" t="s">
        <v>493</v>
      </c>
      <c r="Y1237" t="s">
        <v>434</v>
      </c>
      <c r="Z1237">
        <v>85</v>
      </c>
      <c r="AA1237">
        <v>57</v>
      </c>
      <c r="AB1237">
        <v>166</v>
      </c>
      <c r="AC1237" t="s">
        <v>817</v>
      </c>
      <c r="AD1237" t="s">
        <v>818</v>
      </c>
      <c r="AE1237" t="s">
        <v>819</v>
      </c>
      <c r="AI1237" t="s">
        <v>9064</v>
      </c>
      <c r="AJ1237" s="2">
        <v>45652.847615740742</v>
      </c>
      <c r="AK1237" t="s">
        <v>556</v>
      </c>
      <c r="AL1237" t="s">
        <v>65</v>
      </c>
      <c r="AM1237" s="3">
        <v>2.125</v>
      </c>
      <c r="AN1237" t="s">
        <v>66</v>
      </c>
      <c r="AO1237" t="s">
        <v>67</v>
      </c>
    </row>
    <row r="1238" spans="1:41" x14ac:dyDescent="0.2">
      <c r="A1238">
        <v>369436</v>
      </c>
      <c r="B1238" t="s">
        <v>9065</v>
      </c>
      <c r="C1238" t="s">
        <v>979</v>
      </c>
      <c r="D1238" t="s">
        <v>7598</v>
      </c>
      <c r="E1238" t="s">
        <v>9066</v>
      </c>
      <c r="F1238">
        <v>31502</v>
      </c>
      <c r="G1238" s="1">
        <v>45000</v>
      </c>
      <c r="H1238" s="1">
        <v>45730</v>
      </c>
      <c r="I1238" s="1">
        <v>46082</v>
      </c>
      <c r="J1238" t="s">
        <v>45</v>
      </c>
      <c r="K1238" t="s">
        <v>45</v>
      </c>
      <c r="L1238" t="s">
        <v>72</v>
      </c>
      <c r="M1238" s="1">
        <v>43164</v>
      </c>
      <c r="N1238" t="s">
        <v>47</v>
      </c>
      <c r="O1238" t="s">
        <v>48</v>
      </c>
      <c r="P1238" t="s">
        <v>49</v>
      </c>
      <c r="Q1238" t="s">
        <v>9067</v>
      </c>
      <c r="R1238" t="s">
        <v>9068</v>
      </c>
      <c r="S1238">
        <v>916</v>
      </c>
      <c r="T1238" t="s">
        <v>92</v>
      </c>
      <c r="U1238" t="s">
        <v>2996</v>
      </c>
      <c r="V1238" t="s">
        <v>2997</v>
      </c>
      <c r="W1238" t="s">
        <v>2998</v>
      </c>
      <c r="X1238" t="s">
        <v>92</v>
      </c>
      <c r="Y1238" t="s">
        <v>110</v>
      </c>
      <c r="Z1238">
        <v>2563</v>
      </c>
      <c r="AA1238">
        <v>30</v>
      </c>
      <c r="AB1238">
        <v>158</v>
      </c>
      <c r="AC1238" t="s">
        <v>2999</v>
      </c>
      <c r="AD1238" t="s">
        <v>3000</v>
      </c>
      <c r="AE1238" t="s">
        <v>3001</v>
      </c>
      <c r="AF1238" t="s">
        <v>8436</v>
      </c>
      <c r="AG1238" t="s">
        <v>3003</v>
      </c>
      <c r="AH1238" t="s">
        <v>3004</v>
      </c>
      <c r="AI1238" t="s">
        <v>9069</v>
      </c>
      <c r="AJ1238" s="2">
        <v>45740.804548611108</v>
      </c>
      <c r="AK1238" t="s">
        <v>2999</v>
      </c>
      <c r="AL1238" t="s">
        <v>65</v>
      </c>
      <c r="AM1238" s="4">
        <v>0.4375</v>
      </c>
      <c r="AN1238" t="s">
        <v>66</v>
      </c>
      <c r="AO1238" t="s">
        <v>67</v>
      </c>
    </row>
    <row r="1239" spans="1:41" x14ac:dyDescent="0.2">
      <c r="A1239">
        <v>357091</v>
      </c>
      <c r="B1239" t="s">
        <v>9070</v>
      </c>
      <c r="C1239" t="s">
        <v>103</v>
      </c>
      <c r="D1239" t="s">
        <v>9071</v>
      </c>
      <c r="E1239" t="s">
        <v>9072</v>
      </c>
      <c r="F1239">
        <v>318203</v>
      </c>
      <c r="G1239" s="1">
        <v>38454</v>
      </c>
      <c r="H1239" s="1">
        <v>45301</v>
      </c>
      <c r="I1239" s="1">
        <v>46310</v>
      </c>
      <c r="J1239" t="s">
        <v>45</v>
      </c>
      <c r="K1239" t="s">
        <v>45</v>
      </c>
      <c r="L1239" t="s">
        <v>72</v>
      </c>
      <c r="M1239" s="1">
        <v>44977</v>
      </c>
      <c r="N1239" t="s">
        <v>47</v>
      </c>
      <c r="O1239" t="s">
        <v>48</v>
      </c>
      <c r="P1239" t="s">
        <v>49</v>
      </c>
      <c r="Q1239" t="s">
        <v>9073</v>
      </c>
      <c r="R1239" t="s">
        <v>9074</v>
      </c>
      <c r="S1239">
        <v>317</v>
      </c>
      <c r="T1239" t="s">
        <v>92</v>
      </c>
      <c r="U1239" t="s">
        <v>107</v>
      </c>
      <c r="V1239" t="s">
        <v>108</v>
      </c>
      <c r="W1239" t="s">
        <v>109</v>
      </c>
      <c r="X1239" t="s">
        <v>92</v>
      </c>
      <c r="Y1239" t="s">
        <v>110</v>
      </c>
      <c r="Z1239">
        <v>2718</v>
      </c>
      <c r="AA1239">
        <v>46</v>
      </c>
      <c r="AB1239">
        <v>144</v>
      </c>
      <c r="AC1239" t="s">
        <v>4563</v>
      </c>
      <c r="AD1239" t="s">
        <v>9075</v>
      </c>
      <c r="AE1239" t="s">
        <v>6718</v>
      </c>
      <c r="AF1239" t="s">
        <v>1464</v>
      </c>
      <c r="AG1239" t="s">
        <v>4566</v>
      </c>
      <c r="AH1239" t="s">
        <v>1465</v>
      </c>
      <c r="AJ1239" s="2">
        <v>45818.719537037039</v>
      </c>
      <c r="AK1239" t="s">
        <v>100</v>
      </c>
      <c r="AL1239" t="s">
        <v>65</v>
      </c>
      <c r="AM1239" s="4">
        <v>0.64722222222222225</v>
      </c>
      <c r="AN1239" t="s">
        <v>66</v>
      </c>
      <c r="AO1239" t="s">
        <v>67</v>
      </c>
    </row>
    <row r="1240" spans="1:41" x14ac:dyDescent="0.2">
      <c r="A1240">
        <v>364298</v>
      </c>
      <c r="B1240" t="s">
        <v>9076</v>
      </c>
      <c r="C1240" t="s">
        <v>69</v>
      </c>
      <c r="D1240" t="s">
        <v>3131</v>
      </c>
      <c r="E1240" t="s">
        <v>9077</v>
      </c>
      <c r="F1240">
        <v>101812</v>
      </c>
      <c r="G1240" s="1">
        <v>35578</v>
      </c>
      <c r="H1240" s="1">
        <v>45538</v>
      </c>
      <c r="I1240" s="1">
        <v>46249</v>
      </c>
      <c r="J1240" t="s">
        <v>45</v>
      </c>
      <c r="K1240" t="s">
        <v>45</v>
      </c>
      <c r="L1240" t="s">
        <v>72</v>
      </c>
      <c r="M1240" s="1">
        <v>44406</v>
      </c>
      <c r="N1240" t="s">
        <v>47</v>
      </c>
      <c r="O1240" t="s">
        <v>48</v>
      </c>
      <c r="P1240" t="s">
        <v>49</v>
      </c>
      <c r="Q1240" t="s">
        <v>9078</v>
      </c>
      <c r="R1240" t="s">
        <v>9079</v>
      </c>
      <c r="S1240">
        <v>8800</v>
      </c>
      <c r="T1240" t="s">
        <v>52</v>
      </c>
      <c r="U1240">
        <v>4</v>
      </c>
      <c r="V1240" t="s">
        <v>5619</v>
      </c>
      <c r="W1240" t="s">
        <v>54</v>
      </c>
      <c r="X1240" t="s">
        <v>76</v>
      </c>
      <c r="Y1240" t="s">
        <v>56</v>
      </c>
      <c r="Z1240">
        <v>666</v>
      </c>
      <c r="AA1240">
        <v>59</v>
      </c>
      <c r="AB1240">
        <v>158</v>
      </c>
      <c r="AC1240" t="s">
        <v>5620</v>
      </c>
      <c r="AD1240" t="s">
        <v>5621</v>
      </c>
      <c r="AE1240" t="s">
        <v>5622</v>
      </c>
      <c r="AF1240" t="s">
        <v>3690</v>
      </c>
      <c r="AG1240" t="s">
        <v>3691</v>
      </c>
      <c r="AH1240" t="s">
        <v>3692</v>
      </c>
      <c r="AI1240" t="s">
        <v>7571</v>
      </c>
      <c r="AJ1240" s="2">
        <v>45539.990868055553</v>
      </c>
      <c r="AK1240" t="s">
        <v>704</v>
      </c>
      <c r="AL1240" t="s">
        <v>65</v>
      </c>
      <c r="AM1240" s="3">
        <v>1.7986111111111112</v>
      </c>
      <c r="AN1240" t="s">
        <v>66</v>
      </c>
      <c r="AO1240" t="s">
        <v>67</v>
      </c>
    </row>
    <row r="1241" spans="1:41" x14ac:dyDescent="0.2">
      <c r="A1241">
        <v>364141</v>
      </c>
      <c r="B1241" t="s">
        <v>9080</v>
      </c>
      <c r="C1241" t="s">
        <v>735</v>
      </c>
      <c r="D1241" t="s">
        <v>3861</v>
      </c>
      <c r="E1241" t="s">
        <v>9081</v>
      </c>
      <c r="F1241">
        <v>241211</v>
      </c>
      <c r="G1241" s="1">
        <v>35596</v>
      </c>
      <c r="H1241" s="1">
        <v>45522</v>
      </c>
      <c r="I1241" s="1">
        <v>46235</v>
      </c>
      <c r="J1241" t="s">
        <v>45</v>
      </c>
      <c r="K1241" t="s">
        <v>45</v>
      </c>
      <c r="L1241" t="s">
        <v>429</v>
      </c>
      <c r="N1241" t="s">
        <v>47</v>
      </c>
      <c r="O1241" t="s">
        <v>48</v>
      </c>
      <c r="P1241" t="s">
        <v>49</v>
      </c>
      <c r="Q1241" t="s">
        <v>9082</v>
      </c>
      <c r="R1241" t="s">
        <v>9083</v>
      </c>
      <c r="S1241">
        <v>2730</v>
      </c>
      <c r="T1241" t="s">
        <v>296</v>
      </c>
      <c r="U1241" t="s">
        <v>2267</v>
      </c>
      <c r="V1241" t="s">
        <v>9084</v>
      </c>
      <c r="W1241" t="s">
        <v>299</v>
      </c>
      <c r="X1241" t="s">
        <v>76</v>
      </c>
      <c r="Y1241" t="s">
        <v>56</v>
      </c>
      <c r="Z1241">
        <v>8</v>
      </c>
      <c r="AA1241">
        <v>58</v>
      </c>
      <c r="AB1241">
        <v>158</v>
      </c>
      <c r="AC1241" t="s">
        <v>9085</v>
      </c>
      <c r="AD1241" t="s">
        <v>9086</v>
      </c>
      <c r="AE1241" t="s">
        <v>9087</v>
      </c>
      <c r="AF1241" t="s">
        <v>9088</v>
      </c>
      <c r="AG1241" t="s">
        <v>9089</v>
      </c>
      <c r="AH1241" t="s">
        <v>9090</v>
      </c>
      <c r="AI1241" t="s">
        <v>2274</v>
      </c>
      <c r="AJ1241" s="2">
        <v>45533.798020833332</v>
      </c>
      <c r="AK1241" t="s">
        <v>568</v>
      </c>
      <c r="AL1241" t="s">
        <v>65</v>
      </c>
      <c r="AM1241" s="4">
        <v>0.63194444444444442</v>
      </c>
      <c r="AN1241" t="s">
        <v>66</v>
      </c>
      <c r="AO1241" t="s">
        <v>67</v>
      </c>
    </row>
    <row r="1242" spans="1:41" x14ac:dyDescent="0.2">
      <c r="A1242">
        <v>370248</v>
      </c>
      <c r="B1242" t="s">
        <v>9091</v>
      </c>
      <c r="C1242" t="s">
        <v>583</v>
      </c>
      <c r="E1242" t="s">
        <v>9092</v>
      </c>
      <c r="F1242">
        <v>156502</v>
      </c>
      <c r="G1242" s="1">
        <v>38460</v>
      </c>
      <c r="H1242" s="1">
        <v>45762</v>
      </c>
      <c r="I1242" s="1">
        <v>46157</v>
      </c>
      <c r="J1242" t="s">
        <v>45</v>
      </c>
      <c r="K1242" t="s">
        <v>45</v>
      </c>
      <c r="L1242" t="s">
        <v>72</v>
      </c>
      <c r="M1242" s="1">
        <v>43021</v>
      </c>
      <c r="N1242" t="s">
        <v>47</v>
      </c>
      <c r="O1242" t="s">
        <v>48</v>
      </c>
      <c r="P1242" t="s">
        <v>49</v>
      </c>
      <c r="Q1242" t="s">
        <v>9093</v>
      </c>
      <c r="R1242" t="s">
        <v>9094</v>
      </c>
      <c r="S1242">
        <v>774</v>
      </c>
      <c r="T1242" t="s">
        <v>257</v>
      </c>
      <c r="U1242" t="s">
        <v>1691</v>
      </c>
      <c r="V1242" t="s">
        <v>9095</v>
      </c>
      <c r="W1242" t="s">
        <v>260</v>
      </c>
      <c r="X1242" t="s">
        <v>257</v>
      </c>
      <c r="Y1242" t="s">
        <v>110</v>
      </c>
      <c r="Z1242">
        <v>2724</v>
      </c>
      <c r="AA1242">
        <v>38</v>
      </c>
      <c r="AB1242">
        <v>158</v>
      </c>
      <c r="AC1242" t="s">
        <v>9096</v>
      </c>
      <c r="AD1242" t="s">
        <v>9097</v>
      </c>
      <c r="AE1242" t="s">
        <v>9098</v>
      </c>
      <c r="AF1242" t="s">
        <v>9099</v>
      </c>
      <c r="AG1242" t="s">
        <v>9100</v>
      </c>
      <c r="AH1242" t="s">
        <v>9101</v>
      </c>
      <c r="AJ1242" s="2">
        <v>45768.703020833331</v>
      </c>
      <c r="AK1242" t="s">
        <v>9102</v>
      </c>
      <c r="AL1242" t="s">
        <v>65</v>
      </c>
      <c r="AM1242" s="4">
        <v>0.52083333333333337</v>
      </c>
      <c r="AN1242" t="s">
        <v>66</v>
      </c>
      <c r="AO1242" t="s">
        <v>67</v>
      </c>
    </row>
    <row r="1243" spans="1:41" x14ac:dyDescent="0.2">
      <c r="A1243">
        <v>371529</v>
      </c>
      <c r="B1243" t="s">
        <v>9103</v>
      </c>
      <c r="C1243" t="s">
        <v>323</v>
      </c>
      <c r="E1243">
        <v>39617266</v>
      </c>
      <c r="G1243" s="1">
        <v>40735</v>
      </c>
      <c r="H1243" s="1">
        <v>45808</v>
      </c>
      <c r="J1243" t="s">
        <v>72</v>
      </c>
      <c r="K1243" t="s">
        <v>72</v>
      </c>
      <c r="L1243" t="s">
        <v>72</v>
      </c>
      <c r="M1243" s="1">
        <v>43304</v>
      </c>
      <c r="N1243" t="s">
        <v>47</v>
      </c>
      <c r="O1243" t="s">
        <v>48</v>
      </c>
      <c r="P1243" t="s">
        <v>406</v>
      </c>
      <c r="Q1243" t="s">
        <v>9104</v>
      </c>
      <c r="R1243" t="s">
        <v>9105</v>
      </c>
      <c r="S1243">
        <v>2062</v>
      </c>
      <c r="T1243" t="s">
        <v>257</v>
      </c>
      <c r="U1243" t="s">
        <v>329</v>
      </c>
      <c r="V1243" t="s">
        <v>1163</v>
      </c>
      <c r="W1243" t="s">
        <v>260</v>
      </c>
      <c r="X1243" t="s">
        <v>257</v>
      </c>
      <c r="Y1243" t="s">
        <v>642</v>
      </c>
      <c r="Z1243">
        <v>4909</v>
      </c>
      <c r="AA1243">
        <v>29</v>
      </c>
      <c r="AB1243">
        <v>152</v>
      </c>
      <c r="AC1243" t="s">
        <v>1164</v>
      </c>
      <c r="AD1243" t="s">
        <v>1165</v>
      </c>
      <c r="AE1243" t="s">
        <v>1166</v>
      </c>
      <c r="AF1243" t="s">
        <v>1164</v>
      </c>
      <c r="AG1243" t="s">
        <v>1165</v>
      </c>
      <c r="AH1243" t="s">
        <v>9106</v>
      </c>
      <c r="AJ1243" s="2">
        <v>45814.61278935185</v>
      </c>
      <c r="AK1243" t="s">
        <v>1167</v>
      </c>
      <c r="AL1243" t="s">
        <v>1168</v>
      </c>
      <c r="AM1243" s="3">
        <v>1.6597222222222223</v>
      </c>
      <c r="AN1243" t="s">
        <v>66</v>
      </c>
      <c r="AO1243" t="s">
        <v>67</v>
      </c>
    </row>
    <row r="1244" spans="1:41" x14ac:dyDescent="0.2">
      <c r="A1244">
        <v>371443</v>
      </c>
      <c r="B1244" t="s">
        <v>9107</v>
      </c>
      <c r="C1244" t="s">
        <v>167</v>
      </c>
      <c r="D1244" t="s">
        <v>2702</v>
      </c>
      <c r="E1244" t="s">
        <v>9108</v>
      </c>
      <c r="F1244">
        <v>353343</v>
      </c>
      <c r="G1244" s="1">
        <v>37027</v>
      </c>
      <c r="H1244" s="1">
        <v>45810</v>
      </c>
      <c r="I1244" s="1">
        <v>46143</v>
      </c>
      <c r="J1244" t="s">
        <v>45</v>
      </c>
      <c r="K1244" t="s">
        <v>45</v>
      </c>
      <c r="L1244" t="s">
        <v>72</v>
      </c>
      <c r="M1244" s="1">
        <v>43378</v>
      </c>
      <c r="N1244" t="s">
        <v>47</v>
      </c>
      <c r="O1244" t="s">
        <v>48</v>
      </c>
      <c r="P1244" t="s">
        <v>49</v>
      </c>
      <c r="Q1244" t="s">
        <v>9109</v>
      </c>
      <c r="R1244" t="s">
        <v>9110</v>
      </c>
      <c r="S1244">
        <v>5445</v>
      </c>
      <c r="T1244" t="s">
        <v>52</v>
      </c>
      <c r="U1244">
        <v>6</v>
      </c>
      <c r="V1244" t="s">
        <v>3013</v>
      </c>
      <c r="W1244" t="s">
        <v>54</v>
      </c>
      <c r="X1244" t="s">
        <v>76</v>
      </c>
      <c r="Y1244" t="s">
        <v>56</v>
      </c>
      <c r="Z1244">
        <v>875</v>
      </c>
      <c r="AA1244">
        <v>52</v>
      </c>
      <c r="AB1244">
        <v>142</v>
      </c>
      <c r="AC1244" t="s">
        <v>4117</v>
      </c>
      <c r="AD1244" t="s">
        <v>4118</v>
      </c>
      <c r="AE1244" t="s">
        <v>4119</v>
      </c>
      <c r="AF1244" t="s">
        <v>4120</v>
      </c>
      <c r="AG1244" t="s">
        <v>4121</v>
      </c>
      <c r="AH1244" t="s">
        <v>4122</v>
      </c>
      <c r="AI1244" t="s">
        <v>179</v>
      </c>
      <c r="AJ1244" s="2">
        <v>45811.638368055559</v>
      </c>
      <c r="AK1244" t="s">
        <v>2068</v>
      </c>
      <c r="AL1244" t="s">
        <v>65</v>
      </c>
      <c r="AM1244" s="3">
        <v>1.7569444444444444</v>
      </c>
      <c r="AN1244" t="s">
        <v>66</v>
      </c>
      <c r="AO1244" t="s">
        <v>67</v>
      </c>
    </row>
    <row r="1245" spans="1:41" x14ac:dyDescent="0.2">
      <c r="A1245">
        <v>69715</v>
      </c>
      <c r="B1245" t="s">
        <v>9111</v>
      </c>
      <c r="C1245" t="s">
        <v>692</v>
      </c>
      <c r="D1245" t="s">
        <v>3845</v>
      </c>
      <c r="E1245" t="s">
        <v>9112</v>
      </c>
      <c r="G1245" s="1">
        <v>39273</v>
      </c>
      <c r="J1245" t="s">
        <v>72</v>
      </c>
      <c r="K1245" t="s">
        <v>72</v>
      </c>
      <c r="L1245" t="s">
        <v>72</v>
      </c>
      <c r="N1245" t="s">
        <v>89</v>
      </c>
      <c r="O1245" t="s">
        <v>48</v>
      </c>
      <c r="P1245" t="s">
        <v>1752</v>
      </c>
      <c r="Q1245" t="s">
        <v>9113</v>
      </c>
      <c r="R1245" t="s">
        <v>9114</v>
      </c>
      <c r="S1245">
        <v>9800</v>
      </c>
      <c r="T1245" t="s">
        <v>257</v>
      </c>
      <c r="U1245" t="s">
        <v>283</v>
      </c>
      <c r="V1245" t="s">
        <v>2084</v>
      </c>
      <c r="W1245" t="s">
        <v>260</v>
      </c>
      <c r="X1245" t="s">
        <v>257</v>
      </c>
      <c r="Y1245" t="s">
        <v>642</v>
      </c>
      <c r="Z1245">
        <v>2948</v>
      </c>
      <c r="AA1245">
        <v>4</v>
      </c>
      <c r="AB1245">
        <v>142</v>
      </c>
      <c r="AC1245" t="s">
        <v>9115</v>
      </c>
      <c r="AD1245" t="s">
        <v>9116</v>
      </c>
      <c r="AE1245" t="s">
        <v>2087</v>
      </c>
      <c r="AF1245" t="s">
        <v>9117</v>
      </c>
      <c r="AH1245" t="s">
        <v>9118</v>
      </c>
      <c r="AI1245" t="s">
        <v>9119</v>
      </c>
      <c r="AJ1245" s="2">
        <v>41128.573067129626</v>
      </c>
      <c r="AK1245" t="s">
        <v>9120</v>
      </c>
      <c r="AL1245" t="s">
        <v>475</v>
      </c>
      <c r="AM1245" s="3">
        <v>1.7361111111111112</v>
      </c>
      <c r="AN1245" t="s">
        <v>66</v>
      </c>
      <c r="AO1245" t="s">
        <v>67</v>
      </c>
    </row>
    <row r="1246" spans="1:41" x14ac:dyDescent="0.2">
      <c r="A1246">
        <v>370207</v>
      </c>
      <c r="B1246" t="s">
        <v>9121</v>
      </c>
      <c r="C1246" t="s">
        <v>134</v>
      </c>
      <c r="D1246" t="s">
        <v>9122</v>
      </c>
      <c r="E1246" t="s">
        <v>9123</v>
      </c>
      <c r="F1246">
        <v>451412</v>
      </c>
      <c r="G1246" s="1">
        <v>38523</v>
      </c>
      <c r="H1246" s="1">
        <v>45452</v>
      </c>
      <c r="I1246" s="1">
        <v>46174</v>
      </c>
      <c r="J1246" t="s">
        <v>45</v>
      </c>
      <c r="K1246" t="s">
        <v>45</v>
      </c>
      <c r="L1246" t="s">
        <v>72</v>
      </c>
      <c r="M1246" s="1">
        <v>43110</v>
      </c>
      <c r="N1246" t="s">
        <v>47</v>
      </c>
      <c r="O1246" t="s">
        <v>48</v>
      </c>
      <c r="P1246" t="s">
        <v>49</v>
      </c>
      <c r="Q1246" t="s">
        <v>9124</v>
      </c>
      <c r="R1246" t="s">
        <v>9125</v>
      </c>
      <c r="S1246">
        <v>1700</v>
      </c>
      <c r="T1246" t="s">
        <v>257</v>
      </c>
      <c r="U1246" t="s">
        <v>640</v>
      </c>
      <c r="V1246" t="s">
        <v>9126</v>
      </c>
      <c r="W1246" t="s">
        <v>260</v>
      </c>
      <c r="X1246" t="s">
        <v>257</v>
      </c>
      <c r="Y1246" t="s">
        <v>110</v>
      </c>
      <c r="Z1246">
        <v>2743</v>
      </c>
      <c r="AA1246">
        <v>40</v>
      </c>
      <c r="AB1246">
        <v>158</v>
      </c>
      <c r="AC1246" t="s">
        <v>9127</v>
      </c>
      <c r="AD1246" t="s">
        <v>9128</v>
      </c>
      <c r="AE1246" t="s">
        <v>9129</v>
      </c>
      <c r="AI1246" t="s">
        <v>9128</v>
      </c>
      <c r="AJ1246" s="2">
        <v>45764.904282407406</v>
      </c>
      <c r="AK1246" t="s">
        <v>800</v>
      </c>
      <c r="AL1246" t="s">
        <v>65</v>
      </c>
      <c r="AM1246" s="4">
        <v>0.95833333333333337</v>
      </c>
      <c r="AN1246" t="s">
        <v>66</v>
      </c>
      <c r="AO1246" t="s">
        <v>67</v>
      </c>
    </row>
    <row r="1247" spans="1:41" x14ac:dyDescent="0.2">
      <c r="A1247">
        <v>370685</v>
      </c>
      <c r="B1247" t="s">
        <v>9130</v>
      </c>
      <c r="C1247" t="s">
        <v>323</v>
      </c>
      <c r="D1247" t="s">
        <v>3298</v>
      </c>
      <c r="E1247" t="s">
        <v>9131</v>
      </c>
      <c r="H1247" s="1">
        <v>45520</v>
      </c>
      <c r="J1247" t="s">
        <v>326</v>
      </c>
      <c r="K1247" t="s">
        <v>45</v>
      </c>
      <c r="L1247" t="s">
        <v>72</v>
      </c>
      <c r="N1247" t="s">
        <v>89</v>
      </c>
      <c r="O1247" t="s">
        <v>48</v>
      </c>
      <c r="P1247" t="s">
        <v>406</v>
      </c>
      <c r="Q1247" t="s">
        <v>9132</v>
      </c>
      <c r="R1247" t="s">
        <v>9133</v>
      </c>
      <c r="S1247">
        <v>2061</v>
      </c>
      <c r="T1247" t="s">
        <v>257</v>
      </c>
      <c r="U1247" t="s">
        <v>329</v>
      </c>
      <c r="V1247" t="s">
        <v>3302</v>
      </c>
      <c r="W1247" t="s">
        <v>3303</v>
      </c>
      <c r="X1247" t="s">
        <v>257</v>
      </c>
      <c r="Y1247" t="s">
        <v>410</v>
      </c>
      <c r="Z1247">
        <v>4627</v>
      </c>
      <c r="AA1247">
        <v>37</v>
      </c>
      <c r="AB1247">
        <v>108</v>
      </c>
      <c r="AC1247" t="s">
        <v>3304</v>
      </c>
      <c r="AD1247" t="s">
        <v>3305</v>
      </c>
      <c r="AE1247" t="s">
        <v>3306</v>
      </c>
      <c r="AF1247" t="s">
        <v>3307</v>
      </c>
      <c r="AG1247" t="s">
        <v>3308</v>
      </c>
      <c r="AH1247" t="s">
        <v>3309</v>
      </c>
      <c r="AJ1247" s="2">
        <v>45782.97997685185</v>
      </c>
      <c r="AK1247" t="s">
        <v>3304</v>
      </c>
      <c r="AL1247" t="s">
        <v>1168</v>
      </c>
      <c r="AM1247" s="3">
        <v>1.0277777777777777</v>
      </c>
      <c r="AN1247" t="s">
        <v>66</v>
      </c>
      <c r="AO1247" t="s">
        <v>67</v>
      </c>
    </row>
    <row r="1248" spans="1:41" x14ac:dyDescent="0.2">
      <c r="A1248">
        <v>367169</v>
      </c>
      <c r="B1248" t="s">
        <v>9134</v>
      </c>
      <c r="C1248" t="s">
        <v>134</v>
      </c>
      <c r="D1248" t="s">
        <v>2366</v>
      </c>
      <c r="E1248">
        <v>30004554</v>
      </c>
      <c r="F1248">
        <v>450407</v>
      </c>
      <c r="G1248" s="1">
        <v>34802</v>
      </c>
      <c r="H1248" s="1">
        <v>45589</v>
      </c>
      <c r="I1248" s="1">
        <v>45962</v>
      </c>
      <c r="J1248" t="s">
        <v>45</v>
      </c>
      <c r="K1248" t="s">
        <v>45</v>
      </c>
      <c r="L1248" t="s">
        <v>72</v>
      </c>
      <c r="M1248" s="1">
        <v>45182</v>
      </c>
      <c r="N1248" t="s">
        <v>47</v>
      </c>
      <c r="O1248" t="s">
        <v>48</v>
      </c>
      <c r="P1248" t="s">
        <v>49</v>
      </c>
      <c r="Q1248" t="s">
        <v>9135</v>
      </c>
      <c r="R1248" t="s">
        <v>9136</v>
      </c>
      <c r="S1248">
        <v>2425</v>
      </c>
      <c r="T1248" t="s">
        <v>92</v>
      </c>
      <c r="U1248" t="s">
        <v>139</v>
      </c>
      <c r="V1248" t="s">
        <v>140</v>
      </c>
      <c r="W1248" t="s">
        <v>141</v>
      </c>
      <c r="X1248" t="s">
        <v>92</v>
      </c>
      <c r="Y1248" t="s">
        <v>110</v>
      </c>
      <c r="Z1248">
        <v>392</v>
      </c>
      <c r="AA1248">
        <v>67</v>
      </c>
      <c r="AB1248">
        <v>174</v>
      </c>
      <c r="AC1248" t="s">
        <v>142</v>
      </c>
      <c r="AD1248" t="s">
        <v>143</v>
      </c>
      <c r="AE1248" t="s">
        <v>144</v>
      </c>
      <c r="AF1248" t="s">
        <v>145</v>
      </c>
      <c r="AG1248" t="s">
        <v>146</v>
      </c>
      <c r="AH1248" t="s">
        <v>147</v>
      </c>
      <c r="AI1248" t="s">
        <v>148</v>
      </c>
      <c r="AJ1248" s="2">
        <v>45664.702974537038</v>
      </c>
      <c r="AK1248" t="s">
        <v>149</v>
      </c>
      <c r="AL1248" t="s">
        <v>65</v>
      </c>
      <c r="AM1248" s="4">
        <v>0.47222222222222221</v>
      </c>
      <c r="AN1248" t="s">
        <v>66</v>
      </c>
      <c r="AO1248" t="s">
        <v>67</v>
      </c>
    </row>
    <row r="1249" spans="1:41" x14ac:dyDescent="0.2">
      <c r="A1249">
        <v>370733</v>
      </c>
      <c r="B1249" t="s">
        <v>9137</v>
      </c>
      <c r="C1249" t="s">
        <v>118</v>
      </c>
      <c r="D1249" t="s">
        <v>4931</v>
      </c>
      <c r="E1249" t="s">
        <v>9138</v>
      </c>
      <c r="F1249">
        <v>20508</v>
      </c>
      <c r="G1249" s="1">
        <v>31371</v>
      </c>
      <c r="H1249" s="1">
        <v>45782</v>
      </c>
      <c r="I1249" s="1">
        <v>45976</v>
      </c>
      <c r="J1249" t="s">
        <v>45</v>
      </c>
      <c r="K1249" t="s">
        <v>45</v>
      </c>
      <c r="L1249" t="s">
        <v>429</v>
      </c>
      <c r="M1249" s="1">
        <v>43873</v>
      </c>
      <c r="N1249" t="s">
        <v>47</v>
      </c>
      <c r="O1249" t="s">
        <v>48</v>
      </c>
      <c r="P1249" t="s">
        <v>49</v>
      </c>
      <c r="Q1249" t="s">
        <v>9139</v>
      </c>
      <c r="R1249" t="s">
        <v>9140</v>
      </c>
      <c r="S1249">
        <v>5250</v>
      </c>
      <c r="T1249" t="s">
        <v>365</v>
      </c>
      <c r="U1249" t="s">
        <v>815</v>
      </c>
      <c r="V1249" t="s">
        <v>2124</v>
      </c>
      <c r="W1249" t="s">
        <v>367</v>
      </c>
      <c r="X1249" t="s">
        <v>55</v>
      </c>
      <c r="Y1249" t="s">
        <v>434</v>
      </c>
      <c r="Z1249">
        <v>62</v>
      </c>
      <c r="AA1249">
        <v>51</v>
      </c>
      <c r="AB1249">
        <v>38</v>
      </c>
      <c r="AC1249" t="s">
        <v>2125</v>
      </c>
      <c r="AD1249" t="s">
        <v>9141</v>
      </c>
      <c r="AE1249" t="s">
        <v>2127</v>
      </c>
      <c r="AF1249" t="s">
        <v>2128</v>
      </c>
      <c r="AG1249" t="s">
        <v>2129</v>
      </c>
      <c r="AH1249" t="s">
        <v>2130</v>
      </c>
      <c r="AI1249" t="s">
        <v>179</v>
      </c>
      <c r="AJ1249" s="2">
        <v>45783.709629629629</v>
      </c>
      <c r="AK1249" t="s">
        <v>307</v>
      </c>
      <c r="AL1249" t="s">
        <v>65</v>
      </c>
      <c r="AM1249" s="3">
        <v>2.0069444444444446</v>
      </c>
      <c r="AN1249" t="s">
        <v>66</v>
      </c>
      <c r="AO1249" t="s">
        <v>67</v>
      </c>
    </row>
    <row r="1250" spans="1:41" x14ac:dyDescent="0.2">
      <c r="A1250">
        <v>372598</v>
      </c>
      <c r="B1250" t="s">
        <v>9142</v>
      </c>
      <c r="C1250" t="s">
        <v>182</v>
      </c>
      <c r="D1250" t="s">
        <v>4385</v>
      </c>
      <c r="E1250" t="s">
        <v>9143</v>
      </c>
      <c r="F1250">
        <v>40918</v>
      </c>
      <c r="G1250" s="1">
        <v>41114</v>
      </c>
      <c r="H1250" s="1">
        <v>45831</v>
      </c>
      <c r="I1250" s="1">
        <v>45962</v>
      </c>
      <c r="J1250" t="s">
        <v>45</v>
      </c>
      <c r="K1250" t="s">
        <v>45</v>
      </c>
      <c r="L1250" t="s">
        <v>46</v>
      </c>
      <c r="M1250" s="1">
        <v>45118</v>
      </c>
      <c r="N1250" t="s">
        <v>47</v>
      </c>
      <c r="O1250" t="s">
        <v>48</v>
      </c>
      <c r="P1250" t="s">
        <v>49</v>
      </c>
      <c r="Q1250" t="s">
        <v>9144</v>
      </c>
      <c r="R1250" t="s">
        <v>9145</v>
      </c>
      <c r="S1250">
        <v>6714</v>
      </c>
      <c r="T1250" t="s">
        <v>52</v>
      </c>
      <c r="U1250">
        <v>5</v>
      </c>
      <c r="V1250" t="s">
        <v>2771</v>
      </c>
      <c r="W1250" t="s">
        <v>54</v>
      </c>
      <c r="X1250" t="s">
        <v>493</v>
      </c>
      <c r="Y1250" t="s">
        <v>434</v>
      </c>
      <c r="Z1250">
        <v>3927</v>
      </c>
      <c r="AA1250">
        <v>55</v>
      </c>
      <c r="AB1250">
        <v>28</v>
      </c>
      <c r="AC1250" t="s">
        <v>4951</v>
      </c>
      <c r="AD1250" t="s">
        <v>4952</v>
      </c>
      <c r="AE1250" t="s">
        <v>4953</v>
      </c>
      <c r="AF1250" t="s">
        <v>4954</v>
      </c>
      <c r="AG1250" t="s">
        <v>4955</v>
      </c>
      <c r="AH1250" t="s">
        <v>4956</v>
      </c>
      <c r="AI1250" t="s">
        <v>4957</v>
      </c>
      <c r="AJ1250" s="2">
        <v>45846.851689814815</v>
      </c>
      <c r="AK1250" t="s">
        <v>132</v>
      </c>
      <c r="AL1250" t="s">
        <v>65</v>
      </c>
      <c r="AM1250" s="4">
        <v>0.88194444444444442</v>
      </c>
      <c r="AN1250" t="s">
        <v>66</v>
      </c>
      <c r="AO1250" t="s">
        <v>67</v>
      </c>
    </row>
    <row r="1251" spans="1:41" x14ac:dyDescent="0.2">
      <c r="A1251">
        <v>368244</v>
      </c>
      <c r="B1251" t="s">
        <v>9146</v>
      </c>
      <c r="C1251" t="s">
        <v>134</v>
      </c>
      <c r="D1251" t="s">
        <v>2657</v>
      </c>
      <c r="E1251">
        <v>32465674</v>
      </c>
      <c r="F1251">
        <v>450312</v>
      </c>
      <c r="G1251" s="1">
        <v>33773</v>
      </c>
      <c r="H1251" s="1">
        <v>45506</v>
      </c>
      <c r="I1251" s="1">
        <v>46218</v>
      </c>
      <c r="J1251" t="s">
        <v>45</v>
      </c>
      <c r="K1251" t="s">
        <v>45</v>
      </c>
      <c r="L1251" t="s">
        <v>72</v>
      </c>
      <c r="M1251" s="1">
        <v>43265</v>
      </c>
      <c r="N1251" t="s">
        <v>47</v>
      </c>
      <c r="O1251" t="s">
        <v>48</v>
      </c>
      <c r="P1251" t="s">
        <v>49</v>
      </c>
      <c r="Q1251" t="s">
        <v>9147</v>
      </c>
      <c r="R1251" t="s">
        <v>9148</v>
      </c>
      <c r="S1251">
        <v>2230</v>
      </c>
      <c r="T1251" t="s">
        <v>52</v>
      </c>
      <c r="U1251">
        <v>6</v>
      </c>
      <c r="V1251" t="s">
        <v>5660</v>
      </c>
      <c r="W1251" t="s">
        <v>54</v>
      </c>
      <c r="X1251" t="s">
        <v>76</v>
      </c>
      <c r="Y1251" t="s">
        <v>56</v>
      </c>
      <c r="Z1251">
        <v>813</v>
      </c>
      <c r="AA1251">
        <v>64</v>
      </c>
      <c r="AB1251">
        <v>34</v>
      </c>
      <c r="AC1251" t="s">
        <v>5661</v>
      </c>
      <c r="AD1251" t="s">
        <v>5662</v>
      </c>
      <c r="AE1251" t="s">
        <v>5663</v>
      </c>
      <c r="AF1251" t="s">
        <v>5664</v>
      </c>
      <c r="AG1251" t="s">
        <v>5665</v>
      </c>
      <c r="AH1251" t="s">
        <v>5666</v>
      </c>
      <c r="AI1251" t="s">
        <v>5667</v>
      </c>
      <c r="AJ1251" s="2">
        <v>45706.860590277778</v>
      </c>
      <c r="AK1251" t="s">
        <v>5661</v>
      </c>
      <c r="AL1251" t="s">
        <v>65</v>
      </c>
      <c r="AM1251" s="4">
        <v>0.35416666666666669</v>
      </c>
      <c r="AN1251" t="s">
        <v>66</v>
      </c>
      <c r="AO1251" t="s">
        <v>67</v>
      </c>
    </row>
    <row r="1252" spans="1:41" x14ac:dyDescent="0.2">
      <c r="A1252">
        <v>364154</v>
      </c>
      <c r="B1252" t="s">
        <v>9149</v>
      </c>
      <c r="C1252" t="s">
        <v>735</v>
      </c>
      <c r="D1252" t="s">
        <v>2790</v>
      </c>
      <c r="E1252" t="s">
        <v>9150</v>
      </c>
      <c r="F1252">
        <v>240217</v>
      </c>
      <c r="G1252" s="1">
        <v>36286</v>
      </c>
      <c r="H1252" s="1">
        <v>45519</v>
      </c>
      <c r="I1252" s="1">
        <v>46235</v>
      </c>
      <c r="J1252" t="s">
        <v>45</v>
      </c>
      <c r="K1252" t="s">
        <v>45</v>
      </c>
      <c r="L1252" t="s">
        <v>429</v>
      </c>
      <c r="M1252" s="1">
        <v>42506</v>
      </c>
      <c r="N1252" t="s">
        <v>47</v>
      </c>
      <c r="O1252" t="s">
        <v>48</v>
      </c>
      <c r="P1252" t="s">
        <v>49</v>
      </c>
      <c r="Q1252" t="s">
        <v>9151</v>
      </c>
      <c r="R1252" t="s">
        <v>9152</v>
      </c>
      <c r="S1252">
        <v>3123</v>
      </c>
      <c r="T1252" t="s">
        <v>52</v>
      </c>
      <c r="U1252">
        <v>1</v>
      </c>
      <c r="V1252" t="s">
        <v>2443</v>
      </c>
      <c r="W1252" t="s">
        <v>54</v>
      </c>
      <c r="X1252" t="s">
        <v>76</v>
      </c>
      <c r="Y1252" t="s">
        <v>56</v>
      </c>
      <c r="Z1252">
        <v>962</v>
      </c>
      <c r="AA1252">
        <v>59</v>
      </c>
      <c r="AB1252">
        <v>152</v>
      </c>
      <c r="AC1252" t="s">
        <v>9016</v>
      </c>
      <c r="AD1252" t="s">
        <v>9017</v>
      </c>
      <c r="AE1252" t="s">
        <v>9018</v>
      </c>
      <c r="AF1252" t="s">
        <v>9153</v>
      </c>
      <c r="AG1252" t="s">
        <v>9154</v>
      </c>
      <c r="AH1252" t="s">
        <v>9155</v>
      </c>
      <c r="AI1252" t="s">
        <v>9022</v>
      </c>
      <c r="AJ1252" s="2">
        <v>45533.826111111113</v>
      </c>
      <c r="AK1252" t="s">
        <v>568</v>
      </c>
      <c r="AL1252" t="s">
        <v>65</v>
      </c>
      <c r="AM1252" s="4">
        <v>0.4861111111111111</v>
      </c>
      <c r="AN1252" t="s">
        <v>66</v>
      </c>
      <c r="AO1252" t="s">
        <v>67</v>
      </c>
    </row>
    <row r="1253" spans="1:41" x14ac:dyDescent="0.2">
      <c r="A1253">
        <v>366824</v>
      </c>
      <c r="B1253" t="s">
        <v>9156</v>
      </c>
      <c r="C1253" t="s">
        <v>735</v>
      </c>
      <c r="D1253" t="s">
        <v>2790</v>
      </c>
      <c r="E1253" t="s">
        <v>9157</v>
      </c>
      <c r="F1253">
        <v>242990</v>
      </c>
      <c r="G1253" s="1">
        <v>45638</v>
      </c>
      <c r="H1253" s="1">
        <v>45639</v>
      </c>
      <c r="I1253" s="1">
        <v>46006</v>
      </c>
      <c r="J1253" t="s">
        <v>45</v>
      </c>
      <c r="K1253" t="s">
        <v>45</v>
      </c>
      <c r="L1253" t="s">
        <v>72</v>
      </c>
      <c r="N1253" t="s">
        <v>89</v>
      </c>
      <c r="O1253" t="s">
        <v>121</v>
      </c>
      <c r="P1253" t="s">
        <v>49</v>
      </c>
      <c r="Q1253" t="s">
        <v>9158</v>
      </c>
      <c r="R1253" t="s">
        <v>9159</v>
      </c>
      <c r="S1253">
        <v>3590</v>
      </c>
      <c r="T1253" t="s">
        <v>52</v>
      </c>
      <c r="U1253">
        <v>1</v>
      </c>
      <c r="V1253" t="s">
        <v>2443</v>
      </c>
      <c r="W1253" t="s">
        <v>54</v>
      </c>
      <c r="X1253" t="s">
        <v>76</v>
      </c>
      <c r="Y1253" t="s">
        <v>125</v>
      </c>
      <c r="Z1253">
        <v>1950</v>
      </c>
      <c r="AA1253">
        <v>88</v>
      </c>
      <c r="AB1253">
        <v>160</v>
      </c>
      <c r="AC1253" t="s">
        <v>9016</v>
      </c>
      <c r="AD1253" t="s">
        <v>9017</v>
      </c>
      <c r="AE1253" t="s">
        <v>9018</v>
      </c>
      <c r="AF1253" t="s">
        <v>9153</v>
      </c>
      <c r="AG1253" t="s">
        <v>9020</v>
      </c>
      <c r="AH1253" t="s">
        <v>9021</v>
      </c>
      <c r="AJ1253" s="2">
        <v>45639.508460648147</v>
      </c>
      <c r="AK1253" t="s">
        <v>132</v>
      </c>
      <c r="AL1253" t="s">
        <v>65</v>
      </c>
      <c r="AM1253" s="3">
        <v>1.2430555555555556</v>
      </c>
      <c r="AN1253" t="s">
        <v>66</v>
      </c>
      <c r="AO1253" t="s">
        <v>67</v>
      </c>
    </row>
    <row r="1254" spans="1:41" x14ac:dyDescent="0.2">
      <c r="A1254">
        <v>363326</v>
      </c>
      <c r="B1254" t="s">
        <v>9160</v>
      </c>
      <c r="C1254" t="s">
        <v>345</v>
      </c>
      <c r="D1254" t="s">
        <v>6060</v>
      </c>
      <c r="E1254" t="s">
        <v>9161</v>
      </c>
      <c r="F1254">
        <v>51406</v>
      </c>
      <c r="G1254" s="1">
        <v>30872</v>
      </c>
      <c r="H1254" s="1">
        <v>45506</v>
      </c>
      <c r="I1254" s="1">
        <v>45931</v>
      </c>
      <c r="J1254" t="s">
        <v>45</v>
      </c>
      <c r="K1254" t="s">
        <v>45</v>
      </c>
      <c r="L1254" t="s">
        <v>429</v>
      </c>
      <c r="M1254" s="1">
        <v>40206</v>
      </c>
      <c r="N1254" t="s">
        <v>47</v>
      </c>
      <c r="O1254" t="s">
        <v>48</v>
      </c>
      <c r="P1254" t="s">
        <v>49</v>
      </c>
      <c r="Q1254" t="s">
        <v>9162</v>
      </c>
      <c r="R1254" t="s">
        <v>9163</v>
      </c>
      <c r="S1254">
        <v>7320</v>
      </c>
      <c r="T1254" t="s">
        <v>365</v>
      </c>
      <c r="U1254" t="s">
        <v>432</v>
      </c>
      <c r="V1254" t="s">
        <v>4107</v>
      </c>
      <c r="W1254" t="s">
        <v>367</v>
      </c>
      <c r="X1254" t="s">
        <v>55</v>
      </c>
      <c r="Y1254" t="s">
        <v>434</v>
      </c>
      <c r="Z1254">
        <v>112</v>
      </c>
      <c r="AA1254">
        <v>54</v>
      </c>
      <c r="AB1254">
        <v>28</v>
      </c>
      <c r="AC1254" t="s">
        <v>4108</v>
      </c>
      <c r="AD1254" t="s">
        <v>4109</v>
      </c>
      <c r="AE1254" t="s">
        <v>4110</v>
      </c>
      <c r="AF1254" t="s">
        <v>4111</v>
      </c>
      <c r="AG1254" t="s">
        <v>4112</v>
      </c>
      <c r="AH1254" t="s">
        <v>4113</v>
      </c>
      <c r="AI1254" t="s">
        <v>179</v>
      </c>
      <c r="AJ1254" s="2">
        <v>45509.898333333331</v>
      </c>
      <c r="AK1254" t="s">
        <v>64</v>
      </c>
      <c r="AL1254" t="s">
        <v>65</v>
      </c>
      <c r="AM1254" s="4">
        <v>0.77777777777777779</v>
      </c>
      <c r="AN1254" t="s">
        <v>66</v>
      </c>
      <c r="AO1254" t="s">
        <v>67</v>
      </c>
    </row>
    <row r="1255" spans="1:41" x14ac:dyDescent="0.2">
      <c r="A1255">
        <v>361466</v>
      </c>
      <c r="B1255" t="s">
        <v>9164</v>
      </c>
      <c r="C1255" t="s">
        <v>182</v>
      </c>
      <c r="D1255" t="s">
        <v>4074</v>
      </c>
      <c r="E1255" t="s">
        <v>9165</v>
      </c>
      <c r="F1255">
        <v>44809</v>
      </c>
      <c r="G1255" s="1">
        <v>32547</v>
      </c>
      <c r="H1255" s="1">
        <v>45279</v>
      </c>
      <c r="I1255" s="1">
        <v>45915</v>
      </c>
      <c r="J1255" t="s">
        <v>45</v>
      </c>
      <c r="K1255" t="s">
        <v>45</v>
      </c>
      <c r="L1255" t="s">
        <v>72</v>
      </c>
      <c r="M1255" s="1">
        <v>45267</v>
      </c>
      <c r="N1255" t="s">
        <v>47</v>
      </c>
      <c r="O1255" t="s">
        <v>48</v>
      </c>
      <c r="P1255" t="s">
        <v>49</v>
      </c>
      <c r="Q1255" t="s">
        <v>9166</v>
      </c>
      <c r="R1255" t="s">
        <v>9167</v>
      </c>
      <c r="S1255">
        <v>6880</v>
      </c>
      <c r="T1255" t="s">
        <v>257</v>
      </c>
      <c r="U1255" t="s">
        <v>640</v>
      </c>
      <c r="V1255" t="s">
        <v>7178</v>
      </c>
      <c r="W1255" t="s">
        <v>260</v>
      </c>
      <c r="X1255" t="s">
        <v>257</v>
      </c>
      <c r="Y1255" t="s">
        <v>110</v>
      </c>
      <c r="Z1255">
        <v>507</v>
      </c>
      <c r="AA1255">
        <v>41</v>
      </c>
      <c r="AB1255">
        <v>160</v>
      </c>
      <c r="AC1255" t="s">
        <v>9168</v>
      </c>
      <c r="AD1255" t="s">
        <v>9169</v>
      </c>
      <c r="AE1255" t="s">
        <v>9170</v>
      </c>
      <c r="AI1255" t="s">
        <v>9171</v>
      </c>
      <c r="AJ1255" s="2">
        <v>45455.715833333335</v>
      </c>
      <c r="AK1255" t="s">
        <v>149</v>
      </c>
      <c r="AL1255" t="s">
        <v>65</v>
      </c>
      <c r="AM1255" s="4">
        <v>0.97916666666666663</v>
      </c>
      <c r="AN1255" t="s">
        <v>66</v>
      </c>
      <c r="AO1255" t="s">
        <v>67</v>
      </c>
    </row>
    <row r="1256" spans="1:41" x14ac:dyDescent="0.2">
      <c r="A1256">
        <v>372575</v>
      </c>
      <c r="B1256" t="s">
        <v>9172</v>
      </c>
      <c r="C1256" t="s">
        <v>345</v>
      </c>
      <c r="D1256" t="s">
        <v>8405</v>
      </c>
      <c r="E1256" t="s">
        <v>9173</v>
      </c>
      <c r="F1256">
        <v>52813</v>
      </c>
      <c r="G1256" s="1">
        <v>33380</v>
      </c>
      <c r="H1256" s="1">
        <v>45482</v>
      </c>
      <c r="I1256" s="1">
        <v>46113</v>
      </c>
      <c r="J1256" t="s">
        <v>45</v>
      </c>
      <c r="K1256" t="s">
        <v>45</v>
      </c>
      <c r="L1256" t="s">
        <v>72</v>
      </c>
      <c r="M1256" s="1">
        <v>40042</v>
      </c>
      <c r="N1256" t="s">
        <v>47</v>
      </c>
      <c r="O1256" t="s">
        <v>48</v>
      </c>
      <c r="P1256" t="s">
        <v>49</v>
      </c>
      <c r="Q1256" t="s">
        <v>9174</v>
      </c>
      <c r="R1256" t="s">
        <v>9175</v>
      </c>
      <c r="S1256">
        <v>9400</v>
      </c>
      <c r="T1256" t="s">
        <v>365</v>
      </c>
      <c r="U1256" t="s">
        <v>432</v>
      </c>
      <c r="V1256" t="s">
        <v>2611</v>
      </c>
      <c r="W1256" t="s">
        <v>367</v>
      </c>
      <c r="X1256" t="s">
        <v>55</v>
      </c>
      <c r="Y1256" t="s">
        <v>434</v>
      </c>
      <c r="Z1256">
        <v>126</v>
      </c>
      <c r="AA1256">
        <v>50</v>
      </c>
      <c r="AB1256">
        <v>166</v>
      </c>
      <c r="AC1256" t="s">
        <v>2612</v>
      </c>
      <c r="AD1256" t="s">
        <v>2613</v>
      </c>
      <c r="AE1256" t="s">
        <v>2614</v>
      </c>
      <c r="AI1256" t="s">
        <v>179</v>
      </c>
      <c r="AJ1256" s="2">
        <v>45845.829398148147</v>
      </c>
      <c r="AK1256" t="s">
        <v>609</v>
      </c>
      <c r="AL1256" t="s">
        <v>65</v>
      </c>
      <c r="AM1256" s="3">
        <v>2.0138888888888888</v>
      </c>
      <c r="AN1256" t="s">
        <v>66</v>
      </c>
      <c r="AO1256" t="s">
        <v>67</v>
      </c>
    </row>
    <row r="1257" spans="1:41" x14ac:dyDescent="0.2">
      <c r="A1257">
        <v>367232</v>
      </c>
      <c r="B1257" t="s">
        <v>9176</v>
      </c>
      <c r="C1257" t="s">
        <v>662</v>
      </c>
      <c r="D1257" t="s">
        <v>990</v>
      </c>
      <c r="E1257">
        <v>88414686</v>
      </c>
      <c r="F1257">
        <v>414102</v>
      </c>
      <c r="G1257" s="1">
        <v>37636</v>
      </c>
      <c r="H1257" s="1">
        <v>45558</v>
      </c>
      <c r="I1257" s="1">
        <v>46249</v>
      </c>
      <c r="J1257" t="s">
        <v>45</v>
      </c>
      <c r="K1257" t="s">
        <v>45</v>
      </c>
      <c r="L1257" t="s">
        <v>72</v>
      </c>
      <c r="M1257" s="1">
        <v>45281</v>
      </c>
      <c r="N1257" t="s">
        <v>47</v>
      </c>
      <c r="O1257" t="s">
        <v>48</v>
      </c>
      <c r="P1257" t="s">
        <v>49</v>
      </c>
      <c r="Q1257" t="s">
        <v>9177</v>
      </c>
      <c r="R1257" t="s">
        <v>9178</v>
      </c>
      <c r="S1257">
        <v>230</v>
      </c>
      <c r="T1257" t="s">
        <v>92</v>
      </c>
      <c r="U1257" t="s">
        <v>1197</v>
      </c>
      <c r="V1257" t="s">
        <v>1198</v>
      </c>
      <c r="W1257" t="s">
        <v>1199</v>
      </c>
      <c r="X1257" t="s">
        <v>52</v>
      </c>
      <c r="Y1257" t="s">
        <v>110</v>
      </c>
      <c r="Z1257">
        <v>2083</v>
      </c>
      <c r="AA1257">
        <v>40</v>
      </c>
      <c r="AB1257">
        <v>158</v>
      </c>
      <c r="AC1257" t="s">
        <v>1200</v>
      </c>
      <c r="AD1257" t="s">
        <v>1201</v>
      </c>
      <c r="AE1257" t="s">
        <v>1202</v>
      </c>
      <c r="AF1257" t="s">
        <v>1203</v>
      </c>
      <c r="AG1257" t="s">
        <v>1204</v>
      </c>
      <c r="AH1257" t="s">
        <v>1205</v>
      </c>
      <c r="AJ1257" s="2">
        <v>45666.60533564815</v>
      </c>
      <c r="AK1257" t="s">
        <v>1203</v>
      </c>
      <c r="AL1257" t="s">
        <v>65</v>
      </c>
      <c r="AM1257" s="4">
        <v>0.25</v>
      </c>
      <c r="AN1257" t="s">
        <v>66</v>
      </c>
      <c r="AO1257" t="s">
        <v>67</v>
      </c>
    </row>
    <row r="1258" spans="1:41" x14ac:dyDescent="0.2">
      <c r="A1258">
        <v>369534</v>
      </c>
      <c r="B1258" t="s">
        <v>9179</v>
      </c>
      <c r="C1258" t="s">
        <v>182</v>
      </c>
      <c r="D1258" t="s">
        <v>443</v>
      </c>
      <c r="E1258" t="s">
        <v>9180</v>
      </c>
      <c r="F1258">
        <v>44517</v>
      </c>
      <c r="G1258" s="1">
        <v>34622</v>
      </c>
      <c r="H1258" s="1">
        <v>45738</v>
      </c>
      <c r="J1258" t="s">
        <v>45</v>
      </c>
      <c r="K1258" t="s">
        <v>72</v>
      </c>
      <c r="L1258" t="s">
        <v>72</v>
      </c>
      <c r="N1258" t="s">
        <v>47</v>
      </c>
      <c r="O1258" t="s">
        <v>48</v>
      </c>
      <c r="P1258" t="s">
        <v>49</v>
      </c>
      <c r="Q1258" t="s">
        <v>9181</v>
      </c>
      <c r="R1258" t="s">
        <v>9182</v>
      </c>
      <c r="S1258">
        <v>1228</v>
      </c>
      <c r="T1258" t="s">
        <v>92</v>
      </c>
      <c r="U1258" t="s">
        <v>187</v>
      </c>
      <c r="V1258" t="s">
        <v>447</v>
      </c>
      <c r="W1258" t="s">
        <v>448</v>
      </c>
      <c r="X1258" t="s">
        <v>92</v>
      </c>
      <c r="Y1258" t="s">
        <v>450</v>
      </c>
      <c r="Z1258">
        <v>1241</v>
      </c>
      <c r="AA1258">
        <v>50</v>
      </c>
      <c r="AB1258">
        <v>66</v>
      </c>
      <c r="AC1258" t="s">
        <v>451</v>
      </c>
      <c r="AD1258" t="s">
        <v>472</v>
      </c>
      <c r="AE1258" t="s">
        <v>9183</v>
      </c>
      <c r="AF1258" t="s">
        <v>454</v>
      </c>
      <c r="AG1258" t="s">
        <v>473</v>
      </c>
      <c r="AH1258" t="s">
        <v>474</v>
      </c>
      <c r="AJ1258" s="2">
        <v>45743.63753472222</v>
      </c>
      <c r="AK1258" t="s">
        <v>526</v>
      </c>
      <c r="AL1258" t="s">
        <v>65</v>
      </c>
      <c r="AM1258" s="3">
        <v>1.1458333333333333</v>
      </c>
      <c r="AN1258" t="s">
        <v>66</v>
      </c>
      <c r="AO1258" t="s">
        <v>67</v>
      </c>
    </row>
    <row r="1259" spans="1:41" x14ac:dyDescent="0.2">
      <c r="A1259">
        <v>369690</v>
      </c>
      <c r="B1259" t="s">
        <v>9184</v>
      </c>
      <c r="C1259" t="s">
        <v>1565</v>
      </c>
      <c r="D1259" t="s">
        <v>9185</v>
      </c>
      <c r="E1259">
        <v>83787214</v>
      </c>
      <c r="F1259">
        <v>393101</v>
      </c>
      <c r="G1259" s="1">
        <v>37938</v>
      </c>
      <c r="H1259" s="1">
        <v>45556</v>
      </c>
      <c r="J1259" t="s">
        <v>45</v>
      </c>
      <c r="K1259" t="s">
        <v>45</v>
      </c>
      <c r="L1259" t="s">
        <v>72</v>
      </c>
      <c r="N1259" t="s">
        <v>47</v>
      </c>
      <c r="O1259" t="s">
        <v>48</v>
      </c>
      <c r="P1259" t="s">
        <v>49</v>
      </c>
      <c r="Q1259" t="s">
        <v>9186</v>
      </c>
      <c r="R1259" t="s">
        <v>9187</v>
      </c>
      <c r="S1259">
        <v>1876</v>
      </c>
      <c r="T1259" t="s">
        <v>156</v>
      </c>
      <c r="U1259" t="s">
        <v>1018</v>
      </c>
      <c r="V1259" t="s">
        <v>9188</v>
      </c>
      <c r="W1259" t="s">
        <v>159</v>
      </c>
      <c r="X1259" t="s">
        <v>156</v>
      </c>
      <c r="Y1259" t="s">
        <v>450</v>
      </c>
      <c r="Z1259">
        <v>2453</v>
      </c>
      <c r="AA1259">
        <v>49</v>
      </c>
      <c r="AB1259">
        <v>160</v>
      </c>
      <c r="AC1259" t="s">
        <v>5841</v>
      </c>
      <c r="AD1259" t="s">
        <v>5842</v>
      </c>
      <c r="AE1259" t="s">
        <v>5843</v>
      </c>
      <c r="AF1259" t="s">
        <v>5844</v>
      </c>
      <c r="AG1259" t="s">
        <v>5845</v>
      </c>
      <c r="AH1259" t="s">
        <v>5846</v>
      </c>
      <c r="AI1259" t="s">
        <v>9189</v>
      </c>
      <c r="AJ1259" s="2">
        <v>45749.583969907406</v>
      </c>
      <c r="AK1259" t="s">
        <v>1024</v>
      </c>
      <c r="AL1259" t="s">
        <v>65</v>
      </c>
      <c r="AM1259" s="3">
        <v>1.7083333333333333</v>
      </c>
      <c r="AN1259" t="s">
        <v>66</v>
      </c>
      <c r="AO1259" t="s">
        <v>67</v>
      </c>
    </row>
    <row r="1260" spans="1:41" x14ac:dyDescent="0.2">
      <c r="A1260">
        <v>364558</v>
      </c>
      <c r="B1260" t="s">
        <v>9190</v>
      </c>
      <c r="C1260" t="s">
        <v>86</v>
      </c>
      <c r="D1260" t="s">
        <v>9191</v>
      </c>
      <c r="E1260">
        <v>32467098</v>
      </c>
      <c r="G1260" s="1">
        <v>45041</v>
      </c>
      <c r="H1260" s="1">
        <v>45042</v>
      </c>
      <c r="I1260" s="1">
        <v>46127</v>
      </c>
      <c r="J1260" t="s">
        <v>45</v>
      </c>
      <c r="K1260" t="s">
        <v>45</v>
      </c>
      <c r="L1260" t="s">
        <v>72</v>
      </c>
      <c r="M1260" s="1">
        <v>40424</v>
      </c>
      <c r="N1260" t="s">
        <v>89</v>
      </c>
      <c r="O1260" t="s">
        <v>121</v>
      </c>
      <c r="P1260" t="s">
        <v>49</v>
      </c>
      <c r="Q1260" t="s">
        <v>9192</v>
      </c>
      <c r="R1260" t="s">
        <v>9193</v>
      </c>
      <c r="S1260">
        <v>669</v>
      </c>
      <c r="T1260" t="s">
        <v>52</v>
      </c>
      <c r="U1260">
        <v>9</v>
      </c>
      <c r="V1260" t="s">
        <v>1631</v>
      </c>
      <c r="W1260" t="s">
        <v>54</v>
      </c>
      <c r="X1260" t="s">
        <v>52</v>
      </c>
      <c r="Y1260" t="s">
        <v>125</v>
      </c>
      <c r="Z1260">
        <v>3064</v>
      </c>
      <c r="AA1260">
        <v>46</v>
      </c>
      <c r="AB1260">
        <v>160</v>
      </c>
      <c r="AC1260" t="s">
        <v>1632</v>
      </c>
      <c r="AD1260" t="s">
        <v>1633</v>
      </c>
      <c r="AE1260" t="s">
        <v>1634</v>
      </c>
      <c r="AF1260" t="s">
        <v>9194</v>
      </c>
      <c r="AG1260" t="s">
        <v>9195</v>
      </c>
      <c r="AH1260" t="s">
        <v>9196</v>
      </c>
      <c r="AI1260" t="s">
        <v>1638</v>
      </c>
      <c r="AJ1260" s="2">
        <v>45552.47451388889</v>
      </c>
      <c r="AK1260" t="s">
        <v>132</v>
      </c>
      <c r="AL1260" t="s">
        <v>65</v>
      </c>
      <c r="AM1260" s="4">
        <v>0.66666666666666663</v>
      </c>
      <c r="AN1260" t="s">
        <v>66</v>
      </c>
      <c r="AO1260" t="s">
        <v>67</v>
      </c>
    </row>
    <row r="1261" spans="1:41" x14ac:dyDescent="0.2">
      <c r="A1261">
        <v>371104</v>
      </c>
      <c r="B1261" t="s">
        <v>9197</v>
      </c>
      <c r="C1261" t="s">
        <v>86</v>
      </c>
      <c r="D1261" t="s">
        <v>9198</v>
      </c>
      <c r="E1261" t="s">
        <v>9199</v>
      </c>
      <c r="G1261" s="1">
        <v>45180</v>
      </c>
      <c r="H1261" s="1">
        <v>45181</v>
      </c>
      <c r="I1261" s="1">
        <v>45945</v>
      </c>
      <c r="J1261" t="s">
        <v>45</v>
      </c>
      <c r="K1261" t="s">
        <v>45</v>
      </c>
      <c r="L1261" t="s">
        <v>72</v>
      </c>
      <c r="N1261" t="s">
        <v>89</v>
      </c>
      <c r="O1261" t="s">
        <v>121</v>
      </c>
      <c r="P1261" t="s">
        <v>49</v>
      </c>
      <c r="Q1261" t="s">
        <v>9200</v>
      </c>
      <c r="R1261" t="s">
        <v>9201</v>
      </c>
      <c r="S1261">
        <v>524</v>
      </c>
      <c r="T1261" t="s">
        <v>52</v>
      </c>
      <c r="U1261">
        <v>9</v>
      </c>
      <c r="V1261" t="s">
        <v>1631</v>
      </c>
      <c r="W1261" t="s">
        <v>54</v>
      </c>
      <c r="X1261" t="s">
        <v>52</v>
      </c>
      <c r="Y1261" t="s">
        <v>125</v>
      </c>
      <c r="Z1261">
        <v>2173</v>
      </c>
      <c r="AA1261">
        <v>45</v>
      </c>
      <c r="AB1261">
        <v>174</v>
      </c>
      <c r="AC1261" t="s">
        <v>9202</v>
      </c>
      <c r="AD1261" t="s">
        <v>9203</v>
      </c>
      <c r="AE1261" t="s">
        <v>9204</v>
      </c>
      <c r="AF1261" t="s">
        <v>9205</v>
      </c>
      <c r="AG1261" t="s">
        <v>1633</v>
      </c>
      <c r="AH1261" t="s">
        <v>1634</v>
      </c>
      <c r="AI1261" t="s">
        <v>1638</v>
      </c>
      <c r="AJ1261" s="2">
        <v>45796.692245370374</v>
      </c>
      <c r="AK1261" t="s">
        <v>9205</v>
      </c>
      <c r="AL1261" t="s">
        <v>65</v>
      </c>
      <c r="AM1261" s="4">
        <v>0.65972222222222221</v>
      </c>
      <c r="AN1261" t="s">
        <v>66</v>
      </c>
      <c r="AO1261" t="s">
        <v>67</v>
      </c>
    </row>
    <row r="1262" spans="1:41" x14ac:dyDescent="0.2">
      <c r="A1262">
        <v>369303</v>
      </c>
      <c r="B1262" t="s">
        <v>9206</v>
      </c>
      <c r="C1262" t="s">
        <v>118</v>
      </c>
      <c r="D1262" t="s">
        <v>2713</v>
      </c>
      <c r="E1262" t="s">
        <v>9207</v>
      </c>
      <c r="F1262">
        <v>20117</v>
      </c>
      <c r="G1262" s="1">
        <v>34599</v>
      </c>
      <c r="H1262" s="1">
        <v>45568</v>
      </c>
      <c r="I1262" s="1">
        <v>46266</v>
      </c>
      <c r="J1262" t="s">
        <v>45</v>
      </c>
      <c r="K1262" t="s">
        <v>45</v>
      </c>
      <c r="L1262" t="s">
        <v>429</v>
      </c>
      <c r="M1262" s="1">
        <v>42880</v>
      </c>
      <c r="N1262" t="s">
        <v>47</v>
      </c>
      <c r="O1262" t="s">
        <v>48</v>
      </c>
      <c r="P1262" t="s">
        <v>49</v>
      </c>
      <c r="Q1262" t="s">
        <v>9208</v>
      </c>
      <c r="R1262" t="s">
        <v>9209</v>
      </c>
      <c r="S1262">
        <v>5445</v>
      </c>
      <c r="T1262" t="s">
        <v>365</v>
      </c>
      <c r="U1262" t="s">
        <v>815</v>
      </c>
      <c r="V1262" t="s">
        <v>958</v>
      </c>
      <c r="W1262" t="s">
        <v>367</v>
      </c>
      <c r="X1262" t="s">
        <v>55</v>
      </c>
      <c r="Y1262" t="s">
        <v>434</v>
      </c>
      <c r="Z1262">
        <v>49</v>
      </c>
      <c r="AA1262">
        <v>58</v>
      </c>
      <c r="AB1262">
        <v>28</v>
      </c>
      <c r="AC1262" t="s">
        <v>2717</v>
      </c>
      <c r="AD1262" t="s">
        <v>2718</v>
      </c>
      <c r="AE1262" t="s">
        <v>2719</v>
      </c>
      <c r="AF1262" t="s">
        <v>2720</v>
      </c>
      <c r="AG1262" t="s">
        <v>963</v>
      </c>
      <c r="AH1262" t="s">
        <v>2721</v>
      </c>
      <c r="AI1262" t="s">
        <v>179</v>
      </c>
      <c r="AJ1262" s="2">
        <v>45734.536944444444</v>
      </c>
      <c r="AK1262" t="s">
        <v>2717</v>
      </c>
      <c r="AL1262" t="s">
        <v>65</v>
      </c>
      <c r="AM1262" s="3">
        <v>1.4166666666666667</v>
      </c>
      <c r="AN1262" t="s">
        <v>66</v>
      </c>
      <c r="AO1262" t="s">
        <v>67</v>
      </c>
    </row>
    <row r="1263" spans="1:41" x14ac:dyDescent="0.2">
      <c r="A1263">
        <v>371937</v>
      </c>
      <c r="B1263" t="s">
        <v>9206</v>
      </c>
      <c r="C1263" t="s">
        <v>134</v>
      </c>
      <c r="D1263" t="s">
        <v>3560</v>
      </c>
      <c r="E1263" t="s">
        <v>9210</v>
      </c>
      <c r="F1263">
        <v>450124</v>
      </c>
      <c r="G1263" s="1">
        <v>32840</v>
      </c>
      <c r="H1263" s="1">
        <v>45818</v>
      </c>
      <c r="I1263" s="1">
        <v>46174</v>
      </c>
      <c r="J1263" t="s">
        <v>45</v>
      </c>
      <c r="K1263" t="s">
        <v>45</v>
      </c>
      <c r="L1263" t="s">
        <v>72</v>
      </c>
      <c r="M1263" s="1">
        <v>44329</v>
      </c>
      <c r="N1263" t="s">
        <v>47</v>
      </c>
      <c r="O1263" t="s">
        <v>48</v>
      </c>
      <c r="P1263" t="s">
        <v>49</v>
      </c>
      <c r="Q1263" t="s">
        <v>9211</v>
      </c>
      <c r="R1263" t="s">
        <v>9212</v>
      </c>
      <c r="S1263">
        <v>5262</v>
      </c>
      <c r="T1263" t="s">
        <v>257</v>
      </c>
      <c r="U1263" t="s">
        <v>640</v>
      </c>
      <c r="V1263" t="s">
        <v>9213</v>
      </c>
      <c r="W1263" t="s">
        <v>260</v>
      </c>
      <c r="X1263" t="s">
        <v>257</v>
      </c>
      <c r="Y1263" t="s">
        <v>110</v>
      </c>
      <c r="Z1263">
        <v>784</v>
      </c>
      <c r="AA1263">
        <v>71</v>
      </c>
      <c r="AB1263">
        <v>210</v>
      </c>
      <c r="AC1263" t="s">
        <v>5661</v>
      </c>
      <c r="AD1263" t="s">
        <v>5662</v>
      </c>
      <c r="AE1263" t="s">
        <v>5663</v>
      </c>
      <c r="AF1263" t="s">
        <v>9214</v>
      </c>
      <c r="AG1263" t="s">
        <v>9215</v>
      </c>
      <c r="AI1263" t="s">
        <v>5662</v>
      </c>
      <c r="AJ1263" s="2">
        <v>45825.618958333333</v>
      </c>
      <c r="AK1263" t="s">
        <v>84</v>
      </c>
      <c r="AL1263" t="s">
        <v>65</v>
      </c>
      <c r="AM1263" s="3">
        <v>1.1805555555555556</v>
      </c>
      <c r="AN1263" t="s">
        <v>66</v>
      </c>
      <c r="AO1263" t="s">
        <v>67</v>
      </c>
    </row>
    <row r="1264" spans="1:41" x14ac:dyDescent="0.2">
      <c r="A1264">
        <v>364961</v>
      </c>
      <c r="B1264" t="s">
        <v>9216</v>
      </c>
      <c r="C1264" t="s">
        <v>692</v>
      </c>
      <c r="D1264" t="s">
        <v>2245</v>
      </c>
      <c r="E1264" t="s">
        <v>9217</v>
      </c>
      <c r="F1264">
        <v>480307</v>
      </c>
      <c r="G1264" s="1">
        <v>33820</v>
      </c>
      <c r="H1264" s="1">
        <v>45561</v>
      </c>
      <c r="I1264" s="1">
        <v>46296</v>
      </c>
      <c r="J1264" t="s">
        <v>45</v>
      </c>
      <c r="K1264" t="s">
        <v>45</v>
      </c>
      <c r="L1264" t="s">
        <v>429</v>
      </c>
      <c r="M1264" s="1">
        <v>41416</v>
      </c>
      <c r="N1264" t="s">
        <v>47</v>
      </c>
      <c r="O1264" t="s">
        <v>48</v>
      </c>
      <c r="P1264" t="s">
        <v>49</v>
      </c>
      <c r="Q1264" t="s">
        <v>9218</v>
      </c>
      <c r="R1264" t="s">
        <v>9219</v>
      </c>
      <c r="S1264">
        <v>5670</v>
      </c>
      <c r="T1264" t="s">
        <v>365</v>
      </c>
      <c r="U1264" t="s">
        <v>432</v>
      </c>
      <c r="V1264" t="s">
        <v>4190</v>
      </c>
      <c r="W1264" t="s">
        <v>367</v>
      </c>
      <c r="X1264" t="s">
        <v>76</v>
      </c>
      <c r="Y1264" t="s">
        <v>434</v>
      </c>
      <c r="Z1264">
        <v>387</v>
      </c>
      <c r="AA1264">
        <v>51</v>
      </c>
      <c r="AB1264">
        <v>160</v>
      </c>
      <c r="AC1264" t="s">
        <v>8231</v>
      </c>
      <c r="AD1264" t="s">
        <v>8232</v>
      </c>
      <c r="AE1264" t="s">
        <v>8233</v>
      </c>
      <c r="AF1264" t="s">
        <v>8234</v>
      </c>
      <c r="AG1264" t="s">
        <v>8235</v>
      </c>
      <c r="AH1264" t="s">
        <v>8236</v>
      </c>
      <c r="AI1264" t="s">
        <v>9220</v>
      </c>
      <c r="AJ1264" s="2">
        <v>45566.513252314813</v>
      </c>
      <c r="AK1264" t="s">
        <v>568</v>
      </c>
      <c r="AL1264" t="s">
        <v>65</v>
      </c>
      <c r="AM1264" s="3">
        <v>2.1805555555555554</v>
      </c>
      <c r="AN1264" t="s">
        <v>66</v>
      </c>
      <c r="AO1264" t="s">
        <v>67</v>
      </c>
    </row>
    <row r="1265" spans="1:41" x14ac:dyDescent="0.2">
      <c r="A1265">
        <v>372050</v>
      </c>
      <c r="B1265" t="s">
        <v>9221</v>
      </c>
      <c r="C1265" t="s">
        <v>69</v>
      </c>
      <c r="D1265" t="s">
        <v>3081</v>
      </c>
      <c r="E1265" t="s">
        <v>9222</v>
      </c>
      <c r="G1265" s="1">
        <v>45828</v>
      </c>
      <c r="H1265" s="1">
        <v>45754</v>
      </c>
      <c r="J1265" t="s">
        <v>326</v>
      </c>
      <c r="K1265" t="s">
        <v>45</v>
      </c>
      <c r="L1265" t="s">
        <v>72</v>
      </c>
      <c r="N1265" t="s">
        <v>47</v>
      </c>
      <c r="O1265" t="s">
        <v>48</v>
      </c>
      <c r="P1265" t="s">
        <v>406</v>
      </c>
      <c r="Q1265" t="s">
        <v>2851</v>
      </c>
      <c r="R1265" t="s">
        <v>9223</v>
      </c>
      <c r="S1265">
        <v>2830</v>
      </c>
      <c r="T1265" t="s">
        <v>365</v>
      </c>
      <c r="U1265" t="s">
        <v>532</v>
      </c>
      <c r="V1265" t="s">
        <v>2853</v>
      </c>
      <c r="W1265" t="s">
        <v>409</v>
      </c>
      <c r="X1265" t="s">
        <v>76</v>
      </c>
      <c r="Y1265" t="s">
        <v>410</v>
      </c>
      <c r="Z1265">
        <v>11646</v>
      </c>
      <c r="AA1265">
        <v>47</v>
      </c>
      <c r="AB1265">
        <v>210</v>
      </c>
      <c r="AC1265" t="s">
        <v>132</v>
      </c>
      <c r="AD1265" t="s">
        <v>6209</v>
      </c>
      <c r="AE1265" t="s">
        <v>2856</v>
      </c>
      <c r="AF1265" t="s">
        <v>100</v>
      </c>
      <c r="AG1265" t="s">
        <v>3089</v>
      </c>
      <c r="AH1265" t="s">
        <v>3093</v>
      </c>
      <c r="AJ1265" s="2">
        <v>45828.456712962965</v>
      </c>
      <c r="AK1265" t="s">
        <v>132</v>
      </c>
      <c r="AL1265" t="s">
        <v>65</v>
      </c>
      <c r="AM1265" s="4">
        <v>0.59722222222222221</v>
      </c>
      <c r="AN1265" t="s">
        <v>66</v>
      </c>
      <c r="AO1265" t="s">
        <v>67</v>
      </c>
    </row>
    <row r="1266" spans="1:41" x14ac:dyDescent="0.2">
      <c r="A1266">
        <v>370948</v>
      </c>
      <c r="B1266" t="s">
        <v>9224</v>
      </c>
      <c r="C1266" t="s">
        <v>69</v>
      </c>
      <c r="D1266" t="s">
        <v>3081</v>
      </c>
      <c r="E1266" t="s">
        <v>9225</v>
      </c>
      <c r="G1266" s="1">
        <v>45027</v>
      </c>
      <c r="H1266" s="1">
        <v>45744</v>
      </c>
      <c r="J1266" t="s">
        <v>326</v>
      </c>
      <c r="K1266" t="s">
        <v>45</v>
      </c>
      <c r="L1266" t="s">
        <v>72</v>
      </c>
      <c r="N1266" t="s">
        <v>89</v>
      </c>
      <c r="O1266" t="s">
        <v>48</v>
      </c>
      <c r="P1266" t="s">
        <v>406</v>
      </c>
      <c r="Q1266" t="s">
        <v>2851</v>
      </c>
      <c r="R1266" t="s">
        <v>9223</v>
      </c>
      <c r="S1266">
        <v>2830</v>
      </c>
      <c r="T1266" t="s">
        <v>365</v>
      </c>
      <c r="U1266" t="s">
        <v>532</v>
      </c>
      <c r="V1266" t="s">
        <v>2853</v>
      </c>
      <c r="W1266" t="s">
        <v>409</v>
      </c>
      <c r="X1266" t="s">
        <v>76</v>
      </c>
      <c r="Y1266" t="s">
        <v>410</v>
      </c>
      <c r="Z1266">
        <v>11647</v>
      </c>
      <c r="AA1266">
        <v>11</v>
      </c>
      <c r="AB1266">
        <v>210</v>
      </c>
      <c r="AC1266" t="s">
        <v>132</v>
      </c>
      <c r="AD1266" t="s">
        <v>6209</v>
      </c>
      <c r="AE1266" t="s">
        <v>2856</v>
      </c>
      <c r="AF1266" t="s">
        <v>100</v>
      </c>
      <c r="AG1266" t="s">
        <v>3089</v>
      </c>
      <c r="AH1266" t="s">
        <v>9226</v>
      </c>
      <c r="AJ1266" s="2">
        <v>45791.490474537037</v>
      </c>
      <c r="AK1266" t="s">
        <v>132</v>
      </c>
      <c r="AL1266" t="s">
        <v>65</v>
      </c>
      <c r="AM1266" s="4">
        <v>0.60416666666666663</v>
      </c>
      <c r="AN1266" t="s">
        <v>66</v>
      </c>
      <c r="AO1266" t="s">
        <v>67</v>
      </c>
    </row>
    <row r="1267" spans="1:41" x14ac:dyDescent="0.2">
      <c r="A1267">
        <v>372892</v>
      </c>
      <c r="B1267" t="s">
        <v>9227</v>
      </c>
      <c r="C1267" t="s">
        <v>69</v>
      </c>
      <c r="D1267" t="s">
        <v>3081</v>
      </c>
      <c r="E1267" t="s">
        <v>9228</v>
      </c>
      <c r="G1267" s="1">
        <v>45855</v>
      </c>
      <c r="H1267" s="1">
        <v>45776</v>
      </c>
      <c r="J1267" t="s">
        <v>326</v>
      </c>
      <c r="K1267" t="s">
        <v>45</v>
      </c>
      <c r="L1267" t="s">
        <v>72</v>
      </c>
      <c r="N1267" t="s">
        <v>47</v>
      </c>
      <c r="O1267" t="s">
        <v>48</v>
      </c>
      <c r="P1267" t="s">
        <v>406</v>
      </c>
      <c r="Q1267" t="s">
        <v>2851</v>
      </c>
      <c r="R1267" t="s">
        <v>9223</v>
      </c>
      <c r="S1267">
        <v>2830</v>
      </c>
      <c r="T1267" t="s">
        <v>365</v>
      </c>
      <c r="U1267" t="s">
        <v>532</v>
      </c>
      <c r="V1267" t="s">
        <v>2853</v>
      </c>
      <c r="W1267" t="s">
        <v>409</v>
      </c>
      <c r="X1267" t="s">
        <v>76</v>
      </c>
      <c r="Y1267" t="s">
        <v>410</v>
      </c>
      <c r="Z1267">
        <v>11648</v>
      </c>
      <c r="AA1267">
        <v>49</v>
      </c>
      <c r="AB1267">
        <v>210</v>
      </c>
      <c r="AC1267" t="s">
        <v>132</v>
      </c>
      <c r="AD1267" t="s">
        <v>6209</v>
      </c>
      <c r="AE1267" t="s">
        <v>2856</v>
      </c>
      <c r="AF1267" t="s">
        <v>100</v>
      </c>
      <c r="AG1267" t="s">
        <v>3089</v>
      </c>
      <c r="AH1267" t="s">
        <v>3093</v>
      </c>
      <c r="AJ1267" s="2">
        <v>45855.801840277774</v>
      </c>
      <c r="AK1267" t="s">
        <v>132</v>
      </c>
      <c r="AL1267" t="s">
        <v>65</v>
      </c>
      <c r="AM1267" s="4">
        <v>0.61111111111111116</v>
      </c>
      <c r="AN1267" t="s">
        <v>66</v>
      </c>
      <c r="AO1267" t="s">
        <v>67</v>
      </c>
    </row>
    <row r="1268" spans="1:41" x14ac:dyDescent="0.2">
      <c r="A1268">
        <v>351563</v>
      </c>
      <c r="B1268" t="s">
        <v>9229</v>
      </c>
      <c r="C1268" t="s">
        <v>42</v>
      </c>
      <c r="D1268" t="s">
        <v>43</v>
      </c>
      <c r="E1268" t="s">
        <v>9230</v>
      </c>
      <c r="F1268">
        <v>291406</v>
      </c>
      <c r="G1268" s="1">
        <v>40149</v>
      </c>
      <c r="H1268" s="1">
        <v>42668</v>
      </c>
      <c r="J1268" t="s">
        <v>326</v>
      </c>
      <c r="K1268" t="s">
        <v>72</v>
      </c>
      <c r="L1268" t="s">
        <v>72</v>
      </c>
      <c r="N1268" t="s">
        <v>89</v>
      </c>
      <c r="O1268" t="s">
        <v>48</v>
      </c>
      <c r="P1268" t="s">
        <v>907</v>
      </c>
      <c r="Q1268" t="s">
        <v>9231</v>
      </c>
      <c r="R1268" t="s">
        <v>9232</v>
      </c>
      <c r="S1268">
        <v>4950</v>
      </c>
      <c r="T1268" t="s">
        <v>365</v>
      </c>
      <c r="U1268" t="s">
        <v>432</v>
      </c>
      <c r="V1268" t="s">
        <v>5915</v>
      </c>
      <c r="W1268" t="s">
        <v>409</v>
      </c>
      <c r="X1268" t="s">
        <v>92</v>
      </c>
      <c r="Y1268" t="s">
        <v>642</v>
      </c>
      <c r="Z1268">
        <v>3103</v>
      </c>
      <c r="AA1268">
        <v>18</v>
      </c>
      <c r="AB1268">
        <v>52</v>
      </c>
      <c r="AC1268" t="s">
        <v>5551</v>
      </c>
      <c r="AD1268" t="s">
        <v>1809</v>
      </c>
      <c r="AE1268" t="s">
        <v>1810</v>
      </c>
      <c r="AF1268" t="s">
        <v>9233</v>
      </c>
      <c r="AG1268" t="s">
        <v>9234</v>
      </c>
      <c r="AH1268" t="s">
        <v>9235</v>
      </c>
      <c r="AJ1268" s="2">
        <v>45174.626006944447</v>
      </c>
      <c r="AK1268" t="s">
        <v>6497</v>
      </c>
      <c r="AL1268" t="s">
        <v>1168</v>
      </c>
      <c r="AM1268" s="3">
        <v>2.2152777777777777</v>
      </c>
      <c r="AN1268" t="s">
        <v>66</v>
      </c>
      <c r="AO1268" t="s">
        <v>67</v>
      </c>
    </row>
    <row r="1269" spans="1:41" x14ac:dyDescent="0.2">
      <c r="A1269">
        <v>356586</v>
      </c>
      <c r="B1269" t="s">
        <v>9236</v>
      </c>
      <c r="C1269" t="s">
        <v>69</v>
      </c>
      <c r="D1269" t="s">
        <v>3815</v>
      </c>
      <c r="E1269" t="s">
        <v>9237</v>
      </c>
      <c r="G1269" s="1">
        <v>41767</v>
      </c>
      <c r="H1269" s="1">
        <v>42191</v>
      </c>
      <c r="J1269" t="s">
        <v>326</v>
      </c>
      <c r="K1269" t="s">
        <v>326</v>
      </c>
      <c r="L1269" t="s">
        <v>72</v>
      </c>
      <c r="M1269" s="1">
        <v>40332</v>
      </c>
      <c r="N1269" t="s">
        <v>89</v>
      </c>
      <c r="O1269" t="s">
        <v>121</v>
      </c>
      <c r="P1269" t="s">
        <v>49</v>
      </c>
      <c r="Q1269" t="s">
        <v>9238</v>
      </c>
      <c r="R1269" t="s">
        <v>9239</v>
      </c>
      <c r="S1269">
        <v>6247</v>
      </c>
      <c r="T1269" t="s">
        <v>365</v>
      </c>
      <c r="U1269" t="s">
        <v>532</v>
      </c>
      <c r="V1269" t="s">
        <v>936</v>
      </c>
      <c r="W1269" t="s">
        <v>367</v>
      </c>
      <c r="X1269" t="s">
        <v>76</v>
      </c>
      <c r="Y1269" t="s">
        <v>410</v>
      </c>
      <c r="Z1269">
        <v>2320</v>
      </c>
      <c r="AA1269">
        <v>52</v>
      </c>
      <c r="AB1269">
        <v>160</v>
      </c>
      <c r="AC1269" t="s">
        <v>937</v>
      </c>
      <c r="AD1269" t="s">
        <v>938</v>
      </c>
      <c r="AE1269" t="s">
        <v>939</v>
      </c>
      <c r="AI1269" t="s">
        <v>9240</v>
      </c>
      <c r="AJ1269" s="2">
        <v>45313.651400462964</v>
      </c>
      <c r="AK1269" t="s">
        <v>149</v>
      </c>
      <c r="AL1269" t="s">
        <v>475</v>
      </c>
      <c r="AM1269" s="3">
        <v>1.2638888888888888</v>
      </c>
      <c r="AN1269" t="s">
        <v>66</v>
      </c>
      <c r="AO1269" t="s">
        <v>67</v>
      </c>
    </row>
    <row r="1270" spans="1:41" x14ac:dyDescent="0.2">
      <c r="A1270">
        <v>360235</v>
      </c>
      <c r="B1270" t="s">
        <v>9241</v>
      </c>
      <c r="C1270" t="s">
        <v>69</v>
      </c>
      <c r="D1270" t="s">
        <v>3081</v>
      </c>
      <c r="E1270" t="s">
        <v>9242</v>
      </c>
      <c r="G1270" s="1">
        <v>40598</v>
      </c>
      <c r="H1270" s="1">
        <v>45407</v>
      </c>
      <c r="J1270" t="s">
        <v>45</v>
      </c>
      <c r="K1270" t="s">
        <v>45</v>
      </c>
      <c r="L1270" t="s">
        <v>72</v>
      </c>
      <c r="M1270" s="1">
        <v>41571</v>
      </c>
      <c r="N1270" t="s">
        <v>47</v>
      </c>
      <c r="O1270" t="s">
        <v>48</v>
      </c>
      <c r="P1270" t="s">
        <v>49</v>
      </c>
      <c r="Q1270" t="s">
        <v>9243</v>
      </c>
      <c r="R1270" t="s">
        <v>9244</v>
      </c>
      <c r="S1270">
        <v>3304</v>
      </c>
      <c r="T1270" t="s">
        <v>1328</v>
      </c>
      <c r="U1270" t="s">
        <v>3114</v>
      </c>
      <c r="V1270" t="s">
        <v>9245</v>
      </c>
      <c r="W1270" t="s">
        <v>3116</v>
      </c>
      <c r="X1270" t="s">
        <v>76</v>
      </c>
      <c r="Y1270" t="s">
        <v>410</v>
      </c>
      <c r="Z1270">
        <v>4169</v>
      </c>
      <c r="AA1270">
        <v>32</v>
      </c>
      <c r="AB1270">
        <v>210</v>
      </c>
      <c r="AC1270" t="s">
        <v>9246</v>
      </c>
      <c r="AD1270" t="s">
        <v>9247</v>
      </c>
      <c r="AE1270" t="s">
        <v>9248</v>
      </c>
      <c r="AI1270" t="s">
        <v>9247</v>
      </c>
      <c r="AJ1270" s="2">
        <v>45821.806354166663</v>
      </c>
      <c r="AK1270" t="s">
        <v>100</v>
      </c>
      <c r="AL1270" t="s">
        <v>65</v>
      </c>
      <c r="AM1270" s="3">
        <v>1.0555555555555556</v>
      </c>
      <c r="AN1270" t="s">
        <v>66</v>
      </c>
      <c r="AO1270" t="s">
        <v>67</v>
      </c>
    </row>
    <row r="1271" spans="1:41" x14ac:dyDescent="0.2">
      <c r="A1271">
        <v>360236</v>
      </c>
      <c r="B1271" t="s">
        <v>9249</v>
      </c>
      <c r="C1271" t="s">
        <v>69</v>
      </c>
      <c r="D1271" t="s">
        <v>3081</v>
      </c>
      <c r="E1271" t="s">
        <v>9250</v>
      </c>
      <c r="G1271" s="1">
        <v>40598</v>
      </c>
      <c r="H1271" s="1">
        <v>45407</v>
      </c>
      <c r="J1271" t="s">
        <v>45</v>
      </c>
      <c r="K1271" t="s">
        <v>45</v>
      </c>
      <c r="L1271" t="s">
        <v>46</v>
      </c>
      <c r="M1271" s="1">
        <v>42411</v>
      </c>
      <c r="N1271" t="s">
        <v>47</v>
      </c>
      <c r="O1271" t="s">
        <v>48</v>
      </c>
      <c r="P1271" t="s">
        <v>49</v>
      </c>
      <c r="Q1271" t="s">
        <v>9251</v>
      </c>
      <c r="R1271" t="s">
        <v>9252</v>
      </c>
      <c r="S1271">
        <v>3012</v>
      </c>
      <c r="T1271" t="s">
        <v>1328</v>
      </c>
      <c r="U1271" t="s">
        <v>3114</v>
      </c>
      <c r="V1271" t="s">
        <v>9245</v>
      </c>
      <c r="W1271" t="s">
        <v>3116</v>
      </c>
      <c r="X1271" t="s">
        <v>76</v>
      </c>
      <c r="Y1271" t="s">
        <v>410</v>
      </c>
      <c r="Z1271">
        <v>4168</v>
      </c>
      <c r="AA1271">
        <v>31</v>
      </c>
      <c r="AB1271">
        <v>210</v>
      </c>
      <c r="AC1271" t="s">
        <v>9246</v>
      </c>
      <c r="AD1271" t="s">
        <v>9247</v>
      </c>
      <c r="AE1271" t="s">
        <v>9248</v>
      </c>
      <c r="AI1271" t="s">
        <v>9247</v>
      </c>
      <c r="AJ1271" s="2">
        <v>45821.806354166663</v>
      </c>
      <c r="AK1271" t="s">
        <v>100</v>
      </c>
      <c r="AL1271" t="s">
        <v>65</v>
      </c>
      <c r="AM1271" s="3">
        <v>1.0486111111111112</v>
      </c>
      <c r="AN1271" t="s">
        <v>66</v>
      </c>
      <c r="AO1271" t="s">
        <v>67</v>
      </c>
    </row>
    <row r="1272" spans="1:41" x14ac:dyDescent="0.2">
      <c r="A1272">
        <v>360237</v>
      </c>
      <c r="B1272" t="s">
        <v>9253</v>
      </c>
      <c r="C1272" t="s">
        <v>69</v>
      </c>
      <c r="D1272" t="s">
        <v>3081</v>
      </c>
      <c r="E1272" t="s">
        <v>9254</v>
      </c>
      <c r="G1272" s="1">
        <v>40599</v>
      </c>
      <c r="H1272" s="1">
        <v>45407</v>
      </c>
      <c r="J1272" t="s">
        <v>45</v>
      </c>
      <c r="K1272" t="s">
        <v>45</v>
      </c>
      <c r="L1272" t="s">
        <v>46</v>
      </c>
      <c r="M1272" s="1">
        <v>42185</v>
      </c>
      <c r="N1272" t="s">
        <v>47</v>
      </c>
      <c r="O1272" t="s">
        <v>48</v>
      </c>
      <c r="P1272" t="s">
        <v>49</v>
      </c>
      <c r="Q1272" t="s">
        <v>9255</v>
      </c>
      <c r="R1272" t="s">
        <v>9256</v>
      </c>
      <c r="S1272">
        <v>2934</v>
      </c>
      <c r="T1272" t="s">
        <v>1328</v>
      </c>
      <c r="U1272" t="s">
        <v>3114</v>
      </c>
      <c r="V1272" t="s">
        <v>9245</v>
      </c>
      <c r="W1272" t="s">
        <v>3116</v>
      </c>
      <c r="X1272" t="s">
        <v>76</v>
      </c>
      <c r="Y1272" t="s">
        <v>410</v>
      </c>
      <c r="Z1272">
        <v>4170</v>
      </c>
      <c r="AA1272">
        <v>35</v>
      </c>
      <c r="AB1272">
        <v>210</v>
      </c>
      <c r="AC1272" t="s">
        <v>9257</v>
      </c>
      <c r="AD1272" t="s">
        <v>9247</v>
      </c>
      <c r="AE1272" t="s">
        <v>9248</v>
      </c>
      <c r="AJ1272" s="2">
        <v>45821.806354166663</v>
      </c>
      <c r="AK1272" t="s">
        <v>100</v>
      </c>
      <c r="AL1272" t="s">
        <v>65</v>
      </c>
      <c r="AM1272" s="3">
        <v>1.0625</v>
      </c>
      <c r="AN1272" t="s">
        <v>66</v>
      </c>
      <c r="AO1272" t="s">
        <v>67</v>
      </c>
    </row>
    <row r="1273" spans="1:41" x14ac:dyDescent="0.2">
      <c r="A1273">
        <v>371829</v>
      </c>
      <c r="B1273" t="s">
        <v>9258</v>
      </c>
      <c r="C1273" t="s">
        <v>182</v>
      </c>
      <c r="D1273" t="s">
        <v>3956</v>
      </c>
      <c r="E1273" t="s">
        <v>9259</v>
      </c>
      <c r="F1273">
        <v>40803</v>
      </c>
      <c r="G1273" s="1">
        <v>45226</v>
      </c>
      <c r="H1273" s="1">
        <v>45819</v>
      </c>
      <c r="I1273" s="1">
        <v>46204</v>
      </c>
      <c r="J1273" t="s">
        <v>45</v>
      </c>
      <c r="K1273" t="s">
        <v>45</v>
      </c>
      <c r="L1273" t="s">
        <v>46</v>
      </c>
      <c r="M1273" s="1">
        <v>45212</v>
      </c>
      <c r="N1273" t="s">
        <v>47</v>
      </c>
      <c r="O1273" t="s">
        <v>48</v>
      </c>
      <c r="P1273" t="s">
        <v>49</v>
      </c>
      <c r="Q1273" t="s">
        <v>9260</v>
      </c>
      <c r="R1273" t="s">
        <v>9261</v>
      </c>
      <c r="S1273">
        <v>6591</v>
      </c>
      <c r="T1273" t="s">
        <v>52</v>
      </c>
      <c r="U1273">
        <v>5</v>
      </c>
      <c r="V1273" t="s">
        <v>492</v>
      </c>
      <c r="W1273" t="s">
        <v>54</v>
      </c>
      <c r="X1273" t="s">
        <v>493</v>
      </c>
      <c r="Y1273" t="s">
        <v>434</v>
      </c>
      <c r="Z1273">
        <v>12187</v>
      </c>
      <c r="AA1273">
        <v>24</v>
      </c>
      <c r="AB1273">
        <v>44</v>
      </c>
      <c r="AC1273" t="s">
        <v>494</v>
      </c>
      <c r="AD1273" t="s">
        <v>495</v>
      </c>
      <c r="AE1273" t="s">
        <v>496</v>
      </c>
      <c r="AF1273" t="s">
        <v>497</v>
      </c>
      <c r="AG1273" t="s">
        <v>498</v>
      </c>
      <c r="AH1273" t="s">
        <v>499</v>
      </c>
      <c r="AI1273" t="s">
        <v>4396</v>
      </c>
      <c r="AJ1273" s="2">
        <v>45820.630671296298</v>
      </c>
      <c r="AK1273" t="s">
        <v>501</v>
      </c>
      <c r="AL1273" t="s">
        <v>65</v>
      </c>
      <c r="AM1273" s="3">
        <v>1.3854166666666667</v>
      </c>
      <c r="AN1273" t="s">
        <v>66</v>
      </c>
      <c r="AO1273" t="s">
        <v>67</v>
      </c>
    </row>
    <row r="1274" spans="1:41" x14ac:dyDescent="0.2">
      <c r="A1274">
        <v>357439</v>
      </c>
      <c r="B1274" t="s">
        <v>9262</v>
      </c>
      <c r="C1274" t="s">
        <v>1887</v>
      </c>
      <c r="D1274" t="s">
        <v>168</v>
      </c>
      <c r="E1274" t="s">
        <v>9263</v>
      </c>
      <c r="H1274" s="1">
        <v>43999</v>
      </c>
      <c r="J1274" t="s">
        <v>45</v>
      </c>
      <c r="K1274" t="s">
        <v>45</v>
      </c>
      <c r="L1274" t="s">
        <v>72</v>
      </c>
      <c r="N1274" t="s">
        <v>89</v>
      </c>
      <c r="O1274" t="s">
        <v>48</v>
      </c>
      <c r="P1274" t="s">
        <v>586</v>
      </c>
      <c r="T1274" t="s">
        <v>92</v>
      </c>
      <c r="U1274" t="s">
        <v>9264</v>
      </c>
      <c r="V1274" t="s">
        <v>9265</v>
      </c>
      <c r="W1274" t="s">
        <v>9266</v>
      </c>
      <c r="X1274" t="s">
        <v>92</v>
      </c>
      <c r="Y1274" t="s">
        <v>96</v>
      </c>
      <c r="Z1274">
        <v>11106</v>
      </c>
      <c r="AA1274">
        <v>3</v>
      </c>
      <c r="AB1274">
        <v>45</v>
      </c>
      <c r="AC1274" t="s">
        <v>9267</v>
      </c>
      <c r="AD1274" t="s">
        <v>9268</v>
      </c>
      <c r="AE1274" t="s">
        <v>9269</v>
      </c>
      <c r="AJ1274" s="2">
        <v>45330.699479166666</v>
      </c>
      <c r="AK1274" t="s">
        <v>149</v>
      </c>
      <c r="AL1274" t="s">
        <v>65</v>
      </c>
      <c r="AM1274" s="3">
        <v>2.1458333333333335</v>
      </c>
      <c r="AN1274" t="s">
        <v>66</v>
      </c>
      <c r="AO1274" t="s">
        <v>101</v>
      </c>
    </row>
    <row r="1275" spans="1:41" x14ac:dyDescent="0.2">
      <c r="A1275">
        <v>365897</v>
      </c>
      <c r="B1275" t="s">
        <v>9270</v>
      </c>
      <c r="C1275" t="s">
        <v>1531</v>
      </c>
      <c r="D1275" t="s">
        <v>9271</v>
      </c>
      <c r="E1275" t="s">
        <v>9272</v>
      </c>
      <c r="G1275" s="1">
        <v>45461</v>
      </c>
      <c r="H1275" s="1">
        <v>45463</v>
      </c>
      <c r="I1275" s="1">
        <v>46188</v>
      </c>
      <c r="J1275" t="s">
        <v>45</v>
      </c>
      <c r="K1275" t="s">
        <v>45</v>
      </c>
      <c r="L1275" t="s">
        <v>72</v>
      </c>
      <c r="M1275" s="1">
        <v>45594</v>
      </c>
      <c r="N1275" t="s">
        <v>47</v>
      </c>
      <c r="O1275" t="s">
        <v>121</v>
      </c>
      <c r="P1275" t="s">
        <v>49</v>
      </c>
      <c r="Q1275" t="s">
        <v>9273</v>
      </c>
      <c r="R1275" t="s">
        <v>9274</v>
      </c>
      <c r="S1275">
        <v>768</v>
      </c>
      <c r="T1275" t="s">
        <v>52</v>
      </c>
      <c r="U1275">
        <v>9</v>
      </c>
      <c r="V1275" t="s">
        <v>8572</v>
      </c>
      <c r="W1275" t="s">
        <v>54</v>
      </c>
      <c r="X1275" t="s">
        <v>76</v>
      </c>
      <c r="Y1275" t="s">
        <v>125</v>
      </c>
      <c r="Z1275">
        <v>2528</v>
      </c>
      <c r="AA1275">
        <v>58</v>
      </c>
      <c r="AB1275">
        <v>45</v>
      </c>
      <c r="AC1275" t="s">
        <v>8573</v>
      </c>
      <c r="AD1275" t="s">
        <v>9275</v>
      </c>
      <c r="AE1275" t="s">
        <v>8575</v>
      </c>
      <c r="AF1275" t="s">
        <v>8576</v>
      </c>
      <c r="AG1275" t="s">
        <v>9276</v>
      </c>
      <c r="AH1275" t="s">
        <v>8578</v>
      </c>
      <c r="AI1275" t="s">
        <v>9277</v>
      </c>
      <c r="AJ1275" s="2">
        <v>45594.86996527778</v>
      </c>
      <c r="AK1275" t="s">
        <v>9278</v>
      </c>
      <c r="AL1275" t="s">
        <v>65</v>
      </c>
      <c r="AM1275" s="4">
        <v>0.41666666666666669</v>
      </c>
      <c r="AN1275" t="s">
        <v>66</v>
      </c>
      <c r="AO1275" t="s">
        <v>101</v>
      </c>
    </row>
    <row r="1276" spans="1:41" x14ac:dyDescent="0.2">
      <c r="A1276">
        <v>362158</v>
      </c>
      <c r="B1276" t="s">
        <v>9279</v>
      </c>
      <c r="C1276" t="s">
        <v>1531</v>
      </c>
      <c r="D1276" t="s">
        <v>8254</v>
      </c>
      <c r="E1276" t="s">
        <v>9280</v>
      </c>
      <c r="G1276" s="1">
        <v>45476</v>
      </c>
      <c r="H1276" s="1">
        <v>45461</v>
      </c>
      <c r="I1276" s="1">
        <v>46188</v>
      </c>
      <c r="J1276" t="s">
        <v>45</v>
      </c>
      <c r="K1276" t="s">
        <v>45</v>
      </c>
      <c r="L1276" t="s">
        <v>72</v>
      </c>
      <c r="M1276" s="1">
        <v>42810</v>
      </c>
      <c r="N1276" t="s">
        <v>47</v>
      </c>
      <c r="O1276" t="s">
        <v>121</v>
      </c>
      <c r="P1276" t="s">
        <v>49</v>
      </c>
      <c r="Q1276" t="s">
        <v>9281</v>
      </c>
      <c r="R1276" t="s">
        <v>9282</v>
      </c>
      <c r="S1276">
        <v>643</v>
      </c>
      <c r="T1276" t="s">
        <v>52</v>
      </c>
      <c r="U1276">
        <v>9</v>
      </c>
      <c r="V1276" t="s">
        <v>8572</v>
      </c>
      <c r="W1276" t="s">
        <v>54</v>
      </c>
      <c r="X1276" t="s">
        <v>76</v>
      </c>
      <c r="Y1276" t="s">
        <v>125</v>
      </c>
      <c r="Z1276">
        <v>2527</v>
      </c>
      <c r="AA1276">
        <v>50</v>
      </c>
      <c r="AB1276">
        <v>45</v>
      </c>
      <c r="AC1276" t="s">
        <v>8573</v>
      </c>
      <c r="AD1276" t="s">
        <v>8574</v>
      </c>
      <c r="AE1276" t="s">
        <v>8575</v>
      </c>
      <c r="AF1276" t="s">
        <v>8576</v>
      </c>
      <c r="AG1276" t="s">
        <v>8577</v>
      </c>
      <c r="AH1276" t="s">
        <v>8578</v>
      </c>
      <c r="AI1276" t="s">
        <v>9283</v>
      </c>
      <c r="AJ1276" s="2">
        <v>45476.679143518515</v>
      </c>
      <c r="AK1276" t="s">
        <v>132</v>
      </c>
      <c r="AL1276" t="s">
        <v>65</v>
      </c>
      <c r="AM1276" s="4">
        <v>0.50694444444444442</v>
      </c>
      <c r="AN1276" t="s">
        <v>66</v>
      </c>
      <c r="AO1276" t="s">
        <v>101</v>
      </c>
    </row>
    <row r="1277" spans="1:41" x14ac:dyDescent="0.2">
      <c r="A1277">
        <v>372169</v>
      </c>
      <c r="B1277" t="s">
        <v>9284</v>
      </c>
      <c r="C1277" t="s">
        <v>309</v>
      </c>
      <c r="D1277" t="s">
        <v>8509</v>
      </c>
      <c r="E1277" t="s">
        <v>9285</v>
      </c>
      <c r="G1277" s="1">
        <v>45832</v>
      </c>
      <c r="H1277" s="1">
        <v>45832</v>
      </c>
      <c r="J1277" t="s">
        <v>45</v>
      </c>
      <c r="K1277" t="s">
        <v>45</v>
      </c>
      <c r="L1277" t="s">
        <v>46</v>
      </c>
      <c r="N1277" t="s">
        <v>47</v>
      </c>
      <c r="O1277" t="s">
        <v>48</v>
      </c>
      <c r="P1277" t="s">
        <v>49</v>
      </c>
      <c r="Q1277" t="s">
        <v>9286</v>
      </c>
      <c r="R1277" t="s">
        <v>9287</v>
      </c>
      <c r="S1277">
        <v>175</v>
      </c>
      <c r="T1277" t="s">
        <v>92</v>
      </c>
      <c r="U1277" t="s">
        <v>313</v>
      </c>
      <c r="V1277" t="s">
        <v>314</v>
      </c>
      <c r="W1277" t="s">
        <v>315</v>
      </c>
      <c r="X1277" t="s">
        <v>92</v>
      </c>
      <c r="Y1277" t="s">
        <v>96</v>
      </c>
      <c r="Z1277">
        <v>12303</v>
      </c>
      <c r="AA1277">
        <v>4</v>
      </c>
      <c r="AB1277">
        <v>44</v>
      </c>
      <c r="AC1277" t="s">
        <v>316</v>
      </c>
      <c r="AD1277" t="s">
        <v>317</v>
      </c>
      <c r="AE1277" t="s">
        <v>318</v>
      </c>
      <c r="AF1277" t="s">
        <v>8548</v>
      </c>
      <c r="AG1277" t="s">
        <v>8549</v>
      </c>
      <c r="AH1277" t="s">
        <v>8550</v>
      </c>
      <c r="AJ1277" s="2">
        <v>45832.875960648147</v>
      </c>
      <c r="AK1277" t="s">
        <v>132</v>
      </c>
      <c r="AL1277" t="s">
        <v>65</v>
      </c>
      <c r="AM1277" s="3">
        <v>1.03125</v>
      </c>
      <c r="AN1277" t="s">
        <v>66</v>
      </c>
      <c r="AO1277" t="s">
        <v>67</v>
      </c>
    </row>
    <row r="1278" spans="1:41" x14ac:dyDescent="0.2">
      <c r="A1278">
        <v>372922</v>
      </c>
      <c r="B1278" t="s">
        <v>9288</v>
      </c>
      <c r="C1278" t="s">
        <v>167</v>
      </c>
      <c r="D1278" t="s">
        <v>6941</v>
      </c>
      <c r="E1278" s="5">
        <v>324564</v>
      </c>
      <c r="F1278">
        <v>353115</v>
      </c>
      <c r="G1278" s="1">
        <v>34305</v>
      </c>
      <c r="H1278" s="1">
        <v>45683</v>
      </c>
      <c r="I1278" s="1">
        <v>46054</v>
      </c>
      <c r="J1278" t="s">
        <v>45</v>
      </c>
      <c r="K1278" t="s">
        <v>45</v>
      </c>
      <c r="L1278" t="s">
        <v>429</v>
      </c>
      <c r="M1278" s="1">
        <v>41219</v>
      </c>
      <c r="N1278" t="s">
        <v>47</v>
      </c>
      <c r="O1278" t="s">
        <v>48</v>
      </c>
      <c r="P1278" t="s">
        <v>49</v>
      </c>
      <c r="Q1278" t="s">
        <v>9289</v>
      </c>
      <c r="R1278" t="s">
        <v>9290</v>
      </c>
      <c r="S1278">
        <v>1389</v>
      </c>
      <c r="T1278" t="s">
        <v>365</v>
      </c>
      <c r="U1278" t="s">
        <v>532</v>
      </c>
      <c r="V1278" t="s">
        <v>3595</v>
      </c>
      <c r="W1278" t="s">
        <v>367</v>
      </c>
      <c r="X1278" t="s">
        <v>76</v>
      </c>
      <c r="Y1278" t="s">
        <v>434</v>
      </c>
      <c r="Z1278">
        <v>829</v>
      </c>
      <c r="AA1278">
        <v>55</v>
      </c>
      <c r="AB1278">
        <v>166</v>
      </c>
      <c r="AC1278" t="s">
        <v>3596</v>
      </c>
      <c r="AD1278" t="s">
        <v>3597</v>
      </c>
      <c r="AE1278" t="s">
        <v>3598</v>
      </c>
      <c r="AF1278" t="s">
        <v>3599</v>
      </c>
      <c r="AG1278" t="s">
        <v>3600</v>
      </c>
      <c r="AH1278" t="s">
        <v>3601</v>
      </c>
      <c r="AI1278" t="s">
        <v>179</v>
      </c>
      <c r="AJ1278" s="2">
        <v>45855.904305555552</v>
      </c>
      <c r="AK1278" t="s">
        <v>556</v>
      </c>
      <c r="AL1278" t="s">
        <v>65</v>
      </c>
      <c r="AM1278" s="3">
        <v>2.1666666666666665</v>
      </c>
      <c r="AN1278" t="s">
        <v>66</v>
      </c>
      <c r="AO1278" t="s">
        <v>67</v>
      </c>
    </row>
    <row r="1279" spans="1:41" x14ac:dyDescent="0.2">
      <c r="A1279">
        <v>371521</v>
      </c>
      <c r="B1279" t="s">
        <v>9291</v>
      </c>
      <c r="C1279" t="s">
        <v>323</v>
      </c>
      <c r="E1279" t="s">
        <v>9292</v>
      </c>
      <c r="G1279" s="1">
        <v>40730</v>
      </c>
      <c r="H1279" s="1">
        <v>45808</v>
      </c>
      <c r="J1279" t="s">
        <v>72</v>
      </c>
      <c r="K1279" t="s">
        <v>72</v>
      </c>
      <c r="L1279" t="s">
        <v>72</v>
      </c>
      <c r="N1279" t="s">
        <v>47</v>
      </c>
      <c r="O1279" t="s">
        <v>48</v>
      </c>
      <c r="P1279" t="s">
        <v>406</v>
      </c>
      <c r="Q1279" t="s">
        <v>9293</v>
      </c>
      <c r="R1279" t="s">
        <v>9294</v>
      </c>
      <c r="S1279">
        <v>3569</v>
      </c>
      <c r="T1279" t="s">
        <v>257</v>
      </c>
      <c r="U1279" t="s">
        <v>329</v>
      </c>
      <c r="V1279" t="s">
        <v>1163</v>
      </c>
      <c r="W1279" t="s">
        <v>260</v>
      </c>
      <c r="X1279" t="s">
        <v>257</v>
      </c>
      <c r="Y1279" t="s">
        <v>642</v>
      </c>
      <c r="Z1279">
        <v>4910</v>
      </c>
      <c r="AA1279">
        <v>22</v>
      </c>
      <c r="AB1279">
        <v>152</v>
      </c>
      <c r="AC1279" t="s">
        <v>1164</v>
      </c>
      <c r="AD1279" t="s">
        <v>1165</v>
      </c>
      <c r="AE1279" t="s">
        <v>1166</v>
      </c>
      <c r="AF1279" t="s">
        <v>1164</v>
      </c>
      <c r="AG1279" t="s">
        <v>1165</v>
      </c>
      <c r="AH1279" t="s">
        <v>9106</v>
      </c>
      <c r="AJ1279" s="2">
        <v>45813.937847222223</v>
      </c>
      <c r="AK1279" t="s">
        <v>1164</v>
      </c>
      <c r="AL1279" t="s">
        <v>1168</v>
      </c>
      <c r="AM1279" s="3">
        <v>1.6319444444444444</v>
      </c>
      <c r="AN1279" t="s">
        <v>66</v>
      </c>
      <c r="AO1279" t="s">
        <v>67</v>
      </c>
    </row>
    <row r="1280" spans="1:41" x14ac:dyDescent="0.2">
      <c r="A1280">
        <v>370294</v>
      </c>
      <c r="B1280" t="s">
        <v>9295</v>
      </c>
      <c r="C1280" t="s">
        <v>558</v>
      </c>
      <c r="D1280" t="s">
        <v>1849</v>
      </c>
      <c r="E1280" t="s">
        <v>9296</v>
      </c>
      <c r="F1280">
        <v>261608</v>
      </c>
      <c r="G1280" s="1">
        <v>33030</v>
      </c>
      <c r="H1280" s="1">
        <v>45769</v>
      </c>
      <c r="I1280" s="1">
        <v>46113</v>
      </c>
      <c r="J1280" t="s">
        <v>45</v>
      </c>
      <c r="K1280" t="s">
        <v>45</v>
      </c>
      <c r="L1280" t="s">
        <v>429</v>
      </c>
      <c r="M1280" s="1">
        <v>42081</v>
      </c>
      <c r="N1280" t="s">
        <v>47</v>
      </c>
      <c r="O1280" t="s">
        <v>48</v>
      </c>
      <c r="P1280" t="s">
        <v>49</v>
      </c>
      <c r="Q1280" t="s">
        <v>9297</v>
      </c>
      <c r="R1280" t="s">
        <v>9298</v>
      </c>
      <c r="S1280">
        <v>6230</v>
      </c>
      <c r="T1280" t="s">
        <v>365</v>
      </c>
      <c r="U1280" t="s">
        <v>562</v>
      </c>
      <c r="V1280" t="s">
        <v>563</v>
      </c>
      <c r="W1280" t="s">
        <v>367</v>
      </c>
      <c r="X1280" t="s">
        <v>76</v>
      </c>
      <c r="Y1280" t="s">
        <v>434</v>
      </c>
      <c r="Z1280">
        <v>272</v>
      </c>
      <c r="AA1280">
        <v>52</v>
      </c>
      <c r="AB1280">
        <v>28</v>
      </c>
      <c r="AC1280" t="s">
        <v>564</v>
      </c>
      <c r="AD1280" t="s">
        <v>565</v>
      </c>
      <c r="AE1280" t="s">
        <v>566</v>
      </c>
      <c r="AI1280" t="s">
        <v>567</v>
      </c>
      <c r="AJ1280" s="2">
        <v>45770.137685185182</v>
      </c>
      <c r="AK1280" t="s">
        <v>568</v>
      </c>
      <c r="AL1280" t="s">
        <v>65</v>
      </c>
      <c r="AM1280" s="3">
        <v>1.9027777777777777</v>
      </c>
      <c r="AN1280" t="s">
        <v>66</v>
      </c>
      <c r="AO1280" t="s">
        <v>67</v>
      </c>
    </row>
    <row r="1281" spans="1:41" x14ac:dyDescent="0.2">
      <c r="A1281">
        <v>363599</v>
      </c>
      <c r="B1281" t="s">
        <v>9299</v>
      </c>
      <c r="C1281" t="s">
        <v>345</v>
      </c>
      <c r="D1281" t="s">
        <v>168</v>
      </c>
      <c r="E1281" t="s">
        <v>9300</v>
      </c>
      <c r="F1281">
        <v>50305</v>
      </c>
      <c r="G1281" s="1">
        <v>39991</v>
      </c>
      <c r="H1281" s="1">
        <v>45516</v>
      </c>
      <c r="I1281" s="1">
        <v>45931</v>
      </c>
      <c r="J1281" t="s">
        <v>45</v>
      </c>
      <c r="K1281" t="s">
        <v>45</v>
      </c>
      <c r="L1281" t="s">
        <v>72</v>
      </c>
      <c r="M1281" s="1">
        <v>41760</v>
      </c>
      <c r="N1281" t="s">
        <v>47</v>
      </c>
      <c r="O1281" t="s">
        <v>48</v>
      </c>
      <c r="P1281" t="s">
        <v>49</v>
      </c>
      <c r="Q1281" t="s">
        <v>9301</v>
      </c>
      <c r="R1281" t="s">
        <v>9302</v>
      </c>
      <c r="S1281">
        <v>8991</v>
      </c>
      <c r="T1281" t="s">
        <v>365</v>
      </c>
      <c r="U1281" t="s">
        <v>432</v>
      </c>
      <c r="V1281" t="s">
        <v>4107</v>
      </c>
      <c r="W1281" t="s">
        <v>367</v>
      </c>
      <c r="X1281" t="s">
        <v>55</v>
      </c>
      <c r="Y1281" t="s">
        <v>434</v>
      </c>
      <c r="Z1281">
        <v>3079</v>
      </c>
      <c r="AA1281">
        <v>35</v>
      </c>
      <c r="AB1281">
        <v>38</v>
      </c>
      <c r="AC1281" t="s">
        <v>5835</v>
      </c>
      <c r="AD1281" t="s">
        <v>4112</v>
      </c>
      <c r="AE1281" t="s">
        <v>4113</v>
      </c>
      <c r="AI1281" t="s">
        <v>179</v>
      </c>
      <c r="AJ1281" s="2">
        <v>45517.475416666668</v>
      </c>
      <c r="AK1281" t="s">
        <v>4471</v>
      </c>
      <c r="AL1281" t="s">
        <v>65</v>
      </c>
      <c r="AM1281" s="3">
        <v>1.75</v>
      </c>
      <c r="AN1281" t="s">
        <v>66</v>
      </c>
      <c r="AO1281" t="s">
        <v>67</v>
      </c>
    </row>
    <row r="1282" spans="1:41" x14ac:dyDescent="0.2">
      <c r="A1282">
        <v>364537</v>
      </c>
      <c r="B1282" t="s">
        <v>9303</v>
      </c>
      <c r="C1282" t="s">
        <v>1565</v>
      </c>
      <c r="D1282" t="s">
        <v>932</v>
      </c>
      <c r="E1282" t="s">
        <v>9304</v>
      </c>
      <c r="F1282">
        <v>390901</v>
      </c>
      <c r="G1282" s="1">
        <v>39276</v>
      </c>
      <c r="H1282" s="1">
        <v>45548</v>
      </c>
      <c r="I1282" s="1">
        <v>46266</v>
      </c>
      <c r="J1282" t="s">
        <v>45</v>
      </c>
      <c r="K1282" t="s">
        <v>45</v>
      </c>
      <c r="L1282" t="s">
        <v>72</v>
      </c>
      <c r="M1282" s="1">
        <v>40751</v>
      </c>
      <c r="N1282" t="s">
        <v>47</v>
      </c>
      <c r="O1282" t="s">
        <v>48</v>
      </c>
      <c r="P1282" t="s">
        <v>49</v>
      </c>
      <c r="Q1282" t="s">
        <v>9305</v>
      </c>
      <c r="R1282" t="s">
        <v>9306</v>
      </c>
      <c r="S1282">
        <v>3380</v>
      </c>
      <c r="T1282" t="s">
        <v>365</v>
      </c>
      <c r="U1282" t="s">
        <v>969</v>
      </c>
      <c r="V1282" t="s">
        <v>2473</v>
      </c>
      <c r="W1282" t="s">
        <v>367</v>
      </c>
      <c r="X1282" t="s">
        <v>76</v>
      </c>
      <c r="Y1282" t="s">
        <v>434</v>
      </c>
      <c r="Z1282">
        <v>335</v>
      </c>
      <c r="AA1282">
        <v>51</v>
      </c>
      <c r="AB1282">
        <v>152</v>
      </c>
      <c r="AC1282" t="s">
        <v>9307</v>
      </c>
      <c r="AD1282" t="s">
        <v>9308</v>
      </c>
      <c r="AE1282" t="s">
        <v>9309</v>
      </c>
      <c r="AF1282" t="s">
        <v>9310</v>
      </c>
      <c r="AI1282" t="s">
        <v>179</v>
      </c>
      <c r="AJ1282" s="2">
        <v>45551.724120370367</v>
      </c>
      <c r="AK1282" t="s">
        <v>717</v>
      </c>
      <c r="AL1282" t="s">
        <v>65</v>
      </c>
      <c r="AM1282" s="3">
        <v>2.3472222222222223</v>
      </c>
      <c r="AN1282" t="s">
        <v>66</v>
      </c>
      <c r="AO1282" t="s">
        <v>67</v>
      </c>
    </row>
    <row r="1283" spans="1:41" x14ac:dyDescent="0.2">
      <c r="A1283">
        <v>372950</v>
      </c>
      <c r="B1283" t="s">
        <v>9311</v>
      </c>
      <c r="C1283" t="s">
        <v>3441</v>
      </c>
      <c r="D1283" t="s">
        <v>9312</v>
      </c>
      <c r="E1283" t="s">
        <v>9313</v>
      </c>
      <c r="G1283" s="1">
        <v>44747</v>
      </c>
      <c r="H1283" s="1">
        <v>45730</v>
      </c>
      <c r="I1283" s="1">
        <v>46113</v>
      </c>
      <c r="J1283" t="s">
        <v>45</v>
      </c>
      <c r="K1283" t="s">
        <v>45</v>
      </c>
      <c r="L1283" t="s">
        <v>46</v>
      </c>
      <c r="N1283" t="s">
        <v>47</v>
      </c>
      <c r="O1283" t="s">
        <v>48</v>
      </c>
      <c r="P1283" t="s">
        <v>49</v>
      </c>
      <c r="Q1283" t="s">
        <v>9314</v>
      </c>
      <c r="R1283" t="s">
        <v>9315</v>
      </c>
      <c r="S1283">
        <v>1330</v>
      </c>
      <c r="T1283" t="s">
        <v>296</v>
      </c>
      <c r="U1283" t="s">
        <v>9316</v>
      </c>
      <c r="W1283" t="s">
        <v>299</v>
      </c>
      <c r="X1283" t="s">
        <v>76</v>
      </c>
      <c r="Y1283" t="s">
        <v>56</v>
      </c>
      <c r="Z1283">
        <v>10866</v>
      </c>
      <c r="AA1283">
        <v>14</v>
      </c>
      <c r="AB1283">
        <v>78</v>
      </c>
      <c r="AC1283" t="s">
        <v>9317</v>
      </c>
      <c r="AD1283" t="s">
        <v>9318</v>
      </c>
      <c r="AE1283" t="s">
        <v>9319</v>
      </c>
      <c r="AF1283" t="s">
        <v>9320</v>
      </c>
      <c r="AG1283" t="s">
        <v>9321</v>
      </c>
      <c r="AH1283" t="s">
        <v>9319</v>
      </c>
      <c r="AI1283" t="s">
        <v>9322</v>
      </c>
      <c r="AJ1283" s="2">
        <v>45855.947870370372</v>
      </c>
      <c r="AK1283" t="s">
        <v>556</v>
      </c>
      <c r="AL1283" t="s">
        <v>65</v>
      </c>
      <c r="AM1283" s="3">
        <v>2.0069444444444446</v>
      </c>
      <c r="AN1283" t="s">
        <v>66</v>
      </c>
      <c r="AO1283" t="s">
        <v>67</v>
      </c>
    </row>
    <row r="1284" spans="1:41" x14ac:dyDescent="0.2">
      <c r="A1284">
        <v>370458</v>
      </c>
      <c r="B1284" t="s">
        <v>9323</v>
      </c>
      <c r="C1284" t="s">
        <v>1000</v>
      </c>
      <c r="E1284" t="s">
        <v>9324</v>
      </c>
      <c r="F1284">
        <v>407603</v>
      </c>
      <c r="G1284" s="1">
        <v>37300</v>
      </c>
      <c r="H1284" s="1">
        <v>45715</v>
      </c>
      <c r="I1284" s="1">
        <v>46054</v>
      </c>
      <c r="J1284" t="s">
        <v>45</v>
      </c>
      <c r="K1284" t="s">
        <v>45</v>
      </c>
      <c r="L1284" t="s">
        <v>72</v>
      </c>
      <c r="M1284" s="1">
        <v>45761</v>
      </c>
      <c r="N1284" t="s">
        <v>47</v>
      </c>
      <c r="O1284" t="s">
        <v>48</v>
      </c>
      <c r="P1284" t="s">
        <v>49</v>
      </c>
      <c r="Q1284" t="s">
        <v>9325</v>
      </c>
      <c r="R1284" t="s">
        <v>9326</v>
      </c>
      <c r="S1284">
        <v>2700</v>
      </c>
      <c r="T1284" t="s">
        <v>257</v>
      </c>
      <c r="U1284" t="s">
        <v>1691</v>
      </c>
      <c r="V1284" t="s">
        <v>3791</v>
      </c>
      <c r="W1284" t="s">
        <v>260</v>
      </c>
      <c r="X1284" t="s">
        <v>257</v>
      </c>
      <c r="Y1284" t="s">
        <v>110</v>
      </c>
      <c r="Z1284">
        <v>1345</v>
      </c>
      <c r="AA1284">
        <v>40</v>
      </c>
      <c r="AB1284">
        <v>45</v>
      </c>
      <c r="AC1284" t="s">
        <v>3792</v>
      </c>
      <c r="AD1284" t="s">
        <v>3793</v>
      </c>
      <c r="AE1284" t="s">
        <v>3794</v>
      </c>
      <c r="AF1284" t="s">
        <v>3795</v>
      </c>
      <c r="AG1284" t="s">
        <v>3796</v>
      </c>
      <c r="AH1284" t="s">
        <v>3797</v>
      </c>
      <c r="AI1284" t="s">
        <v>3796</v>
      </c>
      <c r="AJ1284" s="2">
        <v>45776.509895833333</v>
      </c>
      <c r="AK1284" t="s">
        <v>3795</v>
      </c>
      <c r="AL1284" t="s">
        <v>65</v>
      </c>
      <c r="AM1284" s="3">
        <v>2.2986111111111112</v>
      </c>
      <c r="AN1284" t="s">
        <v>66</v>
      </c>
      <c r="AO1284" t="s">
        <v>101</v>
      </c>
    </row>
    <row r="1285" spans="1:41" x14ac:dyDescent="0.2">
      <c r="A1285">
        <v>367878</v>
      </c>
      <c r="B1285" t="s">
        <v>9327</v>
      </c>
      <c r="C1285" t="s">
        <v>788</v>
      </c>
      <c r="D1285" t="s">
        <v>3250</v>
      </c>
      <c r="E1285" t="s">
        <v>9328</v>
      </c>
      <c r="F1285">
        <v>83503</v>
      </c>
      <c r="G1285" s="1">
        <v>44497</v>
      </c>
      <c r="H1285" s="1">
        <v>45630</v>
      </c>
      <c r="J1285" t="s">
        <v>45</v>
      </c>
      <c r="K1285" t="s">
        <v>45</v>
      </c>
      <c r="L1285" t="s">
        <v>72</v>
      </c>
      <c r="N1285" t="s">
        <v>47</v>
      </c>
      <c r="O1285" t="s">
        <v>48</v>
      </c>
      <c r="P1285" t="s">
        <v>49</v>
      </c>
      <c r="Q1285" t="s">
        <v>9329</v>
      </c>
      <c r="R1285" t="s">
        <v>9330</v>
      </c>
      <c r="S1285">
        <v>72</v>
      </c>
      <c r="T1285" t="s">
        <v>92</v>
      </c>
      <c r="U1285" t="s">
        <v>2815</v>
      </c>
      <c r="V1285" t="s">
        <v>2816</v>
      </c>
      <c r="W1285" t="s">
        <v>2817</v>
      </c>
      <c r="X1285" t="s">
        <v>92</v>
      </c>
      <c r="Y1285" t="s">
        <v>410</v>
      </c>
      <c r="Z1285">
        <v>11749</v>
      </c>
      <c r="AA1285">
        <v>12</v>
      </c>
      <c r="AB1285">
        <v>189</v>
      </c>
      <c r="AC1285" t="s">
        <v>9331</v>
      </c>
      <c r="AD1285" t="s">
        <v>9332</v>
      </c>
      <c r="AE1285" t="s">
        <v>9333</v>
      </c>
      <c r="AF1285" t="s">
        <v>2821</v>
      </c>
      <c r="AG1285" t="s">
        <v>2822</v>
      </c>
      <c r="AH1285" t="s">
        <v>2823</v>
      </c>
      <c r="AJ1285" s="2">
        <v>45693.648634259262</v>
      </c>
      <c r="AK1285" t="s">
        <v>149</v>
      </c>
      <c r="AL1285" t="s">
        <v>65</v>
      </c>
      <c r="AM1285" s="3">
        <v>1.3125</v>
      </c>
      <c r="AN1285" t="s">
        <v>66</v>
      </c>
      <c r="AO1285" t="s">
        <v>101</v>
      </c>
    </row>
    <row r="1286" spans="1:41" x14ac:dyDescent="0.2">
      <c r="A1286">
        <v>371604</v>
      </c>
      <c r="B1286" t="s">
        <v>9334</v>
      </c>
      <c r="C1286" t="s">
        <v>86</v>
      </c>
      <c r="D1286" t="s">
        <v>9335</v>
      </c>
      <c r="E1286" t="s">
        <v>9336</v>
      </c>
      <c r="F1286">
        <v>201702</v>
      </c>
      <c r="G1286" s="1">
        <v>32964</v>
      </c>
      <c r="H1286" s="1">
        <v>45782</v>
      </c>
      <c r="I1286" s="1">
        <v>46143</v>
      </c>
      <c r="J1286" t="s">
        <v>45</v>
      </c>
      <c r="K1286" t="s">
        <v>45</v>
      </c>
      <c r="L1286" t="s">
        <v>72</v>
      </c>
      <c r="M1286" s="1">
        <v>43941</v>
      </c>
      <c r="N1286" t="s">
        <v>47</v>
      </c>
      <c r="O1286" t="s">
        <v>48</v>
      </c>
      <c r="P1286" t="s">
        <v>49</v>
      </c>
      <c r="Q1286" t="s">
        <v>9337</v>
      </c>
      <c r="R1286" t="s">
        <v>9338</v>
      </c>
      <c r="S1286">
        <v>700</v>
      </c>
      <c r="T1286" t="s">
        <v>92</v>
      </c>
      <c r="U1286" t="s">
        <v>93</v>
      </c>
      <c r="V1286" t="s">
        <v>506</v>
      </c>
      <c r="W1286" t="s">
        <v>507</v>
      </c>
      <c r="X1286" t="s">
        <v>92</v>
      </c>
      <c r="Y1286" t="s">
        <v>110</v>
      </c>
      <c r="Z1286">
        <v>1969</v>
      </c>
      <c r="AA1286">
        <v>39</v>
      </c>
      <c r="AB1286">
        <v>144</v>
      </c>
      <c r="AC1286" t="s">
        <v>508</v>
      </c>
      <c r="AD1286" t="s">
        <v>509</v>
      </c>
      <c r="AE1286" t="s">
        <v>510</v>
      </c>
      <c r="AF1286" t="s">
        <v>9339</v>
      </c>
      <c r="AG1286" t="s">
        <v>9340</v>
      </c>
      <c r="AH1286" t="s">
        <v>9341</v>
      </c>
      <c r="AI1286" t="s">
        <v>9342</v>
      </c>
      <c r="AJ1286" s="2">
        <v>45817.703969907408</v>
      </c>
      <c r="AK1286" t="s">
        <v>100</v>
      </c>
      <c r="AL1286" t="s">
        <v>65</v>
      </c>
      <c r="AM1286" s="4">
        <v>0.52083333333333337</v>
      </c>
      <c r="AN1286" t="s">
        <v>66</v>
      </c>
      <c r="AO1286" t="s">
        <v>67</v>
      </c>
    </row>
    <row r="1287" spans="1:41" x14ac:dyDescent="0.2">
      <c r="A1287">
        <v>367797</v>
      </c>
      <c r="B1287" t="s">
        <v>9343</v>
      </c>
      <c r="C1287" t="s">
        <v>182</v>
      </c>
      <c r="D1287" t="s">
        <v>1064</v>
      </c>
      <c r="E1287" t="s">
        <v>9344</v>
      </c>
      <c r="F1287">
        <v>40233</v>
      </c>
      <c r="G1287" s="1">
        <v>35563</v>
      </c>
      <c r="H1287" s="1">
        <v>45664</v>
      </c>
      <c r="I1287" s="1">
        <v>46037</v>
      </c>
      <c r="J1287" t="s">
        <v>45</v>
      </c>
      <c r="K1287" t="s">
        <v>326</v>
      </c>
      <c r="L1287" t="s">
        <v>429</v>
      </c>
      <c r="M1287" s="1">
        <v>43116</v>
      </c>
      <c r="N1287" t="s">
        <v>47</v>
      </c>
      <c r="O1287" t="s">
        <v>48</v>
      </c>
      <c r="P1287" t="s">
        <v>49</v>
      </c>
      <c r="Q1287" t="s">
        <v>9345</v>
      </c>
      <c r="R1287" t="s">
        <v>9346</v>
      </c>
      <c r="S1287">
        <v>4777</v>
      </c>
      <c r="T1287" t="s">
        <v>257</v>
      </c>
      <c r="U1287" t="s">
        <v>640</v>
      </c>
      <c r="V1287" t="s">
        <v>9347</v>
      </c>
      <c r="W1287" t="s">
        <v>260</v>
      </c>
      <c r="X1287" t="s">
        <v>257</v>
      </c>
      <c r="Y1287" t="s">
        <v>110</v>
      </c>
      <c r="Z1287">
        <v>1293</v>
      </c>
      <c r="AA1287">
        <v>49</v>
      </c>
      <c r="AB1287">
        <v>34</v>
      </c>
      <c r="AC1287" t="s">
        <v>1952</v>
      </c>
      <c r="AD1287" t="s">
        <v>1953</v>
      </c>
      <c r="AE1287" t="s">
        <v>1954</v>
      </c>
      <c r="AF1287" t="s">
        <v>9348</v>
      </c>
      <c r="AG1287" t="s">
        <v>9349</v>
      </c>
      <c r="AH1287" t="s">
        <v>9350</v>
      </c>
      <c r="AI1287" t="s">
        <v>1953</v>
      </c>
      <c r="AJ1287" s="2">
        <v>45691.706041666665</v>
      </c>
      <c r="AK1287" t="s">
        <v>9351</v>
      </c>
      <c r="AL1287" t="s">
        <v>65</v>
      </c>
      <c r="AM1287" s="4">
        <v>4.1666666666666664E-2</v>
      </c>
      <c r="AN1287" t="s">
        <v>66</v>
      </c>
      <c r="AO1287" t="s">
        <v>67</v>
      </c>
    </row>
    <row r="1288" spans="1:41" x14ac:dyDescent="0.2">
      <c r="A1288">
        <v>368887</v>
      </c>
      <c r="B1288" t="s">
        <v>9352</v>
      </c>
      <c r="C1288" t="s">
        <v>182</v>
      </c>
      <c r="D1288" t="s">
        <v>2901</v>
      </c>
      <c r="E1288" t="s">
        <v>9353</v>
      </c>
      <c r="F1288">
        <v>45015</v>
      </c>
      <c r="G1288" s="1">
        <v>35095</v>
      </c>
      <c r="H1288" s="1">
        <v>45644</v>
      </c>
      <c r="I1288" s="1">
        <v>45962</v>
      </c>
      <c r="J1288" t="s">
        <v>45</v>
      </c>
      <c r="K1288" t="s">
        <v>45</v>
      </c>
      <c r="L1288" t="s">
        <v>429</v>
      </c>
      <c r="M1288" s="1">
        <v>38770</v>
      </c>
      <c r="N1288" t="s">
        <v>47</v>
      </c>
      <c r="O1288" t="s">
        <v>48</v>
      </c>
      <c r="P1288" t="s">
        <v>49</v>
      </c>
      <c r="Q1288" t="s">
        <v>9354</v>
      </c>
      <c r="R1288" t="s">
        <v>9355</v>
      </c>
      <c r="S1288">
        <v>3882</v>
      </c>
      <c r="T1288" t="s">
        <v>365</v>
      </c>
      <c r="U1288" t="s">
        <v>815</v>
      </c>
      <c r="V1288" t="s">
        <v>816</v>
      </c>
      <c r="W1288" t="s">
        <v>367</v>
      </c>
      <c r="X1288" t="s">
        <v>493</v>
      </c>
      <c r="Y1288" t="s">
        <v>434</v>
      </c>
      <c r="Z1288">
        <v>1445</v>
      </c>
      <c r="AA1288">
        <v>54</v>
      </c>
      <c r="AB1288">
        <v>210</v>
      </c>
      <c r="AC1288" t="s">
        <v>817</v>
      </c>
      <c r="AD1288" t="s">
        <v>818</v>
      </c>
      <c r="AE1288" t="s">
        <v>819</v>
      </c>
      <c r="AI1288" t="s">
        <v>2546</v>
      </c>
      <c r="AJ1288" s="2">
        <v>45722.892465277779</v>
      </c>
      <c r="AK1288" t="s">
        <v>501</v>
      </c>
      <c r="AL1288" t="s">
        <v>65</v>
      </c>
      <c r="AM1288" s="3">
        <v>1.1041666666666667</v>
      </c>
      <c r="AN1288" t="s">
        <v>66</v>
      </c>
      <c r="AO1288" t="s">
        <v>67</v>
      </c>
    </row>
    <row r="1289" spans="1:41" x14ac:dyDescent="0.2">
      <c r="A1289">
        <v>364183</v>
      </c>
      <c r="B1289" t="s">
        <v>9356</v>
      </c>
      <c r="C1289" t="s">
        <v>69</v>
      </c>
      <c r="D1289" t="s">
        <v>7205</v>
      </c>
      <c r="E1289" t="s">
        <v>9357</v>
      </c>
      <c r="F1289">
        <v>101303</v>
      </c>
      <c r="G1289" s="1">
        <v>32064</v>
      </c>
      <c r="H1289" s="1">
        <v>45531</v>
      </c>
      <c r="I1289" s="1">
        <v>46249</v>
      </c>
      <c r="J1289" t="s">
        <v>45</v>
      </c>
      <c r="K1289" t="s">
        <v>45</v>
      </c>
      <c r="L1289" t="s">
        <v>429</v>
      </c>
      <c r="M1289" s="1">
        <v>42611</v>
      </c>
      <c r="N1289" t="s">
        <v>47</v>
      </c>
      <c r="O1289" t="s">
        <v>48</v>
      </c>
      <c r="P1289" t="s">
        <v>49</v>
      </c>
      <c r="Q1289" t="s">
        <v>9358</v>
      </c>
      <c r="R1289" t="s">
        <v>9359</v>
      </c>
      <c r="S1289">
        <v>3529</v>
      </c>
      <c r="T1289" t="s">
        <v>52</v>
      </c>
      <c r="U1289">
        <v>4</v>
      </c>
      <c r="V1289" t="s">
        <v>3135</v>
      </c>
      <c r="W1289" t="s">
        <v>54</v>
      </c>
      <c r="X1289" t="s">
        <v>76</v>
      </c>
      <c r="Y1289" t="s">
        <v>56</v>
      </c>
      <c r="Z1289">
        <v>664</v>
      </c>
      <c r="AA1289">
        <v>59</v>
      </c>
      <c r="AB1289">
        <v>152</v>
      </c>
      <c r="AC1289" t="s">
        <v>7209</v>
      </c>
      <c r="AD1289" t="s">
        <v>7210</v>
      </c>
      <c r="AE1289" t="s">
        <v>7211</v>
      </c>
      <c r="AF1289" t="s">
        <v>7212</v>
      </c>
      <c r="AG1289" t="s">
        <v>7213</v>
      </c>
      <c r="AH1289" t="s">
        <v>7214</v>
      </c>
      <c r="AI1289" t="s">
        <v>9360</v>
      </c>
      <c r="AJ1289" s="2">
        <v>45534.722824074073</v>
      </c>
      <c r="AK1289" t="s">
        <v>2517</v>
      </c>
      <c r="AL1289" t="s">
        <v>65</v>
      </c>
      <c r="AM1289" s="4">
        <v>0.16666666666666666</v>
      </c>
      <c r="AN1289" t="s">
        <v>66</v>
      </c>
      <c r="AO1289" t="s">
        <v>67</v>
      </c>
    </row>
    <row r="1290" spans="1:41" x14ac:dyDescent="0.2">
      <c r="A1290">
        <v>370400</v>
      </c>
      <c r="B1290" t="s">
        <v>9361</v>
      </c>
      <c r="C1290" t="s">
        <v>542</v>
      </c>
      <c r="D1290" t="s">
        <v>9362</v>
      </c>
      <c r="E1290" t="s">
        <v>9363</v>
      </c>
      <c r="F1290">
        <v>360751</v>
      </c>
      <c r="G1290" s="1">
        <v>43013</v>
      </c>
      <c r="H1290" s="1">
        <v>45636</v>
      </c>
      <c r="J1290" t="s">
        <v>45</v>
      </c>
      <c r="K1290" t="s">
        <v>45</v>
      </c>
      <c r="L1290" t="s">
        <v>72</v>
      </c>
      <c r="N1290" t="s">
        <v>47</v>
      </c>
      <c r="O1290" t="s">
        <v>48</v>
      </c>
      <c r="P1290" t="s">
        <v>586</v>
      </c>
      <c r="Q1290" t="s">
        <v>9364</v>
      </c>
      <c r="R1290" t="s">
        <v>9365</v>
      </c>
      <c r="S1290">
        <v>710</v>
      </c>
      <c r="T1290" t="s">
        <v>92</v>
      </c>
      <c r="U1290" t="s">
        <v>1133</v>
      </c>
      <c r="V1290" t="s">
        <v>1134</v>
      </c>
      <c r="W1290" t="s">
        <v>9366</v>
      </c>
      <c r="X1290" t="s">
        <v>92</v>
      </c>
      <c r="Y1290" t="s">
        <v>770</v>
      </c>
      <c r="Z1290">
        <v>9086</v>
      </c>
      <c r="AA1290">
        <v>15</v>
      </c>
      <c r="AB1290">
        <v>28</v>
      </c>
      <c r="AC1290" t="s">
        <v>9367</v>
      </c>
      <c r="AD1290" t="s">
        <v>9368</v>
      </c>
      <c r="AE1290" t="s">
        <v>9369</v>
      </c>
      <c r="AF1290" t="s">
        <v>9370</v>
      </c>
      <c r="AG1290" t="s">
        <v>9371</v>
      </c>
      <c r="AH1290" t="s">
        <v>9372</v>
      </c>
      <c r="AI1290" t="s">
        <v>9373</v>
      </c>
      <c r="AJ1290" s="2">
        <v>45775.537858796299</v>
      </c>
      <c r="AK1290" t="s">
        <v>9367</v>
      </c>
      <c r="AL1290" t="s">
        <v>65</v>
      </c>
      <c r="AM1290" s="4">
        <v>0.56944444444444442</v>
      </c>
      <c r="AN1290" t="s">
        <v>66</v>
      </c>
      <c r="AO1290" t="s">
        <v>67</v>
      </c>
    </row>
    <row r="1291" spans="1:41" x14ac:dyDescent="0.2">
      <c r="A1291">
        <v>371782</v>
      </c>
      <c r="B1291" t="s">
        <v>9374</v>
      </c>
      <c r="C1291" t="s">
        <v>86</v>
      </c>
      <c r="E1291" t="s">
        <v>9375</v>
      </c>
      <c r="F1291">
        <v>120202</v>
      </c>
      <c r="G1291" s="1">
        <v>45609</v>
      </c>
      <c r="H1291" s="1">
        <v>45635</v>
      </c>
      <c r="I1291" s="1">
        <v>45992</v>
      </c>
      <c r="J1291" t="s">
        <v>45</v>
      </c>
      <c r="K1291" t="s">
        <v>45</v>
      </c>
      <c r="L1291" t="s">
        <v>72</v>
      </c>
      <c r="M1291" s="1">
        <v>45470</v>
      </c>
      <c r="N1291" t="s">
        <v>89</v>
      </c>
      <c r="O1291" t="s">
        <v>121</v>
      </c>
      <c r="P1291" t="s">
        <v>49</v>
      </c>
      <c r="Q1291" t="s">
        <v>9376</v>
      </c>
      <c r="R1291" t="s">
        <v>9377</v>
      </c>
      <c r="S1291">
        <v>580</v>
      </c>
      <c r="T1291" t="s">
        <v>257</v>
      </c>
      <c r="U1291" t="s">
        <v>258</v>
      </c>
      <c r="V1291" t="s">
        <v>1536</v>
      </c>
      <c r="W1291" t="s">
        <v>260</v>
      </c>
      <c r="X1291" t="s">
        <v>257</v>
      </c>
      <c r="Y1291" t="s">
        <v>110</v>
      </c>
      <c r="Z1291">
        <v>8067</v>
      </c>
      <c r="AA1291">
        <v>28</v>
      </c>
      <c r="AB1291">
        <v>78</v>
      </c>
      <c r="AC1291" t="s">
        <v>264</v>
      </c>
      <c r="AD1291" t="s">
        <v>1540</v>
      </c>
      <c r="AE1291" t="s">
        <v>266</v>
      </c>
      <c r="AF1291" t="s">
        <v>1537</v>
      </c>
      <c r="AG1291" t="s">
        <v>1538</v>
      </c>
      <c r="AH1291" t="s">
        <v>1539</v>
      </c>
      <c r="AJ1291" s="2">
        <v>45819.640763888892</v>
      </c>
      <c r="AK1291" t="s">
        <v>1167</v>
      </c>
      <c r="AL1291" t="s">
        <v>65</v>
      </c>
      <c r="AM1291" s="4">
        <v>0.71527777777777779</v>
      </c>
      <c r="AN1291" t="s">
        <v>66</v>
      </c>
      <c r="AO1291" t="s">
        <v>67</v>
      </c>
    </row>
    <row r="1292" spans="1:41" x14ac:dyDescent="0.2">
      <c r="A1292">
        <v>373079</v>
      </c>
      <c r="B1292" t="s">
        <v>9378</v>
      </c>
      <c r="C1292" t="s">
        <v>69</v>
      </c>
      <c r="D1292" t="s">
        <v>3081</v>
      </c>
      <c r="E1292">
        <v>32877606</v>
      </c>
      <c r="F1292">
        <v>43794</v>
      </c>
      <c r="G1292" s="1">
        <v>45770</v>
      </c>
      <c r="H1292" s="1">
        <v>45856</v>
      </c>
      <c r="I1292" s="1">
        <v>46188</v>
      </c>
      <c r="J1292" t="s">
        <v>45</v>
      </c>
      <c r="K1292" t="s">
        <v>45</v>
      </c>
      <c r="L1292" t="s">
        <v>72</v>
      </c>
      <c r="M1292" s="1">
        <v>45036</v>
      </c>
      <c r="N1292" t="s">
        <v>47</v>
      </c>
      <c r="O1292" t="s">
        <v>121</v>
      </c>
      <c r="P1292" t="s">
        <v>49</v>
      </c>
      <c r="Q1292" t="s">
        <v>2851</v>
      </c>
      <c r="R1292" t="s">
        <v>3083</v>
      </c>
      <c r="S1292">
        <v>2865</v>
      </c>
      <c r="T1292" t="s">
        <v>52</v>
      </c>
      <c r="U1292">
        <v>5</v>
      </c>
      <c r="V1292" t="s">
        <v>5856</v>
      </c>
      <c r="W1292" t="s">
        <v>54</v>
      </c>
      <c r="X1292" t="s">
        <v>76</v>
      </c>
      <c r="Y1292" t="s">
        <v>125</v>
      </c>
      <c r="Z1292">
        <v>2460</v>
      </c>
      <c r="AA1292">
        <v>116</v>
      </c>
      <c r="AB1292">
        <v>174</v>
      </c>
      <c r="AC1292" t="s">
        <v>9379</v>
      </c>
      <c r="AD1292" t="s">
        <v>5858</v>
      </c>
      <c r="AE1292" t="s">
        <v>9380</v>
      </c>
      <c r="AF1292" t="s">
        <v>6329</v>
      </c>
      <c r="AG1292" t="s">
        <v>6330</v>
      </c>
      <c r="AH1292" t="s">
        <v>5862</v>
      </c>
      <c r="AI1292" t="s">
        <v>4396</v>
      </c>
      <c r="AJ1292" s="2">
        <v>45856.855451388888</v>
      </c>
      <c r="AK1292" t="s">
        <v>800</v>
      </c>
      <c r="AL1292" t="s">
        <v>65</v>
      </c>
      <c r="AM1292" s="4">
        <v>0.51388888888888884</v>
      </c>
      <c r="AN1292" t="s">
        <v>66</v>
      </c>
      <c r="AO1292" t="s">
        <v>67</v>
      </c>
    </row>
    <row r="1293" spans="1:41" x14ac:dyDescent="0.2">
      <c r="A1293">
        <v>371946</v>
      </c>
      <c r="B1293" t="s">
        <v>9381</v>
      </c>
      <c r="C1293" t="s">
        <v>182</v>
      </c>
      <c r="D1293" t="s">
        <v>4074</v>
      </c>
      <c r="E1293">
        <v>32878682</v>
      </c>
      <c r="G1293" s="1">
        <v>45770</v>
      </c>
      <c r="H1293" s="1">
        <v>45825</v>
      </c>
      <c r="I1293" s="1">
        <v>46188</v>
      </c>
      <c r="J1293" t="s">
        <v>45</v>
      </c>
      <c r="K1293" t="s">
        <v>45</v>
      </c>
      <c r="L1293" t="s">
        <v>72</v>
      </c>
      <c r="M1293" s="1">
        <v>41865</v>
      </c>
      <c r="N1293" t="s">
        <v>89</v>
      </c>
      <c r="O1293" t="s">
        <v>121</v>
      </c>
      <c r="P1293" t="s">
        <v>49</v>
      </c>
      <c r="Q1293" t="s">
        <v>9382</v>
      </c>
      <c r="R1293" t="s">
        <v>9383</v>
      </c>
      <c r="S1293">
        <v>5504</v>
      </c>
      <c r="T1293" t="s">
        <v>52</v>
      </c>
      <c r="U1293">
        <v>5</v>
      </c>
      <c r="V1293" t="s">
        <v>5856</v>
      </c>
      <c r="W1293" t="s">
        <v>54</v>
      </c>
      <c r="X1293" t="s">
        <v>76</v>
      </c>
      <c r="Y1293" t="s">
        <v>125</v>
      </c>
      <c r="Z1293">
        <v>2461</v>
      </c>
      <c r="AA1293">
        <v>92</v>
      </c>
      <c r="AB1293">
        <v>174</v>
      </c>
      <c r="AC1293" t="s">
        <v>9379</v>
      </c>
      <c r="AD1293" t="s">
        <v>5858</v>
      </c>
      <c r="AE1293" t="s">
        <v>9380</v>
      </c>
      <c r="AF1293" t="s">
        <v>6329</v>
      </c>
      <c r="AG1293" t="s">
        <v>6330</v>
      </c>
      <c r="AH1293" t="s">
        <v>5862</v>
      </c>
      <c r="AI1293" t="s">
        <v>4396</v>
      </c>
      <c r="AJ1293" s="2">
        <v>45825.673888888887</v>
      </c>
      <c r="AK1293" t="s">
        <v>800</v>
      </c>
      <c r="AL1293" t="s">
        <v>65</v>
      </c>
      <c r="AM1293" s="4">
        <v>0.52083333333333337</v>
      </c>
      <c r="AN1293" t="s">
        <v>66</v>
      </c>
      <c r="AO1293" t="s">
        <v>67</v>
      </c>
    </row>
    <row r="1294" spans="1:41" x14ac:dyDescent="0.2">
      <c r="A1294">
        <v>338859</v>
      </c>
      <c r="B1294" t="s">
        <v>9384</v>
      </c>
      <c r="C1294" t="s">
        <v>323</v>
      </c>
      <c r="D1294" t="s">
        <v>361</v>
      </c>
      <c r="E1294">
        <v>32522240</v>
      </c>
      <c r="G1294" s="1">
        <v>41139</v>
      </c>
      <c r="H1294" s="1">
        <v>42163</v>
      </c>
      <c r="J1294" t="s">
        <v>326</v>
      </c>
      <c r="K1294" t="s">
        <v>326</v>
      </c>
      <c r="L1294" t="s">
        <v>72</v>
      </c>
      <c r="M1294" s="1">
        <v>42243</v>
      </c>
      <c r="N1294" t="s">
        <v>47</v>
      </c>
      <c r="O1294" t="s">
        <v>48</v>
      </c>
      <c r="P1294" t="s">
        <v>1752</v>
      </c>
      <c r="Q1294" t="s">
        <v>9385</v>
      </c>
      <c r="R1294" t="s">
        <v>9386</v>
      </c>
      <c r="S1294">
        <v>168</v>
      </c>
      <c r="T1294" t="s">
        <v>365</v>
      </c>
      <c r="U1294" t="s">
        <v>366</v>
      </c>
      <c r="W1294" t="s">
        <v>409</v>
      </c>
      <c r="Y1294" t="s">
        <v>410</v>
      </c>
      <c r="Z1294">
        <v>5886</v>
      </c>
      <c r="AA1294">
        <v>16</v>
      </c>
      <c r="AB1294">
        <v>28</v>
      </c>
      <c r="AC1294" t="s">
        <v>9387</v>
      </c>
      <c r="AD1294" t="s">
        <v>9388</v>
      </c>
      <c r="AE1294" t="s">
        <v>9389</v>
      </c>
      <c r="AJ1294" s="2">
        <v>44684.727175925924</v>
      </c>
      <c r="AK1294" t="s">
        <v>149</v>
      </c>
      <c r="AL1294" t="s">
        <v>65</v>
      </c>
      <c r="AM1294" s="4">
        <v>0.88888888888888884</v>
      </c>
      <c r="AN1294" t="s">
        <v>66</v>
      </c>
      <c r="AO1294" t="s">
        <v>67</v>
      </c>
    </row>
    <row r="1295" spans="1:41" x14ac:dyDescent="0.2">
      <c r="A1295">
        <v>371785</v>
      </c>
      <c r="B1295" t="s">
        <v>9390</v>
      </c>
      <c r="C1295" t="s">
        <v>323</v>
      </c>
      <c r="D1295" t="s">
        <v>372</v>
      </c>
      <c r="E1295" t="s">
        <v>9391</v>
      </c>
      <c r="F1295">
        <v>500615</v>
      </c>
      <c r="G1295" s="1">
        <v>36667</v>
      </c>
      <c r="H1295" s="1">
        <v>45782</v>
      </c>
      <c r="I1295" s="1">
        <v>46037</v>
      </c>
      <c r="J1295" t="s">
        <v>45</v>
      </c>
      <c r="K1295" t="s">
        <v>45</v>
      </c>
      <c r="L1295" t="s">
        <v>72</v>
      </c>
      <c r="M1295" s="1">
        <v>45421</v>
      </c>
      <c r="N1295" t="s">
        <v>47</v>
      </c>
      <c r="O1295" t="s">
        <v>48</v>
      </c>
      <c r="P1295" t="s">
        <v>7488</v>
      </c>
      <c r="Q1295" t="s">
        <v>9392</v>
      </c>
      <c r="R1295" t="s">
        <v>9393</v>
      </c>
      <c r="S1295">
        <v>933</v>
      </c>
      <c r="T1295" t="s">
        <v>365</v>
      </c>
      <c r="U1295" t="s">
        <v>366</v>
      </c>
      <c r="V1295" t="s">
        <v>330</v>
      </c>
      <c r="W1295" t="s">
        <v>409</v>
      </c>
      <c r="X1295" t="s">
        <v>76</v>
      </c>
      <c r="Y1295" t="s">
        <v>110</v>
      </c>
      <c r="Z1295">
        <v>33</v>
      </c>
      <c r="AA1295">
        <v>42</v>
      </c>
      <c r="AB1295">
        <v>160</v>
      </c>
      <c r="AC1295" t="s">
        <v>368</v>
      </c>
      <c r="AD1295" t="s">
        <v>369</v>
      </c>
      <c r="AE1295" t="s">
        <v>370</v>
      </c>
      <c r="AF1295" t="s">
        <v>384</v>
      </c>
      <c r="AG1295" t="s">
        <v>385</v>
      </c>
      <c r="AH1295" t="s">
        <v>386</v>
      </c>
      <c r="AJ1295" s="2">
        <v>45819.674791666665</v>
      </c>
      <c r="AK1295" t="s">
        <v>727</v>
      </c>
      <c r="AL1295" t="s">
        <v>65</v>
      </c>
      <c r="AM1295" s="4">
        <v>0.49305555555555558</v>
      </c>
      <c r="AN1295" t="s">
        <v>66</v>
      </c>
      <c r="AO1295" t="s">
        <v>67</v>
      </c>
    </row>
    <row r="1296" spans="1:41" x14ac:dyDescent="0.2">
      <c r="A1296">
        <v>367418</v>
      </c>
      <c r="B1296" t="s">
        <v>9394</v>
      </c>
      <c r="C1296" t="s">
        <v>69</v>
      </c>
      <c r="D1296" t="s">
        <v>7458</v>
      </c>
      <c r="E1296" t="s">
        <v>9395</v>
      </c>
      <c r="G1296" s="1">
        <v>45673</v>
      </c>
      <c r="H1296" s="1">
        <v>45674</v>
      </c>
      <c r="I1296" s="1">
        <v>45992</v>
      </c>
      <c r="J1296" t="s">
        <v>45</v>
      </c>
      <c r="K1296" t="s">
        <v>45</v>
      </c>
      <c r="L1296" t="s">
        <v>72</v>
      </c>
      <c r="N1296" t="s">
        <v>89</v>
      </c>
      <c r="O1296" t="s">
        <v>121</v>
      </c>
      <c r="P1296" t="s">
        <v>49</v>
      </c>
      <c r="Q1296" t="s">
        <v>9396</v>
      </c>
      <c r="R1296" t="s">
        <v>9397</v>
      </c>
      <c r="S1296">
        <v>5199</v>
      </c>
      <c r="T1296" t="s">
        <v>52</v>
      </c>
      <c r="U1296">
        <v>1</v>
      </c>
      <c r="V1296" t="s">
        <v>3148</v>
      </c>
      <c r="W1296" t="s">
        <v>54</v>
      </c>
      <c r="X1296" t="s">
        <v>52</v>
      </c>
      <c r="Y1296" t="s">
        <v>125</v>
      </c>
      <c r="Z1296">
        <v>8006</v>
      </c>
      <c r="AA1296">
        <v>59</v>
      </c>
      <c r="AB1296">
        <v>78</v>
      </c>
      <c r="AC1296" t="s">
        <v>9398</v>
      </c>
      <c r="AD1296" t="s">
        <v>9399</v>
      </c>
      <c r="AE1296" t="s">
        <v>9400</v>
      </c>
      <c r="AF1296" t="s">
        <v>4664</v>
      </c>
      <c r="AG1296" t="s">
        <v>4665</v>
      </c>
      <c r="AH1296" t="s">
        <v>3151</v>
      </c>
      <c r="AI1296" t="s">
        <v>9401</v>
      </c>
      <c r="AJ1296" s="2">
        <v>45674.498333333337</v>
      </c>
      <c r="AK1296" t="s">
        <v>132</v>
      </c>
      <c r="AL1296" t="s">
        <v>65</v>
      </c>
      <c r="AM1296" s="4">
        <v>0.65972222222222221</v>
      </c>
      <c r="AN1296" t="s">
        <v>66</v>
      </c>
      <c r="AO1296" t="s">
        <v>67</v>
      </c>
    </row>
    <row r="1297" spans="1:41" x14ac:dyDescent="0.2">
      <c r="A1297">
        <v>370551</v>
      </c>
      <c r="B1297" t="s">
        <v>9402</v>
      </c>
      <c r="C1297" t="s">
        <v>69</v>
      </c>
      <c r="D1297" t="s">
        <v>9403</v>
      </c>
      <c r="E1297">
        <v>32332288</v>
      </c>
      <c r="G1297" s="1">
        <v>45777</v>
      </c>
      <c r="H1297" s="1">
        <v>45671</v>
      </c>
      <c r="I1297" s="1">
        <v>46006</v>
      </c>
      <c r="J1297" t="s">
        <v>45</v>
      </c>
      <c r="K1297" t="s">
        <v>45</v>
      </c>
      <c r="L1297" t="s">
        <v>72</v>
      </c>
      <c r="N1297" t="s">
        <v>47</v>
      </c>
      <c r="O1297" t="s">
        <v>121</v>
      </c>
      <c r="P1297" t="s">
        <v>49</v>
      </c>
      <c r="Q1297" t="s">
        <v>9404</v>
      </c>
      <c r="R1297" t="s">
        <v>9405</v>
      </c>
      <c r="S1297">
        <v>2374</v>
      </c>
      <c r="T1297" t="s">
        <v>52</v>
      </c>
      <c r="U1297">
        <v>1</v>
      </c>
      <c r="V1297" t="s">
        <v>3148</v>
      </c>
      <c r="W1297" t="s">
        <v>54</v>
      </c>
      <c r="X1297" t="s">
        <v>52</v>
      </c>
      <c r="Y1297" t="s">
        <v>125</v>
      </c>
      <c r="Z1297">
        <v>12132</v>
      </c>
      <c r="AA1297">
        <v>26</v>
      </c>
      <c r="AB1297">
        <v>146</v>
      </c>
      <c r="AC1297" t="s">
        <v>9406</v>
      </c>
      <c r="AD1297" t="s">
        <v>4665</v>
      </c>
      <c r="AE1297" t="s">
        <v>3151</v>
      </c>
      <c r="AJ1297" s="2">
        <v>45777.789039351854</v>
      </c>
      <c r="AK1297" t="s">
        <v>132</v>
      </c>
      <c r="AL1297" t="s">
        <v>65</v>
      </c>
      <c r="AM1297" s="3">
        <v>1.8194444444444444</v>
      </c>
      <c r="AN1297" t="s">
        <v>66</v>
      </c>
      <c r="AO1297" t="s">
        <v>67</v>
      </c>
    </row>
    <row r="1298" spans="1:41" x14ac:dyDescent="0.2">
      <c r="A1298">
        <v>371901</v>
      </c>
      <c r="B1298" t="s">
        <v>9407</v>
      </c>
      <c r="C1298" t="s">
        <v>69</v>
      </c>
      <c r="D1298" t="s">
        <v>3081</v>
      </c>
      <c r="E1298" t="s">
        <v>9408</v>
      </c>
      <c r="G1298" s="1">
        <v>45817</v>
      </c>
      <c r="H1298" s="1">
        <v>45693</v>
      </c>
      <c r="I1298" s="1">
        <v>46023</v>
      </c>
      <c r="J1298" t="s">
        <v>45</v>
      </c>
      <c r="K1298" t="s">
        <v>45</v>
      </c>
      <c r="L1298" t="s">
        <v>72</v>
      </c>
      <c r="M1298" s="1">
        <v>42532</v>
      </c>
      <c r="N1298" t="s">
        <v>89</v>
      </c>
      <c r="O1298" t="s">
        <v>121</v>
      </c>
      <c r="P1298" t="s">
        <v>49</v>
      </c>
      <c r="Q1298" t="s">
        <v>2851</v>
      </c>
      <c r="R1298" t="s">
        <v>3083</v>
      </c>
      <c r="S1298">
        <v>2865</v>
      </c>
      <c r="T1298" t="s">
        <v>365</v>
      </c>
      <c r="U1298" t="s">
        <v>532</v>
      </c>
      <c r="V1298" t="s">
        <v>2853</v>
      </c>
      <c r="W1298" t="s">
        <v>367</v>
      </c>
      <c r="X1298" t="s">
        <v>76</v>
      </c>
      <c r="Y1298" t="s">
        <v>9409</v>
      </c>
      <c r="Z1298">
        <v>4734</v>
      </c>
      <c r="AA1298">
        <v>291</v>
      </c>
      <c r="AB1298">
        <v>68</v>
      </c>
      <c r="AC1298" t="s">
        <v>650</v>
      </c>
      <c r="AD1298" t="s">
        <v>9410</v>
      </c>
      <c r="AE1298" t="s">
        <v>2856</v>
      </c>
      <c r="AF1298" t="s">
        <v>100</v>
      </c>
      <c r="AG1298" t="s">
        <v>3089</v>
      </c>
      <c r="AH1298" t="s">
        <v>2856</v>
      </c>
      <c r="AJ1298" s="2">
        <v>45824.717233796298</v>
      </c>
      <c r="AK1298" t="s">
        <v>100</v>
      </c>
      <c r="AL1298" t="s">
        <v>65</v>
      </c>
      <c r="AM1298" t="s">
        <v>9411</v>
      </c>
      <c r="AN1298" t="s">
        <v>66</v>
      </c>
      <c r="AO1298" t="s">
        <v>67</v>
      </c>
    </row>
    <row r="1299" spans="1:41" x14ac:dyDescent="0.2">
      <c r="A1299">
        <v>372732</v>
      </c>
      <c r="B1299" t="s">
        <v>9412</v>
      </c>
      <c r="C1299" t="s">
        <v>278</v>
      </c>
      <c r="D1299" t="s">
        <v>279</v>
      </c>
      <c r="E1299" t="s">
        <v>9413</v>
      </c>
      <c r="G1299" s="1">
        <v>45829</v>
      </c>
      <c r="H1299" s="1">
        <v>45709</v>
      </c>
      <c r="J1299" t="s">
        <v>45</v>
      </c>
      <c r="K1299" t="s">
        <v>45</v>
      </c>
      <c r="L1299" t="s">
        <v>72</v>
      </c>
      <c r="N1299" t="s">
        <v>89</v>
      </c>
      <c r="O1299" t="s">
        <v>121</v>
      </c>
      <c r="P1299" t="s">
        <v>49</v>
      </c>
      <c r="Q1299" t="s">
        <v>9414</v>
      </c>
      <c r="R1299" t="s">
        <v>9415</v>
      </c>
      <c r="S1299">
        <v>7316</v>
      </c>
      <c r="T1299" t="s">
        <v>365</v>
      </c>
      <c r="U1299" t="s">
        <v>532</v>
      </c>
      <c r="V1299" t="s">
        <v>2853</v>
      </c>
      <c r="W1299" t="s">
        <v>367</v>
      </c>
      <c r="X1299" t="s">
        <v>76</v>
      </c>
      <c r="Y1299" t="s">
        <v>9409</v>
      </c>
      <c r="Z1299">
        <v>4932</v>
      </c>
      <c r="AA1299">
        <v>223</v>
      </c>
      <c r="AB1299">
        <v>68</v>
      </c>
      <c r="AC1299" t="s">
        <v>650</v>
      </c>
      <c r="AD1299" t="s">
        <v>9410</v>
      </c>
      <c r="AE1299" t="s">
        <v>2856</v>
      </c>
      <c r="AF1299" t="s">
        <v>100</v>
      </c>
      <c r="AG1299" t="s">
        <v>3089</v>
      </c>
      <c r="AH1299" t="s">
        <v>2856</v>
      </c>
      <c r="AJ1299" s="2">
        <v>45852.707407407404</v>
      </c>
      <c r="AK1299" t="s">
        <v>660</v>
      </c>
      <c r="AL1299" t="s">
        <v>65</v>
      </c>
      <c r="AM1299" t="s">
        <v>9416</v>
      </c>
      <c r="AN1299" t="s">
        <v>66</v>
      </c>
      <c r="AO1299" t="s">
        <v>67</v>
      </c>
    </row>
    <row r="1300" spans="1:41" x14ac:dyDescent="0.2">
      <c r="A1300">
        <v>372638</v>
      </c>
      <c r="B1300" t="s">
        <v>9417</v>
      </c>
      <c r="C1300" t="s">
        <v>278</v>
      </c>
      <c r="D1300" t="s">
        <v>279</v>
      </c>
      <c r="E1300" t="s">
        <v>9418</v>
      </c>
      <c r="G1300" s="1">
        <v>45830</v>
      </c>
      <c r="H1300" s="1">
        <v>45709</v>
      </c>
      <c r="J1300" t="s">
        <v>45</v>
      </c>
      <c r="K1300" t="s">
        <v>45</v>
      </c>
      <c r="L1300" t="s">
        <v>72</v>
      </c>
      <c r="N1300" t="s">
        <v>89</v>
      </c>
      <c r="O1300" t="s">
        <v>121</v>
      </c>
      <c r="P1300" t="s">
        <v>49</v>
      </c>
      <c r="Q1300" t="s">
        <v>9419</v>
      </c>
      <c r="R1300" t="s">
        <v>9420</v>
      </c>
      <c r="S1300">
        <v>7919</v>
      </c>
      <c r="T1300" t="s">
        <v>365</v>
      </c>
      <c r="U1300" t="s">
        <v>532</v>
      </c>
      <c r="V1300" t="s">
        <v>2853</v>
      </c>
      <c r="W1300" t="s">
        <v>367</v>
      </c>
      <c r="X1300" t="s">
        <v>76</v>
      </c>
      <c r="Y1300" t="s">
        <v>9409</v>
      </c>
      <c r="Z1300">
        <v>4933</v>
      </c>
      <c r="AA1300">
        <v>243</v>
      </c>
      <c r="AB1300">
        <v>68</v>
      </c>
      <c r="AC1300" t="s">
        <v>650</v>
      </c>
      <c r="AD1300" t="s">
        <v>9410</v>
      </c>
      <c r="AE1300" t="s">
        <v>2856</v>
      </c>
      <c r="AF1300" t="s">
        <v>100</v>
      </c>
      <c r="AG1300" t="s">
        <v>3089</v>
      </c>
      <c r="AH1300" t="s">
        <v>2856</v>
      </c>
      <c r="AJ1300" s="2">
        <v>45848.563298611109</v>
      </c>
      <c r="AK1300" t="s">
        <v>660</v>
      </c>
      <c r="AL1300" t="s">
        <v>65</v>
      </c>
      <c r="AM1300" t="s">
        <v>9421</v>
      </c>
      <c r="AN1300" t="s">
        <v>66</v>
      </c>
      <c r="AO1300" t="s">
        <v>67</v>
      </c>
    </row>
    <row r="1301" spans="1:41" x14ac:dyDescent="0.2">
      <c r="A1301">
        <v>372277</v>
      </c>
      <c r="B1301" t="s">
        <v>9422</v>
      </c>
      <c r="C1301" t="s">
        <v>278</v>
      </c>
      <c r="D1301" t="s">
        <v>134</v>
      </c>
      <c r="E1301" t="s">
        <v>9423</v>
      </c>
      <c r="G1301" s="1">
        <v>45835</v>
      </c>
      <c r="H1301" s="1">
        <v>45709</v>
      </c>
      <c r="J1301" t="s">
        <v>45</v>
      </c>
      <c r="K1301" t="s">
        <v>45</v>
      </c>
      <c r="L1301" t="s">
        <v>72</v>
      </c>
      <c r="N1301" t="s">
        <v>47</v>
      </c>
      <c r="O1301" t="s">
        <v>121</v>
      </c>
      <c r="P1301" t="s">
        <v>49</v>
      </c>
      <c r="Q1301" t="s">
        <v>9424</v>
      </c>
      <c r="R1301" t="s">
        <v>9425</v>
      </c>
      <c r="S1301">
        <v>9130</v>
      </c>
      <c r="T1301" t="s">
        <v>365</v>
      </c>
      <c r="U1301" t="s">
        <v>532</v>
      </c>
      <c r="V1301" t="s">
        <v>2853</v>
      </c>
      <c r="W1301" t="s">
        <v>367</v>
      </c>
      <c r="X1301" t="s">
        <v>76</v>
      </c>
      <c r="Y1301" t="s">
        <v>9409</v>
      </c>
      <c r="Z1301">
        <v>4934</v>
      </c>
      <c r="AA1301">
        <v>211</v>
      </c>
      <c r="AB1301">
        <v>68</v>
      </c>
      <c r="AC1301" t="s">
        <v>650</v>
      </c>
      <c r="AD1301" t="s">
        <v>9410</v>
      </c>
      <c r="AE1301" t="s">
        <v>2856</v>
      </c>
      <c r="AF1301" t="s">
        <v>100</v>
      </c>
      <c r="AG1301" t="s">
        <v>3089</v>
      </c>
      <c r="AH1301" t="s">
        <v>3093</v>
      </c>
      <c r="AJ1301" s="2">
        <v>45835.87636574074</v>
      </c>
      <c r="AK1301" t="s">
        <v>375</v>
      </c>
      <c r="AL1301" t="s">
        <v>65</v>
      </c>
      <c r="AM1301" t="s">
        <v>9426</v>
      </c>
      <c r="AN1301" t="s">
        <v>66</v>
      </c>
      <c r="AO1301" t="s">
        <v>67</v>
      </c>
    </row>
    <row r="1302" spans="1:41" x14ac:dyDescent="0.2">
      <c r="A1302">
        <v>372607</v>
      </c>
      <c r="B1302" t="s">
        <v>9427</v>
      </c>
      <c r="C1302" t="s">
        <v>278</v>
      </c>
      <c r="D1302" t="s">
        <v>134</v>
      </c>
      <c r="E1302" t="s">
        <v>9428</v>
      </c>
      <c r="G1302" s="1">
        <v>45846</v>
      </c>
      <c r="H1302" s="1">
        <v>45712</v>
      </c>
      <c r="J1302" t="s">
        <v>45</v>
      </c>
      <c r="K1302" t="s">
        <v>45</v>
      </c>
      <c r="L1302" t="s">
        <v>72</v>
      </c>
      <c r="N1302" t="s">
        <v>47</v>
      </c>
      <c r="O1302" t="s">
        <v>121</v>
      </c>
      <c r="P1302" t="s">
        <v>49</v>
      </c>
      <c r="Q1302" t="s">
        <v>9429</v>
      </c>
      <c r="R1302" t="s">
        <v>9430</v>
      </c>
      <c r="S1302">
        <v>5437</v>
      </c>
      <c r="T1302" t="s">
        <v>365</v>
      </c>
      <c r="U1302" t="s">
        <v>532</v>
      </c>
      <c r="V1302" t="s">
        <v>2853</v>
      </c>
      <c r="W1302" t="s">
        <v>367</v>
      </c>
      <c r="X1302" t="s">
        <v>76</v>
      </c>
      <c r="Y1302" t="s">
        <v>9409</v>
      </c>
      <c r="Z1302">
        <v>4646</v>
      </c>
      <c r="AA1302">
        <v>229</v>
      </c>
      <c r="AB1302">
        <v>68</v>
      </c>
      <c r="AC1302" t="s">
        <v>9431</v>
      </c>
      <c r="AD1302" t="s">
        <v>9410</v>
      </c>
      <c r="AE1302" t="s">
        <v>2856</v>
      </c>
      <c r="AF1302" t="s">
        <v>100</v>
      </c>
      <c r="AG1302" t="s">
        <v>3089</v>
      </c>
      <c r="AH1302" t="s">
        <v>3093</v>
      </c>
      <c r="AJ1302" s="2">
        <v>45846.950046296297</v>
      </c>
      <c r="AK1302" t="s">
        <v>132</v>
      </c>
      <c r="AL1302" t="s">
        <v>65</v>
      </c>
      <c r="AM1302" t="s">
        <v>9432</v>
      </c>
      <c r="AN1302" t="s">
        <v>66</v>
      </c>
      <c r="AO1302" t="s">
        <v>67</v>
      </c>
    </row>
    <row r="1303" spans="1:41" x14ac:dyDescent="0.2">
      <c r="A1303">
        <v>373045</v>
      </c>
      <c r="B1303" t="s">
        <v>9433</v>
      </c>
      <c r="C1303" t="s">
        <v>134</v>
      </c>
      <c r="D1303" t="s">
        <v>4154</v>
      </c>
      <c r="E1303" t="s">
        <v>9434</v>
      </c>
      <c r="G1303" s="1">
        <v>45839</v>
      </c>
      <c r="H1303" s="1">
        <v>45714</v>
      </c>
      <c r="J1303" t="s">
        <v>45</v>
      </c>
      <c r="K1303" t="s">
        <v>45</v>
      </c>
      <c r="L1303" t="s">
        <v>72</v>
      </c>
      <c r="N1303" t="s">
        <v>47</v>
      </c>
      <c r="O1303" t="s">
        <v>121</v>
      </c>
      <c r="P1303" t="s">
        <v>49</v>
      </c>
      <c r="Q1303" t="s">
        <v>9435</v>
      </c>
      <c r="R1303" t="s">
        <v>9436</v>
      </c>
      <c r="S1303">
        <v>5099</v>
      </c>
      <c r="T1303" t="s">
        <v>365</v>
      </c>
      <c r="U1303" t="s">
        <v>532</v>
      </c>
      <c r="V1303" t="s">
        <v>2853</v>
      </c>
      <c r="W1303" t="s">
        <v>367</v>
      </c>
      <c r="X1303" t="s">
        <v>76</v>
      </c>
      <c r="Y1303" t="s">
        <v>9409</v>
      </c>
      <c r="Z1303">
        <v>4647</v>
      </c>
      <c r="AA1303">
        <v>207</v>
      </c>
      <c r="AB1303">
        <v>68</v>
      </c>
      <c r="AC1303" t="s">
        <v>650</v>
      </c>
      <c r="AD1303" t="s">
        <v>9410</v>
      </c>
      <c r="AE1303" t="s">
        <v>2856</v>
      </c>
      <c r="AF1303" t="s">
        <v>100</v>
      </c>
      <c r="AG1303" t="s">
        <v>3089</v>
      </c>
      <c r="AH1303" t="s">
        <v>3093</v>
      </c>
      <c r="AJ1303" s="2">
        <v>45856.061145833337</v>
      </c>
      <c r="AK1303" t="s">
        <v>403</v>
      </c>
      <c r="AL1303" t="s">
        <v>65</v>
      </c>
      <c r="AM1303" t="s">
        <v>9437</v>
      </c>
      <c r="AN1303" t="s">
        <v>66</v>
      </c>
      <c r="AO1303" t="s">
        <v>67</v>
      </c>
    </row>
    <row r="1304" spans="1:41" x14ac:dyDescent="0.2">
      <c r="A1304">
        <v>372411</v>
      </c>
      <c r="B1304" t="s">
        <v>9438</v>
      </c>
      <c r="C1304" t="s">
        <v>134</v>
      </c>
      <c r="D1304" t="s">
        <v>4154</v>
      </c>
      <c r="E1304" t="s">
        <v>9439</v>
      </c>
      <c r="G1304" s="1">
        <v>45838</v>
      </c>
      <c r="H1304" s="1">
        <v>45715</v>
      </c>
      <c r="J1304" t="s">
        <v>45</v>
      </c>
      <c r="K1304" t="s">
        <v>45</v>
      </c>
      <c r="L1304" t="s">
        <v>72</v>
      </c>
      <c r="N1304" t="s">
        <v>47</v>
      </c>
      <c r="O1304" t="s">
        <v>121</v>
      </c>
      <c r="P1304" t="s">
        <v>49</v>
      </c>
      <c r="Q1304" t="s">
        <v>9440</v>
      </c>
      <c r="R1304" t="s">
        <v>9441</v>
      </c>
      <c r="S1304">
        <v>7343</v>
      </c>
      <c r="T1304" t="s">
        <v>365</v>
      </c>
      <c r="U1304" t="s">
        <v>532</v>
      </c>
      <c r="V1304" t="s">
        <v>2853</v>
      </c>
      <c r="W1304" t="s">
        <v>367</v>
      </c>
      <c r="X1304" t="s">
        <v>76</v>
      </c>
      <c r="Y1304" t="s">
        <v>9409</v>
      </c>
      <c r="Z1304">
        <v>4648</v>
      </c>
      <c r="AA1304">
        <v>224</v>
      </c>
      <c r="AB1304">
        <v>68</v>
      </c>
      <c r="AC1304" t="s">
        <v>650</v>
      </c>
      <c r="AD1304" t="s">
        <v>9410</v>
      </c>
      <c r="AE1304" t="s">
        <v>2856</v>
      </c>
      <c r="AF1304" t="s">
        <v>100</v>
      </c>
      <c r="AG1304" t="s">
        <v>3089</v>
      </c>
      <c r="AH1304" t="s">
        <v>3093</v>
      </c>
      <c r="AJ1304" s="2">
        <v>45838.931840277779</v>
      </c>
      <c r="AK1304" t="s">
        <v>650</v>
      </c>
      <c r="AL1304" t="s">
        <v>65</v>
      </c>
      <c r="AM1304" t="s">
        <v>9442</v>
      </c>
      <c r="AN1304" t="s">
        <v>66</v>
      </c>
      <c r="AO1304" t="s">
        <v>67</v>
      </c>
    </row>
    <row r="1305" spans="1:41" x14ac:dyDescent="0.2">
      <c r="A1305">
        <v>373073</v>
      </c>
      <c r="B1305" t="s">
        <v>9443</v>
      </c>
      <c r="C1305" t="s">
        <v>323</v>
      </c>
      <c r="D1305" t="s">
        <v>6174</v>
      </c>
      <c r="E1305" t="s">
        <v>9444</v>
      </c>
      <c r="G1305" s="1">
        <v>45839</v>
      </c>
      <c r="H1305" s="1">
        <v>45719</v>
      </c>
      <c r="J1305" t="s">
        <v>45</v>
      </c>
      <c r="K1305" t="s">
        <v>45</v>
      </c>
      <c r="L1305" t="s">
        <v>72</v>
      </c>
      <c r="N1305" t="s">
        <v>89</v>
      </c>
      <c r="O1305" t="s">
        <v>121</v>
      </c>
      <c r="P1305" t="s">
        <v>49</v>
      </c>
      <c r="Q1305" t="s">
        <v>9445</v>
      </c>
      <c r="R1305" t="s">
        <v>9446</v>
      </c>
      <c r="S1305">
        <v>756</v>
      </c>
      <c r="T1305" t="s">
        <v>365</v>
      </c>
      <c r="U1305" t="s">
        <v>532</v>
      </c>
      <c r="V1305" t="s">
        <v>2853</v>
      </c>
      <c r="W1305" t="s">
        <v>367</v>
      </c>
      <c r="X1305" t="s">
        <v>76</v>
      </c>
      <c r="Y1305" t="s">
        <v>9409</v>
      </c>
      <c r="Z1305">
        <v>4649</v>
      </c>
      <c r="AA1305">
        <v>198</v>
      </c>
      <c r="AB1305">
        <v>68</v>
      </c>
      <c r="AC1305" t="s">
        <v>650</v>
      </c>
      <c r="AD1305" t="s">
        <v>9410</v>
      </c>
      <c r="AE1305" t="s">
        <v>2856</v>
      </c>
      <c r="AF1305" t="s">
        <v>100</v>
      </c>
      <c r="AG1305" t="s">
        <v>3089</v>
      </c>
      <c r="AH1305" t="s">
        <v>3093</v>
      </c>
      <c r="AJ1305" s="2">
        <v>45856.748425925929</v>
      </c>
      <c r="AK1305" t="s">
        <v>132</v>
      </c>
      <c r="AL1305" t="s">
        <v>65</v>
      </c>
      <c r="AM1305" t="s">
        <v>9447</v>
      </c>
      <c r="AN1305" t="s">
        <v>66</v>
      </c>
      <c r="AO1305" t="s">
        <v>67</v>
      </c>
    </row>
    <row r="1306" spans="1:41" x14ac:dyDescent="0.2">
      <c r="A1306">
        <v>373071</v>
      </c>
      <c r="B1306" t="s">
        <v>9448</v>
      </c>
      <c r="C1306" t="s">
        <v>323</v>
      </c>
      <c r="D1306" t="s">
        <v>6174</v>
      </c>
      <c r="E1306" t="s">
        <v>9449</v>
      </c>
      <c r="G1306" s="1">
        <v>45838</v>
      </c>
      <c r="H1306" s="1">
        <v>45719</v>
      </c>
      <c r="J1306" t="s">
        <v>45</v>
      </c>
      <c r="K1306" t="s">
        <v>45</v>
      </c>
      <c r="L1306" t="s">
        <v>72</v>
      </c>
      <c r="N1306" t="s">
        <v>89</v>
      </c>
      <c r="O1306" t="s">
        <v>121</v>
      </c>
      <c r="P1306" t="s">
        <v>49</v>
      </c>
      <c r="Q1306" t="s">
        <v>9450</v>
      </c>
      <c r="R1306" t="s">
        <v>9451</v>
      </c>
      <c r="S1306">
        <v>1162</v>
      </c>
      <c r="T1306" t="s">
        <v>365</v>
      </c>
      <c r="U1306" t="s">
        <v>532</v>
      </c>
      <c r="V1306" t="s">
        <v>2853</v>
      </c>
      <c r="W1306" t="s">
        <v>367</v>
      </c>
      <c r="X1306" t="s">
        <v>76</v>
      </c>
      <c r="Y1306" t="s">
        <v>9409</v>
      </c>
      <c r="Z1306">
        <v>4666</v>
      </c>
      <c r="AA1306">
        <v>193</v>
      </c>
      <c r="AB1306">
        <v>68</v>
      </c>
      <c r="AC1306" t="s">
        <v>650</v>
      </c>
      <c r="AD1306" t="s">
        <v>9410</v>
      </c>
      <c r="AE1306" t="s">
        <v>2856</v>
      </c>
      <c r="AF1306" t="s">
        <v>100</v>
      </c>
      <c r="AG1306" t="s">
        <v>3089</v>
      </c>
      <c r="AH1306" t="s">
        <v>3093</v>
      </c>
      <c r="AJ1306" s="2">
        <v>45856.724594907406</v>
      </c>
      <c r="AK1306" t="s">
        <v>132</v>
      </c>
      <c r="AL1306" t="s">
        <v>65</v>
      </c>
      <c r="AM1306" t="s">
        <v>9452</v>
      </c>
      <c r="AN1306" t="s">
        <v>66</v>
      </c>
      <c r="AO1306" t="s">
        <v>67</v>
      </c>
    </row>
    <row r="1307" spans="1:41" x14ac:dyDescent="0.2">
      <c r="A1307">
        <v>368307</v>
      </c>
      <c r="B1307" t="s">
        <v>9453</v>
      </c>
      <c r="C1307" t="s">
        <v>69</v>
      </c>
      <c r="D1307" t="s">
        <v>3081</v>
      </c>
      <c r="E1307" t="s">
        <v>9454</v>
      </c>
      <c r="G1307" s="1">
        <v>45516</v>
      </c>
      <c r="H1307" s="1">
        <v>45392</v>
      </c>
      <c r="J1307" t="s">
        <v>45</v>
      </c>
      <c r="K1307" t="s">
        <v>45</v>
      </c>
      <c r="L1307" t="s">
        <v>72</v>
      </c>
      <c r="N1307" t="s">
        <v>89</v>
      </c>
      <c r="O1307" t="s">
        <v>121</v>
      </c>
      <c r="P1307" t="s">
        <v>49</v>
      </c>
      <c r="Q1307" t="s">
        <v>2851</v>
      </c>
      <c r="R1307" t="s">
        <v>3083</v>
      </c>
      <c r="S1307">
        <v>2830</v>
      </c>
      <c r="T1307" t="s">
        <v>365</v>
      </c>
      <c r="U1307" t="s">
        <v>532</v>
      </c>
      <c r="V1307" t="s">
        <v>2853</v>
      </c>
      <c r="W1307" t="s">
        <v>367</v>
      </c>
      <c r="X1307" t="s">
        <v>76</v>
      </c>
      <c r="Y1307" t="s">
        <v>9409</v>
      </c>
      <c r="Z1307">
        <v>4667</v>
      </c>
      <c r="AA1307">
        <v>183</v>
      </c>
      <c r="AB1307">
        <v>68</v>
      </c>
      <c r="AC1307" t="s">
        <v>650</v>
      </c>
      <c r="AD1307" t="s">
        <v>9410</v>
      </c>
      <c r="AE1307" t="s">
        <v>2856</v>
      </c>
      <c r="AF1307" t="s">
        <v>100</v>
      </c>
      <c r="AG1307" t="s">
        <v>3089</v>
      </c>
      <c r="AH1307" t="s">
        <v>3093</v>
      </c>
      <c r="AJ1307" s="2">
        <v>45707.605347222219</v>
      </c>
      <c r="AK1307" t="s">
        <v>660</v>
      </c>
      <c r="AL1307" t="s">
        <v>65</v>
      </c>
      <c r="AM1307" t="s">
        <v>9455</v>
      </c>
      <c r="AN1307" t="s">
        <v>66</v>
      </c>
      <c r="AO1307" t="s">
        <v>67</v>
      </c>
    </row>
    <row r="1308" spans="1:41" x14ac:dyDescent="0.2">
      <c r="A1308">
        <v>372442</v>
      </c>
      <c r="B1308" t="s">
        <v>9456</v>
      </c>
      <c r="C1308" t="s">
        <v>134</v>
      </c>
      <c r="D1308" t="s">
        <v>4154</v>
      </c>
      <c r="E1308" t="s">
        <v>9457</v>
      </c>
      <c r="G1308" s="1">
        <v>45839</v>
      </c>
      <c r="H1308" s="1">
        <v>45720</v>
      </c>
      <c r="J1308" t="s">
        <v>45</v>
      </c>
      <c r="K1308" t="s">
        <v>45</v>
      </c>
      <c r="L1308" t="s">
        <v>72</v>
      </c>
      <c r="N1308" t="s">
        <v>47</v>
      </c>
      <c r="O1308" t="s">
        <v>121</v>
      </c>
      <c r="P1308" t="s">
        <v>49</v>
      </c>
      <c r="Q1308" t="s">
        <v>9458</v>
      </c>
      <c r="R1308" t="s">
        <v>9459</v>
      </c>
      <c r="S1308">
        <v>3121</v>
      </c>
      <c r="T1308" t="s">
        <v>365</v>
      </c>
      <c r="U1308" t="s">
        <v>532</v>
      </c>
      <c r="V1308" t="s">
        <v>2853</v>
      </c>
      <c r="W1308" t="s">
        <v>367</v>
      </c>
      <c r="X1308" t="s">
        <v>76</v>
      </c>
      <c r="Y1308" t="s">
        <v>9409</v>
      </c>
      <c r="Z1308">
        <v>4668</v>
      </c>
      <c r="AA1308">
        <v>199</v>
      </c>
      <c r="AB1308">
        <v>68</v>
      </c>
      <c r="AC1308" t="s">
        <v>650</v>
      </c>
      <c r="AD1308" t="s">
        <v>9410</v>
      </c>
      <c r="AE1308" t="s">
        <v>2856</v>
      </c>
      <c r="AF1308" t="s">
        <v>100</v>
      </c>
      <c r="AG1308" t="s">
        <v>3089</v>
      </c>
      <c r="AH1308" t="s">
        <v>3093</v>
      </c>
      <c r="AJ1308" s="2">
        <v>45839.735509259262</v>
      </c>
      <c r="AK1308" t="s">
        <v>660</v>
      </c>
      <c r="AL1308" t="s">
        <v>65</v>
      </c>
      <c r="AM1308" t="s">
        <v>9460</v>
      </c>
      <c r="AN1308" t="s">
        <v>66</v>
      </c>
      <c r="AO1308" t="s">
        <v>67</v>
      </c>
    </row>
    <row r="1309" spans="1:41" x14ac:dyDescent="0.2">
      <c r="A1309">
        <v>371694</v>
      </c>
      <c r="B1309" t="s">
        <v>9461</v>
      </c>
      <c r="C1309" t="s">
        <v>69</v>
      </c>
      <c r="D1309" t="s">
        <v>3081</v>
      </c>
      <c r="E1309" t="s">
        <v>9462</v>
      </c>
      <c r="G1309" s="1">
        <v>45812</v>
      </c>
      <c r="H1309" s="1">
        <v>45694</v>
      </c>
      <c r="J1309" t="s">
        <v>45</v>
      </c>
      <c r="K1309" t="s">
        <v>45</v>
      </c>
      <c r="L1309" t="s">
        <v>72</v>
      </c>
      <c r="N1309" t="s">
        <v>89</v>
      </c>
      <c r="O1309" t="s">
        <v>121</v>
      </c>
      <c r="P1309" t="s">
        <v>49</v>
      </c>
      <c r="Q1309" t="s">
        <v>2851</v>
      </c>
      <c r="R1309" t="s">
        <v>3083</v>
      </c>
      <c r="S1309">
        <v>2865</v>
      </c>
      <c r="T1309" t="s">
        <v>365</v>
      </c>
      <c r="U1309" t="s">
        <v>532</v>
      </c>
      <c r="V1309" t="s">
        <v>2853</v>
      </c>
      <c r="W1309" t="s">
        <v>367</v>
      </c>
      <c r="X1309" t="s">
        <v>76</v>
      </c>
      <c r="Y1309" t="s">
        <v>9409</v>
      </c>
      <c r="Z1309">
        <v>4926</v>
      </c>
      <c r="AA1309">
        <v>268</v>
      </c>
      <c r="AB1309">
        <v>68</v>
      </c>
      <c r="AC1309" t="s">
        <v>650</v>
      </c>
      <c r="AD1309" t="s">
        <v>9463</v>
      </c>
      <c r="AE1309" t="s">
        <v>2856</v>
      </c>
      <c r="AF1309" t="s">
        <v>100</v>
      </c>
      <c r="AG1309" t="s">
        <v>3089</v>
      </c>
      <c r="AH1309" t="s">
        <v>2856</v>
      </c>
      <c r="AJ1309" s="2">
        <v>45818.526944444442</v>
      </c>
      <c r="AK1309" t="s">
        <v>650</v>
      </c>
      <c r="AL1309" t="s">
        <v>65</v>
      </c>
      <c r="AM1309" t="s">
        <v>9464</v>
      </c>
      <c r="AN1309" t="s">
        <v>66</v>
      </c>
      <c r="AO1309" t="s">
        <v>67</v>
      </c>
    </row>
    <row r="1310" spans="1:41" x14ac:dyDescent="0.2">
      <c r="A1310">
        <v>372558</v>
      </c>
      <c r="B1310" t="s">
        <v>9465</v>
      </c>
      <c r="C1310" t="s">
        <v>134</v>
      </c>
      <c r="D1310" t="s">
        <v>4154</v>
      </c>
      <c r="E1310" t="s">
        <v>9466</v>
      </c>
      <c r="G1310" s="1">
        <v>45719</v>
      </c>
      <c r="H1310" s="1">
        <v>45720</v>
      </c>
      <c r="J1310" t="s">
        <v>45</v>
      </c>
      <c r="K1310" t="s">
        <v>45</v>
      </c>
      <c r="L1310" t="s">
        <v>72</v>
      </c>
      <c r="N1310" t="s">
        <v>47</v>
      </c>
      <c r="O1310" t="s">
        <v>121</v>
      </c>
      <c r="P1310" t="s">
        <v>49</v>
      </c>
      <c r="Q1310" t="s">
        <v>9467</v>
      </c>
      <c r="R1310" t="s">
        <v>9468</v>
      </c>
      <c r="S1310">
        <v>4612</v>
      </c>
      <c r="T1310" t="s">
        <v>365</v>
      </c>
      <c r="U1310" t="s">
        <v>532</v>
      </c>
      <c r="V1310" t="s">
        <v>2853</v>
      </c>
      <c r="W1310" t="s">
        <v>367</v>
      </c>
      <c r="X1310" t="s">
        <v>76</v>
      </c>
      <c r="Y1310" t="s">
        <v>9409</v>
      </c>
      <c r="Z1310">
        <v>4669</v>
      </c>
      <c r="AA1310">
        <v>204</v>
      </c>
      <c r="AB1310">
        <v>68</v>
      </c>
      <c r="AC1310" t="s">
        <v>650</v>
      </c>
      <c r="AD1310" t="s">
        <v>9410</v>
      </c>
      <c r="AE1310" t="s">
        <v>2856</v>
      </c>
      <c r="AF1310" t="s">
        <v>100</v>
      </c>
      <c r="AG1310" t="s">
        <v>3089</v>
      </c>
      <c r="AH1310" t="s">
        <v>3093</v>
      </c>
      <c r="AJ1310" s="2">
        <v>45845.638668981483</v>
      </c>
      <c r="AK1310" t="s">
        <v>800</v>
      </c>
      <c r="AL1310" t="s">
        <v>65</v>
      </c>
      <c r="AM1310" t="s">
        <v>9469</v>
      </c>
      <c r="AN1310" t="s">
        <v>66</v>
      </c>
      <c r="AO1310" t="s">
        <v>67</v>
      </c>
    </row>
    <row r="1311" spans="1:41" x14ac:dyDescent="0.2">
      <c r="A1311">
        <v>372795</v>
      </c>
      <c r="B1311" t="s">
        <v>9470</v>
      </c>
      <c r="C1311" t="s">
        <v>182</v>
      </c>
      <c r="D1311" t="s">
        <v>1064</v>
      </c>
      <c r="E1311" t="s">
        <v>9471</v>
      </c>
      <c r="G1311" s="1">
        <v>45848</v>
      </c>
      <c r="H1311" s="1">
        <v>45720</v>
      </c>
      <c r="J1311" t="s">
        <v>45</v>
      </c>
      <c r="K1311" t="s">
        <v>45</v>
      </c>
      <c r="L1311" t="s">
        <v>72</v>
      </c>
      <c r="N1311" t="s">
        <v>89</v>
      </c>
      <c r="O1311" t="s">
        <v>121</v>
      </c>
      <c r="P1311" t="s">
        <v>49</v>
      </c>
      <c r="Q1311" t="s">
        <v>9472</v>
      </c>
      <c r="R1311" t="s">
        <v>9473</v>
      </c>
      <c r="S1311">
        <v>4656</v>
      </c>
      <c r="T1311" t="s">
        <v>365</v>
      </c>
      <c r="U1311" t="s">
        <v>532</v>
      </c>
      <c r="V1311" t="s">
        <v>2853</v>
      </c>
      <c r="W1311" t="s">
        <v>367</v>
      </c>
      <c r="X1311" t="s">
        <v>76</v>
      </c>
      <c r="Y1311" t="s">
        <v>9409</v>
      </c>
      <c r="Z1311">
        <v>4706</v>
      </c>
      <c r="AA1311">
        <v>222</v>
      </c>
      <c r="AB1311">
        <v>68</v>
      </c>
      <c r="AC1311" t="s">
        <v>650</v>
      </c>
      <c r="AD1311" t="s">
        <v>9410</v>
      </c>
      <c r="AE1311" t="s">
        <v>2856</v>
      </c>
      <c r="AF1311" t="s">
        <v>100</v>
      </c>
      <c r="AG1311" t="s">
        <v>3089</v>
      </c>
      <c r="AH1311" t="s">
        <v>3093</v>
      </c>
      <c r="AJ1311" s="2">
        <v>45853.882222222222</v>
      </c>
      <c r="AK1311" t="s">
        <v>2068</v>
      </c>
      <c r="AL1311" t="s">
        <v>65</v>
      </c>
      <c r="AM1311" t="s">
        <v>9474</v>
      </c>
      <c r="AN1311" t="s">
        <v>66</v>
      </c>
      <c r="AO1311" t="s">
        <v>67</v>
      </c>
    </row>
    <row r="1312" spans="1:41" x14ac:dyDescent="0.2">
      <c r="A1312">
        <v>372796</v>
      </c>
      <c r="B1312" t="s">
        <v>9475</v>
      </c>
      <c r="C1312" t="s">
        <v>69</v>
      </c>
      <c r="D1312" t="s">
        <v>3081</v>
      </c>
      <c r="E1312" t="s">
        <v>9476</v>
      </c>
      <c r="G1312" s="1">
        <v>45848</v>
      </c>
      <c r="H1312" s="1">
        <v>45722</v>
      </c>
      <c r="J1312" t="s">
        <v>45</v>
      </c>
      <c r="K1312" t="s">
        <v>45</v>
      </c>
      <c r="L1312" t="s">
        <v>72</v>
      </c>
      <c r="N1312" t="s">
        <v>89</v>
      </c>
      <c r="O1312" t="s">
        <v>121</v>
      </c>
      <c r="P1312" t="s">
        <v>49</v>
      </c>
      <c r="Q1312" t="s">
        <v>9477</v>
      </c>
      <c r="R1312" t="s">
        <v>9478</v>
      </c>
      <c r="S1312">
        <v>6894</v>
      </c>
      <c r="T1312" t="s">
        <v>365</v>
      </c>
      <c r="U1312" t="s">
        <v>532</v>
      </c>
      <c r="V1312" t="s">
        <v>2853</v>
      </c>
      <c r="W1312" t="s">
        <v>367</v>
      </c>
      <c r="X1312" t="s">
        <v>76</v>
      </c>
      <c r="Y1312" t="s">
        <v>9409</v>
      </c>
      <c r="Z1312">
        <v>4707</v>
      </c>
      <c r="AA1312">
        <v>184</v>
      </c>
      <c r="AB1312">
        <v>68</v>
      </c>
      <c r="AC1312" t="s">
        <v>650</v>
      </c>
      <c r="AD1312" t="s">
        <v>9410</v>
      </c>
      <c r="AE1312" t="s">
        <v>2856</v>
      </c>
      <c r="AF1312" t="s">
        <v>100</v>
      </c>
      <c r="AG1312" t="s">
        <v>3089</v>
      </c>
      <c r="AH1312" t="s">
        <v>3093</v>
      </c>
      <c r="AJ1312" s="2">
        <v>45853.88690972222</v>
      </c>
      <c r="AK1312" t="s">
        <v>2068</v>
      </c>
      <c r="AL1312" t="s">
        <v>65</v>
      </c>
      <c r="AM1312" t="s">
        <v>9479</v>
      </c>
      <c r="AN1312" t="s">
        <v>66</v>
      </c>
      <c r="AO1312" t="s">
        <v>67</v>
      </c>
    </row>
    <row r="1313" spans="1:41" x14ac:dyDescent="0.2">
      <c r="A1313">
        <v>372699</v>
      </c>
      <c r="B1313" t="s">
        <v>9480</v>
      </c>
      <c r="C1313" t="s">
        <v>182</v>
      </c>
      <c r="D1313" t="s">
        <v>894</v>
      </c>
      <c r="E1313" t="s">
        <v>9481</v>
      </c>
      <c r="G1313" s="1">
        <v>45850</v>
      </c>
      <c r="H1313" s="1">
        <v>45722</v>
      </c>
      <c r="J1313" t="s">
        <v>45</v>
      </c>
      <c r="K1313" t="s">
        <v>45</v>
      </c>
      <c r="L1313" t="s">
        <v>72</v>
      </c>
      <c r="N1313" t="s">
        <v>47</v>
      </c>
      <c r="O1313" t="s">
        <v>121</v>
      </c>
      <c r="P1313" t="s">
        <v>49</v>
      </c>
      <c r="Q1313" t="s">
        <v>9482</v>
      </c>
      <c r="R1313" t="s">
        <v>9483</v>
      </c>
      <c r="S1313">
        <v>3773</v>
      </c>
      <c r="T1313" t="s">
        <v>365</v>
      </c>
      <c r="U1313" t="s">
        <v>532</v>
      </c>
      <c r="V1313" t="s">
        <v>2853</v>
      </c>
      <c r="W1313" t="s">
        <v>367</v>
      </c>
      <c r="X1313" t="s">
        <v>76</v>
      </c>
      <c r="Y1313" t="s">
        <v>9409</v>
      </c>
      <c r="Z1313">
        <v>4708</v>
      </c>
      <c r="AA1313">
        <v>198</v>
      </c>
      <c r="AB1313">
        <v>68</v>
      </c>
      <c r="AC1313" t="s">
        <v>650</v>
      </c>
      <c r="AD1313" t="s">
        <v>9410</v>
      </c>
      <c r="AE1313" t="s">
        <v>2856</v>
      </c>
      <c r="AF1313" t="s">
        <v>100</v>
      </c>
      <c r="AG1313" t="s">
        <v>3089</v>
      </c>
      <c r="AH1313" t="s">
        <v>3093</v>
      </c>
      <c r="AJ1313" s="2">
        <v>45850.946469907409</v>
      </c>
      <c r="AK1313" t="s">
        <v>800</v>
      </c>
      <c r="AL1313" t="s">
        <v>65</v>
      </c>
      <c r="AM1313" t="s">
        <v>9484</v>
      </c>
      <c r="AN1313" t="s">
        <v>66</v>
      </c>
      <c r="AO1313" t="s">
        <v>67</v>
      </c>
    </row>
    <row r="1314" spans="1:41" x14ac:dyDescent="0.2">
      <c r="A1314">
        <v>372716</v>
      </c>
      <c r="B1314" t="s">
        <v>9485</v>
      </c>
      <c r="C1314" t="s">
        <v>182</v>
      </c>
      <c r="D1314" t="s">
        <v>894</v>
      </c>
      <c r="E1314" t="s">
        <v>9486</v>
      </c>
      <c r="G1314" s="1">
        <v>45851</v>
      </c>
      <c r="H1314" s="1">
        <v>45726</v>
      </c>
      <c r="J1314" t="s">
        <v>45</v>
      </c>
      <c r="K1314" t="s">
        <v>45</v>
      </c>
      <c r="L1314" t="s">
        <v>72</v>
      </c>
      <c r="N1314" t="s">
        <v>47</v>
      </c>
      <c r="O1314" t="s">
        <v>121</v>
      </c>
      <c r="P1314" t="s">
        <v>49</v>
      </c>
      <c r="Q1314" t="s">
        <v>9487</v>
      </c>
      <c r="R1314" t="s">
        <v>9488</v>
      </c>
      <c r="S1314">
        <v>2123</v>
      </c>
      <c r="T1314" t="s">
        <v>365</v>
      </c>
      <c r="U1314" t="s">
        <v>532</v>
      </c>
      <c r="V1314" t="s">
        <v>2853</v>
      </c>
      <c r="W1314" t="s">
        <v>367</v>
      </c>
      <c r="X1314" t="s">
        <v>76</v>
      </c>
      <c r="Y1314" t="s">
        <v>9409</v>
      </c>
      <c r="Z1314">
        <v>4709</v>
      </c>
      <c r="AA1314">
        <v>195</v>
      </c>
      <c r="AB1314">
        <v>68</v>
      </c>
      <c r="AC1314" t="s">
        <v>650</v>
      </c>
      <c r="AD1314" t="s">
        <v>9410</v>
      </c>
      <c r="AE1314" t="s">
        <v>2856</v>
      </c>
      <c r="AF1314" t="s">
        <v>100</v>
      </c>
      <c r="AG1314" t="s">
        <v>3089</v>
      </c>
      <c r="AH1314" t="s">
        <v>3093</v>
      </c>
      <c r="AJ1314" s="2">
        <v>45852.046643518515</v>
      </c>
      <c r="AK1314" t="s">
        <v>800</v>
      </c>
      <c r="AL1314" t="s">
        <v>65</v>
      </c>
      <c r="AM1314" t="s">
        <v>9489</v>
      </c>
      <c r="AN1314" t="s">
        <v>66</v>
      </c>
      <c r="AO1314" t="s">
        <v>67</v>
      </c>
    </row>
    <row r="1315" spans="1:41" x14ac:dyDescent="0.2">
      <c r="A1315">
        <v>372837</v>
      </c>
      <c r="B1315" t="s">
        <v>9490</v>
      </c>
      <c r="C1315" t="s">
        <v>182</v>
      </c>
      <c r="D1315" t="s">
        <v>1064</v>
      </c>
      <c r="E1315" t="s">
        <v>9491</v>
      </c>
      <c r="G1315" s="1">
        <v>45852</v>
      </c>
      <c r="H1315" s="1">
        <v>45727</v>
      </c>
      <c r="J1315" t="s">
        <v>45</v>
      </c>
      <c r="K1315" t="s">
        <v>45</v>
      </c>
      <c r="L1315" t="s">
        <v>72</v>
      </c>
      <c r="N1315" t="s">
        <v>47</v>
      </c>
      <c r="O1315" t="s">
        <v>121</v>
      </c>
      <c r="P1315" t="s">
        <v>49</v>
      </c>
      <c r="Q1315" t="s">
        <v>9492</v>
      </c>
      <c r="R1315" t="s">
        <v>9493</v>
      </c>
      <c r="S1315">
        <v>4456</v>
      </c>
      <c r="T1315" t="s">
        <v>365</v>
      </c>
      <c r="U1315" t="s">
        <v>532</v>
      </c>
      <c r="V1315" t="s">
        <v>2853</v>
      </c>
      <c r="W1315" t="s">
        <v>367</v>
      </c>
      <c r="X1315" t="s">
        <v>76</v>
      </c>
      <c r="Y1315" t="s">
        <v>9409</v>
      </c>
      <c r="Z1315">
        <v>4730</v>
      </c>
      <c r="AA1315">
        <v>174</v>
      </c>
      <c r="AB1315">
        <v>68</v>
      </c>
      <c r="AC1315" t="s">
        <v>650</v>
      </c>
      <c r="AD1315" t="s">
        <v>9410</v>
      </c>
      <c r="AE1315" t="s">
        <v>2856</v>
      </c>
      <c r="AF1315" t="s">
        <v>100</v>
      </c>
      <c r="AG1315" t="s">
        <v>3089</v>
      </c>
      <c r="AH1315" t="s">
        <v>3093</v>
      </c>
      <c r="AJ1315" s="2">
        <v>45854.736724537041</v>
      </c>
      <c r="AK1315" t="s">
        <v>180</v>
      </c>
      <c r="AL1315" t="s">
        <v>65</v>
      </c>
      <c r="AM1315" t="s">
        <v>9494</v>
      </c>
      <c r="AN1315" t="s">
        <v>66</v>
      </c>
      <c r="AO1315" t="s">
        <v>67</v>
      </c>
    </row>
    <row r="1316" spans="1:41" x14ac:dyDescent="0.2">
      <c r="A1316">
        <v>372836</v>
      </c>
      <c r="B1316" t="s">
        <v>9495</v>
      </c>
      <c r="C1316" t="s">
        <v>182</v>
      </c>
      <c r="D1316" t="s">
        <v>1064</v>
      </c>
      <c r="E1316" t="s">
        <v>9496</v>
      </c>
      <c r="G1316" s="1">
        <v>45852</v>
      </c>
      <c r="H1316" s="1">
        <v>45727</v>
      </c>
      <c r="J1316" t="s">
        <v>45</v>
      </c>
      <c r="K1316" t="s">
        <v>45</v>
      </c>
      <c r="L1316" t="s">
        <v>72</v>
      </c>
      <c r="N1316" t="s">
        <v>47</v>
      </c>
      <c r="O1316" t="s">
        <v>121</v>
      </c>
      <c r="P1316" t="s">
        <v>49</v>
      </c>
      <c r="Q1316" t="s">
        <v>9497</v>
      </c>
      <c r="R1316" t="s">
        <v>9498</v>
      </c>
      <c r="S1316">
        <v>1092</v>
      </c>
      <c r="T1316" t="s">
        <v>365</v>
      </c>
      <c r="U1316" t="s">
        <v>532</v>
      </c>
      <c r="V1316" t="s">
        <v>2853</v>
      </c>
      <c r="W1316" t="s">
        <v>367</v>
      </c>
      <c r="X1316" t="s">
        <v>76</v>
      </c>
      <c r="Y1316" t="s">
        <v>9409</v>
      </c>
      <c r="Z1316">
        <v>4731</v>
      </c>
      <c r="AA1316">
        <v>173</v>
      </c>
      <c r="AB1316">
        <v>68</v>
      </c>
      <c r="AC1316" t="s">
        <v>650</v>
      </c>
      <c r="AD1316" t="s">
        <v>9410</v>
      </c>
      <c r="AE1316" t="s">
        <v>2856</v>
      </c>
      <c r="AF1316" t="s">
        <v>100</v>
      </c>
      <c r="AG1316" t="s">
        <v>3089</v>
      </c>
      <c r="AH1316" t="s">
        <v>3093</v>
      </c>
      <c r="AJ1316" s="2">
        <v>45854.735381944447</v>
      </c>
      <c r="AK1316" t="s">
        <v>180</v>
      </c>
      <c r="AL1316" t="s">
        <v>65</v>
      </c>
      <c r="AM1316" t="s">
        <v>9499</v>
      </c>
      <c r="AN1316" t="s">
        <v>66</v>
      </c>
      <c r="AO1316" t="s">
        <v>67</v>
      </c>
    </row>
    <row r="1317" spans="1:41" x14ac:dyDescent="0.2">
      <c r="A1317">
        <v>369241</v>
      </c>
      <c r="B1317" t="s">
        <v>9500</v>
      </c>
      <c r="C1317" t="s">
        <v>69</v>
      </c>
      <c r="D1317" t="s">
        <v>3081</v>
      </c>
      <c r="E1317" t="s">
        <v>9501</v>
      </c>
      <c r="G1317" s="1">
        <v>45727</v>
      </c>
      <c r="H1317" s="1">
        <v>45729</v>
      </c>
      <c r="J1317" t="s">
        <v>45</v>
      </c>
      <c r="K1317" t="s">
        <v>45</v>
      </c>
      <c r="L1317" t="s">
        <v>72</v>
      </c>
      <c r="N1317" t="s">
        <v>89</v>
      </c>
      <c r="O1317" t="s">
        <v>121</v>
      </c>
      <c r="P1317" t="s">
        <v>49</v>
      </c>
      <c r="Q1317" t="s">
        <v>2851</v>
      </c>
      <c r="R1317" t="s">
        <v>3083</v>
      </c>
      <c r="S1317">
        <v>2830</v>
      </c>
      <c r="T1317" t="s">
        <v>365</v>
      </c>
      <c r="U1317" t="s">
        <v>532</v>
      </c>
      <c r="V1317" t="s">
        <v>2853</v>
      </c>
      <c r="W1317" t="s">
        <v>367</v>
      </c>
      <c r="X1317" t="s">
        <v>76</v>
      </c>
      <c r="Y1317" t="s">
        <v>9409</v>
      </c>
      <c r="Z1317">
        <v>4732</v>
      </c>
      <c r="AA1317">
        <v>149</v>
      </c>
      <c r="AB1317">
        <v>68</v>
      </c>
      <c r="AC1317" t="s">
        <v>650</v>
      </c>
      <c r="AD1317" t="s">
        <v>9410</v>
      </c>
      <c r="AE1317" t="s">
        <v>2856</v>
      </c>
      <c r="AF1317" t="s">
        <v>100</v>
      </c>
      <c r="AG1317" t="s">
        <v>3089</v>
      </c>
      <c r="AH1317" t="s">
        <v>3093</v>
      </c>
      <c r="AJ1317" s="2">
        <v>45729.804768518516</v>
      </c>
      <c r="AK1317" t="s">
        <v>650</v>
      </c>
      <c r="AL1317" t="s">
        <v>65</v>
      </c>
      <c r="AM1317" t="s">
        <v>9502</v>
      </c>
      <c r="AN1317" t="s">
        <v>66</v>
      </c>
      <c r="AO1317" t="s">
        <v>67</v>
      </c>
    </row>
    <row r="1318" spans="1:41" x14ac:dyDescent="0.2">
      <c r="A1318">
        <v>372713</v>
      </c>
      <c r="B1318" t="s">
        <v>9503</v>
      </c>
      <c r="C1318" t="s">
        <v>134</v>
      </c>
      <c r="D1318" t="s">
        <v>3459</v>
      </c>
      <c r="E1318" t="s">
        <v>9504</v>
      </c>
      <c r="G1318" s="1">
        <v>45851</v>
      </c>
      <c r="H1318" s="1">
        <v>45729</v>
      </c>
      <c r="J1318" t="s">
        <v>45</v>
      </c>
      <c r="K1318" t="s">
        <v>45</v>
      </c>
      <c r="L1318" t="s">
        <v>72</v>
      </c>
      <c r="N1318" t="s">
        <v>47</v>
      </c>
      <c r="O1318" t="s">
        <v>121</v>
      </c>
      <c r="P1318" t="s">
        <v>49</v>
      </c>
      <c r="Q1318" t="s">
        <v>9505</v>
      </c>
      <c r="R1318" t="s">
        <v>9506</v>
      </c>
      <c r="S1318">
        <v>4248</v>
      </c>
      <c r="T1318" t="s">
        <v>365</v>
      </c>
      <c r="U1318" t="s">
        <v>532</v>
      </c>
      <c r="V1318" t="s">
        <v>2853</v>
      </c>
      <c r="W1318" t="s">
        <v>367</v>
      </c>
      <c r="X1318" t="s">
        <v>76</v>
      </c>
      <c r="Y1318" t="s">
        <v>9409</v>
      </c>
      <c r="Z1318">
        <v>4733</v>
      </c>
      <c r="AA1318">
        <v>173</v>
      </c>
      <c r="AB1318">
        <v>68</v>
      </c>
      <c r="AC1318" t="s">
        <v>650</v>
      </c>
      <c r="AD1318" t="s">
        <v>9410</v>
      </c>
      <c r="AE1318" t="s">
        <v>2856</v>
      </c>
      <c r="AF1318" t="s">
        <v>100</v>
      </c>
      <c r="AG1318" t="s">
        <v>3089</v>
      </c>
      <c r="AH1318" t="s">
        <v>3093</v>
      </c>
      <c r="AJ1318" s="2">
        <v>45851.876030092593</v>
      </c>
      <c r="AK1318" t="s">
        <v>800</v>
      </c>
      <c r="AL1318" t="s">
        <v>65</v>
      </c>
      <c r="AM1318" t="s">
        <v>9507</v>
      </c>
      <c r="AN1318" t="s">
        <v>66</v>
      </c>
      <c r="AO1318" t="s">
        <v>67</v>
      </c>
    </row>
    <row r="1319" spans="1:41" x14ac:dyDescent="0.2">
      <c r="A1319">
        <v>372707</v>
      </c>
      <c r="B1319" t="s">
        <v>9508</v>
      </c>
      <c r="C1319" t="s">
        <v>69</v>
      </c>
      <c r="D1319" t="s">
        <v>3081</v>
      </c>
      <c r="E1319" t="s">
        <v>9509</v>
      </c>
      <c r="G1319" s="1">
        <v>45851</v>
      </c>
      <c r="H1319" s="1">
        <v>45729</v>
      </c>
      <c r="J1319" t="s">
        <v>45</v>
      </c>
      <c r="K1319" t="s">
        <v>45</v>
      </c>
      <c r="L1319" t="s">
        <v>72</v>
      </c>
      <c r="N1319" t="s">
        <v>47</v>
      </c>
      <c r="O1319" t="s">
        <v>121</v>
      </c>
      <c r="P1319" t="s">
        <v>49</v>
      </c>
      <c r="Q1319" t="s">
        <v>9510</v>
      </c>
      <c r="R1319" t="s">
        <v>9511</v>
      </c>
      <c r="S1319">
        <v>3216</v>
      </c>
      <c r="T1319" t="s">
        <v>365</v>
      </c>
      <c r="U1319" t="s">
        <v>532</v>
      </c>
      <c r="V1319" t="s">
        <v>2853</v>
      </c>
      <c r="W1319" t="s">
        <v>367</v>
      </c>
      <c r="X1319" t="s">
        <v>76</v>
      </c>
      <c r="Y1319" t="s">
        <v>9409</v>
      </c>
      <c r="Z1319">
        <v>4746</v>
      </c>
      <c r="AA1319">
        <v>200</v>
      </c>
      <c r="AB1319">
        <v>68</v>
      </c>
      <c r="AC1319" t="s">
        <v>650</v>
      </c>
      <c r="AD1319" t="s">
        <v>9410</v>
      </c>
      <c r="AE1319" t="s">
        <v>2856</v>
      </c>
      <c r="AF1319" t="s">
        <v>100</v>
      </c>
      <c r="AG1319" t="s">
        <v>3089</v>
      </c>
      <c r="AH1319" t="s">
        <v>3093</v>
      </c>
      <c r="AJ1319" s="2">
        <v>45851.740949074076</v>
      </c>
      <c r="AK1319" t="s">
        <v>800</v>
      </c>
      <c r="AL1319" t="s">
        <v>65</v>
      </c>
      <c r="AM1319" t="s">
        <v>1741</v>
      </c>
      <c r="AN1319" t="s">
        <v>66</v>
      </c>
      <c r="AO1319" t="s">
        <v>67</v>
      </c>
    </row>
    <row r="1320" spans="1:41" x14ac:dyDescent="0.2">
      <c r="A1320">
        <v>368268</v>
      </c>
      <c r="B1320" t="s">
        <v>9512</v>
      </c>
      <c r="C1320" t="s">
        <v>69</v>
      </c>
      <c r="D1320" t="s">
        <v>3081</v>
      </c>
      <c r="E1320" t="s">
        <v>9513</v>
      </c>
      <c r="G1320" s="1">
        <v>45657</v>
      </c>
      <c r="H1320" s="1">
        <v>45657</v>
      </c>
      <c r="J1320" t="s">
        <v>45</v>
      </c>
      <c r="K1320" t="s">
        <v>45</v>
      </c>
      <c r="L1320" t="s">
        <v>72</v>
      </c>
      <c r="N1320" t="s">
        <v>89</v>
      </c>
      <c r="O1320" t="s">
        <v>121</v>
      </c>
      <c r="P1320" t="s">
        <v>49</v>
      </c>
      <c r="Q1320" t="s">
        <v>2851</v>
      </c>
      <c r="R1320" t="s">
        <v>3083</v>
      </c>
      <c r="S1320">
        <v>2830</v>
      </c>
      <c r="T1320" t="s">
        <v>365</v>
      </c>
      <c r="U1320" t="s">
        <v>532</v>
      </c>
      <c r="V1320" t="s">
        <v>2853</v>
      </c>
      <c r="W1320" t="s">
        <v>367</v>
      </c>
      <c r="X1320" t="s">
        <v>76</v>
      </c>
      <c r="Y1320" t="s">
        <v>9409</v>
      </c>
      <c r="Z1320">
        <v>4927</v>
      </c>
      <c r="AA1320">
        <v>227</v>
      </c>
      <c r="AB1320">
        <v>68</v>
      </c>
      <c r="AC1320" t="s">
        <v>650</v>
      </c>
      <c r="AD1320" t="s">
        <v>9410</v>
      </c>
      <c r="AE1320" t="s">
        <v>2856</v>
      </c>
      <c r="AF1320" t="s">
        <v>100</v>
      </c>
      <c r="AG1320" t="s">
        <v>3089</v>
      </c>
      <c r="AH1320" t="s">
        <v>2856</v>
      </c>
      <c r="AJ1320" s="2">
        <v>45707.591736111113</v>
      </c>
      <c r="AK1320" t="s">
        <v>660</v>
      </c>
      <c r="AL1320" t="s">
        <v>65</v>
      </c>
      <c r="AM1320" t="s">
        <v>9514</v>
      </c>
      <c r="AN1320" t="s">
        <v>66</v>
      </c>
      <c r="AO1320" t="s">
        <v>67</v>
      </c>
    </row>
    <row r="1321" spans="1:41" x14ac:dyDescent="0.2">
      <c r="A1321">
        <v>372799</v>
      </c>
      <c r="B1321" t="s">
        <v>9515</v>
      </c>
      <c r="C1321" t="s">
        <v>278</v>
      </c>
      <c r="D1321" t="s">
        <v>427</v>
      </c>
      <c r="E1321" t="s">
        <v>9516</v>
      </c>
      <c r="G1321" s="1">
        <v>45853</v>
      </c>
      <c r="H1321" s="1">
        <v>45735</v>
      </c>
      <c r="J1321" t="s">
        <v>45</v>
      </c>
      <c r="K1321" t="s">
        <v>45</v>
      </c>
      <c r="L1321" t="s">
        <v>72</v>
      </c>
      <c r="N1321" t="s">
        <v>47</v>
      </c>
      <c r="O1321" t="s">
        <v>121</v>
      </c>
      <c r="P1321" t="s">
        <v>49</v>
      </c>
      <c r="Q1321" t="s">
        <v>9517</v>
      </c>
      <c r="R1321" t="s">
        <v>9518</v>
      </c>
      <c r="S1321">
        <v>7825</v>
      </c>
      <c r="T1321" t="s">
        <v>365</v>
      </c>
      <c r="U1321" t="s">
        <v>532</v>
      </c>
      <c r="V1321" t="s">
        <v>2853</v>
      </c>
      <c r="W1321" t="s">
        <v>367</v>
      </c>
      <c r="X1321" t="s">
        <v>76</v>
      </c>
      <c r="Y1321" t="s">
        <v>9409</v>
      </c>
      <c r="Z1321">
        <v>4747</v>
      </c>
      <c r="AA1321">
        <v>185</v>
      </c>
      <c r="AB1321">
        <v>68</v>
      </c>
      <c r="AC1321" t="s">
        <v>650</v>
      </c>
      <c r="AD1321" t="s">
        <v>9410</v>
      </c>
      <c r="AE1321" t="s">
        <v>2856</v>
      </c>
      <c r="AF1321" t="s">
        <v>660</v>
      </c>
      <c r="AG1321" t="s">
        <v>9519</v>
      </c>
      <c r="AH1321" t="s">
        <v>2856</v>
      </c>
      <c r="AJ1321" s="2">
        <v>45854.029270833336</v>
      </c>
      <c r="AK1321" t="s">
        <v>609</v>
      </c>
      <c r="AL1321" t="s">
        <v>65</v>
      </c>
      <c r="AM1321" t="s">
        <v>9520</v>
      </c>
      <c r="AN1321" t="s">
        <v>66</v>
      </c>
      <c r="AO1321" t="s">
        <v>67</v>
      </c>
    </row>
    <row r="1322" spans="1:41" x14ac:dyDescent="0.2">
      <c r="A1322">
        <v>373046</v>
      </c>
      <c r="B1322" t="s">
        <v>9521</v>
      </c>
      <c r="C1322" t="s">
        <v>345</v>
      </c>
      <c r="D1322" t="s">
        <v>2607</v>
      </c>
      <c r="E1322" t="s">
        <v>9522</v>
      </c>
      <c r="G1322" s="1">
        <v>45855</v>
      </c>
      <c r="H1322" s="1">
        <v>45736</v>
      </c>
      <c r="J1322" t="s">
        <v>45</v>
      </c>
      <c r="K1322" t="s">
        <v>45</v>
      </c>
      <c r="L1322" t="s">
        <v>72</v>
      </c>
      <c r="N1322" t="s">
        <v>47</v>
      </c>
      <c r="O1322" t="s">
        <v>121</v>
      </c>
      <c r="P1322" t="s">
        <v>49</v>
      </c>
      <c r="Q1322" t="s">
        <v>9523</v>
      </c>
      <c r="R1322" t="s">
        <v>9524</v>
      </c>
      <c r="S1322">
        <v>7095</v>
      </c>
      <c r="T1322" t="s">
        <v>365</v>
      </c>
      <c r="U1322" t="s">
        <v>532</v>
      </c>
      <c r="V1322" t="s">
        <v>2853</v>
      </c>
      <c r="W1322" t="s">
        <v>367</v>
      </c>
      <c r="X1322" t="s">
        <v>76</v>
      </c>
      <c r="Y1322" t="s">
        <v>9409</v>
      </c>
      <c r="Z1322">
        <v>4748</v>
      </c>
      <c r="AA1322">
        <v>178</v>
      </c>
      <c r="AB1322">
        <v>68</v>
      </c>
      <c r="AC1322" t="s">
        <v>650</v>
      </c>
      <c r="AD1322" t="s">
        <v>9410</v>
      </c>
      <c r="AE1322" t="s">
        <v>2856</v>
      </c>
      <c r="AF1322" t="s">
        <v>100</v>
      </c>
      <c r="AG1322" t="s">
        <v>3089</v>
      </c>
      <c r="AH1322" t="s">
        <v>3093</v>
      </c>
      <c r="AJ1322" s="2">
        <v>45856.061643518522</v>
      </c>
      <c r="AK1322" t="s">
        <v>609</v>
      </c>
      <c r="AL1322" t="s">
        <v>65</v>
      </c>
      <c r="AM1322" t="s">
        <v>9525</v>
      </c>
      <c r="AN1322" t="s">
        <v>66</v>
      </c>
      <c r="AO1322" t="s">
        <v>67</v>
      </c>
    </row>
    <row r="1323" spans="1:41" x14ac:dyDescent="0.2">
      <c r="A1323">
        <v>372862</v>
      </c>
      <c r="B1323" t="s">
        <v>9526</v>
      </c>
      <c r="C1323" t="s">
        <v>345</v>
      </c>
      <c r="D1323" t="s">
        <v>2607</v>
      </c>
      <c r="E1323" t="s">
        <v>9527</v>
      </c>
      <c r="G1323" s="1">
        <v>45854</v>
      </c>
      <c r="H1323" s="1">
        <v>45736</v>
      </c>
      <c r="J1323" t="s">
        <v>45</v>
      </c>
      <c r="K1323" t="s">
        <v>45</v>
      </c>
      <c r="L1323" t="s">
        <v>72</v>
      </c>
      <c r="N1323" t="s">
        <v>47</v>
      </c>
      <c r="O1323" t="s">
        <v>121</v>
      </c>
      <c r="P1323" t="s">
        <v>49</v>
      </c>
      <c r="Q1323" t="s">
        <v>9528</v>
      </c>
      <c r="R1323" t="s">
        <v>9529</v>
      </c>
      <c r="S1323">
        <v>8745</v>
      </c>
      <c r="T1323" t="s">
        <v>365</v>
      </c>
      <c r="U1323" t="s">
        <v>532</v>
      </c>
      <c r="V1323" t="s">
        <v>2853</v>
      </c>
      <c r="W1323" t="s">
        <v>367</v>
      </c>
      <c r="X1323" t="s">
        <v>76</v>
      </c>
      <c r="Y1323" t="s">
        <v>9409</v>
      </c>
      <c r="Z1323">
        <v>4749</v>
      </c>
      <c r="AA1323">
        <v>162</v>
      </c>
      <c r="AB1323">
        <v>68</v>
      </c>
      <c r="AC1323" t="s">
        <v>650</v>
      </c>
      <c r="AD1323" t="s">
        <v>9410</v>
      </c>
      <c r="AE1323" t="s">
        <v>2856</v>
      </c>
      <c r="AF1323" t="s">
        <v>100</v>
      </c>
      <c r="AG1323" t="s">
        <v>3089</v>
      </c>
      <c r="AH1323" t="s">
        <v>3093</v>
      </c>
      <c r="AJ1323" s="2">
        <v>45855.090567129628</v>
      </c>
      <c r="AK1323" t="s">
        <v>609</v>
      </c>
      <c r="AL1323" t="s">
        <v>65</v>
      </c>
      <c r="AM1323" t="s">
        <v>9530</v>
      </c>
      <c r="AN1323" t="s">
        <v>66</v>
      </c>
      <c r="AO1323" t="s">
        <v>67</v>
      </c>
    </row>
    <row r="1324" spans="1:41" x14ac:dyDescent="0.2">
      <c r="A1324">
        <v>372851</v>
      </c>
      <c r="B1324" t="s">
        <v>9531</v>
      </c>
      <c r="C1324" t="s">
        <v>167</v>
      </c>
      <c r="D1324" t="s">
        <v>2702</v>
      </c>
      <c r="E1324" t="s">
        <v>9532</v>
      </c>
      <c r="G1324" s="1">
        <v>45854</v>
      </c>
      <c r="H1324" s="1">
        <v>45744</v>
      </c>
      <c r="J1324" t="s">
        <v>45</v>
      </c>
      <c r="K1324" t="s">
        <v>45</v>
      </c>
      <c r="L1324" t="s">
        <v>72</v>
      </c>
      <c r="N1324" t="s">
        <v>47</v>
      </c>
      <c r="O1324" t="s">
        <v>121</v>
      </c>
      <c r="P1324" t="s">
        <v>49</v>
      </c>
      <c r="Q1324" t="s">
        <v>9533</v>
      </c>
      <c r="R1324" t="s">
        <v>9534</v>
      </c>
      <c r="S1324">
        <v>4544</v>
      </c>
      <c r="T1324" t="s">
        <v>365</v>
      </c>
      <c r="U1324" t="s">
        <v>532</v>
      </c>
      <c r="V1324" t="s">
        <v>2853</v>
      </c>
      <c r="W1324" t="s">
        <v>367</v>
      </c>
      <c r="X1324" t="s">
        <v>76</v>
      </c>
      <c r="Y1324" t="s">
        <v>9409</v>
      </c>
      <c r="Z1324">
        <v>4750</v>
      </c>
      <c r="AA1324">
        <v>176</v>
      </c>
      <c r="AB1324">
        <v>68</v>
      </c>
      <c r="AC1324" t="s">
        <v>650</v>
      </c>
      <c r="AD1324" t="s">
        <v>9410</v>
      </c>
      <c r="AE1324" t="s">
        <v>2856</v>
      </c>
      <c r="AF1324" t="s">
        <v>100</v>
      </c>
      <c r="AG1324" t="s">
        <v>3089</v>
      </c>
      <c r="AH1324" t="s">
        <v>3093</v>
      </c>
      <c r="AJ1324" s="2">
        <v>45854.8515625</v>
      </c>
      <c r="AK1324" t="s">
        <v>276</v>
      </c>
      <c r="AL1324" t="s">
        <v>65</v>
      </c>
      <c r="AM1324" t="s">
        <v>9535</v>
      </c>
      <c r="AN1324" t="s">
        <v>66</v>
      </c>
      <c r="AO1324" t="s">
        <v>67</v>
      </c>
    </row>
    <row r="1325" spans="1:41" x14ac:dyDescent="0.2">
      <c r="A1325">
        <v>372806</v>
      </c>
      <c r="B1325" t="s">
        <v>9536</v>
      </c>
      <c r="C1325" t="s">
        <v>69</v>
      </c>
      <c r="D1325" t="s">
        <v>3081</v>
      </c>
      <c r="E1325" t="s">
        <v>9537</v>
      </c>
      <c r="G1325" s="1">
        <v>45741</v>
      </c>
      <c r="H1325" s="1">
        <v>45743</v>
      </c>
      <c r="J1325" t="s">
        <v>45</v>
      </c>
      <c r="K1325" t="s">
        <v>45</v>
      </c>
      <c r="L1325" t="s">
        <v>72</v>
      </c>
      <c r="N1325" t="s">
        <v>89</v>
      </c>
      <c r="O1325" t="s">
        <v>121</v>
      </c>
      <c r="P1325" t="s">
        <v>49</v>
      </c>
      <c r="Q1325" t="s">
        <v>2851</v>
      </c>
      <c r="R1325" t="s">
        <v>3083</v>
      </c>
      <c r="S1325">
        <v>2830</v>
      </c>
      <c r="T1325" t="s">
        <v>365</v>
      </c>
      <c r="U1325" t="s">
        <v>532</v>
      </c>
      <c r="V1325" t="s">
        <v>2853</v>
      </c>
      <c r="W1325" t="s">
        <v>367</v>
      </c>
      <c r="X1325" t="s">
        <v>76</v>
      </c>
      <c r="Y1325" t="s">
        <v>9409</v>
      </c>
      <c r="Z1325">
        <v>4751</v>
      </c>
      <c r="AA1325">
        <v>164</v>
      </c>
      <c r="AB1325">
        <v>68</v>
      </c>
      <c r="AC1325" t="s">
        <v>650</v>
      </c>
      <c r="AD1325" t="s">
        <v>9410</v>
      </c>
      <c r="AE1325" t="s">
        <v>2856</v>
      </c>
      <c r="AF1325" t="s">
        <v>100</v>
      </c>
      <c r="AG1325" t="s">
        <v>3089</v>
      </c>
      <c r="AH1325" t="s">
        <v>3093</v>
      </c>
      <c r="AJ1325" s="2">
        <v>45854.503321759257</v>
      </c>
      <c r="AK1325" t="s">
        <v>650</v>
      </c>
      <c r="AL1325" t="s">
        <v>65</v>
      </c>
      <c r="AM1325" t="s">
        <v>6974</v>
      </c>
      <c r="AN1325" t="s">
        <v>66</v>
      </c>
      <c r="AO1325" t="s">
        <v>67</v>
      </c>
    </row>
    <row r="1326" spans="1:41" x14ac:dyDescent="0.2">
      <c r="A1326">
        <v>372808</v>
      </c>
      <c r="B1326" t="s">
        <v>9538</v>
      </c>
      <c r="C1326" t="s">
        <v>69</v>
      </c>
      <c r="D1326" t="s">
        <v>3081</v>
      </c>
      <c r="E1326" t="s">
        <v>9539</v>
      </c>
      <c r="G1326" s="1">
        <v>45741</v>
      </c>
      <c r="H1326" s="1">
        <v>45742</v>
      </c>
      <c r="J1326" t="s">
        <v>45</v>
      </c>
      <c r="K1326" t="s">
        <v>45</v>
      </c>
      <c r="L1326" t="s">
        <v>72</v>
      </c>
      <c r="N1326" t="s">
        <v>89</v>
      </c>
      <c r="O1326" t="s">
        <v>121</v>
      </c>
      <c r="P1326" t="s">
        <v>49</v>
      </c>
      <c r="Q1326" t="s">
        <v>2851</v>
      </c>
      <c r="R1326" t="s">
        <v>3083</v>
      </c>
      <c r="S1326">
        <v>2830</v>
      </c>
      <c r="T1326" t="s">
        <v>365</v>
      </c>
      <c r="U1326" t="s">
        <v>532</v>
      </c>
      <c r="V1326" t="s">
        <v>2853</v>
      </c>
      <c r="W1326" t="s">
        <v>367</v>
      </c>
      <c r="X1326" t="s">
        <v>76</v>
      </c>
      <c r="Y1326" t="s">
        <v>9409</v>
      </c>
      <c r="Z1326">
        <v>4752</v>
      </c>
      <c r="AA1326">
        <v>155</v>
      </c>
      <c r="AB1326">
        <v>68</v>
      </c>
      <c r="AC1326" t="s">
        <v>650</v>
      </c>
      <c r="AD1326" t="s">
        <v>9410</v>
      </c>
      <c r="AE1326" t="s">
        <v>2856</v>
      </c>
      <c r="AF1326" t="s">
        <v>100</v>
      </c>
      <c r="AG1326" t="s">
        <v>3089</v>
      </c>
      <c r="AH1326" t="s">
        <v>3093</v>
      </c>
      <c r="AJ1326" s="2">
        <v>45854.514039351852</v>
      </c>
      <c r="AK1326" t="s">
        <v>650</v>
      </c>
      <c r="AL1326" t="s">
        <v>65</v>
      </c>
      <c r="AM1326" t="s">
        <v>7921</v>
      </c>
      <c r="AN1326" t="s">
        <v>66</v>
      </c>
      <c r="AO1326" t="s">
        <v>67</v>
      </c>
    </row>
    <row r="1327" spans="1:41" x14ac:dyDescent="0.2">
      <c r="A1327">
        <v>372807</v>
      </c>
      <c r="B1327" t="s">
        <v>9540</v>
      </c>
      <c r="C1327" t="s">
        <v>69</v>
      </c>
      <c r="D1327" t="s">
        <v>3081</v>
      </c>
      <c r="E1327" t="s">
        <v>9541</v>
      </c>
      <c r="G1327" s="1">
        <v>45748</v>
      </c>
      <c r="H1327" s="1">
        <v>45749</v>
      </c>
      <c r="J1327" t="s">
        <v>45</v>
      </c>
      <c r="K1327" t="s">
        <v>45</v>
      </c>
      <c r="L1327" t="s">
        <v>72</v>
      </c>
      <c r="M1327" s="1">
        <v>42261</v>
      </c>
      <c r="N1327" t="s">
        <v>89</v>
      </c>
      <c r="O1327" t="s">
        <v>121</v>
      </c>
      <c r="P1327" t="s">
        <v>49</v>
      </c>
      <c r="Q1327" t="s">
        <v>2851</v>
      </c>
      <c r="R1327" t="s">
        <v>3083</v>
      </c>
      <c r="S1327">
        <v>2830</v>
      </c>
      <c r="T1327" t="s">
        <v>365</v>
      </c>
      <c r="U1327" t="s">
        <v>532</v>
      </c>
      <c r="V1327" t="s">
        <v>2853</v>
      </c>
      <c r="W1327" t="s">
        <v>367</v>
      </c>
      <c r="X1327" t="s">
        <v>76</v>
      </c>
      <c r="Y1327" t="s">
        <v>9409</v>
      </c>
      <c r="Z1327">
        <v>4753</v>
      </c>
      <c r="AA1327">
        <v>151</v>
      </c>
      <c r="AB1327">
        <v>68</v>
      </c>
      <c r="AC1327" t="s">
        <v>650</v>
      </c>
      <c r="AD1327" t="s">
        <v>9410</v>
      </c>
      <c r="AE1327" t="s">
        <v>2856</v>
      </c>
      <c r="AF1327" t="s">
        <v>100</v>
      </c>
      <c r="AG1327" t="s">
        <v>3089</v>
      </c>
      <c r="AH1327" t="s">
        <v>3093</v>
      </c>
      <c r="AJ1327" s="2">
        <v>45854.504826388889</v>
      </c>
      <c r="AK1327" t="s">
        <v>650</v>
      </c>
      <c r="AL1327" t="s">
        <v>65</v>
      </c>
      <c r="AM1327" t="s">
        <v>7930</v>
      </c>
      <c r="AN1327" t="s">
        <v>66</v>
      </c>
      <c r="AO1327" t="s">
        <v>67</v>
      </c>
    </row>
    <row r="1328" spans="1:41" x14ac:dyDescent="0.2">
      <c r="A1328">
        <v>372809</v>
      </c>
      <c r="B1328" t="s">
        <v>9542</v>
      </c>
      <c r="C1328" t="s">
        <v>69</v>
      </c>
      <c r="D1328" t="s">
        <v>3081</v>
      </c>
      <c r="E1328" t="s">
        <v>9543</v>
      </c>
      <c r="G1328" s="1">
        <v>45748</v>
      </c>
      <c r="H1328" s="1">
        <v>45749</v>
      </c>
      <c r="J1328" t="s">
        <v>45</v>
      </c>
      <c r="K1328" t="s">
        <v>45</v>
      </c>
      <c r="L1328" t="s">
        <v>72</v>
      </c>
      <c r="N1328" t="s">
        <v>89</v>
      </c>
      <c r="O1328" t="s">
        <v>121</v>
      </c>
      <c r="P1328" t="s">
        <v>49</v>
      </c>
      <c r="Q1328" t="s">
        <v>2851</v>
      </c>
      <c r="R1328" t="s">
        <v>3083</v>
      </c>
      <c r="S1328">
        <v>2830</v>
      </c>
      <c r="T1328" t="s">
        <v>365</v>
      </c>
      <c r="U1328" t="s">
        <v>532</v>
      </c>
      <c r="V1328" t="s">
        <v>2853</v>
      </c>
      <c r="W1328" t="s">
        <v>367</v>
      </c>
      <c r="X1328" t="s">
        <v>76</v>
      </c>
      <c r="Y1328" t="s">
        <v>9409</v>
      </c>
      <c r="Z1328">
        <v>4754</v>
      </c>
      <c r="AA1328">
        <v>151</v>
      </c>
      <c r="AB1328">
        <v>68</v>
      </c>
      <c r="AC1328" t="s">
        <v>650</v>
      </c>
      <c r="AD1328" t="s">
        <v>9410</v>
      </c>
      <c r="AE1328" t="s">
        <v>2856</v>
      </c>
      <c r="AF1328" t="s">
        <v>100</v>
      </c>
      <c r="AG1328" t="s">
        <v>3089</v>
      </c>
      <c r="AH1328" t="s">
        <v>3093</v>
      </c>
      <c r="AJ1328" s="2">
        <v>45854.519062500003</v>
      </c>
      <c r="AK1328" t="s">
        <v>650</v>
      </c>
      <c r="AL1328" t="s">
        <v>65</v>
      </c>
      <c r="AM1328" t="s">
        <v>9544</v>
      </c>
      <c r="AN1328" t="s">
        <v>66</v>
      </c>
      <c r="AO1328" t="s">
        <v>67</v>
      </c>
    </row>
    <row r="1329" spans="1:41" x14ac:dyDescent="0.2">
      <c r="A1329">
        <v>373080</v>
      </c>
      <c r="B1329" t="s">
        <v>9545</v>
      </c>
      <c r="C1329" t="s">
        <v>69</v>
      </c>
      <c r="D1329" t="s">
        <v>3081</v>
      </c>
      <c r="E1329" t="s">
        <v>9546</v>
      </c>
      <c r="G1329" s="1">
        <v>45748</v>
      </c>
      <c r="H1329" s="1">
        <v>45749</v>
      </c>
      <c r="J1329" t="s">
        <v>45</v>
      </c>
      <c r="K1329" t="s">
        <v>45</v>
      </c>
      <c r="L1329" t="s">
        <v>72</v>
      </c>
      <c r="M1329" s="1">
        <v>43294</v>
      </c>
      <c r="N1329" t="s">
        <v>89</v>
      </c>
      <c r="O1329" t="s">
        <v>121</v>
      </c>
      <c r="P1329" t="s">
        <v>49</v>
      </c>
      <c r="Q1329" t="s">
        <v>2851</v>
      </c>
      <c r="R1329" t="s">
        <v>3083</v>
      </c>
      <c r="S1329">
        <v>2865</v>
      </c>
      <c r="T1329" t="s">
        <v>365</v>
      </c>
      <c r="U1329" t="s">
        <v>532</v>
      </c>
      <c r="V1329" t="s">
        <v>2853</v>
      </c>
      <c r="W1329" t="s">
        <v>367</v>
      </c>
      <c r="X1329" t="s">
        <v>76</v>
      </c>
      <c r="Y1329" t="s">
        <v>9409</v>
      </c>
      <c r="Z1329">
        <v>4755</v>
      </c>
      <c r="AA1329">
        <v>165</v>
      </c>
      <c r="AB1329">
        <v>68</v>
      </c>
      <c r="AC1329" t="s">
        <v>650</v>
      </c>
      <c r="AD1329" t="s">
        <v>9410</v>
      </c>
      <c r="AE1329" t="s">
        <v>2856</v>
      </c>
      <c r="AF1329" t="s">
        <v>100</v>
      </c>
      <c r="AG1329" t="s">
        <v>3089</v>
      </c>
      <c r="AH1329" t="s">
        <v>2856</v>
      </c>
      <c r="AI1329" t="s">
        <v>3089</v>
      </c>
      <c r="AJ1329" s="2">
        <v>45856.888078703705</v>
      </c>
      <c r="AK1329" t="s">
        <v>375</v>
      </c>
      <c r="AL1329" t="s">
        <v>65</v>
      </c>
      <c r="AM1329" t="s">
        <v>9547</v>
      </c>
      <c r="AN1329" t="s">
        <v>66</v>
      </c>
      <c r="AO1329" t="s">
        <v>67</v>
      </c>
    </row>
    <row r="1330" spans="1:41" x14ac:dyDescent="0.2">
      <c r="A1330">
        <v>372811</v>
      </c>
      <c r="B1330" t="s">
        <v>9548</v>
      </c>
      <c r="C1330" t="s">
        <v>69</v>
      </c>
      <c r="D1330" t="s">
        <v>3081</v>
      </c>
      <c r="E1330" t="s">
        <v>9549</v>
      </c>
      <c r="G1330" s="1">
        <v>45749</v>
      </c>
      <c r="H1330" s="1">
        <v>45750</v>
      </c>
      <c r="J1330" t="s">
        <v>45</v>
      </c>
      <c r="K1330" t="s">
        <v>45</v>
      </c>
      <c r="L1330" t="s">
        <v>72</v>
      </c>
      <c r="N1330" t="s">
        <v>89</v>
      </c>
      <c r="O1330" t="s">
        <v>121</v>
      </c>
      <c r="P1330" t="s">
        <v>49</v>
      </c>
      <c r="Q1330" t="s">
        <v>2851</v>
      </c>
      <c r="R1330" t="s">
        <v>3083</v>
      </c>
      <c r="S1330">
        <v>2830</v>
      </c>
      <c r="T1330" t="s">
        <v>365</v>
      </c>
      <c r="U1330" t="s">
        <v>532</v>
      </c>
      <c r="V1330" t="s">
        <v>2853</v>
      </c>
      <c r="W1330" t="s">
        <v>367</v>
      </c>
      <c r="X1330" t="s">
        <v>76</v>
      </c>
      <c r="Y1330" t="s">
        <v>9409</v>
      </c>
      <c r="Z1330">
        <v>4756</v>
      </c>
      <c r="AA1330">
        <v>131</v>
      </c>
      <c r="AB1330">
        <v>68</v>
      </c>
      <c r="AC1330" t="s">
        <v>650</v>
      </c>
      <c r="AD1330" t="s">
        <v>9410</v>
      </c>
      <c r="AE1330" t="s">
        <v>2856</v>
      </c>
      <c r="AF1330" t="s">
        <v>100</v>
      </c>
      <c r="AG1330" t="s">
        <v>3089</v>
      </c>
      <c r="AH1330" t="s">
        <v>2856</v>
      </c>
      <c r="AJ1330" s="2">
        <v>45854.521504629629</v>
      </c>
      <c r="AK1330" t="s">
        <v>650</v>
      </c>
      <c r="AL1330" t="s">
        <v>65</v>
      </c>
      <c r="AM1330" t="s">
        <v>9550</v>
      </c>
      <c r="AN1330" t="s">
        <v>66</v>
      </c>
      <c r="AO1330" t="s">
        <v>67</v>
      </c>
    </row>
    <row r="1331" spans="1:41" x14ac:dyDescent="0.2">
      <c r="A1331">
        <v>368271</v>
      </c>
      <c r="B1331" t="s">
        <v>9551</v>
      </c>
      <c r="C1331" t="s">
        <v>69</v>
      </c>
      <c r="D1331" t="s">
        <v>3081</v>
      </c>
      <c r="E1331" t="s">
        <v>9552</v>
      </c>
      <c r="G1331" s="1">
        <v>45692</v>
      </c>
      <c r="H1331" s="1">
        <v>45698</v>
      </c>
      <c r="J1331" t="s">
        <v>45</v>
      </c>
      <c r="K1331" t="s">
        <v>45</v>
      </c>
      <c r="L1331" t="s">
        <v>72</v>
      </c>
      <c r="M1331" s="1">
        <v>43539</v>
      </c>
      <c r="N1331" t="s">
        <v>89</v>
      </c>
      <c r="O1331" t="s">
        <v>121</v>
      </c>
      <c r="P1331" t="s">
        <v>49</v>
      </c>
      <c r="Q1331" t="s">
        <v>2851</v>
      </c>
      <c r="R1331" t="s">
        <v>3083</v>
      </c>
      <c r="S1331">
        <v>2830</v>
      </c>
      <c r="T1331" t="s">
        <v>365</v>
      </c>
      <c r="U1331" t="s">
        <v>532</v>
      </c>
      <c r="V1331" t="s">
        <v>2853</v>
      </c>
      <c r="W1331" t="s">
        <v>367</v>
      </c>
      <c r="X1331" t="s">
        <v>76</v>
      </c>
      <c r="Y1331" t="s">
        <v>9409</v>
      </c>
      <c r="Z1331">
        <v>4735</v>
      </c>
      <c r="AA1331">
        <v>204</v>
      </c>
      <c r="AB1331">
        <v>68</v>
      </c>
      <c r="AC1331" t="s">
        <v>650</v>
      </c>
      <c r="AD1331" t="s">
        <v>9410</v>
      </c>
      <c r="AE1331" t="s">
        <v>2856</v>
      </c>
      <c r="AF1331" t="s">
        <v>100</v>
      </c>
      <c r="AG1331" t="s">
        <v>3089</v>
      </c>
      <c r="AH1331" t="s">
        <v>2856</v>
      </c>
      <c r="AJ1331" s="2">
        <v>45707.591736111113</v>
      </c>
      <c r="AK1331" t="s">
        <v>660</v>
      </c>
      <c r="AL1331" t="s">
        <v>65</v>
      </c>
      <c r="AM1331" t="s">
        <v>9553</v>
      </c>
      <c r="AN1331" t="s">
        <v>66</v>
      </c>
      <c r="AO1331" t="s">
        <v>67</v>
      </c>
    </row>
    <row r="1332" spans="1:41" x14ac:dyDescent="0.2">
      <c r="A1332">
        <v>372812</v>
      </c>
      <c r="B1332" t="s">
        <v>9554</v>
      </c>
      <c r="C1332" t="s">
        <v>69</v>
      </c>
      <c r="D1332" t="s">
        <v>3081</v>
      </c>
      <c r="E1332" t="s">
        <v>9555</v>
      </c>
      <c r="G1332" s="1">
        <v>45749</v>
      </c>
      <c r="H1332" s="1">
        <v>45750</v>
      </c>
      <c r="J1332" t="s">
        <v>45</v>
      </c>
      <c r="K1332" t="s">
        <v>45</v>
      </c>
      <c r="L1332" t="s">
        <v>72</v>
      </c>
      <c r="N1332" t="s">
        <v>89</v>
      </c>
      <c r="O1332" t="s">
        <v>121</v>
      </c>
      <c r="P1332" t="s">
        <v>49</v>
      </c>
      <c r="Q1332" t="s">
        <v>2851</v>
      </c>
      <c r="R1332" t="s">
        <v>3083</v>
      </c>
      <c r="S1332">
        <v>2830</v>
      </c>
      <c r="T1332" t="s">
        <v>365</v>
      </c>
      <c r="U1332" t="s">
        <v>532</v>
      </c>
      <c r="V1332" t="s">
        <v>2853</v>
      </c>
      <c r="W1332" t="s">
        <v>367</v>
      </c>
      <c r="X1332" t="s">
        <v>76</v>
      </c>
      <c r="Y1332" t="s">
        <v>9409</v>
      </c>
      <c r="Z1332">
        <v>4757</v>
      </c>
      <c r="AA1332">
        <v>157</v>
      </c>
      <c r="AB1332">
        <v>68</v>
      </c>
      <c r="AC1332" t="s">
        <v>650</v>
      </c>
      <c r="AD1332" t="s">
        <v>9410</v>
      </c>
      <c r="AE1332" t="s">
        <v>2856</v>
      </c>
      <c r="AF1332" t="s">
        <v>100</v>
      </c>
      <c r="AG1332" t="s">
        <v>3089</v>
      </c>
      <c r="AH1332" t="s">
        <v>2856</v>
      </c>
      <c r="AJ1332" s="2">
        <v>45854.522557870368</v>
      </c>
      <c r="AK1332" t="s">
        <v>650</v>
      </c>
      <c r="AL1332" t="s">
        <v>65</v>
      </c>
      <c r="AM1332" t="s">
        <v>9556</v>
      </c>
      <c r="AN1332" t="s">
        <v>66</v>
      </c>
      <c r="AO1332" t="s">
        <v>67</v>
      </c>
    </row>
    <row r="1333" spans="1:41" x14ac:dyDescent="0.2">
      <c r="A1333">
        <v>372813</v>
      </c>
      <c r="B1333" t="s">
        <v>9557</v>
      </c>
      <c r="C1333" t="s">
        <v>69</v>
      </c>
      <c r="D1333" t="s">
        <v>3081</v>
      </c>
      <c r="E1333" t="s">
        <v>9558</v>
      </c>
      <c r="G1333" s="1">
        <v>45749</v>
      </c>
      <c r="H1333" s="1">
        <v>45750</v>
      </c>
      <c r="J1333" t="s">
        <v>45</v>
      </c>
      <c r="K1333" t="s">
        <v>45</v>
      </c>
      <c r="L1333" t="s">
        <v>72</v>
      </c>
      <c r="N1333" t="s">
        <v>89</v>
      </c>
      <c r="O1333" t="s">
        <v>121</v>
      </c>
      <c r="P1333" t="s">
        <v>49</v>
      </c>
      <c r="Q1333" t="s">
        <v>2851</v>
      </c>
      <c r="R1333" t="s">
        <v>3083</v>
      </c>
      <c r="S1333">
        <v>2830</v>
      </c>
      <c r="T1333" t="s">
        <v>365</v>
      </c>
      <c r="U1333" t="s">
        <v>532</v>
      </c>
      <c r="V1333" t="s">
        <v>2853</v>
      </c>
      <c r="W1333" t="s">
        <v>367</v>
      </c>
      <c r="X1333" t="s">
        <v>76</v>
      </c>
      <c r="Y1333" t="s">
        <v>9409</v>
      </c>
      <c r="Z1333">
        <v>4758</v>
      </c>
      <c r="AA1333">
        <v>149</v>
      </c>
      <c r="AB1333">
        <v>68</v>
      </c>
      <c r="AC1333" t="s">
        <v>650</v>
      </c>
      <c r="AD1333" t="s">
        <v>9410</v>
      </c>
      <c r="AE1333" t="s">
        <v>2856</v>
      </c>
      <c r="AF1333" t="s">
        <v>100</v>
      </c>
      <c r="AG1333" t="s">
        <v>3089</v>
      </c>
      <c r="AH1333" t="s">
        <v>2856</v>
      </c>
      <c r="AJ1333" s="2">
        <v>45854.5233912037</v>
      </c>
      <c r="AK1333" t="s">
        <v>650</v>
      </c>
      <c r="AL1333" t="s">
        <v>65</v>
      </c>
      <c r="AM1333" t="s">
        <v>9559</v>
      </c>
      <c r="AN1333" t="s">
        <v>66</v>
      </c>
      <c r="AO1333" t="s">
        <v>67</v>
      </c>
    </row>
    <row r="1334" spans="1:41" x14ac:dyDescent="0.2">
      <c r="A1334">
        <v>369867</v>
      </c>
      <c r="B1334" t="s">
        <v>9560</v>
      </c>
      <c r="C1334" t="s">
        <v>69</v>
      </c>
      <c r="D1334" t="s">
        <v>3081</v>
      </c>
      <c r="E1334" t="s">
        <v>9561</v>
      </c>
      <c r="G1334" s="1">
        <v>45755</v>
      </c>
      <c r="H1334" s="1">
        <v>45756</v>
      </c>
      <c r="J1334" t="s">
        <v>45</v>
      </c>
      <c r="K1334" t="s">
        <v>45</v>
      </c>
      <c r="L1334" t="s">
        <v>72</v>
      </c>
      <c r="N1334" t="s">
        <v>89</v>
      </c>
      <c r="O1334" t="s">
        <v>121</v>
      </c>
      <c r="P1334" t="s">
        <v>49</v>
      </c>
      <c r="Q1334" t="s">
        <v>2851</v>
      </c>
      <c r="R1334" t="s">
        <v>3083</v>
      </c>
      <c r="S1334">
        <v>2830</v>
      </c>
      <c r="T1334" t="s">
        <v>365</v>
      </c>
      <c r="U1334" t="s">
        <v>532</v>
      </c>
      <c r="V1334" t="s">
        <v>2853</v>
      </c>
      <c r="W1334" t="s">
        <v>367</v>
      </c>
      <c r="X1334" t="s">
        <v>76</v>
      </c>
      <c r="Y1334" t="s">
        <v>9409</v>
      </c>
      <c r="Z1334">
        <v>4759</v>
      </c>
      <c r="AA1334">
        <v>161</v>
      </c>
      <c r="AB1334">
        <v>68</v>
      </c>
      <c r="AC1334" t="s">
        <v>650</v>
      </c>
      <c r="AD1334" t="s">
        <v>9410</v>
      </c>
      <c r="AE1334" t="s">
        <v>2856</v>
      </c>
      <c r="AF1334" t="s">
        <v>100</v>
      </c>
      <c r="AG1334" t="s">
        <v>3089</v>
      </c>
      <c r="AH1334" t="s">
        <v>2856</v>
      </c>
      <c r="AJ1334" s="2">
        <v>45756.57608796296</v>
      </c>
      <c r="AK1334" t="s">
        <v>650</v>
      </c>
      <c r="AL1334" t="s">
        <v>65</v>
      </c>
      <c r="AM1334" t="s">
        <v>9562</v>
      </c>
      <c r="AN1334" t="s">
        <v>66</v>
      </c>
      <c r="AO1334" t="s">
        <v>67</v>
      </c>
    </row>
    <row r="1335" spans="1:41" x14ac:dyDescent="0.2">
      <c r="A1335">
        <v>369868</v>
      </c>
      <c r="B1335" t="s">
        <v>9563</v>
      </c>
      <c r="C1335" t="s">
        <v>69</v>
      </c>
      <c r="D1335" t="s">
        <v>3081</v>
      </c>
      <c r="E1335" t="s">
        <v>9564</v>
      </c>
      <c r="G1335" s="1">
        <v>45755</v>
      </c>
      <c r="H1335" s="1">
        <v>45756</v>
      </c>
      <c r="J1335" t="s">
        <v>45</v>
      </c>
      <c r="K1335" t="s">
        <v>45</v>
      </c>
      <c r="L1335" t="s">
        <v>72</v>
      </c>
      <c r="N1335" t="s">
        <v>89</v>
      </c>
      <c r="O1335" t="s">
        <v>121</v>
      </c>
      <c r="P1335" t="s">
        <v>49</v>
      </c>
      <c r="Q1335" t="s">
        <v>2851</v>
      </c>
      <c r="R1335" t="s">
        <v>3083</v>
      </c>
      <c r="S1335">
        <v>2830</v>
      </c>
      <c r="T1335" t="s">
        <v>365</v>
      </c>
      <c r="U1335" t="s">
        <v>532</v>
      </c>
      <c r="V1335" t="s">
        <v>2853</v>
      </c>
      <c r="W1335" t="s">
        <v>367</v>
      </c>
      <c r="X1335" t="s">
        <v>76</v>
      </c>
      <c r="Y1335" t="s">
        <v>9409</v>
      </c>
      <c r="Z1335">
        <v>4760</v>
      </c>
      <c r="AA1335">
        <v>139</v>
      </c>
      <c r="AB1335">
        <v>68</v>
      </c>
      <c r="AC1335" t="s">
        <v>650</v>
      </c>
      <c r="AD1335" t="s">
        <v>9410</v>
      </c>
      <c r="AE1335" t="s">
        <v>2856</v>
      </c>
      <c r="AF1335" t="s">
        <v>100</v>
      </c>
      <c r="AG1335" t="s">
        <v>3089</v>
      </c>
      <c r="AH1335" t="s">
        <v>2856</v>
      </c>
      <c r="AJ1335" s="2">
        <v>45756.576678240737</v>
      </c>
      <c r="AK1335" t="s">
        <v>650</v>
      </c>
      <c r="AL1335" t="s">
        <v>65</v>
      </c>
      <c r="AM1335" t="s">
        <v>9565</v>
      </c>
      <c r="AN1335" t="s">
        <v>66</v>
      </c>
      <c r="AO1335" t="s">
        <v>67</v>
      </c>
    </row>
    <row r="1336" spans="1:41" x14ac:dyDescent="0.2">
      <c r="A1336">
        <v>369869</v>
      </c>
      <c r="B1336" t="s">
        <v>9566</v>
      </c>
      <c r="C1336" t="s">
        <v>69</v>
      </c>
      <c r="D1336" t="s">
        <v>3081</v>
      </c>
      <c r="E1336" t="s">
        <v>9567</v>
      </c>
      <c r="G1336" s="1">
        <v>45755</v>
      </c>
      <c r="H1336" s="1">
        <v>45756</v>
      </c>
      <c r="J1336" t="s">
        <v>45</v>
      </c>
      <c r="K1336" t="s">
        <v>45</v>
      </c>
      <c r="L1336" t="s">
        <v>72</v>
      </c>
      <c r="N1336" t="s">
        <v>89</v>
      </c>
      <c r="O1336" t="s">
        <v>121</v>
      </c>
      <c r="P1336" t="s">
        <v>49</v>
      </c>
      <c r="Q1336" t="s">
        <v>2851</v>
      </c>
      <c r="R1336" t="s">
        <v>3083</v>
      </c>
      <c r="S1336">
        <v>2830</v>
      </c>
      <c r="T1336" t="s">
        <v>365</v>
      </c>
      <c r="U1336" t="s">
        <v>532</v>
      </c>
      <c r="V1336" t="s">
        <v>2853</v>
      </c>
      <c r="W1336" t="s">
        <v>367</v>
      </c>
      <c r="X1336" t="s">
        <v>76</v>
      </c>
      <c r="Y1336" t="s">
        <v>9409</v>
      </c>
      <c r="Z1336">
        <v>4761</v>
      </c>
      <c r="AA1336">
        <v>151</v>
      </c>
      <c r="AB1336">
        <v>68</v>
      </c>
      <c r="AC1336" t="s">
        <v>650</v>
      </c>
      <c r="AD1336" t="s">
        <v>9410</v>
      </c>
      <c r="AE1336" t="s">
        <v>2856</v>
      </c>
      <c r="AF1336" t="s">
        <v>100</v>
      </c>
      <c r="AG1336" t="s">
        <v>3089</v>
      </c>
      <c r="AH1336" t="s">
        <v>2856</v>
      </c>
      <c r="AJ1336" s="2">
        <v>45756.577569444446</v>
      </c>
      <c r="AK1336" t="s">
        <v>650</v>
      </c>
      <c r="AL1336" t="s">
        <v>65</v>
      </c>
      <c r="AM1336" t="s">
        <v>9568</v>
      </c>
      <c r="AN1336" t="s">
        <v>66</v>
      </c>
      <c r="AO1336" t="s">
        <v>67</v>
      </c>
    </row>
    <row r="1337" spans="1:41" x14ac:dyDescent="0.2">
      <c r="A1337">
        <v>372814</v>
      </c>
      <c r="B1337" t="s">
        <v>9569</v>
      </c>
      <c r="C1337" t="s">
        <v>69</v>
      </c>
      <c r="D1337" t="s">
        <v>3081</v>
      </c>
      <c r="E1337" t="s">
        <v>9570</v>
      </c>
      <c r="G1337" s="1">
        <v>45762</v>
      </c>
      <c r="H1337" s="1">
        <v>45762</v>
      </c>
      <c r="J1337" t="s">
        <v>45</v>
      </c>
      <c r="K1337" t="s">
        <v>45</v>
      </c>
      <c r="L1337" t="s">
        <v>72</v>
      </c>
      <c r="N1337" t="s">
        <v>89</v>
      </c>
      <c r="O1337" t="s">
        <v>121</v>
      </c>
      <c r="P1337" t="s">
        <v>49</v>
      </c>
      <c r="Q1337" t="s">
        <v>2851</v>
      </c>
      <c r="R1337" t="s">
        <v>3083</v>
      </c>
      <c r="S1337">
        <v>2830</v>
      </c>
      <c r="T1337" t="s">
        <v>365</v>
      </c>
      <c r="U1337" t="s">
        <v>532</v>
      </c>
      <c r="V1337" t="s">
        <v>2853</v>
      </c>
      <c r="W1337" t="s">
        <v>367</v>
      </c>
      <c r="X1337" t="s">
        <v>76</v>
      </c>
      <c r="Y1337" t="s">
        <v>9409</v>
      </c>
      <c r="Z1337">
        <v>4762</v>
      </c>
      <c r="AA1337">
        <v>169</v>
      </c>
      <c r="AB1337">
        <v>68</v>
      </c>
      <c r="AC1337" t="s">
        <v>650</v>
      </c>
      <c r="AD1337" t="s">
        <v>9410</v>
      </c>
      <c r="AE1337" t="s">
        <v>2856</v>
      </c>
      <c r="AF1337" t="s">
        <v>100</v>
      </c>
      <c r="AG1337" t="s">
        <v>3089</v>
      </c>
      <c r="AH1337" t="s">
        <v>2856</v>
      </c>
      <c r="AJ1337" s="2">
        <v>45854.523969907408</v>
      </c>
      <c r="AK1337" t="s">
        <v>650</v>
      </c>
      <c r="AL1337" t="s">
        <v>65</v>
      </c>
      <c r="AM1337" t="s">
        <v>9571</v>
      </c>
      <c r="AN1337" t="s">
        <v>66</v>
      </c>
      <c r="AO1337" t="s">
        <v>67</v>
      </c>
    </row>
    <row r="1338" spans="1:41" x14ac:dyDescent="0.2">
      <c r="A1338">
        <v>372815</v>
      </c>
      <c r="B1338" t="s">
        <v>9572</v>
      </c>
      <c r="C1338" t="s">
        <v>69</v>
      </c>
      <c r="D1338" t="s">
        <v>3081</v>
      </c>
      <c r="E1338" t="s">
        <v>9573</v>
      </c>
      <c r="G1338" s="1">
        <v>45762</v>
      </c>
      <c r="H1338" s="1">
        <v>45762</v>
      </c>
      <c r="J1338" t="s">
        <v>45</v>
      </c>
      <c r="K1338" t="s">
        <v>45</v>
      </c>
      <c r="L1338" t="s">
        <v>72</v>
      </c>
      <c r="N1338" t="s">
        <v>89</v>
      </c>
      <c r="O1338" t="s">
        <v>121</v>
      </c>
      <c r="P1338" t="s">
        <v>49</v>
      </c>
      <c r="Q1338" t="s">
        <v>2851</v>
      </c>
      <c r="R1338" t="s">
        <v>3083</v>
      </c>
      <c r="S1338">
        <v>2830</v>
      </c>
      <c r="T1338" t="s">
        <v>365</v>
      </c>
      <c r="U1338" t="s">
        <v>532</v>
      </c>
      <c r="V1338" t="s">
        <v>2853</v>
      </c>
      <c r="W1338" t="s">
        <v>367</v>
      </c>
      <c r="X1338" t="s">
        <v>76</v>
      </c>
      <c r="Y1338" t="s">
        <v>9409</v>
      </c>
      <c r="Z1338">
        <v>4763</v>
      </c>
      <c r="AA1338">
        <v>167</v>
      </c>
      <c r="AB1338">
        <v>68</v>
      </c>
      <c r="AC1338" t="s">
        <v>650</v>
      </c>
      <c r="AD1338" t="s">
        <v>9410</v>
      </c>
      <c r="AE1338" t="s">
        <v>2856</v>
      </c>
      <c r="AF1338" t="s">
        <v>100</v>
      </c>
      <c r="AG1338" t="s">
        <v>3089</v>
      </c>
      <c r="AH1338" t="s">
        <v>2856</v>
      </c>
      <c r="AJ1338" s="2">
        <v>45854.52511574074</v>
      </c>
      <c r="AK1338" t="s">
        <v>650</v>
      </c>
      <c r="AL1338" t="s">
        <v>65</v>
      </c>
      <c r="AM1338" t="s">
        <v>9574</v>
      </c>
      <c r="AN1338" t="s">
        <v>66</v>
      </c>
      <c r="AO1338" t="s">
        <v>67</v>
      </c>
    </row>
    <row r="1339" spans="1:41" x14ac:dyDescent="0.2">
      <c r="A1339">
        <v>372816</v>
      </c>
      <c r="B1339" t="s">
        <v>9575</v>
      </c>
      <c r="C1339" t="s">
        <v>69</v>
      </c>
      <c r="D1339" t="s">
        <v>3081</v>
      </c>
      <c r="E1339" t="s">
        <v>9576</v>
      </c>
      <c r="G1339" s="1">
        <v>45762</v>
      </c>
      <c r="H1339" s="1">
        <v>45769</v>
      </c>
      <c r="J1339" t="s">
        <v>45</v>
      </c>
      <c r="K1339" t="s">
        <v>45</v>
      </c>
      <c r="L1339" t="s">
        <v>72</v>
      </c>
      <c r="N1339" t="s">
        <v>89</v>
      </c>
      <c r="O1339" t="s">
        <v>121</v>
      </c>
      <c r="P1339" t="s">
        <v>49</v>
      </c>
      <c r="Q1339" t="s">
        <v>9577</v>
      </c>
      <c r="R1339" t="s">
        <v>2852</v>
      </c>
      <c r="S1339">
        <v>2865</v>
      </c>
      <c r="T1339" t="s">
        <v>365</v>
      </c>
      <c r="U1339" t="s">
        <v>532</v>
      </c>
      <c r="V1339" t="s">
        <v>2853</v>
      </c>
      <c r="W1339" t="s">
        <v>367</v>
      </c>
      <c r="X1339" t="s">
        <v>76</v>
      </c>
      <c r="Y1339" t="s">
        <v>9409</v>
      </c>
      <c r="Z1339">
        <v>4764</v>
      </c>
      <c r="AA1339">
        <v>154</v>
      </c>
      <c r="AB1339">
        <v>68</v>
      </c>
      <c r="AC1339" t="s">
        <v>650</v>
      </c>
      <c r="AD1339" t="s">
        <v>9410</v>
      </c>
      <c r="AE1339" t="s">
        <v>2856</v>
      </c>
      <c r="AF1339" t="s">
        <v>100</v>
      </c>
      <c r="AG1339" t="s">
        <v>3089</v>
      </c>
      <c r="AH1339" t="s">
        <v>2856</v>
      </c>
      <c r="AJ1339" s="2">
        <v>45854.527314814812</v>
      </c>
      <c r="AK1339" t="s">
        <v>650</v>
      </c>
      <c r="AL1339" t="s">
        <v>65</v>
      </c>
      <c r="AM1339" t="s">
        <v>9578</v>
      </c>
      <c r="AN1339" t="s">
        <v>66</v>
      </c>
      <c r="AO1339" t="s">
        <v>67</v>
      </c>
    </row>
    <row r="1340" spans="1:41" x14ac:dyDescent="0.2">
      <c r="A1340">
        <v>370278</v>
      </c>
      <c r="B1340" t="s">
        <v>9579</v>
      </c>
      <c r="C1340" t="s">
        <v>69</v>
      </c>
      <c r="D1340" t="s">
        <v>3081</v>
      </c>
      <c r="E1340" t="s">
        <v>9580</v>
      </c>
      <c r="G1340" s="1">
        <v>45768</v>
      </c>
      <c r="H1340" s="1">
        <v>45769</v>
      </c>
      <c r="J1340" t="s">
        <v>45</v>
      </c>
      <c r="K1340" t="s">
        <v>45</v>
      </c>
      <c r="L1340" t="s">
        <v>72</v>
      </c>
      <c r="N1340" t="s">
        <v>89</v>
      </c>
      <c r="O1340" t="s">
        <v>121</v>
      </c>
      <c r="P1340" t="s">
        <v>49</v>
      </c>
      <c r="Q1340" t="s">
        <v>2851</v>
      </c>
      <c r="R1340" t="s">
        <v>3083</v>
      </c>
      <c r="S1340">
        <v>2830</v>
      </c>
      <c r="T1340" t="s">
        <v>365</v>
      </c>
      <c r="U1340" t="s">
        <v>532</v>
      </c>
      <c r="V1340" t="s">
        <v>2853</v>
      </c>
      <c r="W1340" t="s">
        <v>367</v>
      </c>
      <c r="X1340" t="s">
        <v>76</v>
      </c>
      <c r="Y1340" t="s">
        <v>9409</v>
      </c>
      <c r="Z1340">
        <v>4765</v>
      </c>
      <c r="AA1340">
        <v>140</v>
      </c>
      <c r="AB1340">
        <v>68</v>
      </c>
      <c r="AC1340" t="s">
        <v>650</v>
      </c>
      <c r="AD1340" t="s">
        <v>9410</v>
      </c>
      <c r="AE1340" t="s">
        <v>2856</v>
      </c>
      <c r="AF1340" t="s">
        <v>100</v>
      </c>
      <c r="AG1340" t="s">
        <v>3089</v>
      </c>
      <c r="AH1340" t="s">
        <v>3093</v>
      </c>
      <c r="AJ1340" s="2">
        <v>45769.774363425924</v>
      </c>
      <c r="AK1340" t="s">
        <v>650</v>
      </c>
      <c r="AL1340" t="s">
        <v>65</v>
      </c>
      <c r="AM1340" t="s">
        <v>9581</v>
      </c>
      <c r="AN1340" t="s">
        <v>66</v>
      </c>
      <c r="AO1340" t="s">
        <v>67</v>
      </c>
    </row>
    <row r="1341" spans="1:41" x14ac:dyDescent="0.2">
      <c r="A1341">
        <v>370472</v>
      </c>
      <c r="B1341" t="s">
        <v>9582</v>
      </c>
      <c r="C1341" t="s">
        <v>69</v>
      </c>
      <c r="D1341" t="s">
        <v>3081</v>
      </c>
      <c r="E1341" t="s">
        <v>9583</v>
      </c>
      <c r="G1341" s="1">
        <v>45768</v>
      </c>
      <c r="H1341" s="1">
        <v>45776</v>
      </c>
      <c r="J1341" t="s">
        <v>45</v>
      </c>
      <c r="K1341" t="s">
        <v>45</v>
      </c>
      <c r="L1341" t="s">
        <v>72</v>
      </c>
      <c r="N1341" t="s">
        <v>89</v>
      </c>
      <c r="O1341" t="s">
        <v>121</v>
      </c>
      <c r="P1341" t="s">
        <v>49</v>
      </c>
      <c r="Q1341" t="s">
        <v>2851</v>
      </c>
      <c r="R1341" t="s">
        <v>9223</v>
      </c>
      <c r="S1341">
        <v>2830</v>
      </c>
      <c r="T1341" t="s">
        <v>365</v>
      </c>
      <c r="U1341" t="s">
        <v>532</v>
      </c>
      <c r="V1341" t="s">
        <v>2853</v>
      </c>
      <c r="W1341" t="s">
        <v>367</v>
      </c>
      <c r="X1341" t="s">
        <v>76</v>
      </c>
      <c r="Y1341" t="s">
        <v>9409</v>
      </c>
      <c r="Z1341">
        <v>4766</v>
      </c>
      <c r="AA1341">
        <v>157</v>
      </c>
      <c r="AB1341">
        <v>68</v>
      </c>
      <c r="AC1341" t="s">
        <v>650</v>
      </c>
      <c r="AD1341" t="s">
        <v>9410</v>
      </c>
      <c r="AE1341" t="s">
        <v>2856</v>
      </c>
      <c r="AF1341" t="s">
        <v>100</v>
      </c>
      <c r="AG1341" t="s">
        <v>3089</v>
      </c>
      <c r="AH1341" t="s">
        <v>2856</v>
      </c>
      <c r="AJ1341" s="2">
        <v>45776.643171296295</v>
      </c>
      <c r="AK1341" t="s">
        <v>650</v>
      </c>
      <c r="AL1341" t="s">
        <v>65</v>
      </c>
      <c r="AM1341" t="s">
        <v>9584</v>
      </c>
      <c r="AN1341" t="s">
        <v>66</v>
      </c>
      <c r="AO1341" t="s">
        <v>67</v>
      </c>
    </row>
    <row r="1342" spans="1:41" x14ac:dyDescent="0.2">
      <c r="A1342">
        <v>372466</v>
      </c>
      <c r="B1342" t="s">
        <v>9585</v>
      </c>
      <c r="C1342" t="s">
        <v>69</v>
      </c>
      <c r="D1342" t="s">
        <v>3081</v>
      </c>
      <c r="E1342" t="s">
        <v>9586</v>
      </c>
      <c r="G1342" s="1">
        <v>45839</v>
      </c>
      <c r="H1342" s="1">
        <v>45698</v>
      </c>
      <c r="J1342" t="s">
        <v>45</v>
      </c>
      <c r="K1342" t="s">
        <v>45</v>
      </c>
      <c r="L1342" t="s">
        <v>72</v>
      </c>
      <c r="N1342" t="s">
        <v>89</v>
      </c>
      <c r="O1342" t="s">
        <v>121</v>
      </c>
      <c r="P1342" t="s">
        <v>49</v>
      </c>
      <c r="Q1342" t="s">
        <v>2851</v>
      </c>
      <c r="R1342" t="s">
        <v>3083</v>
      </c>
      <c r="S1342">
        <v>2865</v>
      </c>
      <c r="T1342" t="s">
        <v>365</v>
      </c>
      <c r="U1342" t="s">
        <v>532</v>
      </c>
      <c r="V1342" t="s">
        <v>2853</v>
      </c>
      <c r="W1342" t="s">
        <v>367</v>
      </c>
      <c r="X1342" t="s">
        <v>76</v>
      </c>
      <c r="Y1342" t="s">
        <v>9409</v>
      </c>
      <c r="Z1342">
        <v>4736</v>
      </c>
      <c r="AA1342">
        <v>223</v>
      </c>
      <c r="AB1342">
        <v>68</v>
      </c>
      <c r="AC1342" t="s">
        <v>650</v>
      </c>
      <c r="AD1342" t="s">
        <v>9410</v>
      </c>
      <c r="AE1342" t="s">
        <v>2856</v>
      </c>
      <c r="AF1342" t="s">
        <v>100</v>
      </c>
      <c r="AG1342" t="s">
        <v>3089</v>
      </c>
      <c r="AH1342" t="s">
        <v>2856</v>
      </c>
      <c r="AJ1342" s="2">
        <v>45840.570937500001</v>
      </c>
      <c r="AK1342" t="s">
        <v>650</v>
      </c>
      <c r="AL1342" t="s">
        <v>65</v>
      </c>
      <c r="AM1342" t="s">
        <v>9587</v>
      </c>
      <c r="AN1342" t="s">
        <v>66</v>
      </c>
      <c r="AO1342" t="s">
        <v>67</v>
      </c>
    </row>
    <row r="1343" spans="1:41" x14ac:dyDescent="0.2">
      <c r="A1343">
        <v>372818</v>
      </c>
      <c r="B1343" t="s">
        <v>9588</v>
      </c>
      <c r="C1343" t="s">
        <v>69</v>
      </c>
      <c r="D1343" t="s">
        <v>3081</v>
      </c>
      <c r="E1343" t="s">
        <v>9589</v>
      </c>
      <c r="G1343" s="1">
        <v>45775</v>
      </c>
      <c r="H1343" s="1">
        <v>45776</v>
      </c>
      <c r="J1343" t="s">
        <v>45</v>
      </c>
      <c r="K1343" t="s">
        <v>45</v>
      </c>
      <c r="L1343" t="s">
        <v>72</v>
      </c>
      <c r="N1343" t="s">
        <v>89</v>
      </c>
      <c r="O1343" t="s">
        <v>121</v>
      </c>
      <c r="P1343" t="s">
        <v>49</v>
      </c>
      <c r="Q1343" t="s">
        <v>2851</v>
      </c>
      <c r="R1343" t="s">
        <v>9223</v>
      </c>
      <c r="S1343">
        <v>2830</v>
      </c>
      <c r="T1343" t="s">
        <v>365</v>
      </c>
      <c r="U1343" t="s">
        <v>532</v>
      </c>
      <c r="V1343" t="s">
        <v>2853</v>
      </c>
      <c r="W1343" t="s">
        <v>367</v>
      </c>
      <c r="X1343" t="s">
        <v>76</v>
      </c>
      <c r="Y1343" t="s">
        <v>9409</v>
      </c>
      <c r="Z1343">
        <v>4767</v>
      </c>
      <c r="AA1343">
        <v>144</v>
      </c>
      <c r="AB1343">
        <v>68</v>
      </c>
      <c r="AC1343" t="s">
        <v>650</v>
      </c>
      <c r="AD1343" t="s">
        <v>9410</v>
      </c>
      <c r="AE1343" t="s">
        <v>2856</v>
      </c>
      <c r="AF1343" t="s">
        <v>100</v>
      </c>
      <c r="AG1343" t="s">
        <v>3089</v>
      </c>
      <c r="AH1343" t="s">
        <v>3093</v>
      </c>
      <c r="AJ1343" s="2">
        <v>45854.53701388889</v>
      </c>
      <c r="AK1343" t="s">
        <v>650</v>
      </c>
      <c r="AL1343" t="s">
        <v>65</v>
      </c>
      <c r="AM1343" t="s">
        <v>9590</v>
      </c>
      <c r="AN1343" t="s">
        <v>66</v>
      </c>
      <c r="AO1343" t="s">
        <v>67</v>
      </c>
    </row>
    <row r="1344" spans="1:41" x14ac:dyDescent="0.2">
      <c r="A1344">
        <v>370549</v>
      </c>
      <c r="B1344" t="s">
        <v>9591</v>
      </c>
      <c r="C1344" t="s">
        <v>69</v>
      </c>
      <c r="D1344" t="s">
        <v>3081</v>
      </c>
      <c r="E1344" t="s">
        <v>9592</v>
      </c>
      <c r="G1344" s="1">
        <v>45776</v>
      </c>
      <c r="H1344" s="1">
        <v>45777</v>
      </c>
      <c r="J1344" t="s">
        <v>45</v>
      </c>
      <c r="K1344" t="s">
        <v>45</v>
      </c>
      <c r="L1344" t="s">
        <v>72</v>
      </c>
      <c r="N1344" t="s">
        <v>89</v>
      </c>
      <c r="O1344" t="s">
        <v>121</v>
      </c>
      <c r="P1344" t="s">
        <v>49</v>
      </c>
      <c r="Q1344" t="s">
        <v>2851</v>
      </c>
      <c r="R1344" t="s">
        <v>3083</v>
      </c>
      <c r="S1344">
        <v>2830</v>
      </c>
      <c r="T1344" t="s">
        <v>365</v>
      </c>
      <c r="U1344" t="s">
        <v>532</v>
      </c>
      <c r="V1344" t="s">
        <v>2853</v>
      </c>
      <c r="W1344" t="s">
        <v>367</v>
      </c>
      <c r="X1344" t="s">
        <v>76</v>
      </c>
      <c r="Y1344" t="s">
        <v>9409</v>
      </c>
      <c r="Z1344">
        <v>8846</v>
      </c>
      <c r="AA1344">
        <v>87</v>
      </c>
      <c r="AB1344">
        <v>68</v>
      </c>
      <c r="AC1344" t="s">
        <v>650</v>
      </c>
      <c r="AD1344" t="s">
        <v>9410</v>
      </c>
      <c r="AE1344" t="s">
        <v>2856</v>
      </c>
      <c r="AF1344" t="s">
        <v>100</v>
      </c>
      <c r="AG1344" t="s">
        <v>3089</v>
      </c>
      <c r="AH1344" t="s">
        <v>3093</v>
      </c>
      <c r="AJ1344" s="2">
        <v>45777.785300925927</v>
      </c>
      <c r="AK1344" t="s">
        <v>650</v>
      </c>
      <c r="AL1344" t="s">
        <v>65</v>
      </c>
      <c r="AM1344" t="s">
        <v>9593</v>
      </c>
      <c r="AN1344" t="s">
        <v>66</v>
      </c>
      <c r="AO1344" t="s">
        <v>67</v>
      </c>
    </row>
    <row r="1345" spans="1:41" x14ac:dyDescent="0.2">
      <c r="A1345">
        <v>372819</v>
      </c>
      <c r="B1345" t="s">
        <v>9594</v>
      </c>
      <c r="C1345" t="s">
        <v>69</v>
      </c>
      <c r="D1345" t="s">
        <v>3081</v>
      </c>
      <c r="E1345" t="s">
        <v>9595</v>
      </c>
      <c r="G1345" s="1">
        <v>45777</v>
      </c>
      <c r="H1345" s="1">
        <v>45778</v>
      </c>
      <c r="J1345" t="s">
        <v>45</v>
      </c>
      <c r="K1345" t="s">
        <v>45</v>
      </c>
      <c r="L1345" t="s">
        <v>72</v>
      </c>
      <c r="N1345" t="s">
        <v>89</v>
      </c>
      <c r="O1345" t="s">
        <v>121</v>
      </c>
      <c r="P1345" t="s">
        <v>49</v>
      </c>
      <c r="Q1345" t="s">
        <v>2851</v>
      </c>
      <c r="R1345" t="s">
        <v>3083</v>
      </c>
      <c r="S1345">
        <v>2830</v>
      </c>
      <c r="T1345" t="s">
        <v>365</v>
      </c>
      <c r="U1345" t="s">
        <v>532</v>
      </c>
      <c r="V1345" t="s">
        <v>2853</v>
      </c>
      <c r="W1345" t="s">
        <v>367</v>
      </c>
      <c r="X1345" t="s">
        <v>76</v>
      </c>
      <c r="Y1345" t="s">
        <v>9409</v>
      </c>
      <c r="Z1345">
        <v>8847</v>
      </c>
      <c r="AA1345">
        <v>102</v>
      </c>
      <c r="AB1345">
        <v>68</v>
      </c>
      <c r="AC1345" t="s">
        <v>650</v>
      </c>
      <c r="AD1345" t="s">
        <v>9410</v>
      </c>
      <c r="AE1345" t="s">
        <v>2856</v>
      </c>
      <c r="AF1345" t="s">
        <v>100</v>
      </c>
      <c r="AG1345" t="s">
        <v>3089</v>
      </c>
      <c r="AH1345" t="s">
        <v>3093</v>
      </c>
      <c r="AJ1345" s="2">
        <v>45854.537812499999</v>
      </c>
      <c r="AK1345" t="s">
        <v>650</v>
      </c>
      <c r="AL1345" t="s">
        <v>65</v>
      </c>
      <c r="AM1345" t="s">
        <v>9596</v>
      </c>
      <c r="AN1345" t="s">
        <v>66</v>
      </c>
      <c r="AO1345" t="s">
        <v>67</v>
      </c>
    </row>
    <row r="1346" spans="1:41" x14ac:dyDescent="0.2">
      <c r="A1346">
        <v>372820</v>
      </c>
      <c r="B1346" t="s">
        <v>9597</v>
      </c>
      <c r="C1346" t="s">
        <v>69</v>
      </c>
      <c r="D1346" t="s">
        <v>3081</v>
      </c>
      <c r="E1346" t="s">
        <v>9598</v>
      </c>
      <c r="G1346" s="1">
        <v>45782</v>
      </c>
      <c r="H1346" s="1">
        <v>45783</v>
      </c>
      <c r="J1346" t="s">
        <v>45</v>
      </c>
      <c r="K1346" t="s">
        <v>45</v>
      </c>
      <c r="L1346" t="s">
        <v>72</v>
      </c>
      <c r="M1346" s="1">
        <v>42765</v>
      </c>
      <c r="N1346" t="s">
        <v>89</v>
      </c>
      <c r="O1346" t="s">
        <v>121</v>
      </c>
      <c r="P1346" t="s">
        <v>49</v>
      </c>
      <c r="Q1346" t="s">
        <v>2851</v>
      </c>
      <c r="R1346" t="s">
        <v>3083</v>
      </c>
      <c r="S1346">
        <v>2830</v>
      </c>
      <c r="T1346" t="s">
        <v>365</v>
      </c>
      <c r="U1346" t="s">
        <v>532</v>
      </c>
      <c r="V1346" t="s">
        <v>2853</v>
      </c>
      <c r="W1346" t="s">
        <v>367</v>
      </c>
      <c r="X1346" t="s">
        <v>76</v>
      </c>
      <c r="Y1346" t="s">
        <v>9409</v>
      </c>
      <c r="Z1346">
        <v>8848</v>
      </c>
      <c r="AA1346">
        <v>90</v>
      </c>
      <c r="AB1346">
        <v>68</v>
      </c>
      <c r="AC1346" t="s">
        <v>650</v>
      </c>
      <c r="AD1346" t="s">
        <v>9410</v>
      </c>
      <c r="AE1346" t="s">
        <v>2856</v>
      </c>
      <c r="AF1346" t="s">
        <v>100</v>
      </c>
      <c r="AG1346" t="s">
        <v>3089</v>
      </c>
      <c r="AH1346" t="s">
        <v>3093</v>
      </c>
      <c r="AJ1346" s="2">
        <v>45854.538564814815</v>
      </c>
      <c r="AK1346" t="s">
        <v>650</v>
      </c>
      <c r="AL1346" t="s">
        <v>65</v>
      </c>
      <c r="AM1346" t="s">
        <v>9599</v>
      </c>
      <c r="AN1346" t="s">
        <v>66</v>
      </c>
      <c r="AO1346" t="s">
        <v>67</v>
      </c>
    </row>
    <row r="1347" spans="1:41" x14ac:dyDescent="0.2">
      <c r="A1347">
        <v>372821</v>
      </c>
      <c r="B1347" t="s">
        <v>9600</v>
      </c>
      <c r="C1347" t="s">
        <v>69</v>
      </c>
      <c r="D1347" t="s">
        <v>3081</v>
      </c>
      <c r="E1347" t="s">
        <v>9601</v>
      </c>
      <c r="G1347" s="1">
        <v>45782</v>
      </c>
      <c r="H1347" s="1">
        <v>45783</v>
      </c>
      <c r="J1347" t="s">
        <v>45</v>
      </c>
      <c r="K1347" t="s">
        <v>45</v>
      </c>
      <c r="L1347" t="s">
        <v>72</v>
      </c>
      <c r="N1347" t="s">
        <v>89</v>
      </c>
      <c r="O1347" t="s">
        <v>121</v>
      </c>
      <c r="P1347" t="s">
        <v>49</v>
      </c>
      <c r="Q1347" t="s">
        <v>2851</v>
      </c>
      <c r="R1347" t="s">
        <v>3083</v>
      </c>
      <c r="S1347">
        <v>2830</v>
      </c>
      <c r="T1347" t="s">
        <v>365</v>
      </c>
      <c r="U1347" t="s">
        <v>532</v>
      </c>
      <c r="V1347" t="s">
        <v>2853</v>
      </c>
      <c r="W1347" t="s">
        <v>367</v>
      </c>
      <c r="X1347" t="s">
        <v>76</v>
      </c>
      <c r="Y1347" t="s">
        <v>9409</v>
      </c>
      <c r="Z1347">
        <v>8849</v>
      </c>
      <c r="AA1347">
        <v>89</v>
      </c>
      <c r="AB1347">
        <v>68</v>
      </c>
      <c r="AC1347" t="s">
        <v>650</v>
      </c>
      <c r="AD1347" t="s">
        <v>9410</v>
      </c>
      <c r="AE1347" t="s">
        <v>2856</v>
      </c>
      <c r="AF1347" t="s">
        <v>100</v>
      </c>
      <c r="AG1347" t="s">
        <v>3089</v>
      </c>
      <c r="AH1347" t="s">
        <v>3093</v>
      </c>
      <c r="AJ1347" s="2">
        <v>45854.539317129631</v>
      </c>
      <c r="AK1347" t="s">
        <v>650</v>
      </c>
      <c r="AL1347" t="s">
        <v>65</v>
      </c>
      <c r="AM1347" t="s">
        <v>9602</v>
      </c>
      <c r="AN1347" t="s">
        <v>66</v>
      </c>
      <c r="AO1347" t="s">
        <v>67</v>
      </c>
    </row>
    <row r="1348" spans="1:41" x14ac:dyDescent="0.2">
      <c r="A1348">
        <v>372822</v>
      </c>
      <c r="B1348" t="s">
        <v>9603</v>
      </c>
      <c r="C1348" t="s">
        <v>69</v>
      </c>
      <c r="D1348" t="s">
        <v>3081</v>
      </c>
      <c r="E1348" t="s">
        <v>9604</v>
      </c>
      <c r="G1348" s="1">
        <v>45784</v>
      </c>
      <c r="H1348" s="1">
        <v>45785</v>
      </c>
      <c r="J1348" t="s">
        <v>45</v>
      </c>
      <c r="K1348" t="s">
        <v>45</v>
      </c>
      <c r="L1348" t="s">
        <v>72</v>
      </c>
      <c r="N1348" t="s">
        <v>89</v>
      </c>
      <c r="O1348" t="s">
        <v>121</v>
      </c>
      <c r="P1348" t="s">
        <v>49</v>
      </c>
      <c r="Q1348" t="s">
        <v>2851</v>
      </c>
      <c r="R1348" t="s">
        <v>3083</v>
      </c>
      <c r="S1348">
        <v>2830</v>
      </c>
      <c r="T1348" t="s">
        <v>365</v>
      </c>
      <c r="U1348" t="s">
        <v>532</v>
      </c>
      <c r="V1348" t="s">
        <v>2853</v>
      </c>
      <c r="W1348" t="s">
        <v>367</v>
      </c>
      <c r="X1348" t="s">
        <v>76</v>
      </c>
      <c r="Y1348" t="s">
        <v>9409</v>
      </c>
      <c r="Z1348">
        <v>8850</v>
      </c>
      <c r="AA1348">
        <v>115</v>
      </c>
      <c r="AB1348">
        <v>68</v>
      </c>
      <c r="AC1348" t="s">
        <v>650</v>
      </c>
      <c r="AD1348" t="s">
        <v>9410</v>
      </c>
      <c r="AE1348" t="s">
        <v>2856</v>
      </c>
      <c r="AF1348" t="s">
        <v>100</v>
      </c>
      <c r="AG1348" t="s">
        <v>3089</v>
      </c>
      <c r="AH1348" t="s">
        <v>3093</v>
      </c>
      <c r="AJ1348" s="2">
        <v>45854.540763888886</v>
      </c>
      <c r="AK1348" t="s">
        <v>650</v>
      </c>
      <c r="AL1348" t="s">
        <v>65</v>
      </c>
      <c r="AM1348" t="s">
        <v>9605</v>
      </c>
      <c r="AN1348" t="s">
        <v>66</v>
      </c>
      <c r="AO1348" t="s">
        <v>67</v>
      </c>
    </row>
    <row r="1349" spans="1:41" x14ac:dyDescent="0.2">
      <c r="A1349">
        <v>372823</v>
      </c>
      <c r="B1349" t="s">
        <v>9606</v>
      </c>
      <c r="C1349" t="s">
        <v>69</v>
      </c>
      <c r="D1349" t="s">
        <v>3081</v>
      </c>
      <c r="E1349" t="s">
        <v>9607</v>
      </c>
      <c r="G1349" s="1">
        <v>45784</v>
      </c>
      <c r="H1349" s="1">
        <v>45784</v>
      </c>
      <c r="J1349" t="s">
        <v>45</v>
      </c>
      <c r="K1349" t="s">
        <v>45</v>
      </c>
      <c r="L1349" t="s">
        <v>72</v>
      </c>
      <c r="M1349" s="1">
        <v>42839</v>
      </c>
      <c r="N1349" t="s">
        <v>89</v>
      </c>
      <c r="O1349" t="s">
        <v>121</v>
      </c>
      <c r="P1349" t="s">
        <v>49</v>
      </c>
      <c r="Q1349" t="s">
        <v>2851</v>
      </c>
      <c r="R1349" t="s">
        <v>3083</v>
      </c>
      <c r="S1349">
        <v>2830</v>
      </c>
      <c r="T1349" t="s">
        <v>365</v>
      </c>
      <c r="U1349" t="s">
        <v>532</v>
      </c>
      <c r="V1349" t="s">
        <v>2853</v>
      </c>
      <c r="W1349" t="s">
        <v>367</v>
      </c>
      <c r="X1349" t="s">
        <v>76</v>
      </c>
      <c r="Y1349" t="s">
        <v>9409</v>
      </c>
      <c r="Z1349">
        <v>8851</v>
      </c>
      <c r="AA1349">
        <v>105</v>
      </c>
      <c r="AB1349">
        <v>68</v>
      </c>
      <c r="AC1349" t="s">
        <v>650</v>
      </c>
      <c r="AD1349" t="s">
        <v>9410</v>
      </c>
      <c r="AE1349" t="s">
        <v>2856</v>
      </c>
      <c r="AF1349" t="s">
        <v>100</v>
      </c>
      <c r="AG1349" t="s">
        <v>3089</v>
      </c>
      <c r="AH1349" t="s">
        <v>3093</v>
      </c>
      <c r="AJ1349" s="2">
        <v>45854.542037037034</v>
      </c>
      <c r="AK1349" t="s">
        <v>650</v>
      </c>
      <c r="AL1349" t="s">
        <v>65</v>
      </c>
      <c r="AM1349" t="s">
        <v>9608</v>
      </c>
      <c r="AN1349" t="s">
        <v>66</v>
      </c>
      <c r="AO1349" t="s">
        <v>67</v>
      </c>
    </row>
    <row r="1350" spans="1:41" x14ac:dyDescent="0.2">
      <c r="A1350">
        <v>370984</v>
      </c>
      <c r="B1350" t="s">
        <v>9609</v>
      </c>
      <c r="C1350" t="s">
        <v>69</v>
      </c>
      <c r="D1350" t="s">
        <v>3081</v>
      </c>
      <c r="E1350" t="s">
        <v>9610</v>
      </c>
      <c r="G1350" s="1">
        <v>45792</v>
      </c>
      <c r="H1350" s="1">
        <v>45792</v>
      </c>
      <c r="J1350" t="s">
        <v>45</v>
      </c>
      <c r="K1350" t="s">
        <v>45</v>
      </c>
      <c r="L1350" t="s">
        <v>72</v>
      </c>
      <c r="N1350" t="s">
        <v>89</v>
      </c>
      <c r="O1350" t="s">
        <v>121</v>
      </c>
      <c r="P1350" t="s">
        <v>49</v>
      </c>
      <c r="Q1350" t="s">
        <v>2851</v>
      </c>
      <c r="R1350" t="s">
        <v>3083</v>
      </c>
      <c r="S1350">
        <v>2830</v>
      </c>
      <c r="T1350" t="s">
        <v>365</v>
      </c>
      <c r="U1350" t="s">
        <v>532</v>
      </c>
      <c r="V1350" t="s">
        <v>2853</v>
      </c>
      <c r="W1350" t="s">
        <v>367</v>
      </c>
      <c r="X1350" t="s">
        <v>76</v>
      </c>
      <c r="Y1350" t="s">
        <v>9409</v>
      </c>
      <c r="Z1350">
        <v>8852</v>
      </c>
      <c r="AA1350">
        <v>111</v>
      </c>
      <c r="AB1350">
        <v>68</v>
      </c>
      <c r="AC1350" t="s">
        <v>650</v>
      </c>
      <c r="AD1350" t="s">
        <v>9410</v>
      </c>
      <c r="AE1350" t="s">
        <v>2856</v>
      </c>
      <c r="AF1350" t="s">
        <v>100</v>
      </c>
      <c r="AG1350" t="s">
        <v>3089</v>
      </c>
      <c r="AH1350" t="s">
        <v>3093</v>
      </c>
      <c r="AJ1350" s="2">
        <v>45792.671550925923</v>
      </c>
      <c r="AK1350" t="s">
        <v>650</v>
      </c>
      <c r="AL1350" t="s">
        <v>65</v>
      </c>
      <c r="AM1350" t="s">
        <v>9611</v>
      </c>
      <c r="AN1350" t="s">
        <v>66</v>
      </c>
      <c r="AO1350" t="s">
        <v>67</v>
      </c>
    </row>
    <row r="1351" spans="1:41" x14ac:dyDescent="0.2">
      <c r="A1351">
        <v>372824</v>
      </c>
      <c r="B1351" t="s">
        <v>9612</v>
      </c>
      <c r="C1351" t="s">
        <v>69</v>
      </c>
      <c r="D1351" t="s">
        <v>3081</v>
      </c>
      <c r="E1351" t="s">
        <v>9613</v>
      </c>
      <c r="G1351" s="1">
        <v>45783</v>
      </c>
      <c r="H1351" s="1">
        <v>45792</v>
      </c>
      <c r="J1351" t="s">
        <v>45</v>
      </c>
      <c r="K1351" t="s">
        <v>45</v>
      </c>
      <c r="L1351" t="s">
        <v>72</v>
      </c>
      <c r="N1351" t="s">
        <v>89</v>
      </c>
      <c r="O1351" t="s">
        <v>121</v>
      </c>
      <c r="P1351" t="s">
        <v>49</v>
      </c>
      <c r="Q1351" t="s">
        <v>2851</v>
      </c>
      <c r="R1351" t="s">
        <v>3083</v>
      </c>
      <c r="S1351">
        <v>2830</v>
      </c>
      <c r="T1351" t="s">
        <v>365</v>
      </c>
      <c r="U1351" t="s">
        <v>532</v>
      </c>
      <c r="V1351" t="s">
        <v>2853</v>
      </c>
      <c r="W1351" t="s">
        <v>367</v>
      </c>
      <c r="X1351" t="s">
        <v>76</v>
      </c>
      <c r="Y1351" t="s">
        <v>9409</v>
      </c>
      <c r="Z1351">
        <v>8853</v>
      </c>
      <c r="AA1351">
        <v>94</v>
      </c>
      <c r="AB1351">
        <v>68</v>
      </c>
      <c r="AC1351" t="s">
        <v>650</v>
      </c>
      <c r="AD1351" t="s">
        <v>9410</v>
      </c>
      <c r="AE1351" t="s">
        <v>2856</v>
      </c>
      <c r="AF1351" t="s">
        <v>100</v>
      </c>
      <c r="AG1351" t="s">
        <v>3089</v>
      </c>
      <c r="AH1351" t="s">
        <v>3093</v>
      </c>
      <c r="AJ1351" s="2">
        <v>45854.548726851855</v>
      </c>
      <c r="AK1351" t="s">
        <v>650</v>
      </c>
      <c r="AL1351" t="s">
        <v>65</v>
      </c>
      <c r="AM1351" t="s">
        <v>9614</v>
      </c>
      <c r="AN1351" t="s">
        <v>66</v>
      </c>
      <c r="AO1351" t="s">
        <v>67</v>
      </c>
    </row>
    <row r="1352" spans="1:41" x14ac:dyDescent="0.2">
      <c r="A1352">
        <v>372825</v>
      </c>
      <c r="B1352" t="s">
        <v>9615</v>
      </c>
      <c r="C1352" t="s">
        <v>69</v>
      </c>
      <c r="D1352" t="s">
        <v>3081</v>
      </c>
      <c r="E1352" t="s">
        <v>9616</v>
      </c>
      <c r="G1352" s="1">
        <v>45796</v>
      </c>
      <c r="H1352" s="1">
        <v>45797</v>
      </c>
      <c r="J1352" t="s">
        <v>45</v>
      </c>
      <c r="K1352" t="s">
        <v>45</v>
      </c>
      <c r="L1352" t="s">
        <v>72</v>
      </c>
      <c r="N1352" t="s">
        <v>89</v>
      </c>
      <c r="O1352" t="s">
        <v>121</v>
      </c>
      <c r="P1352" t="s">
        <v>49</v>
      </c>
      <c r="Q1352" t="s">
        <v>2851</v>
      </c>
      <c r="R1352" t="s">
        <v>3083</v>
      </c>
      <c r="S1352">
        <v>2830</v>
      </c>
      <c r="T1352" t="s">
        <v>365</v>
      </c>
      <c r="U1352" t="s">
        <v>532</v>
      </c>
      <c r="V1352" t="s">
        <v>2853</v>
      </c>
      <c r="W1352" t="s">
        <v>367</v>
      </c>
      <c r="X1352" t="s">
        <v>76</v>
      </c>
      <c r="Y1352" t="s">
        <v>9409</v>
      </c>
      <c r="Z1352">
        <v>8854</v>
      </c>
      <c r="AA1352">
        <v>101</v>
      </c>
      <c r="AB1352">
        <v>68</v>
      </c>
      <c r="AC1352" t="s">
        <v>650</v>
      </c>
      <c r="AD1352" t="s">
        <v>9410</v>
      </c>
      <c r="AE1352" t="s">
        <v>2856</v>
      </c>
      <c r="AF1352" t="s">
        <v>100</v>
      </c>
      <c r="AG1352" t="s">
        <v>3089</v>
      </c>
      <c r="AH1352" t="s">
        <v>3093</v>
      </c>
      <c r="AJ1352" s="2">
        <v>45854.549641203703</v>
      </c>
      <c r="AK1352" t="s">
        <v>650</v>
      </c>
      <c r="AL1352" t="s">
        <v>65</v>
      </c>
      <c r="AM1352" t="s">
        <v>9617</v>
      </c>
      <c r="AN1352" t="s">
        <v>66</v>
      </c>
      <c r="AO1352" t="s">
        <v>67</v>
      </c>
    </row>
    <row r="1353" spans="1:41" x14ac:dyDescent="0.2">
      <c r="A1353">
        <v>372519</v>
      </c>
      <c r="B1353" t="s">
        <v>9618</v>
      </c>
      <c r="C1353" t="s">
        <v>69</v>
      </c>
      <c r="D1353" t="s">
        <v>3081</v>
      </c>
      <c r="E1353" t="s">
        <v>9619</v>
      </c>
      <c r="G1353" s="1">
        <v>45839</v>
      </c>
      <c r="H1353" s="1">
        <v>45699</v>
      </c>
      <c r="J1353" t="s">
        <v>45</v>
      </c>
      <c r="K1353" t="s">
        <v>45</v>
      </c>
      <c r="L1353" t="s">
        <v>72</v>
      </c>
      <c r="N1353" t="s">
        <v>89</v>
      </c>
      <c r="O1353" t="s">
        <v>121</v>
      </c>
      <c r="P1353" t="s">
        <v>49</v>
      </c>
      <c r="Q1353" t="s">
        <v>2851</v>
      </c>
      <c r="R1353" t="s">
        <v>3083</v>
      </c>
      <c r="S1353">
        <v>2865</v>
      </c>
      <c r="T1353" t="s">
        <v>365</v>
      </c>
      <c r="U1353" t="s">
        <v>532</v>
      </c>
      <c r="V1353" t="s">
        <v>2853</v>
      </c>
      <c r="W1353" t="s">
        <v>367</v>
      </c>
      <c r="X1353" t="s">
        <v>76</v>
      </c>
      <c r="Y1353" t="s">
        <v>9409</v>
      </c>
      <c r="Z1353">
        <v>4928</v>
      </c>
      <c r="AA1353">
        <v>243</v>
      </c>
      <c r="AB1353">
        <v>68</v>
      </c>
      <c r="AC1353" t="s">
        <v>650</v>
      </c>
      <c r="AD1353" t="s">
        <v>9410</v>
      </c>
      <c r="AE1353" t="s">
        <v>2856</v>
      </c>
      <c r="AF1353" t="s">
        <v>100</v>
      </c>
      <c r="AG1353" t="s">
        <v>3089</v>
      </c>
      <c r="AH1353" t="s">
        <v>2856</v>
      </c>
      <c r="AJ1353" s="2">
        <v>45841.789814814816</v>
      </c>
      <c r="AK1353" t="s">
        <v>650</v>
      </c>
      <c r="AL1353" t="s">
        <v>65</v>
      </c>
      <c r="AM1353" t="s">
        <v>9620</v>
      </c>
      <c r="AN1353" t="s">
        <v>66</v>
      </c>
      <c r="AO1353" t="s">
        <v>67</v>
      </c>
    </row>
    <row r="1354" spans="1:41" x14ac:dyDescent="0.2">
      <c r="A1354">
        <v>372826</v>
      </c>
      <c r="B1354" t="s">
        <v>9621</v>
      </c>
      <c r="C1354" t="s">
        <v>69</v>
      </c>
      <c r="D1354" t="s">
        <v>3081</v>
      </c>
      <c r="E1354" t="s">
        <v>9622</v>
      </c>
      <c r="G1354" s="1">
        <v>45796</v>
      </c>
      <c r="H1354" s="1">
        <v>45797</v>
      </c>
      <c r="J1354" t="s">
        <v>45</v>
      </c>
      <c r="K1354" t="s">
        <v>45</v>
      </c>
      <c r="L1354" t="s">
        <v>72</v>
      </c>
      <c r="M1354" s="1">
        <v>44098</v>
      </c>
      <c r="N1354" t="s">
        <v>89</v>
      </c>
      <c r="O1354" t="s">
        <v>121</v>
      </c>
      <c r="P1354" t="s">
        <v>49</v>
      </c>
      <c r="Q1354" t="s">
        <v>2851</v>
      </c>
      <c r="R1354" t="s">
        <v>3083</v>
      </c>
      <c r="S1354">
        <v>2830</v>
      </c>
      <c r="T1354" t="s">
        <v>365</v>
      </c>
      <c r="U1354" t="s">
        <v>532</v>
      </c>
      <c r="V1354" t="s">
        <v>2853</v>
      </c>
      <c r="W1354" t="s">
        <v>367</v>
      </c>
      <c r="X1354" t="s">
        <v>76</v>
      </c>
      <c r="Y1354" t="s">
        <v>9409</v>
      </c>
      <c r="Z1354">
        <v>8855</v>
      </c>
      <c r="AA1354">
        <v>112</v>
      </c>
      <c r="AB1354">
        <v>68</v>
      </c>
      <c r="AC1354" t="s">
        <v>650</v>
      </c>
      <c r="AD1354" t="s">
        <v>9410</v>
      </c>
      <c r="AE1354" t="s">
        <v>2856</v>
      </c>
      <c r="AF1354" t="s">
        <v>100</v>
      </c>
      <c r="AG1354" t="s">
        <v>3089</v>
      </c>
      <c r="AH1354" t="s">
        <v>2856</v>
      </c>
      <c r="AJ1354" s="2">
        <v>45854.554398148146</v>
      </c>
      <c r="AK1354" t="s">
        <v>650</v>
      </c>
      <c r="AL1354" t="s">
        <v>65</v>
      </c>
      <c r="AM1354" t="s">
        <v>9623</v>
      </c>
      <c r="AN1354" t="s">
        <v>66</v>
      </c>
      <c r="AO1354" t="s">
        <v>67</v>
      </c>
    </row>
    <row r="1355" spans="1:41" x14ac:dyDescent="0.2">
      <c r="A1355">
        <v>372546</v>
      </c>
      <c r="B1355" t="s">
        <v>9624</v>
      </c>
      <c r="C1355" t="s">
        <v>69</v>
      </c>
      <c r="D1355" t="s">
        <v>3081</v>
      </c>
      <c r="E1355" t="s">
        <v>9625</v>
      </c>
      <c r="G1355" s="1">
        <v>45841</v>
      </c>
      <c r="H1355" s="1">
        <v>45700</v>
      </c>
      <c r="J1355" t="s">
        <v>45</v>
      </c>
      <c r="K1355" t="s">
        <v>45</v>
      </c>
      <c r="L1355" t="s">
        <v>72</v>
      </c>
      <c r="N1355" t="s">
        <v>89</v>
      </c>
      <c r="O1355" t="s">
        <v>121</v>
      </c>
      <c r="P1355" t="s">
        <v>49</v>
      </c>
      <c r="Q1355" t="s">
        <v>2851</v>
      </c>
      <c r="R1355" t="s">
        <v>3083</v>
      </c>
      <c r="S1355">
        <v>2865</v>
      </c>
      <c r="T1355" t="s">
        <v>365</v>
      </c>
      <c r="U1355" t="s">
        <v>532</v>
      </c>
      <c r="V1355" t="s">
        <v>2853</v>
      </c>
      <c r="W1355" t="s">
        <v>367</v>
      </c>
      <c r="X1355" t="s">
        <v>76</v>
      </c>
      <c r="Y1355" t="s">
        <v>9409</v>
      </c>
      <c r="Z1355">
        <v>4929</v>
      </c>
      <c r="AA1355">
        <v>209</v>
      </c>
      <c r="AB1355">
        <v>68</v>
      </c>
      <c r="AC1355" t="s">
        <v>650</v>
      </c>
      <c r="AD1355" t="s">
        <v>9410</v>
      </c>
      <c r="AE1355" t="s">
        <v>2856</v>
      </c>
      <c r="AF1355" t="s">
        <v>100</v>
      </c>
      <c r="AG1355" t="s">
        <v>3089</v>
      </c>
      <c r="AH1355" t="s">
        <v>2856</v>
      </c>
      <c r="AJ1355" s="2">
        <v>45845.543969907405</v>
      </c>
      <c r="AK1355" t="s">
        <v>650</v>
      </c>
      <c r="AL1355" t="s">
        <v>65</v>
      </c>
      <c r="AM1355" t="s">
        <v>9626</v>
      </c>
      <c r="AN1355" t="s">
        <v>66</v>
      </c>
      <c r="AO1355" t="s">
        <v>67</v>
      </c>
    </row>
    <row r="1356" spans="1:41" x14ac:dyDescent="0.2">
      <c r="A1356">
        <v>372583</v>
      </c>
      <c r="B1356" t="s">
        <v>9627</v>
      </c>
      <c r="C1356" t="s">
        <v>69</v>
      </c>
      <c r="D1356" t="s">
        <v>3081</v>
      </c>
      <c r="E1356" t="s">
        <v>9628</v>
      </c>
      <c r="G1356" s="1">
        <v>45841</v>
      </c>
      <c r="H1356" s="1">
        <v>45701</v>
      </c>
      <c r="J1356" t="s">
        <v>45</v>
      </c>
      <c r="K1356" t="s">
        <v>45</v>
      </c>
      <c r="L1356" t="s">
        <v>72</v>
      </c>
      <c r="N1356" t="s">
        <v>89</v>
      </c>
      <c r="O1356" t="s">
        <v>121</v>
      </c>
      <c r="P1356" t="s">
        <v>49</v>
      </c>
      <c r="Q1356" t="s">
        <v>2851</v>
      </c>
      <c r="R1356" t="s">
        <v>3083</v>
      </c>
      <c r="S1356">
        <v>2865</v>
      </c>
      <c r="T1356" t="s">
        <v>365</v>
      </c>
      <c r="U1356" t="s">
        <v>532</v>
      </c>
      <c r="V1356" t="s">
        <v>2853</v>
      </c>
      <c r="W1356" t="s">
        <v>367</v>
      </c>
      <c r="X1356" t="s">
        <v>76</v>
      </c>
      <c r="Y1356" t="s">
        <v>9409</v>
      </c>
      <c r="Z1356">
        <v>4930</v>
      </c>
      <c r="AA1356">
        <v>219</v>
      </c>
      <c r="AB1356">
        <v>68</v>
      </c>
      <c r="AC1356" t="s">
        <v>650</v>
      </c>
      <c r="AD1356" t="s">
        <v>9410</v>
      </c>
      <c r="AE1356" t="s">
        <v>2856</v>
      </c>
      <c r="AF1356" t="s">
        <v>100</v>
      </c>
      <c r="AG1356" t="s">
        <v>3089</v>
      </c>
      <c r="AH1356" t="s">
        <v>2856</v>
      </c>
      <c r="AJ1356" s="2">
        <v>45846.549560185187</v>
      </c>
      <c r="AK1356" t="s">
        <v>650</v>
      </c>
      <c r="AL1356" t="s">
        <v>65</v>
      </c>
      <c r="AM1356" t="s">
        <v>9629</v>
      </c>
      <c r="AN1356" t="s">
        <v>66</v>
      </c>
      <c r="AO1356" t="s">
        <v>67</v>
      </c>
    </row>
    <row r="1357" spans="1:41" x14ac:dyDescent="0.2">
      <c r="A1357">
        <v>372591</v>
      </c>
      <c r="B1357" t="s">
        <v>9630</v>
      </c>
      <c r="C1357" t="s">
        <v>69</v>
      </c>
      <c r="D1357" t="s">
        <v>3081</v>
      </c>
      <c r="E1357" t="s">
        <v>9631</v>
      </c>
      <c r="G1357" s="1">
        <v>45841</v>
      </c>
      <c r="H1357" s="1">
        <v>45702</v>
      </c>
      <c r="J1357" t="s">
        <v>45</v>
      </c>
      <c r="K1357" t="s">
        <v>45</v>
      </c>
      <c r="L1357" t="s">
        <v>72</v>
      </c>
      <c r="N1357" t="s">
        <v>89</v>
      </c>
      <c r="O1357" t="s">
        <v>121</v>
      </c>
      <c r="P1357" t="s">
        <v>49</v>
      </c>
      <c r="Q1357" t="s">
        <v>2851</v>
      </c>
      <c r="R1357" t="s">
        <v>3083</v>
      </c>
      <c r="S1357">
        <v>2865</v>
      </c>
      <c r="T1357" t="s">
        <v>365</v>
      </c>
      <c r="U1357" t="s">
        <v>532</v>
      </c>
      <c r="V1357" t="s">
        <v>2853</v>
      </c>
      <c r="W1357" t="s">
        <v>367</v>
      </c>
      <c r="X1357" t="s">
        <v>76</v>
      </c>
      <c r="Y1357" t="s">
        <v>9409</v>
      </c>
      <c r="Z1357">
        <v>4931</v>
      </c>
      <c r="AA1357">
        <v>216</v>
      </c>
      <c r="AB1357">
        <v>68</v>
      </c>
      <c r="AC1357" t="s">
        <v>650</v>
      </c>
      <c r="AD1357" t="s">
        <v>9410</v>
      </c>
      <c r="AE1357" t="s">
        <v>2856</v>
      </c>
      <c r="AF1357" t="s">
        <v>100</v>
      </c>
      <c r="AG1357" t="s">
        <v>3089</v>
      </c>
      <c r="AH1357" t="s">
        <v>2856</v>
      </c>
      <c r="AJ1357" s="2">
        <v>45846.655393518522</v>
      </c>
      <c r="AK1357" t="s">
        <v>650</v>
      </c>
      <c r="AL1357" t="s">
        <v>65</v>
      </c>
      <c r="AM1357" t="s">
        <v>9632</v>
      </c>
      <c r="AN1357" t="s">
        <v>66</v>
      </c>
      <c r="AO1357" t="s">
        <v>67</v>
      </c>
    </row>
    <row r="1358" spans="1:41" x14ac:dyDescent="0.2">
      <c r="A1358">
        <v>372697</v>
      </c>
      <c r="B1358" t="s">
        <v>9633</v>
      </c>
      <c r="C1358" t="s">
        <v>134</v>
      </c>
      <c r="D1358" t="s">
        <v>3459</v>
      </c>
      <c r="E1358" t="s">
        <v>9634</v>
      </c>
      <c r="F1358">
        <v>452512</v>
      </c>
      <c r="G1358" s="1">
        <v>37917</v>
      </c>
      <c r="H1358" s="1">
        <v>45813</v>
      </c>
      <c r="I1358" s="1">
        <v>46174</v>
      </c>
      <c r="J1358" t="s">
        <v>45</v>
      </c>
      <c r="K1358" t="s">
        <v>45</v>
      </c>
      <c r="L1358" t="s">
        <v>429</v>
      </c>
      <c r="M1358" s="1">
        <v>45741</v>
      </c>
      <c r="N1358" t="s">
        <v>47</v>
      </c>
      <c r="O1358" t="s">
        <v>48</v>
      </c>
      <c r="P1358" t="s">
        <v>49</v>
      </c>
      <c r="Q1358" t="s">
        <v>9635</v>
      </c>
      <c r="R1358" t="s">
        <v>9636</v>
      </c>
      <c r="S1358">
        <v>4350</v>
      </c>
      <c r="T1358" t="s">
        <v>52</v>
      </c>
      <c r="U1358">
        <v>6</v>
      </c>
      <c r="V1358" t="s">
        <v>3463</v>
      </c>
      <c r="W1358" t="s">
        <v>54</v>
      </c>
      <c r="X1358" t="s">
        <v>76</v>
      </c>
      <c r="Y1358" t="s">
        <v>56</v>
      </c>
      <c r="Z1358">
        <v>2313</v>
      </c>
      <c r="AA1358">
        <v>44</v>
      </c>
      <c r="AB1358">
        <v>160</v>
      </c>
      <c r="AC1358" t="s">
        <v>3464</v>
      </c>
      <c r="AD1358" t="s">
        <v>6136</v>
      </c>
      <c r="AE1358" t="s">
        <v>3466</v>
      </c>
      <c r="AF1358" t="s">
        <v>4728</v>
      </c>
      <c r="AG1358" t="s">
        <v>4729</v>
      </c>
      <c r="AI1358" t="s">
        <v>3470</v>
      </c>
      <c r="AJ1358" s="2">
        <v>45849.970439814817</v>
      </c>
      <c r="AK1358" t="s">
        <v>4725</v>
      </c>
      <c r="AL1358" t="s">
        <v>65</v>
      </c>
      <c r="AM1358" s="4">
        <v>0.1875</v>
      </c>
      <c r="AN1358" t="s">
        <v>66</v>
      </c>
      <c r="AO1358" t="s">
        <v>67</v>
      </c>
    </row>
    <row r="1359" spans="1:41" x14ac:dyDescent="0.2">
      <c r="A1359">
        <v>367609</v>
      </c>
      <c r="B1359" t="s">
        <v>9637</v>
      </c>
      <c r="C1359" t="s">
        <v>118</v>
      </c>
      <c r="D1359" t="s">
        <v>4931</v>
      </c>
      <c r="E1359">
        <v>32832340</v>
      </c>
      <c r="F1359">
        <v>20501</v>
      </c>
      <c r="G1359" s="1">
        <v>37231</v>
      </c>
      <c r="H1359" s="1">
        <v>45681</v>
      </c>
      <c r="I1359" s="1">
        <v>46023</v>
      </c>
      <c r="J1359" t="s">
        <v>45</v>
      </c>
      <c r="K1359" t="s">
        <v>45</v>
      </c>
      <c r="L1359" t="s">
        <v>46</v>
      </c>
      <c r="M1359" s="1">
        <v>42596</v>
      </c>
      <c r="N1359" t="s">
        <v>47</v>
      </c>
      <c r="O1359" t="s">
        <v>48</v>
      </c>
      <c r="P1359" t="s">
        <v>49</v>
      </c>
      <c r="Q1359" t="s">
        <v>9638</v>
      </c>
      <c r="R1359" t="s">
        <v>9639</v>
      </c>
      <c r="S1359">
        <v>5385</v>
      </c>
      <c r="T1359" t="s">
        <v>52</v>
      </c>
      <c r="U1359">
        <v>3</v>
      </c>
      <c r="V1359" t="s">
        <v>4935</v>
      </c>
      <c r="W1359" t="s">
        <v>54</v>
      </c>
      <c r="X1359" t="s">
        <v>55</v>
      </c>
      <c r="Y1359" t="s">
        <v>56</v>
      </c>
      <c r="Z1359">
        <v>1167</v>
      </c>
      <c r="AA1359">
        <v>63</v>
      </c>
      <c r="AB1359">
        <v>160</v>
      </c>
      <c r="AC1359" t="s">
        <v>4936</v>
      </c>
      <c r="AD1359" t="s">
        <v>9640</v>
      </c>
      <c r="AE1359" t="s">
        <v>9641</v>
      </c>
      <c r="AI1359" t="s">
        <v>1809</v>
      </c>
      <c r="AJ1359" s="2">
        <v>45684.624606481484</v>
      </c>
      <c r="AK1359" t="s">
        <v>64</v>
      </c>
      <c r="AL1359" t="s">
        <v>65</v>
      </c>
      <c r="AM1359" s="4">
        <v>0.27083333333333331</v>
      </c>
      <c r="AN1359" t="s">
        <v>66</v>
      </c>
      <c r="AO1359" t="s">
        <v>67</v>
      </c>
    </row>
    <row r="1360" spans="1:41" x14ac:dyDescent="0.2">
      <c r="A1360">
        <v>365784</v>
      </c>
      <c r="B1360" t="s">
        <v>9642</v>
      </c>
      <c r="C1360" t="s">
        <v>412</v>
      </c>
      <c r="D1360" t="s">
        <v>9643</v>
      </c>
      <c r="E1360">
        <v>83777486</v>
      </c>
      <c r="F1360">
        <v>301101</v>
      </c>
      <c r="G1360" s="1">
        <v>37554</v>
      </c>
      <c r="H1360" s="1">
        <v>45590</v>
      </c>
      <c r="I1360" s="1">
        <v>45962</v>
      </c>
      <c r="J1360" t="s">
        <v>45</v>
      </c>
      <c r="K1360" t="s">
        <v>45</v>
      </c>
      <c r="L1360" t="s">
        <v>72</v>
      </c>
      <c r="M1360" s="1">
        <v>43804</v>
      </c>
      <c r="N1360" t="s">
        <v>47</v>
      </c>
      <c r="O1360" t="s">
        <v>48</v>
      </c>
      <c r="P1360" t="s">
        <v>49</v>
      </c>
      <c r="Q1360" t="s">
        <v>9644</v>
      </c>
      <c r="R1360" t="s">
        <v>9645</v>
      </c>
      <c r="S1360">
        <v>628</v>
      </c>
      <c r="T1360" t="s">
        <v>156</v>
      </c>
      <c r="U1360" t="s">
        <v>1446</v>
      </c>
      <c r="V1360" t="s">
        <v>9646</v>
      </c>
      <c r="W1360" t="s">
        <v>159</v>
      </c>
      <c r="X1360" t="s">
        <v>156</v>
      </c>
      <c r="Y1360" t="s">
        <v>110</v>
      </c>
      <c r="Z1360">
        <v>1545</v>
      </c>
      <c r="AA1360">
        <v>44</v>
      </c>
      <c r="AB1360">
        <v>158</v>
      </c>
      <c r="AC1360" t="s">
        <v>9647</v>
      </c>
      <c r="AD1360" t="s">
        <v>9648</v>
      </c>
      <c r="AE1360" t="s">
        <v>9649</v>
      </c>
      <c r="AF1360" t="s">
        <v>6881</v>
      </c>
      <c r="AG1360" t="s">
        <v>2808</v>
      </c>
      <c r="AH1360" t="s">
        <v>2809</v>
      </c>
      <c r="AI1360" t="s">
        <v>1454</v>
      </c>
      <c r="AJ1360" s="2">
        <v>45593.679409722223</v>
      </c>
      <c r="AK1360" t="s">
        <v>6881</v>
      </c>
      <c r="AL1360" t="s">
        <v>65</v>
      </c>
      <c r="AM1360" s="3">
        <v>1.0763888888888888</v>
      </c>
      <c r="AN1360" t="s">
        <v>66</v>
      </c>
      <c r="AO1360" t="s">
        <v>67</v>
      </c>
    </row>
    <row r="1361" spans="1:41" x14ac:dyDescent="0.2">
      <c r="A1361">
        <v>370919</v>
      </c>
      <c r="B1361" t="s">
        <v>9650</v>
      </c>
      <c r="C1361" t="s">
        <v>236</v>
      </c>
      <c r="D1361" t="s">
        <v>1628</v>
      </c>
      <c r="E1361" t="s">
        <v>9651</v>
      </c>
      <c r="F1361">
        <v>210602</v>
      </c>
      <c r="G1361" s="1">
        <v>35551</v>
      </c>
      <c r="H1361" s="1">
        <v>45790</v>
      </c>
      <c r="I1361" s="1">
        <v>45931</v>
      </c>
      <c r="J1361" t="s">
        <v>45</v>
      </c>
      <c r="K1361" t="s">
        <v>45</v>
      </c>
      <c r="L1361" t="s">
        <v>46</v>
      </c>
      <c r="N1361" t="s">
        <v>47</v>
      </c>
      <c r="O1361" t="s">
        <v>48</v>
      </c>
      <c r="P1361" t="s">
        <v>49</v>
      </c>
      <c r="Q1361" t="s">
        <v>9652</v>
      </c>
      <c r="R1361" t="s">
        <v>9653</v>
      </c>
      <c r="S1361">
        <v>1990</v>
      </c>
      <c r="T1361" t="s">
        <v>52</v>
      </c>
      <c r="U1361">
        <v>9</v>
      </c>
      <c r="V1361" t="s">
        <v>7038</v>
      </c>
      <c r="W1361" t="s">
        <v>54</v>
      </c>
      <c r="X1361" t="s">
        <v>76</v>
      </c>
      <c r="Y1361" t="s">
        <v>56</v>
      </c>
      <c r="Z1361">
        <v>1177</v>
      </c>
      <c r="AA1361">
        <v>55</v>
      </c>
      <c r="AB1361">
        <v>146</v>
      </c>
      <c r="AC1361" t="s">
        <v>9654</v>
      </c>
      <c r="AD1361" t="s">
        <v>8897</v>
      </c>
      <c r="AE1361" t="s">
        <v>8898</v>
      </c>
      <c r="AF1361" t="s">
        <v>8899</v>
      </c>
      <c r="AG1361" t="s">
        <v>5961</v>
      </c>
      <c r="AJ1361" s="2">
        <v>45790.658738425926</v>
      </c>
      <c r="AK1361" t="s">
        <v>9654</v>
      </c>
      <c r="AL1361" t="s">
        <v>65</v>
      </c>
      <c r="AM1361" s="4">
        <v>0.18055555555555555</v>
      </c>
      <c r="AN1361" t="s">
        <v>66</v>
      </c>
      <c r="AO1361" t="s">
        <v>67</v>
      </c>
    </row>
    <row r="1362" spans="1:41" x14ac:dyDescent="0.2">
      <c r="A1362">
        <v>371460</v>
      </c>
      <c r="B1362" t="s">
        <v>9655</v>
      </c>
      <c r="C1362" t="s">
        <v>69</v>
      </c>
      <c r="D1362" t="s">
        <v>1927</v>
      </c>
      <c r="E1362">
        <v>32383256</v>
      </c>
      <c r="F1362">
        <v>102105</v>
      </c>
      <c r="G1362" s="1">
        <v>36418</v>
      </c>
      <c r="H1362" s="1">
        <v>45509</v>
      </c>
      <c r="I1362" s="1">
        <v>46235</v>
      </c>
      <c r="J1362" t="s">
        <v>45</v>
      </c>
      <c r="K1362" t="s">
        <v>45</v>
      </c>
      <c r="L1362" t="s">
        <v>72</v>
      </c>
      <c r="M1362" s="1">
        <v>43355</v>
      </c>
      <c r="N1362" t="s">
        <v>47</v>
      </c>
      <c r="O1362" t="s">
        <v>48</v>
      </c>
      <c r="P1362" t="s">
        <v>49</v>
      </c>
      <c r="Q1362" t="s">
        <v>9656</v>
      </c>
      <c r="R1362" t="s">
        <v>9657</v>
      </c>
      <c r="S1362">
        <v>6337</v>
      </c>
      <c r="T1362" t="s">
        <v>52</v>
      </c>
      <c r="U1362">
        <v>4</v>
      </c>
      <c r="V1362" t="s">
        <v>75</v>
      </c>
      <c r="W1362" t="s">
        <v>54</v>
      </c>
      <c r="X1362" t="s">
        <v>76</v>
      </c>
      <c r="Y1362" t="s">
        <v>56</v>
      </c>
      <c r="Z1362">
        <v>1024</v>
      </c>
      <c r="AA1362">
        <v>66</v>
      </c>
      <c r="AB1362">
        <v>52</v>
      </c>
      <c r="AC1362" t="s">
        <v>77</v>
      </c>
      <c r="AD1362" t="s">
        <v>78</v>
      </c>
      <c r="AE1362" t="s">
        <v>79</v>
      </c>
      <c r="AF1362" t="s">
        <v>9658</v>
      </c>
      <c r="AH1362" t="s">
        <v>9659</v>
      </c>
      <c r="AI1362" t="s">
        <v>9660</v>
      </c>
      <c r="AJ1362" s="2">
        <v>45811.885300925926</v>
      </c>
      <c r="AK1362" t="s">
        <v>2068</v>
      </c>
      <c r="AL1362" t="s">
        <v>65</v>
      </c>
      <c r="AM1362" s="3">
        <v>2.2638888888888888</v>
      </c>
      <c r="AN1362" t="s">
        <v>66</v>
      </c>
      <c r="AO1362" t="s">
        <v>67</v>
      </c>
    </row>
    <row r="1363" spans="1:41" x14ac:dyDescent="0.2">
      <c r="A1363">
        <v>364506</v>
      </c>
      <c r="B1363" t="s">
        <v>9661</v>
      </c>
      <c r="C1363" t="s">
        <v>9662</v>
      </c>
      <c r="D1363" t="s">
        <v>9663</v>
      </c>
      <c r="E1363" t="s">
        <v>9664</v>
      </c>
      <c r="F1363">
        <v>170131</v>
      </c>
      <c r="G1363" s="1">
        <v>39577</v>
      </c>
      <c r="H1363" s="1">
        <v>45547</v>
      </c>
      <c r="I1363" s="1">
        <v>46096</v>
      </c>
      <c r="J1363" t="s">
        <v>45</v>
      </c>
      <c r="K1363" t="s">
        <v>45</v>
      </c>
      <c r="L1363" t="s">
        <v>72</v>
      </c>
      <c r="M1363" s="1">
        <v>43621</v>
      </c>
      <c r="N1363" t="s">
        <v>47</v>
      </c>
      <c r="O1363" t="s">
        <v>48</v>
      </c>
      <c r="P1363" t="s">
        <v>49</v>
      </c>
      <c r="Q1363" t="s">
        <v>9665</v>
      </c>
      <c r="R1363" t="s">
        <v>9666</v>
      </c>
      <c r="S1363">
        <v>0</v>
      </c>
      <c r="T1363" t="s">
        <v>257</v>
      </c>
      <c r="U1363" t="s">
        <v>836</v>
      </c>
      <c r="V1363" t="s">
        <v>9667</v>
      </c>
      <c r="W1363" t="s">
        <v>260</v>
      </c>
      <c r="X1363" t="s">
        <v>257</v>
      </c>
      <c r="Y1363" t="s">
        <v>110</v>
      </c>
      <c r="Z1363">
        <v>520</v>
      </c>
      <c r="AA1363">
        <v>43</v>
      </c>
      <c r="AB1363">
        <v>201</v>
      </c>
      <c r="AC1363" t="s">
        <v>9668</v>
      </c>
      <c r="AD1363" t="s">
        <v>9669</v>
      </c>
      <c r="AE1363" t="s">
        <v>9670</v>
      </c>
      <c r="AF1363" t="s">
        <v>3905</v>
      </c>
      <c r="AG1363" t="s">
        <v>3906</v>
      </c>
      <c r="AH1363" t="s">
        <v>3907</v>
      </c>
      <c r="AI1363" t="s">
        <v>9671</v>
      </c>
      <c r="AJ1363" s="2">
        <v>45548.757673611108</v>
      </c>
      <c r="AK1363" t="s">
        <v>9668</v>
      </c>
      <c r="AL1363" t="s">
        <v>65</v>
      </c>
      <c r="AM1363" s="3">
        <v>1.5833333333333333</v>
      </c>
      <c r="AN1363" t="s">
        <v>66</v>
      </c>
      <c r="AO1363" t="s">
        <v>101</v>
      </c>
    </row>
    <row r="1364" spans="1:41" x14ac:dyDescent="0.2">
      <c r="A1364">
        <v>366756</v>
      </c>
      <c r="B1364" t="s">
        <v>9672</v>
      </c>
      <c r="C1364" t="s">
        <v>236</v>
      </c>
      <c r="D1364" t="s">
        <v>6193</v>
      </c>
      <c r="E1364">
        <v>70708652</v>
      </c>
      <c r="F1364">
        <v>211401</v>
      </c>
      <c r="G1364" s="1">
        <v>35886</v>
      </c>
      <c r="H1364" s="1">
        <v>45630</v>
      </c>
      <c r="J1364" t="s">
        <v>45</v>
      </c>
      <c r="K1364" t="s">
        <v>45</v>
      </c>
      <c r="L1364" t="s">
        <v>72</v>
      </c>
      <c r="M1364" s="1">
        <v>42592</v>
      </c>
      <c r="N1364" t="s">
        <v>47</v>
      </c>
      <c r="O1364" t="s">
        <v>48</v>
      </c>
      <c r="P1364" t="s">
        <v>49</v>
      </c>
      <c r="Q1364" t="s">
        <v>9673</v>
      </c>
      <c r="R1364" t="s">
        <v>9674</v>
      </c>
      <c r="S1364">
        <v>1480</v>
      </c>
      <c r="T1364" t="s">
        <v>92</v>
      </c>
      <c r="U1364" t="s">
        <v>1509</v>
      </c>
      <c r="V1364" t="s">
        <v>506</v>
      </c>
      <c r="W1364" t="s">
        <v>1510</v>
      </c>
      <c r="X1364" t="s">
        <v>52</v>
      </c>
      <c r="Y1364" t="s">
        <v>410</v>
      </c>
      <c r="Z1364">
        <v>1679</v>
      </c>
      <c r="AA1364">
        <v>39</v>
      </c>
      <c r="AB1364">
        <v>174</v>
      </c>
      <c r="AC1364" t="s">
        <v>1511</v>
      </c>
      <c r="AD1364" t="s">
        <v>1512</v>
      </c>
      <c r="AE1364" t="s">
        <v>1513</v>
      </c>
      <c r="AF1364" t="s">
        <v>2137</v>
      </c>
      <c r="AG1364" t="s">
        <v>9675</v>
      </c>
      <c r="AH1364" t="s">
        <v>2139</v>
      </c>
      <c r="AI1364" t="s">
        <v>9676</v>
      </c>
      <c r="AJ1364" s="2">
        <v>45791.806805555556</v>
      </c>
      <c r="AK1364" t="s">
        <v>100</v>
      </c>
      <c r="AL1364" t="s">
        <v>65</v>
      </c>
      <c r="AM1364" s="4">
        <v>0.3125</v>
      </c>
      <c r="AN1364" t="s">
        <v>66</v>
      </c>
      <c r="AO1364" t="s">
        <v>67</v>
      </c>
    </row>
    <row r="1365" spans="1:41" x14ac:dyDescent="0.2">
      <c r="A1365">
        <v>371271</v>
      </c>
      <c r="B1365" t="s">
        <v>9677</v>
      </c>
      <c r="C1365" t="s">
        <v>167</v>
      </c>
      <c r="D1365" t="s">
        <v>3344</v>
      </c>
      <c r="E1365" t="s">
        <v>9678</v>
      </c>
      <c r="F1365">
        <v>351414</v>
      </c>
      <c r="G1365" s="1">
        <v>31712</v>
      </c>
      <c r="H1365" s="1">
        <v>45801</v>
      </c>
      <c r="I1365" s="1">
        <v>46143</v>
      </c>
      <c r="J1365" t="s">
        <v>45</v>
      </c>
      <c r="K1365" t="s">
        <v>45</v>
      </c>
      <c r="L1365" t="s">
        <v>429</v>
      </c>
      <c r="M1365" s="1">
        <v>44790</v>
      </c>
      <c r="N1365" t="s">
        <v>47</v>
      </c>
      <c r="O1365" t="s">
        <v>48</v>
      </c>
      <c r="P1365" t="s">
        <v>49</v>
      </c>
      <c r="Q1365" t="s">
        <v>9679</v>
      </c>
      <c r="R1365" t="s">
        <v>9680</v>
      </c>
      <c r="S1365">
        <v>5180</v>
      </c>
      <c r="T1365" t="s">
        <v>52</v>
      </c>
      <c r="U1365">
        <v>6</v>
      </c>
      <c r="V1365" t="s">
        <v>2875</v>
      </c>
      <c r="W1365" t="s">
        <v>54</v>
      </c>
      <c r="X1365" t="s">
        <v>76</v>
      </c>
      <c r="Y1365" t="s">
        <v>56</v>
      </c>
      <c r="Z1365">
        <v>870</v>
      </c>
      <c r="AA1365">
        <v>58</v>
      </c>
      <c r="AB1365">
        <v>38</v>
      </c>
      <c r="AC1365" t="s">
        <v>2876</v>
      </c>
      <c r="AD1365" t="s">
        <v>2877</v>
      </c>
      <c r="AE1365" t="s">
        <v>2878</v>
      </c>
      <c r="AF1365" t="s">
        <v>2879</v>
      </c>
      <c r="AG1365" t="s">
        <v>2880</v>
      </c>
      <c r="AH1365" t="s">
        <v>2881</v>
      </c>
      <c r="AI1365" t="s">
        <v>2882</v>
      </c>
      <c r="AJ1365" s="2">
        <v>45804.626863425925</v>
      </c>
      <c r="AK1365" t="s">
        <v>568</v>
      </c>
      <c r="AL1365" t="s">
        <v>65</v>
      </c>
      <c r="AM1365" s="3">
        <v>1.1805555555555556</v>
      </c>
      <c r="AN1365" t="s">
        <v>66</v>
      </c>
      <c r="AO1365" t="s">
        <v>67</v>
      </c>
    </row>
    <row r="1366" spans="1:41" x14ac:dyDescent="0.2">
      <c r="A1366">
        <v>372065</v>
      </c>
      <c r="B1366" t="s">
        <v>9681</v>
      </c>
      <c r="C1366" t="s">
        <v>1013</v>
      </c>
      <c r="D1366" t="s">
        <v>9682</v>
      </c>
      <c r="E1366" t="s">
        <v>9683</v>
      </c>
      <c r="F1366">
        <v>320401</v>
      </c>
      <c r="G1366" s="1">
        <v>37496</v>
      </c>
      <c r="H1366" s="1">
        <v>45554</v>
      </c>
      <c r="J1366" t="s">
        <v>45</v>
      </c>
      <c r="K1366" t="s">
        <v>45</v>
      </c>
      <c r="L1366" t="s">
        <v>72</v>
      </c>
      <c r="M1366" s="1">
        <v>42921</v>
      </c>
      <c r="N1366" t="s">
        <v>47</v>
      </c>
      <c r="O1366" t="s">
        <v>48</v>
      </c>
      <c r="P1366" t="s">
        <v>49</v>
      </c>
      <c r="Q1366" t="s">
        <v>9684</v>
      </c>
      <c r="R1366" t="s">
        <v>9685</v>
      </c>
      <c r="S1366">
        <v>1440</v>
      </c>
      <c r="T1366" t="s">
        <v>156</v>
      </c>
      <c r="U1366" t="s">
        <v>1018</v>
      </c>
      <c r="V1366" t="s">
        <v>9686</v>
      </c>
      <c r="W1366" t="s">
        <v>159</v>
      </c>
      <c r="X1366" t="s">
        <v>156</v>
      </c>
      <c r="Y1366" t="s">
        <v>450</v>
      </c>
      <c r="Z1366">
        <v>1894</v>
      </c>
      <c r="AA1366">
        <v>41</v>
      </c>
      <c r="AB1366">
        <v>158</v>
      </c>
      <c r="AC1366" t="s">
        <v>9687</v>
      </c>
      <c r="AD1366" t="s">
        <v>9688</v>
      </c>
      <c r="AE1366" t="s">
        <v>9689</v>
      </c>
      <c r="AF1366" t="s">
        <v>9690</v>
      </c>
      <c r="AG1366" t="s">
        <v>5887</v>
      </c>
      <c r="AH1366" t="s">
        <v>8537</v>
      </c>
      <c r="AI1366" t="s">
        <v>5889</v>
      </c>
      <c r="AJ1366" s="2">
        <v>45828.622627314813</v>
      </c>
      <c r="AK1366" t="s">
        <v>1024</v>
      </c>
      <c r="AL1366" t="s">
        <v>65</v>
      </c>
      <c r="AM1366" s="3">
        <v>1.9166666666666667</v>
      </c>
      <c r="AN1366" t="s">
        <v>66</v>
      </c>
      <c r="AO1366" t="s">
        <v>67</v>
      </c>
    </row>
    <row r="1367" spans="1:41" x14ac:dyDescent="0.2">
      <c r="A1367">
        <v>360703</v>
      </c>
      <c r="B1367" t="s">
        <v>9691</v>
      </c>
      <c r="C1367" t="s">
        <v>662</v>
      </c>
      <c r="D1367" t="s">
        <v>9692</v>
      </c>
      <c r="E1367" t="s">
        <v>9693</v>
      </c>
      <c r="G1367" s="1">
        <v>41275</v>
      </c>
      <c r="H1367" s="1">
        <v>45429</v>
      </c>
      <c r="J1367" t="s">
        <v>45</v>
      </c>
      <c r="K1367" t="s">
        <v>45</v>
      </c>
      <c r="L1367" t="s">
        <v>72</v>
      </c>
      <c r="N1367" t="s">
        <v>47</v>
      </c>
      <c r="O1367" t="s">
        <v>121</v>
      </c>
      <c r="P1367" t="s">
        <v>49</v>
      </c>
      <c r="Q1367" t="s">
        <v>9694</v>
      </c>
      <c r="R1367" t="s">
        <v>9695</v>
      </c>
      <c r="S1367">
        <v>1081</v>
      </c>
      <c r="T1367" t="s">
        <v>92</v>
      </c>
      <c r="U1367" t="s">
        <v>1197</v>
      </c>
      <c r="V1367" t="s">
        <v>1198</v>
      </c>
      <c r="W1367" t="s">
        <v>1199</v>
      </c>
      <c r="X1367" t="s">
        <v>92</v>
      </c>
      <c r="Y1367" t="s">
        <v>1306</v>
      </c>
      <c r="Z1367">
        <v>6046</v>
      </c>
      <c r="AA1367">
        <v>19</v>
      </c>
      <c r="AB1367">
        <v>20</v>
      </c>
      <c r="AC1367" t="s">
        <v>9696</v>
      </c>
      <c r="AD1367" t="s">
        <v>9697</v>
      </c>
      <c r="AE1367" t="s">
        <v>9698</v>
      </c>
      <c r="AJ1367" s="2">
        <v>45429.950092592589</v>
      </c>
      <c r="AK1367" t="s">
        <v>456</v>
      </c>
      <c r="AL1367" t="s">
        <v>65</v>
      </c>
      <c r="AM1367" s="4">
        <v>0.2013888888888889</v>
      </c>
      <c r="AN1367" t="s">
        <v>66</v>
      </c>
      <c r="AO1367" t="s">
        <v>67</v>
      </c>
    </row>
    <row r="1368" spans="1:41" x14ac:dyDescent="0.2">
      <c r="A1368">
        <v>372650</v>
      </c>
      <c r="B1368" t="s">
        <v>9699</v>
      </c>
      <c r="C1368" t="s">
        <v>118</v>
      </c>
      <c r="D1368" t="s">
        <v>4931</v>
      </c>
      <c r="E1368" t="s">
        <v>9700</v>
      </c>
      <c r="G1368" s="1">
        <v>45818</v>
      </c>
      <c r="H1368" s="1">
        <v>45712</v>
      </c>
      <c r="I1368" s="1">
        <v>46054</v>
      </c>
      <c r="J1368" t="s">
        <v>45</v>
      </c>
      <c r="K1368" t="s">
        <v>45</v>
      </c>
      <c r="L1368" t="s">
        <v>72</v>
      </c>
      <c r="N1368" t="s">
        <v>89</v>
      </c>
      <c r="O1368" t="s">
        <v>121</v>
      </c>
      <c r="P1368" t="s">
        <v>49</v>
      </c>
      <c r="Q1368" t="s">
        <v>9701</v>
      </c>
      <c r="R1368" t="s">
        <v>9702</v>
      </c>
      <c r="S1368">
        <v>4060</v>
      </c>
      <c r="T1368" t="s">
        <v>52</v>
      </c>
      <c r="U1368">
        <v>3</v>
      </c>
      <c r="V1368" t="s">
        <v>4935</v>
      </c>
      <c r="W1368" t="s">
        <v>54</v>
      </c>
      <c r="X1368" t="s">
        <v>76</v>
      </c>
      <c r="Y1368" t="s">
        <v>125</v>
      </c>
      <c r="Z1368">
        <v>12151</v>
      </c>
      <c r="AA1368">
        <v>38</v>
      </c>
      <c r="AB1368">
        <v>44</v>
      </c>
      <c r="AC1368" t="s">
        <v>9703</v>
      </c>
      <c r="AD1368" t="s">
        <v>9704</v>
      </c>
      <c r="AE1368" t="s">
        <v>9705</v>
      </c>
      <c r="AF1368" t="s">
        <v>9706</v>
      </c>
      <c r="AG1368" t="s">
        <v>9707</v>
      </c>
      <c r="AH1368" t="s">
        <v>9708</v>
      </c>
      <c r="AI1368" t="s">
        <v>9709</v>
      </c>
      <c r="AJ1368" s="2">
        <v>45848.829837962963</v>
      </c>
      <c r="AK1368" t="s">
        <v>1167</v>
      </c>
      <c r="AL1368" t="s">
        <v>65</v>
      </c>
      <c r="AM1368" s="4">
        <v>0.88541666666666663</v>
      </c>
      <c r="AN1368" t="s">
        <v>66</v>
      </c>
      <c r="AO1368" t="s">
        <v>67</v>
      </c>
    </row>
    <row r="1369" spans="1:41" x14ac:dyDescent="0.2">
      <c r="A1369">
        <v>361911</v>
      </c>
      <c r="B1369" t="s">
        <v>9710</v>
      </c>
      <c r="C1369" t="s">
        <v>345</v>
      </c>
      <c r="D1369" t="s">
        <v>8156</v>
      </c>
      <c r="E1369" t="s">
        <v>9711</v>
      </c>
      <c r="F1369">
        <v>52409</v>
      </c>
      <c r="G1369" s="1">
        <v>33379</v>
      </c>
      <c r="H1369" s="1">
        <v>45461</v>
      </c>
      <c r="I1369" s="1">
        <v>46188</v>
      </c>
      <c r="J1369" t="s">
        <v>45</v>
      </c>
      <c r="K1369" t="s">
        <v>45</v>
      </c>
      <c r="L1369" t="s">
        <v>429</v>
      </c>
      <c r="M1369" s="1">
        <v>42158</v>
      </c>
      <c r="N1369" t="s">
        <v>47</v>
      </c>
      <c r="O1369" t="s">
        <v>48</v>
      </c>
      <c r="P1369" t="s">
        <v>49</v>
      </c>
      <c r="Q1369" t="s">
        <v>9712</v>
      </c>
      <c r="R1369" t="s">
        <v>9713</v>
      </c>
      <c r="S1369">
        <v>7840</v>
      </c>
      <c r="T1369" t="s">
        <v>365</v>
      </c>
      <c r="U1369" t="s">
        <v>432</v>
      </c>
      <c r="V1369" t="s">
        <v>6159</v>
      </c>
      <c r="W1369" t="s">
        <v>367</v>
      </c>
      <c r="X1369" t="s">
        <v>55</v>
      </c>
      <c r="Y1369" t="s">
        <v>434</v>
      </c>
      <c r="Z1369">
        <v>122</v>
      </c>
      <c r="AA1369">
        <v>52</v>
      </c>
      <c r="AB1369">
        <v>158</v>
      </c>
      <c r="AC1369" t="s">
        <v>6160</v>
      </c>
      <c r="AD1369" t="s">
        <v>6161</v>
      </c>
      <c r="AE1369" t="s">
        <v>6162</v>
      </c>
      <c r="AF1369" t="s">
        <v>6163</v>
      </c>
      <c r="AG1369" t="s">
        <v>6066</v>
      </c>
      <c r="AH1369" t="s">
        <v>6164</v>
      </c>
      <c r="AI1369" t="s">
        <v>6165</v>
      </c>
      <c r="AJ1369" s="2">
        <v>45468.837037037039</v>
      </c>
      <c r="AK1369" t="s">
        <v>64</v>
      </c>
      <c r="AL1369" t="s">
        <v>65</v>
      </c>
      <c r="AM1369" s="3">
        <v>2.1111111111111112</v>
      </c>
      <c r="AN1369" t="s">
        <v>66</v>
      </c>
      <c r="AO1369" t="s">
        <v>67</v>
      </c>
    </row>
    <row r="1370" spans="1:41" x14ac:dyDescent="0.2">
      <c r="A1370">
        <v>367105</v>
      </c>
      <c r="B1370" t="s">
        <v>9714</v>
      </c>
      <c r="C1370" t="s">
        <v>676</v>
      </c>
      <c r="D1370" t="s">
        <v>9715</v>
      </c>
      <c r="E1370" t="s">
        <v>9716</v>
      </c>
      <c r="F1370">
        <v>280291</v>
      </c>
      <c r="G1370" s="1">
        <v>38811</v>
      </c>
      <c r="H1370" s="1">
        <v>45576</v>
      </c>
      <c r="I1370" s="1">
        <v>45931</v>
      </c>
      <c r="J1370" t="s">
        <v>45</v>
      </c>
      <c r="K1370" t="s">
        <v>45</v>
      </c>
      <c r="L1370" t="s">
        <v>72</v>
      </c>
      <c r="M1370" s="1">
        <v>44543</v>
      </c>
      <c r="N1370" t="s">
        <v>47</v>
      </c>
      <c r="O1370" t="s">
        <v>48</v>
      </c>
      <c r="P1370" t="s">
        <v>49</v>
      </c>
      <c r="Q1370" t="s">
        <v>9717</v>
      </c>
      <c r="R1370" t="s">
        <v>9718</v>
      </c>
      <c r="S1370">
        <v>105</v>
      </c>
      <c r="T1370" t="s">
        <v>92</v>
      </c>
      <c r="U1370" t="s">
        <v>681</v>
      </c>
      <c r="V1370" t="s">
        <v>682</v>
      </c>
      <c r="W1370" t="s">
        <v>683</v>
      </c>
      <c r="X1370" t="s">
        <v>52</v>
      </c>
      <c r="Y1370" t="s">
        <v>110</v>
      </c>
      <c r="Z1370">
        <v>2405</v>
      </c>
      <c r="AA1370">
        <v>44</v>
      </c>
      <c r="AB1370">
        <v>39</v>
      </c>
      <c r="AC1370" t="s">
        <v>684</v>
      </c>
      <c r="AD1370" t="s">
        <v>685</v>
      </c>
      <c r="AE1370" t="s">
        <v>686</v>
      </c>
      <c r="AF1370" t="s">
        <v>687</v>
      </c>
      <c r="AG1370" t="s">
        <v>688</v>
      </c>
      <c r="AH1370" t="s">
        <v>689</v>
      </c>
      <c r="AI1370" t="s">
        <v>690</v>
      </c>
      <c r="AJ1370" s="2">
        <v>45660.79583333333</v>
      </c>
      <c r="AK1370" t="s">
        <v>684</v>
      </c>
      <c r="AL1370" t="s">
        <v>65</v>
      </c>
      <c r="AM1370" s="3">
        <v>2.1284722222222223</v>
      </c>
      <c r="AN1370" t="s">
        <v>66</v>
      </c>
      <c r="AO1370" t="s">
        <v>101</v>
      </c>
    </row>
    <row r="1371" spans="1:41" x14ac:dyDescent="0.2">
      <c r="A1371">
        <v>365663</v>
      </c>
      <c r="B1371" t="s">
        <v>9719</v>
      </c>
      <c r="C1371" t="s">
        <v>583</v>
      </c>
      <c r="E1371" t="s">
        <v>9720</v>
      </c>
      <c r="F1371">
        <v>156001</v>
      </c>
      <c r="G1371" s="1">
        <v>37716</v>
      </c>
      <c r="H1371" s="1">
        <v>45553</v>
      </c>
      <c r="I1371" s="1">
        <v>46188</v>
      </c>
      <c r="J1371" t="s">
        <v>45</v>
      </c>
      <c r="K1371" t="s">
        <v>45</v>
      </c>
      <c r="L1371" t="s">
        <v>72</v>
      </c>
      <c r="M1371" s="1">
        <v>45553</v>
      </c>
      <c r="N1371" t="s">
        <v>47</v>
      </c>
      <c r="O1371" t="s">
        <v>48</v>
      </c>
      <c r="P1371" t="s">
        <v>49</v>
      </c>
      <c r="Q1371" t="s">
        <v>9721</v>
      </c>
      <c r="R1371" t="s">
        <v>9722</v>
      </c>
      <c r="S1371">
        <v>1388</v>
      </c>
      <c r="T1371" t="s">
        <v>92</v>
      </c>
      <c r="U1371" t="s">
        <v>589</v>
      </c>
      <c r="V1371" t="s">
        <v>590</v>
      </c>
      <c r="W1371" t="s">
        <v>591</v>
      </c>
      <c r="X1371" t="s">
        <v>52</v>
      </c>
      <c r="Y1371" t="s">
        <v>110</v>
      </c>
      <c r="Z1371">
        <v>1364</v>
      </c>
      <c r="AA1371">
        <v>37</v>
      </c>
      <c r="AB1371">
        <v>45</v>
      </c>
      <c r="AC1371" t="s">
        <v>592</v>
      </c>
      <c r="AD1371" t="s">
        <v>593</v>
      </c>
      <c r="AE1371" t="s">
        <v>594</v>
      </c>
      <c r="AF1371" t="s">
        <v>9723</v>
      </c>
      <c r="AG1371" t="s">
        <v>9724</v>
      </c>
      <c r="AH1371" t="s">
        <v>9725</v>
      </c>
      <c r="AJ1371" s="2">
        <v>45588.975740740738</v>
      </c>
      <c r="AK1371" t="s">
        <v>592</v>
      </c>
      <c r="AL1371" t="s">
        <v>65</v>
      </c>
      <c r="AM1371" s="3">
        <v>2.3472222222222223</v>
      </c>
      <c r="AN1371" t="s">
        <v>66</v>
      </c>
      <c r="AO1371" t="s">
        <v>101</v>
      </c>
    </row>
    <row r="1372" spans="1:41" x14ac:dyDescent="0.2">
      <c r="A1372">
        <v>357847</v>
      </c>
      <c r="B1372" t="s">
        <v>9726</v>
      </c>
      <c r="C1372" t="s">
        <v>103</v>
      </c>
      <c r="D1372" t="s">
        <v>168</v>
      </c>
      <c r="E1372">
        <v>40719180</v>
      </c>
      <c r="F1372">
        <v>315902</v>
      </c>
      <c r="G1372" s="1">
        <v>37446</v>
      </c>
      <c r="H1372" s="1">
        <v>45335</v>
      </c>
      <c r="I1372" s="1">
        <v>46310</v>
      </c>
      <c r="J1372" t="s">
        <v>45</v>
      </c>
      <c r="K1372" t="s">
        <v>45</v>
      </c>
      <c r="L1372" t="s">
        <v>72</v>
      </c>
      <c r="M1372" s="1">
        <v>43556</v>
      </c>
      <c r="N1372" t="s">
        <v>47</v>
      </c>
      <c r="O1372" t="s">
        <v>48</v>
      </c>
      <c r="P1372" t="s">
        <v>49</v>
      </c>
      <c r="Q1372" t="s">
        <v>9727</v>
      </c>
      <c r="R1372" t="s">
        <v>9728</v>
      </c>
      <c r="S1372">
        <v>2800</v>
      </c>
      <c r="T1372" t="s">
        <v>92</v>
      </c>
      <c r="U1372" t="s">
        <v>107</v>
      </c>
      <c r="V1372" t="s">
        <v>108</v>
      </c>
      <c r="W1372" t="s">
        <v>109</v>
      </c>
      <c r="X1372" t="s">
        <v>52</v>
      </c>
      <c r="Y1372" t="s">
        <v>110</v>
      </c>
      <c r="Z1372">
        <v>2240</v>
      </c>
      <c r="AA1372">
        <v>46</v>
      </c>
      <c r="AB1372">
        <v>144</v>
      </c>
      <c r="AC1372" t="s">
        <v>9729</v>
      </c>
      <c r="AD1372" t="s">
        <v>9730</v>
      </c>
      <c r="AE1372" t="s">
        <v>9731</v>
      </c>
      <c r="AF1372" t="s">
        <v>9732</v>
      </c>
      <c r="AG1372" t="s">
        <v>9733</v>
      </c>
      <c r="AH1372" t="s">
        <v>9731</v>
      </c>
      <c r="AJ1372" s="2">
        <v>45818.719537037039</v>
      </c>
      <c r="AK1372" t="s">
        <v>100</v>
      </c>
      <c r="AL1372" t="s">
        <v>65</v>
      </c>
      <c r="AM1372" s="4">
        <v>0.42499999999999999</v>
      </c>
      <c r="AN1372" t="s">
        <v>66</v>
      </c>
      <c r="AO1372" t="s">
        <v>67</v>
      </c>
    </row>
    <row r="1373" spans="1:41" x14ac:dyDescent="0.2">
      <c r="A1373">
        <v>366312</v>
      </c>
      <c r="B1373" t="s">
        <v>9734</v>
      </c>
      <c r="C1373" t="s">
        <v>831</v>
      </c>
      <c r="E1373" t="s">
        <v>9735</v>
      </c>
      <c r="F1373">
        <v>446801</v>
      </c>
      <c r="G1373" s="1">
        <v>37591</v>
      </c>
      <c r="H1373" s="1">
        <v>45609</v>
      </c>
      <c r="I1373" s="1">
        <v>45992</v>
      </c>
      <c r="J1373" t="s">
        <v>45</v>
      </c>
      <c r="K1373" t="s">
        <v>45</v>
      </c>
      <c r="L1373" t="s">
        <v>72</v>
      </c>
      <c r="M1373" s="1">
        <v>44909</v>
      </c>
      <c r="N1373" t="s">
        <v>47</v>
      </c>
      <c r="O1373" t="s">
        <v>48</v>
      </c>
      <c r="P1373" t="s">
        <v>49</v>
      </c>
      <c r="Q1373" t="s">
        <v>9736</v>
      </c>
      <c r="R1373" t="s">
        <v>9737</v>
      </c>
      <c r="S1373">
        <v>50</v>
      </c>
      <c r="T1373" t="s">
        <v>156</v>
      </c>
      <c r="U1373" t="s">
        <v>1446</v>
      </c>
      <c r="V1373" t="s">
        <v>9738</v>
      </c>
      <c r="W1373" t="s">
        <v>159</v>
      </c>
      <c r="X1373" t="s">
        <v>156</v>
      </c>
      <c r="Y1373" t="s">
        <v>110</v>
      </c>
      <c r="Z1373">
        <v>2324</v>
      </c>
      <c r="AA1373">
        <v>40</v>
      </c>
      <c r="AB1373">
        <v>45</v>
      </c>
      <c r="AC1373" t="s">
        <v>9739</v>
      </c>
      <c r="AD1373" t="s">
        <v>9740</v>
      </c>
      <c r="AE1373" t="s">
        <v>9741</v>
      </c>
      <c r="AF1373" t="s">
        <v>1455</v>
      </c>
      <c r="AG1373" t="s">
        <v>7878</v>
      </c>
      <c r="AH1373" t="s">
        <v>9742</v>
      </c>
      <c r="AI1373" t="s">
        <v>1454</v>
      </c>
      <c r="AJ1373" s="2">
        <v>45614.600416666668</v>
      </c>
      <c r="AK1373" t="s">
        <v>1455</v>
      </c>
      <c r="AL1373" t="s">
        <v>65</v>
      </c>
      <c r="AM1373" s="3">
        <v>2.1527777777777777</v>
      </c>
      <c r="AN1373" t="s">
        <v>66</v>
      </c>
      <c r="AO1373" t="s">
        <v>101</v>
      </c>
    </row>
    <row r="1374" spans="1:41" x14ac:dyDescent="0.2">
      <c r="A1374">
        <v>369601</v>
      </c>
      <c r="B1374" t="s">
        <v>9743</v>
      </c>
      <c r="C1374" t="s">
        <v>182</v>
      </c>
      <c r="D1374" t="s">
        <v>610</v>
      </c>
      <c r="E1374" t="s">
        <v>9744</v>
      </c>
      <c r="F1374">
        <v>45750</v>
      </c>
      <c r="G1374" s="1">
        <v>44069</v>
      </c>
      <c r="H1374" s="1">
        <v>45743</v>
      </c>
      <c r="I1374" s="1">
        <v>46127</v>
      </c>
      <c r="J1374" t="s">
        <v>45</v>
      </c>
      <c r="K1374" t="s">
        <v>45</v>
      </c>
      <c r="L1374" t="s">
        <v>72</v>
      </c>
      <c r="N1374" t="s">
        <v>47</v>
      </c>
      <c r="O1374" t="s">
        <v>48</v>
      </c>
      <c r="P1374" t="s">
        <v>49</v>
      </c>
      <c r="Q1374" t="s">
        <v>9745</v>
      </c>
      <c r="R1374" t="s">
        <v>9746</v>
      </c>
      <c r="S1374">
        <v>2338</v>
      </c>
      <c r="T1374" t="s">
        <v>52</v>
      </c>
      <c r="U1374">
        <v>5</v>
      </c>
      <c r="V1374" t="s">
        <v>614</v>
      </c>
      <c r="W1374" t="s">
        <v>54</v>
      </c>
      <c r="X1374" t="s">
        <v>493</v>
      </c>
      <c r="Y1374" t="s">
        <v>434</v>
      </c>
      <c r="Z1374">
        <v>11227</v>
      </c>
      <c r="AA1374">
        <v>12</v>
      </c>
      <c r="AB1374">
        <v>78</v>
      </c>
      <c r="AC1374" t="s">
        <v>9747</v>
      </c>
      <c r="AD1374" t="s">
        <v>616</v>
      </c>
      <c r="AE1374" t="s">
        <v>617</v>
      </c>
      <c r="AF1374" t="s">
        <v>4148</v>
      </c>
      <c r="AG1374" t="s">
        <v>619</v>
      </c>
      <c r="AH1374" t="s">
        <v>617</v>
      </c>
      <c r="AI1374" t="s">
        <v>500</v>
      </c>
      <c r="AJ1374" s="2">
        <v>45747.606909722221</v>
      </c>
      <c r="AK1374" t="s">
        <v>540</v>
      </c>
      <c r="AL1374" t="s">
        <v>65</v>
      </c>
      <c r="AM1374" s="3">
        <v>2.1597222222222223</v>
      </c>
      <c r="AN1374" t="s">
        <v>66</v>
      </c>
      <c r="AO1374" t="s">
        <v>67</v>
      </c>
    </row>
    <row r="1375" spans="1:41" x14ac:dyDescent="0.2">
      <c r="A1375">
        <v>363190</v>
      </c>
      <c r="B1375" t="s">
        <v>9748</v>
      </c>
      <c r="C1375" t="s">
        <v>182</v>
      </c>
      <c r="D1375" t="s">
        <v>932</v>
      </c>
      <c r="E1375" t="s">
        <v>9749</v>
      </c>
      <c r="F1375">
        <v>41214</v>
      </c>
      <c r="G1375" s="1">
        <v>37721</v>
      </c>
      <c r="H1375" s="1">
        <v>45497</v>
      </c>
      <c r="J1375" t="s">
        <v>45</v>
      </c>
      <c r="K1375" t="s">
        <v>72</v>
      </c>
      <c r="L1375" t="s">
        <v>72</v>
      </c>
      <c r="M1375" s="1">
        <v>38852</v>
      </c>
      <c r="N1375" t="s">
        <v>47</v>
      </c>
      <c r="O1375" t="s">
        <v>48</v>
      </c>
      <c r="P1375" t="s">
        <v>49</v>
      </c>
      <c r="Q1375" t="s">
        <v>9750</v>
      </c>
      <c r="R1375" t="s">
        <v>9751</v>
      </c>
      <c r="S1375">
        <v>2535</v>
      </c>
      <c r="T1375" t="s">
        <v>92</v>
      </c>
      <c r="U1375" t="s">
        <v>187</v>
      </c>
      <c r="V1375" t="s">
        <v>447</v>
      </c>
      <c r="W1375" t="s">
        <v>448</v>
      </c>
      <c r="X1375" t="s">
        <v>92</v>
      </c>
      <c r="Y1375" t="s">
        <v>450</v>
      </c>
      <c r="Z1375">
        <v>2338</v>
      </c>
      <c r="AA1375">
        <v>46</v>
      </c>
      <c r="AB1375">
        <v>38</v>
      </c>
      <c r="AC1375" t="s">
        <v>451</v>
      </c>
      <c r="AD1375" t="s">
        <v>4047</v>
      </c>
      <c r="AE1375" t="s">
        <v>453</v>
      </c>
      <c r="AF1375" t="s">
        <v>454</v>
      </c>
      <c r="AG1375" t="s">
        <v>473</v>
      </c>
      <c r="AH1375" t="s">
        <v>474</v>
      </c>
      <c r="AJ1375" s="2">
        <v>45506.689618055556</v>
      </c>
      <c r="AK1375" t="s">
        <v>526</v>
      </c>
      <c r="AL1375" t="s">
        <v>65</v>
      </c>
      <c r="AM1375" s="4">
        <v>0.56944444444444442</v>
      </c>
      <c r="AN1375" t="s">
        <v>66</v>
      </c>
      <c r="AO1375" t="s">
        <v>67</v>
      </c>
    </row>
    <row r="1376" spans="1:41" x14ac:dyDescent="0.2">
      <c r="A1376">
        <v>371661</v>
      </c>
      <c r="B1376" t="s">
        <v>9752</v>
      </c>
      <c r="C1376" t="s">
        <v>42</v>
      </c>
      <c r="D1376" t="s">
        <v>2670</v>
      </c>
      <c r="E1376">
        <v>32814352</v>
      </c>
      <c r="F1376">
        <v>290204</v>
      </c>
      <c r="G1376" s="1">
        <v>37361</v>
      </c>
      <c r="H1376" s="1">
        <v>45813</v>
      </c>
      <c r="I1376" s="1">
        <v>46143</v>
      </c>
      <c r="J1376" t="s">
        <v>45</v>
      </c>
      <c r="K1376" t="s">
        <v>45</v>
      </c>
      <c r="L1376" t="s">
        <v>46</v>
      </c>
      <c r="M1376" s="1">
        <v>44909</v>
      </c>
      <c r="N1376" t="s">
        <v>47</v>
      </c>
      <c r="O1376" t="s">
        <v>48</v>
      </c>
      <c r="P1376" t="s">
        <v>49</v>
      </c>
      <c r="Q1376" t="s">
        <v>9753</v>
      </c>
      <c r="R1376" t="s">
        <v>9754</v>
      </c>
      <c r="S1376">
        <v>8864</v>
      </c>
      <c r="T1376" t="s">
        <v>52</v>
      </c>
      <c r="U1376">
        <v>3</v>
      </c>
      <c r="V1376" t="s">
        <v>4458</v>
      </c>
      <c r="W1376" t="s">
        <v>54</v>
      </c>
      <c r="X1376" t="s">
        <v>55</v>
      </c>
      <c r="Y1376" t="s">
        <v>56</v>
      </c>
      <c r="Z1376">
        <v>1935</v>
      </c>
      <c r="AA1376">
        <v>53</v>
      </c>
      <c r="AB1376">
        <v>174</v>
      </c>
      <c r="AC1376" t="s">
        <v>5149</v>
      </c>
      <c r="AD1376" t="s">
        <v>5150</v>
      </c>
      <c r="AE1376" t="s">
        <v>5151</v>
      </c>
      <c r="AF1376" t="s">
        <v>1763</v>
      </c>
      <c r="AG1376" t="s">
        <v>1764</v>
      </c>
      <c r="AH1376" t="s">
        <v>1765</v>
      </c>
      <c r="AI1376" t="s">
        <v>9755</v>
      </c>
      <c r="AJ1376" s="2">
        <v>45817.852129629631</v>
      </c>
      <c r="AK1376" t="s">
        <v>609</v>
      </c>
      <c r="AL1376" t="s">
        <v>65</v>
      </c>
      <c r="AM1376" s="4">
        <v>0.66666666666666663</v>
      </c>
      <c r="AN1376" t="s">
        <v>66</v>
      </c>
      <c r="AO1376" t="s">
        <v>67</v>
      </c>
    </row>
    <row r="1377" spans="1:41" x14ac:dyDescent="0.2">
      <c r="A1377">
        <v>371559</v>
      </c>
      <c r="B1377" t="s">
        <v>9756</v>
      </c>
      <c r="C1377" t="s">
        <v>323</v>
      </c>
      <c r="D1377" t="s">
        <v>339</v>
      </c>
      <c r="E1377">
        <v>32895482</v>
      </c>
      <c r="F1377">
        <v>500759</v>
      </c>
      <c r="G1377" s="1">
        <v>39953</v>
      </c>
      <c r="H1377" s="1">
        <v>45765</v>
      </c>
      <c r="I1377" s="1">
        <v>46037</v>
      </c>
      <c r="J1377" t="s">
        <v>45</v>
      </c>
      <c r="K1377" t="s">
        <v>45</v>
      </c>
      <c r="L1377" t="s">
        <v>72</v>
      </c>
      <c r="M1377" s="1">
        <v>45374</v>
      </c>
      <c r="N1377" t="s">
        <v>47</v>
      </c>
      <c r="O1377" t="s">
        <v>48</v>
      </c>
      <c r="P1377" t="s">
        <v>49</v>
      </c>
      <c r="Q1377" t="s">
        <v>9757</v>
      </c>
      <c r="R1377" t="s">
        <v>9758</v>
      </c>
      <c r="S1377">
        <v>1442</v>
      </c>
      <c r="T1377" t="s">
        <v>1328</v>
      </c>
      <c r="U1377" t="s">
        <v>1329</v>
      </c>
      <c r="V1377" t="s">
        <v>2832</v>
      </c>
      <c r="W1377" t="s">
        <v>1331</v>
      </c>
      <c r="X1377" t="s">
        <v>1328</v>
      </c>
      <c r="Y1377" t="s">
        <v>110</v>
      </c>
      <c r="Z1377">
        <v>3069</v>
      </c>
      <c r="AA1377">
        <v>32</v>
      </c>
      <c r="AB1377">
        <v>38</v>
      </c>
      <c r="AC1377" t="s">
        <v>2833</v>
      </c>
      <c r="AD1377" t="s">
        <v>2834</v>
      </c>
      <c r="AE1377" t="s">
        <v>2835</v>
      </c>
      <c r="AF1377" t="s">
        <v>368</v>
      </c>
      <c r="AG1377" t="s">
        <v>369</v>
      </c>
      <c r="AH1377" t="s">
        <v>370</v>
      </c>
      <c r="AJ1377" s="2">
        <v>45814.94295138889</v>
      </c>
      <c r="AK1377" t="s">
        <v>727</v>
      </c>
      <c r="AL1377" t="s">
        <v>65</v>
      </c>
      <c r="AM1377" s="3">
        <v>1.25</v>
      </c>
      <c r="AN1377" t="s">
        <v>66</v>
      </c>
      <c r="AO1377" t="s">
        <v>67</v>
      </c>
    </row>
    <row r="1378" spans="1:41" x14ac:dyDescent="0.2">
      <c r="A1378">
        <v>372532</v>
      </c>
      <c r="B1378" t="s">
        <v>9759</v>
      </c>
      <c r="C1378" t="s">
        <v>323</v>
      </c>
      <c r="D1378" t="s">
        <v>5058</v>
      </c>
      <c r="E1378" t="s">
        <v>9760</v>
      </c>
      <c r="F1378">
        <v>500936</v>
      </c>
      <c r="G1378" s="1">
        <v>33052</v>
      </c>
      <c r="H1378" s="1">
        <v>45841</v>
      </c>
      <c r="I1378" s="1">
        <v>46037</v>
      </c>
      <c r="J1378" t="s">
        <v>45</v>
      </c>
      <c r="K1378" t="s">
        <v>45</v>
      </c>
      <c r="L1378" t="s">
        <v>72</v>
      </c>
      <c r="M1378" s="1">
        <v>43222</v>
      </c>
      <c r="N1378" t="s">
        <v>47</v>
      </c>
      <c r="O1378" t="s">
        <v>48</v>
      </c>
      <c r="P1378" t="s">
        <v>49</v>
      </c>
      <c r="Q1378" t="s">
        <v>9761</v>
      </c>
      <c r="R1378" t="s">
        <v>9762</v>
      </c>
      <c r="S1378">
        <v>2408</v>
      </c>
      <c r="T1378" t="s">
        <v>156</v>
      </c>
      <c r="U1378" t="s">
        <v>460</v>
      </c>
      <c r="V1378" t="s">
        <v>330</v>
      </c>
      <c r="W1378" t="s">
        <v>159</v>
      </c>
      <c r="X1378" t="s">
        <v>156</v>
      </c>
      <c r="Y1378" t="s">
        <v>110</v>
      </c>
      <c r="Z1378">
        <v>458</v>
      </c>
      <c r="AA1378">
        <v>45</v>
      </c>
      <c r="AB1378">
        <v>158</v>
      </c>
      <c r="AC1378" t="s">
        <v>461</v>
      </c>
      <c r="AD1378" t="s">
        <v>369</v>
      </c>
      <c r="AE1378" t="s">
        <v>462</v>
      </c>
      <c r="AF1378" t="s">
        <v>463</v>
      </c>
      <c r="AG1378" t="s">
        <v>464</v>
      </c>
      <c r="AH1378" t="s">
        <v>465</v>
      </c>
      <c r="AI1378" t="s">
        <v>466</v>
      </c>
      <c r="AJ1378" s="2">
        <v>45842.093449074076</v>
      </c>
      <c r="AK1378" t="s">
        <v>384</v>
      </c>
      <c r="AL1378" t="s">
        <v>65</v>
      </c>
      <c r="AM1378" s="4">
        <v>0.77777777777777779</v>
      </c>
      <c r="AN1378" t="s">
        <v>66</v>
      </c>
      <c r="AO1378" t="s">
        <v>67</v>
      </c>
    </row>
    <row r="1379" spans="1:41" x14ac:dyDescent="0.2">
      <c r="A1379">
        <v>366977</v>
      </c>
      <c r="B1379" t="s">
        <v>9763</v>
      </c>
      <c r="C1379" t="s">
        <v>182</v>
      </c>
      <c r="D1379" t="s">
        <v>2901</v>
      </c>
      <c r="E1379">
        <v>32538042</v>
      </c>
      <c r="F1379">
        <v>45013</v>
      </c>
      <c r="G1379" s="1">
        <v>33499</v>
      </c>
      <c r="H1379" s="1">
        <v>45643</v>
      </c>
      <c r="I1379" s="1">
        <v>45945</v>
      </c>
      <c r="J1379" t="s">
        <v>45</v>
      </c>
      <c r="K1379" t="s">
        <v>45</v>
      </c>
      <c r="L1379" t="s">
        <v>46</v>
      </c>
      <c r="M1379" s="1">
        <v>38369</v>
      </c>
      <c r="N1379" t="s">
        <v>47</v>
      </c>
      <c r="O1379" t="s">
        <v>48</v>
      </c>
      <c r="P1379" t="s">
        <v>49</v>
      </c>
      <c r="Q1379" t="s">
        <v>9764</v>
      </c>
      <c r="R1379" t="s">
        <v>9765</v>
      </c>
      <c r="S1379">
        <v>4545</v>
      </c>
      <c r="T1379" t="s">
        <v>365</v>
      </c>
      <c r="U1379" t="s">
        <v>815</v>
      </c>
      <c r="V1379" t="s">
        <v>816</v>
      </c>
      <c r="W1379" t="s">
        <v>367</v>
      </c>
      <c r="X1379" t="s">
        <v>493</v>
      </c>
      <c r="Y1379" t="s">
        <v>434</v>
      </c>
      <c r="Z1379">
        <v>87</v>
      </c>
      <c r="AA1379">
        <v>54</v>
      </c>
      <c r="AB1379">
        <v>158</v>
      </c>
      <c r="AC1379" t="s">
        <v>817</v>
      </c>
      <c r="AD1379" t="s">
        <v>818</v>
      </c>
      <c r="AE1379" t="s">
        <v>819</v>
      </c>
      <c r="AI1379" t="s">
        <v>179</v>
      </c>
      <c r="AJ1379" s="2">
        <v>45649.708668981482</v>
      </c>
      <c r="AK1379" t="s">
        <v>2668</v>
      </c>
      <c r="AL1379" t="s">
        <v>65</v>
      </c>
      <c r="AM1379" s="4">
        <v>0.59027777777777779</v>
      </c>
      <c r="AN1379" t="s">
        <v>66</v>
      </c>
      <c r="AO1379" t="s">
        <v>67</v>
      </c>
    </row>
    <row r="1380" spans="1:41" x14ac:dyDescent="0.2">
      <c r="A1380">
        <v>367879</v>
      </c>
      <c r="B1380" t="s">
        <v>9766</v>
      </c>
      <c r="C1380" t="s">
        <v>788</v>
      </c>
      <c r="D1380" t="s">
        <v>9767</v>
      </c>
      <c r="E1380" t="s">
        <v>9768</v>
      </c>
      <c r="F1380">
        <v>81501</v>
      </c>
      <c r="G1380" s="1">
        <v>44483</v>
      </c>
      <c r="H1380" s="1">
        <v>45628</v>
      </c>
      <c r="J1380" t="s">
        <v>45</v>
      </c>
      <c r="K1380" t="s">
        <v>45</v>
      </c>
      <c r="L1380" t="s">
        <v>72</v>
      </c>
      <c r="N1380" t="s">
        <v>47</v>
      </c>
      <c r="O1380" t="s">
        <v>48</v>
      </c>
      <c r="P1380" t="s">
        <v>49</v>
      </c>
      <c r="Q1380" t="s">
        <v>9769</v>
      </c>
      <c r="R1380" t="s">
        <v>9770</v>
      </c>
      <c r="S1380">
        <v>135</v>
      </c>
      <c r="T1380" t="s">
        <v>92</v>
      </c>
      <c r="U1380" t="s">
        <v>2815</v>
      </c>
      <c r="V1380" t="s">
        <v>2816</v>
      </c>
      <c r="W1380" t="s">
        <v>2817</v>
      </c>
      <c r="X1380" t="s">
        <v>92</v>
      </c>
      <c r="Y1380" t="s">
        <v>410</v>
      </c>
      <c r="Z1380">
        <v>11747</v>
      </c>
      <c r="AA1380">
        <v>13</v>
      </c>
      <c r="AB1380">
        <v>189</v>
      </c>
      <c r="AC1380" t="s">
        <v>9771</v>
      </c>
      <c r="AD1380" t="s">
        <v>9772</v>
      </c>
      <c r="AE1380" t="s">
        <v>9773</v>
      </c>
      <c r="AF1380" t="s">
        <v>2821</v>
      </c>
      <c r="AG1380" t="s">
        <v>2822</v>
      </c>
      <c r="AH1380" t="s">
        <v>2823</v>
      </c>
      <c r="AJ1380" s="2">
        <v>45693.649016203701</v>
      </c>
      <c r="AK1380" t="s">
        <v>149</v>
      </c>
      <c r="AL1380" t="s">
        <v>65</v>
      </c>
      <c r="AM1380" s="3">
        <v>1.2986111111111112</v>
      </c>
      <c r="AN1380" t="s">
        <v>66</v>
      </c>
      <c r="AO1380" t="s">
        <v>101</v>
      </c>
    </row>
    <row r="1381" spans="1:41" x14ac:dyDescent="0.2">
      <c r="A1381">
        <v>361887</v>
      </c>
      <c r="B1381" t="s">
        <v>9774</v>
      </c>
      <c r="C1381" t="s">
        <v>345</v>
      </c>
      <c r="D1381" t="s">
        <v>8114</v>
      </c>
      <c r="E1381" t="s">
        <v>9775</v>
      </c>
      <c r="F1381">
        <v>52704</v>
      </c>
      <c r="G1381" s="1">
        <v>30872</v>
      </c>
      <c r="H1381" s="1">
        <v>45462</v>
      </c>
      <c r="I1381" s="1">
        <v>46113</v>
      </c>
      <c r="J1381" t="s">
        <v>45</v>
      </c>
      <c r="K1381" t="s">
        <v>45</v>
      </c>
      <c r="L1381" t="s">
        <v>429</v>
      </c>
      <c r="M1381" s="1">
        <v>32819</v>
      </c>
      <c r="N1381" t="s">
        <v>47</v>
      </c>
      <c r="O1381" t="s">
        <v>48</v>
      </c>
      <c r="P1381" t="s">
        <v>49</v>
      </c>
      <c r="Q1381" t="s">
        <v>9776</v>
      </c>
      <c r="R1381" t="s">
        <v>9777</v>
      </c>
      <c r="S1381">
        <v>6267</v>
      </c>
      <c r="T1381" t="s">
        <v>365</v>
      </c>
      <c r="U1381" t="s">
        <v>432</v>
      </c>
      <c r="V1381" t="s">
        <v>2611</v>
      </c>
      <c r="W1381" t="s">
        <v>367</v>
      </c>
      <c r="X1381" t="s">
        <v>55</v>
      </c>
      <c r="Y1381" t="s">
        <v>434</v>
      </c>
      <c r="Z1381">
        <v>125</v>
      </c>
      <c r="AA1381">
        <v>50</v>
      </c>
      <c r="AB1381">
        <v>52</v>
      </c>
      <c r="AC1381" t="s">
        <v>2612</v>
      </c>
      <c r="AD1381" t="s">
        <v>2613</v>
      </c>
      <c r="AE1381" t="s">
        <v>2614</v>
      </c>
      <c r="AF1381" t="s">
        <v>2615</v>
      </c>
      <c r="AH1381" t="s">
        <v>2616</v>
      </c>
      <c r="AI1381" t="s">
        <v>179</v>
      </c>
      <c r="AJ1381" s="2">
        <v>45468.669814814813</v>
      </c>
      <c r="AK1381" t="s">
        <v>64</v>
      </c>
      <c r="AL1381" t="s">
        <v>65</v>
      </c>
      <c r="AM1381" s="3">
        <v>2.1944444444444446</v>
      </c>
      <c r="AN1381" t="s">
        <v>66</v>
      </c>
      <c r="AO1381" t="s">
        <v>67</v>
      </c>
    </row>
    <row r="1382" spans="1:41" x14ac:dyDescent="0.2">
      <c r="A1382">
        <v>372170</v>
      </c>
      <c r="B1382" t="s">
        <v>9778</v>
      </c>
      <c r="C1382" t="s">
        <v>662</v>
      </c>
      <c r="D1382" t="s">
        <v>9779</v>
      </c>
      <c r="E1382" t="s">
        <v>9780</v>
      </c>
      <c r="F1382">
        <v>419001</v>
      </c>
      <c r="G1382" s="1">
        <v>40883</v>
      </c>
      <c r="H1382" s="1">
        <v>45544</v>
      </c>
      <c r="I1382" s="1">
        <v>45931</v>
      </c>
      <c r="J1382" t="s">
        <v>45</v>
      </c>
      <c r="K1382" t="s">
        <v>326</v>
      </c>
      <c r="L1382" t="s">
        <v>72</v>
      </c>
      <c r="M1382" s="1">
        <v>45832</v>
      </c>
      <c r="N1382" t="s">
        <v>47</v>
      </c>
      <c r="O1382" t="s">
        <v>48</v>
      </c>
      <c r="P1382" t="s">
        <v>49</v>
      </c>
      <c r="Q1382" t="s">
        <v>9781</v>
      </c>
      <c r="R1382" t="s">
        <v>9782</v>
      </c>
      <c r="S1382">
        <v>1905</v>
      </c>
      <c r="T1382" t="s">
        <v>92</v>
      </c>
      <c r="U1382" t="s">
        <v>1197</v>
      </c>
      <c r="V1382" t="s">
        <v>1198</v>
      </c>
      <c r="W1382" t="s">
        <v>1199</v>
      </c>
      <c r="X1382" t="s">
        <v>92</v>
      </c>
      <c r="Y1382" t="s">
        <v>110</v>
      </c>
      <c r="Z1382">
        <v>4526</v>
      </c>
      <c r="AA1382">
        <v>29</v>
      </c>
      <c r="AB1382">
        <v>210</v>
      </c>
      <c r="AC1382" t="s">
        <v>6845</v>
      </c>
      <c r="AD1382" t="s">
        <v>1201</v>
      </c>
      <c r="AE1382" t="s">
        <v>1202</v>
      </c>
      <c r="AF1382" t="s">
        <v>1727</v>
      </c>
      <c r="AG1382" t="s">
        <v>1728</v>
      </c>
      <c r="AH1382" t="s">
        <v>1729</v>
      </c>
      <c r="AJ1382" s="2">
        <v>45832.890243055554</v>
      </c>
      <c r="AK1382" t="s">
        <v>4740</v>
      </c>
      <c r="AL1382" t="s">
        <v>65</v>
      </c>
      <c r="AM1382" s="3">
        <v>1.9236111111111112</v>
      </c>
      <c r="AN1382" t="s">
        <v>66</v>
      </c>
      <c r="AO1382" t="s">
        <v>67</v>
      </c>
    </row>
    <row r="1383" spans="1:41" x14ac:dyDescent="0.2">
      <c r="A1383">
        <v>369095</v>
      </c>
      <c r="B1383" t="s">
        <v>9783</v>
      </c>
      <c r="C1383" t="s">
        <v>323</v>
      </c>
      <c r="D1383" t="s">
        <v>4275</v>
      </c>
      <c r="E1383" t="s">
        <v>9784</v>
      </c>
      <c r="F1383">
        <v>500974</v>
      </c>
      <c r="G1383" s="1">
        <v>44335</v>
      </c>
      <c r="H1383" s="1">
        <v>45415</v>
      </c>
      <c r="J1383" t="s">
        <v>45</v>
      </c>
      <c r="K1383" t="s">
        <v>45</v>
      </c>
      <c r="L1383" t="s">
        <v>72</v>
      </c>
      <c r="N1383" t="s">
        <v>47</v>
      </c>
      <c r="O1383" t="s">
        <v>48</v>
      </c>
      <c r="P1383" t="s">
        <v>586</v>
      </c>
      <c r="Q1383" t="s">
        <v>9785</v>
      </c>
      <c r="R1383" t="s">
        <v>9786</v>
      </c>
      <c r="S1383">
        <v>262</v>
      </c>
      <c r="T1383" t="s">
        <v>1328</v>
      </c>
      <c r="U1383" t="s">
        <v>1329</v>
      </c>
      <c r="V1383" t="s">
        <v>8266</v>
      </c>
      <c r="W1383" t="s">
        <v>1331</v>
      </c>
      <c r="X1383" t="s">
        <v>1328</v>
      </c>
      <c r="Y1383" t="s">
        <v>770</v>
      </c>
      <c r="Z1383">
        <v>5646</v>
      </c>
      <c r="AA1383">
        <v>32</v>
      </c>
      <c r="AB1383">
        <v>28</v>
      </c>
      <c r="AC1383" t="s">
        <v>2866</v>
      </c>
      <c r="AD1383" t="s">
        <v>8268</v>
      </c>
      <c r="AE1383" t="s">
        <v>9787</v>
      </c>
      <c r="AJ1383" s="2">
        <v>45726.871354166666</v>
      </c>
      <c r="AK1383" t="s">
        <v>1167</v>
      </c>
      <c r="AL1383" t="s">
        <v>65</v>
      </c>
      <c r="AM1383" s="4">
        <v>0.68055555555555558</v>
      </c>
      <c r="AN1383" t="s">
        <v>66</v>
      </c>
      <c r="AO1383" t="s">
        <v>67</v>
      </c>
    </row>
    <row r="1384" spans="1:41" x14ac:dyDescent="0.2">
      <c r="A1384">
        <v>368242</v>
      </c>
      <c r="B1384" t="s">
        <v>9788</v>
      </c>
      <c r="C1384" t="s">
        <v>134</v>
      </c>
      <c r="D1384" t="s">
        <v>9789</v>
      </c>
      <c r="E1384">
        <v>32463392</v>
      </c>
      <c r="F1384">
        <v>450911</v>
      </c>
      <c r="G1384" s="1">
        <v>33773</v>
      </c>
      <c r="H1384" s="1">
        <v>45508</v>
      </c>
      <c r="I1384" s="1">
        <v>46218</v>
      </c>
      <c r="J1384" t="s">
        <v>45</v>
      </c>
      <c r="K1384" t="s">
        <v>45</v>
      </c>
      <c r="L1384" t="s">
        <v>72</v>
      </c>
      <c r="M1384" s="1">
        <v>39990</v>
      </c>
      <c r="N1384" t="s">
        <v>47</v>
      </c>
      <c r="O1384" t="s">
        <v>48</v>
      </c>
      <c r="P1384" t="s">
        <v>49</v>
      </c>
      <c r="Q1384" t="s">
        <v>9790</v>
      </c>
      <c r="R1384" t="s">
        <v>9791</v>
      </c>
      <c r="S1384">
        <v>2408</v>
      </c>
      <c r="T1384" t="s">
        <v>52</v>
      </c>
      <c r="U1384">
        <v>6</v>
      </c>
      <c r="V1384" t="s">
        <v>5660</v>
      </c>
      <c r="W1384" t="s">
        <v>54</v>
      </c>
      <c r="X1384" t="s">
        <v>76</v>
      </c>
      <c r="Y1384" t="s">
        <v>56</v>
      </c>
      <c r="Z1384">
        <v>812</v>
      </c>
      <c r="AA1384">
        <v>59</v>
      </c>
      <c r="AB1384">
        <v>28</v>
      </c>
      <c r="AC1384" t="s">
        <v>5661</v>
      </c>
      <c r="AD1384" t="s">
        <v>5662</v>
      </c>
      <c r="AE1384" t="s">
        <v>5663</v>
      </c>
      <c r="AF1384" t="s">
        <v>5664</v>
      </c>
      <c r="AG1384" t="s">
        <v>5665</v>
      </c>
      <c r="AH1384" t="s">
        <v>5666</v>
      </c>
      <c r="AI1384" t="s">
        <v>5667</v>
      </c>
      <c r="AJ1384" s="2">
        <v>45706.856319444443</v>
      </c>
      <c r="AK1384" t="s">
        <v>5661</v>
      </c>
      <c r="AL1384" t="s">
        <v>65</v>
      </c>
      <c r="AM1384" s="3">
        <v>1.5138888888888888</v>
      </c>
      <c r="AN1384" t="s">
        <v>66</v>
      </c>
      <c r="AO1384" t="s">
        <v>67</v>
      </c>
    </row>
    <row r="1385" spans="1:41" x14ac:dyDescent="0.2">
      <c r="A1385">
        <v>371118</v>
      </c>
      <c r="B1385" t="s">
        <v>9792</v>
      </c>
      <c r="C1385" t="s">
        <v>42</v>
      </c>
      <c r="D1385" t="s">
        <v>5911</v>
      </c>
      <c r="E1385" t="s">
        <v>9793</v>
      </c>
      <c r="F1385">
        <v>290702</v>
      </c>
      <c r="G1385" s="1">
        <v>34820</v>
      </c>
      <c r="H1385" s="1">
        <v>45792</v>
      </c>
      <c r="I1385" s="1">
        <v>46143</v>
      </c>
      <c r="J1385" t="s">
        <v>45</v>
      </c>
      <c r="K1385" t="s">
        <v>45</v>
      </c>
      <c r="L1385" t="s">
        <v>429</v>
      </c>
      <c r="M1385" s="1">
        <v>37182</v>
      </c>
      <c r="N1385" t="s">
        <v>47</v>
      </c>
      <c r="O1385" t="s">
        <v>48</v>
      </c>
      <c r="P1385" t="s">
        <v>49</v>
      </c>
      <c r="Q1385" t="s">
        <v>9794</v>
      </c>
      <c r="R1385" t="s">
        <v>9795</v>
      </c>
      <c r="S1385">
        <v>8248</v>
      </c>
      <c r="T1385" t="s">
        <v>52</v>
      </c>
      <c r="U1385">
        <v>3</v>
      </c>
      <c r="V1385" t="s">
        <v>1759</v>
      </c>
      <c r="W1385" t="s">
        <v>54</v>
      </c>
      <c r="X1385" t="s">
        <v>55</v>
      </c>
      <c r="Y1385" t="s">
        <v>56</v>
      </c>
      <c r="Z1385">
        <v>1185</v>
      </c>
      <c r="AA1385">
        <v>52</v>
      </c>
      <c r="AB1385">
        <v>176</v>
      </c>
      <c r="AC1385" t="s">
        <v>5734</v>
      </c>
      <c r="AD1385" t="s">
        <v>1761</v>
      </c>
      <c r="AE1385" t="s">
        <v>1762</v>
      </c>
      <c r="AF1385" t="s">
        <v>1763</v>
      </c>
      <c r="AG1385" t="s">
        <v>1764</v>
      </c>
      <c r="AH1385" t="s">
        <v>1765</v>
      </c>
      <c r="AI1385" t="s">
        <v>1809</v>
      </c>
      <c r="AJ1385" s="2">
        <v>45796.766689814816</v>
      </c>
      <c r="AK1385" t="s">
        <v>609</v>
      </c>
      <c r="AL1385" t="s">
        <v>65</v>
      </c>
      <c r="AM1385" s="4">
        <v>0.3611111111111111</v>
      </c>
      <c r="AN1385" t="s">
        <v>66</v>
      </c>
      <c r="AO1385" t="s">
        <v>67</v>
      </c>
    </row>
    <row r="1386" spans="1:41" x14ac:dyDescent="0.2">
      <c r="A1386">
        <v>371006</v>
      </c>
      <c r="B1386" t="s">
        <v>9796</v>
      </c>
      <c r="C1386" t="s">
        <v>278</v>
      </c>
      <c r="D1386" t="s">
        <v>5653</v>
      </c>
      <c r="E1386" t="s">
        <v>9797</v>
      </c>
      <c r="F1386">
        <v>422502</v>
      </c>
      <c r="G1386" s="1">
        <v>30489</v>
      </c>
      <c r="H1386" s="1">
        <v>45790</v>
      </c>
      <c r="I1386" s="1">
        <v>46096</v>
      </c>
      <c r="J1386" t="s">
        <v>45</v>
      </c>
      <c r="K1386" t="s">
        <v>45</v>
      </c>
      <c r="L1386" t="s">
        <v>72</v>
      </c>
      <c r="M1386" s="1">
        <v>44621</v>
      </c>
      <c r="N1386" t="s">
        <v>47</v>
      </c>
      <c r="O1386" t="s">
        <v>48</v>
      </c>
      <c r="P1386" t="s">
        <v>49</v>
      </c>
      <c r="Q1386" t="s">
        <v>9798</v>
      </c>
      <c r="R1386" t="s">
        <v>9799</v>
      </c>
      <c r="S1386">
        <v>5744</v>
      </c>
      <c r="T1386" t="s">
        <v>365</v>
      </c>
      <c r="U1386" t="s">
        <v>432</v>
      </c>
      <c r="V1386" t="s">
        <v>1499</v>
      </c>
      <c r="W1386" t="s">
        <v>367</v>
      </c>
      <c r="X1386" t="s">
        <v>55</v>
      </c>
      <c r="Y1386" t="s">
        <v>434</v>
      </c>
      <c r="Z1386">
        <v>339</v>
      </c>
      <c r="AA1386">
        <v>61</v>
      </c>
      <c r="AB1386">
        <v>166</v>
      </c>
      <c r="AC1386" t="s">
        <v>1500</v>
      </c>
      <c r="AD1386" t="s">
        <v>1501</v>
      </c>
      <c r="AE1386" t="s">
        <v>1502</v>
      </c>
      <c r="AH1386" t="s">
        <v>1504</v>
      </c>
      <c r="AI1386" t="s">
        <v>179</v>
      </c>
      <c r="AJ1386" s="2">
        <v>45792.743055555555</v>
      </c>
      <c r="AK1386" t="s">
        <v>307</v>
      </c>
      <c r="AL1386" t="s">
        <v>65</v>
      </c>
      <c r="AM1386" s="3">
        <v>1.9305555555555556</v>
      </c>
      <c r="AN1386" t="s">
        <v>66</v>
      </c>
      <c r="AO1386" t="s">
        <v>67</v>
      </c>
    </row>
    <row r="1387" spans="1:41" x14ac:dyDescent="0.2">
      <c r="A1387">
        <v>369199</v>
      </c>
      <c r="B1387" t="s">
        <v>9800</v>
      </c>
      <c r="C1387" t="s">
        <v>182</v>
      </c>
      <c r="D1387" t="s">
        <v>4083</v>
      </c>
      <c r="E1387" t="s">
        <v>9801</v>
      </c>
      <c r="F1387">
        <v>44105</v>
      </c>
      <c r="G1387" s="1">
        <v>37419</v>
      </c>
      <c r="H1387" s="1">
        <v>45727</v>
      </c>
      <c r="I1387" s="1">
        <v>46096</v>
      </c>
      <c r="J1387" t="s">
        <v>45</v>
      </c>
      <c r="K1387" t="s">
        <v>45</v>
      </c>
      <c r="L1387" t="s">
        <v>429</v>
      </c>
      <c r="M1387" s="1">
        <v>44775</v>
      </c>
      <c r="N1387" t="s">
        <v>47</v>
      </c>
      <c r="O1387" t="s">
        <v>48</v>
      </c>
      <c r="P1387" t="s">
        <v>49</v>
      </c>
      <c r="Q1387" t="s">
        <v>9802</v>
      </c>
      <c r="R1387" t="s">
        <v>9803</v>
      </c>
      <c r="S1387">
        <v>3762</v>
      </c>
      <c r="T1387" t="s">
        <v>52</v>
      </c>
      <c r="U1387">
        <v>5</v>
      </c>
      <c r="V1387" t="s">
        <v>1817</v>
      </c>
      <c r="W1387" t="s">
        <v>54</v>
      </c>
      <c r="X1387" t="s">
        <v>493</v>
      </c>
      <c r="Y1387" t="s">
        <v>434</v>
      </c>
      <c r="Z1387">
        <v>1712</v>
      </c>
      <c r="AA1387">
        <v>73</v>
      </c>
      <c r="AB1387">
        <v>144</v>
      </c>
      <c r="AC1387" t="s">
        <v>1818</v>
      </c>
      <c r="AD1387" t="s">
        <v>1819</v>
      </c>
      <c r="AE1387" t="s">
        <v>1820</v>
      </c>
      <c r="AF1387" t="s">
        <v>1821</v>
      </c>
      <c r="AG1387" t="s">
        <v>1822</v>
      </c>
      <c r="AH1387" t="s">
        <v>1823</v>
      </c>
      <c r="AI1387" t="s">
        <v>500</v>
      </c>
      <c r="AJ1387" s="2">
        <v>45728.966689814813</v>
      </c>
      <c r="AK1387" t="s">
        <v>1472</v>
      </c>
      <c r="AL1387" t="s">
        <v>65</v>
      </c>
      <c r="AM1387" s="3">
        <v>1.9930555555555556</v>
      </c>
      <c r="AN1387" t="s">
        <v>66</v>
      </c>
      <c r="AO1387" t="s">
        <v>67</v>
      </c>
    </row>
    <row r="1388" spans="1:41" x14ac:dyDescent="0.2">
      <c r="A1388">
        <v>371077</v>
      </c>
      <c r="B1388" t="s">
        <v>9804</v>
      </c>
      <c r="C1388" t="s">
        <v>103</v>
      </c>
      <c r="D1388" t="s">
        <v>3755</v>
      </c>
      <c r="E1388" t="s">
        <v>9805</v>
      </c>
      <c r="F1388">
        <v>313404</v>
      </c>
      <c r="G1388" s="1">
        <v>40639</v>
      </c>
      <c r="H1388" s="1">
        <v>45267</v>
      </c>
      <c r="I1388" s="1">
        <v>46296</v>
      </c>
      <c r="J1388" t="s">
        <v>45</v>
      </c>
      <c r="K1388" t="s">
        <v>45</v>
      </c>
      <c r="L1388" t="s">
        <v>72</v>
      </c>
      <c r="M1388" s="1">
        <v>44372</v>
      </c>
      <c r="N1388" t="s">
        <v>47</v>
      </c>
      <c r="O1388" t="s">
        <v>48</v>
      </c>
      <c r="P1388" t="s">
        <v>49</v>
      </c>
      <c r="Q1388" t="s">
        <v>9806</v>
      </c>
      <c r="R1388" t="s">
        <v>9807</v>
      </c>
      <c r="S1388">
        <v>3634</v>
      </c>
      <c r="T1388" t="s">
        <v>92</v>
      </c>
      <c r="U1388" t="s">
        <v>107</v>
      </c>
      <c r="V1388" t="s">
        <v>108</v>
      </c>
      <c r="W1388" t="s">
        <v>109</v>
      </c>
      <c r="X1388" t="s">
        <v>92</v>
      </c>
      <c r="Y1388" t="s">
        <v>110</v>
      </c>
      <c r="Z1388">
        <v>4506</v>
      </c>
      <c r="AA1388">
        <v>39</v>
      </c>
      <c r="AB1388">
        <v>166</v>
      </c>
      <c r="AC1388" t="s">
        <v>111</v>
      </c>
      <c r="AD1388" t="s">
        <v>112</v>
      </c>
      <c r="AE1388" t="s">
        <v>113</v>
      </c>
      <c r="AF1388" t="s">
        <v>114</v>
      </c>
      <c r="AG1388" t="s">
        <v>115</v>
      </c>
      <c r="AH1388" t="s">
        <v>116</v>
      </c>
      <c r="AI1388" t="s">
        <v>112</v>
      </c>
      <c r="AJ1388" s="2">
        <v>45818.719537037039</v>
      </c>
      <c r="AK1388" t="s">
        <v>100</v>
      </c>
      <c r="AL1388" t="s">
        <v>65</v>
      </c>
      <c r="AM1388" s="3">
        <v>1.9097222222222223</v>
      </c>
      <c r="AN1388" t="s">
        <v>66</v>
      </c>
      <c r="AO1388" t="s">
        <v>67</v>
      </c>
    </row>
    <row r="1389" spans="1:41" x14ac:dyDescent="0.2">
      <c r="A1389">
        <v>367653</v>
      </c>
      <c r="B1389" t="s">
        <v>9808</v>
      </c>
      <c r="C1389" t="s">
        <v>979</v>
      </c>
      <c r="D1389" t="s">
        <v>9809</v>
      </c>
      <c r="E1389" t="s">
        <v>9810</v>
      </c>
      <c r="F1389">
        <v>34802</v>
      </c>
      <c r="G1389" s="1">
        <v>37868</v>
      </c>
      <c r="H1389" s="1">
        <v>45671</v>
      </c>
      <c r="I1389" s="1">
        <v>46037</v>
      </c>
      <c r="J1389" t="s">
        <v>45</v>
      </c>
      <c r="K1389" t="s">
        <v>45</v>
      </c>
      <c r="L1389" t="s">
        <v>72</v>
      </c>
      <c r="M1389" s="1">
        <v>44544</v>
      </c>
      <c r="N1389" t="s">
        <v>47</v>
      </c>
      <c r="O1389" t="s">
        <v>48</v>
      </c>
      <c r="P1389" t="s">
        <v>49</v>
      </c>
      <c r="Q1389" t="s">
        <v>9811</v>
      </c>
      <c r="R1389" t="s">
        <v>9812</v>
      </c>
      <c r="S1389">
        <v>675</v>
      </c>
      <c r="T1389" t="s">
        <v>52</v>
      </c>
      <c r="U1389">
        <v>8</v>
      </c>
      <c r="V1389" t="s">
        <v>3178</v>
      </c>
      <c r="W1389" t="s">
        <v>54</v>
      </c>
      <c r="X1389" t="s">
        <v>76</v>
      </c>
      <c r="Y1389" t="s">
        <v>56</v>
      </c>
      <c r="Z1389">
        <v>1358</v>
      </c>
      <c r="AA1389">
        <v>56</v>
      </c>
      <c r="AB1389">
        <v>160</v>
      </c>
      <c r="AC1389" t="s">
        <v>985</v>
      </c>
      <c r="AD1389" t="s">
        <v>986</v>
      </c>
      <c r="AE1389" t="s">
        <v>987</v>
      </c>
      <c r="AI1389" t="s">
        <v>988</v>
      </c>
      <c r="AJ1389" s="2">
        <v>45685.800069444442</v>
      </c>
      <c r="AK1389" t="s">
        <v>985</v>
      </c>
      <c r="AL1389" t="s">
        <v>65</v>
      </c>
      <c r="AM1389" s="4">
        <v>0.10416666666666667</v>
      </c>
      <c r="AN1389" t="s">
        <v>66</v>
      </c>
      <c r="AO1389" t="s">
        <v>67</v>
      </c>
    </row>
    <row r="1390" spans="1:41" x14ac:dyDescent="0.2">
      <c r="A1390">
        <v>364128</v>
      </c>
      <c r="B1390" t="s">
        <v>9813</v>
      </c>
      <c r="C1390" t="s">
        <v>735</v>
      </c>
      <c r="D1390" t="s">
        <v>1628</v>
      </c>
      <c r="E1390" s="5">
        <v>521043</v>
      </c>
      <c r="F1390">
        <v>241404</v>
      </c>
      <c r="G1390" s="1">
        <v>33939</v>
      </c>
      <c r="H1390" s="1">
        <v>45518</v>
      </c>
      <c r="I1390" s="1">
        <v>46235</v>
      </c>
      <c r="J1390" t="s">
        <v>45</v>
      </c>
      <c r="K1390" t="s">
        <v>45</v>
      </c>
      <c r="L1390" t="s">
        <v>429</v>
      </c>
      <c r="M1390" s="1">
        <v>38778</v>
      </c>
      <c r="N1390" t="s">
        <v>47</v>
      </c>
      <c r="O1390" t="s">
        <v>48</v>
      </c>
      <c r="P1390" t="s">
        <v>49</v>
      </c>
      <c r="Q1390" t="s">
        <v>9814</v>
      </c>
      <c r="R1390" t="s">
        <v>9815</v>
      </c>
      <c r="S1390">
        <v>3593</v>
      </c>
      <c r="T1390" t="s">
        <v>296</v>
      </c>
      <c r="U1390" t="s">
        <v>2267</v>
      </c>
      <c r="V1390" t="s">
        <v>9084</v>
      </c>
      <c r="W1390" t="s">
        <v>299</v>
      </c>
      <c r="X1390" t="s">
        <v>76</v>
      </c>
      <c r="Y1390" t="s">
        <v>56</v>
      </c>
      <c r="Z1390">
        <v>10</v>
      </c>
      <c r="AA1390">
        <v>60</v>
      </c>
      <c r="AB1390">
        <v>158</v>
      </c>
      <c r="AC1390" t="s">
        <v>9085</v>
      </c>
      <c r="AD1390" t="s">
        <v>9086</v>
      </c>
      <c r="AE1390" t="s">
        <v>9087</v>
      </c>
      <c r="AF1390" t="s">
        <v>9088</v>
      </c>
      <c r="AG1390" t="s">
        <v>9089</v>
      </c>
      <c r="AH1390" t="s">
        <v>9090</v>
      </c>
      <c r="AI1390" t="s">
        <v>2274</v>
      </c>
      <c r="AJ1390" s="2">
        <v>45533.651261574072</v>
      </c>
      <c r="AK1390" t="s">
        <v>568</v>
      </c>
      <c r="AL1390" t="s">
        <v>65</v>
      </c>
      <c r="AM1390" s="3">
        <v>1.7916666666666667</v>
      </c>
      <c r="AN1390" t="s">
        <v>66</v>
      </c>
      <c r="AO1390" t="s">
        <v>67</v>
      </c>
    </row>
    <row r="1391" spans="1:41" x14ac:dyDescent="0.2">
      <c r="A1391">
        <v>372577</v>
      </c>
      <c r="B1391" t="s">
        <v>9816</v>
      </c>
      <c r="C1391" t="s">
        <v>134</v>
      </c>
      <c r="D1391" t="s">
        <v>9817</v>
      </c>
      <c r="E1391" t="s">
        <v>9818</v>
      </c>
      <c r="F1391">
        <v>451615</v>
      </c>
      <c r="G1391" s="1">
        <v>41388</v>
      </c>
      <c r="H1391" s="1">
        <v>45833</v>
      </c>
      <c r="I1391" s="1">
        <v>46174</v>
      </c>
      <c r="J1391" t="s">
        <v>45</v>
      </c>
      <c r="K1391" t="s">
        <v>326</v>
      </c>
      <c r="L1391" t="s">
        <v>72</v>
      </c>
      <c r="M1391" s="1">
        <v>43390</v>
      </c>
      <c r="N1391" t="s">
        <v>47</v>
      </c>
      <c r="O1391" t="s">
        <v>48</v>
      </c>
      <c r="P1391" t="s">
        <v>49</v>
      </c>
      <c r="Q1391" t="s">
        <v>9819</v>
      </c>
      <c r="R1391" t="s">
        <v>9820</v>
      </c>
      <c r="S1391">
        <v>786</v>
      </c>
      <c r="T1391" t="s">
        <v>92</v>
      </c>
      <c r="U1391" t="s">
        <v>139</v>
      </c>
      <c r="V1391" t="s">
        <v>140</v>
      </c>
      <c r="W1391" t="s">
        <v>141</v>
      </c>
      <c r="X1391" t="s">
        <v>92</v>
      </c>
      <c r="Y1391" t="s">
        <v>110</v>
      </c>
      <c r="Z1391">
        <v>4487</v>
      </c>
      <c r="AA1391">
        <v>34</v>
      </c>
      <c r="AB1391">
        <v>166</v>
      </c>
      <c r="AC1391" t="s">
        <v>9821</v>
      </c>
      <c r="AD1391" t="s">
        <v>9822</v>
      </c>
      <c r="AE1391" t="s">
        <v>9823</v>
      </c>
      <c r="AF1391" t="s">
        <v>145</v>
      </c>
      <c r="AG1391" t="s">
        <v>146</v>
      </c>
      <c r="AH1391" t="s">
        <v>147</v>
      </c>
      <c r="AI1391" t="s">
        <v>148</v>
      </c>
      <c r="AJ1391" s="2">
        <v>45845.91265046296</v>
      </c>
      <c r="AK1391" t="s">
        <v>9821</v>
      </c>
      <c r="AL1391" t="s">
        <v>65</v>
      </c>
      <c r="AM1391" s="3">
        <v>1.7847222222222223</v>
      </c>
      <c r="AN1391" t="s">
        <v>66</v>
      </c>
      <c r="AO1391" t="s">
        <v>67</v>
      </c>
    </row>
    <row r="1392" spans="1:41" x14ac:dyDescent="0.2">
      <c r="A1392">
        <v>363008</v>
      </c>
      <c r="B1392" t="s">
        <v>9824</v>
      </c>
      <c r="C1392" t="s">
        <v>278</v>
      </c>
      <c r="D1392" t="s">
        <v>9825</v>
      </c>
      <c r="E1392" t="s">
        <v>9826</v>
      </c>
      <c r="F1392">
        <v>421602</v>
      </c>
      <c r="G1392" s="1">
        <v>36319</v>
      </c>
      <c r="H1392" s="1">
        <v>45463</v>
      </c>
      <c r="I1392" s="1">
        <v>46188</v>
      </c>
      <c r="J1392" t="s">
        <v>45</v>
      </c>
      <c r="K1392" t="s">
        <v>45</v>
      </c>
      <c r="L1392" t="s">
        <v>429</v>
      </c>
      <c r="M1392" s="1">
        <v>44378</v>
      </c>
      <c r="N1392" t="s">
        <v>47</v>
      </c>
      <c r="O1392" t="s">
        <v>48</v>
      </c>
      <c r="P1392" t="s">
        <v>49</v>
      </c>
      <c r="Q1392" t="s">
        <v>9827</v>
      </c>
      <c r="R1392" t="s">
        <v>9828</v>
      </c>
      <c r="S1392">
        <v>8700</v>
      </c>
      <c r="T1392" t="s">
        <v>52</v>
      </c>
      <c r="U1392">
        <v>4</v>
      </c>
      <c r="V1392" t="s">
        <v>2102</v>
      </c>
      <c r="W1392" t="s">
        <v>54</v>
      </c>
      <c r="X1392" t="s">
        <v>55</v>
      </c>
      <c r="Y1392" t="s">
        <v>56</v>
      </c>
      <c r="Z1392">
        <v>1423</v>
      </c>
      <c r="AA1392">
        <v>46</v>
      </c>
      <c r="AB1392">
        <v>80</v>
      </c>
      <c r="AC1392" t="s">
        <v>2103</v>
      </c>
      <c r="AD1392" t="s">
        <v>2104</v>
      </c>
      <c r="AE1392" t="s">
        <v>2105</v>
      </c>
      <c r="AF1392" t="s">
        <v>9829</v>
      </c>
      <c r="AG1392" t="s">
        <v>9830</v>
      </c>
      <c r="AH1392" t="s">
        <v>9831</v>
      </c>
      <c r="AI1392" t="s">
        <v>179</v>
      </c>
      <c r="AJ1392" s="2">
        <v>45502.556388888886</v>
      </c>
      <c r="AK1392" t="s">
        <v>9832</v>
      </c>
      <c r="AL1392" t="s">
        <v>65</v>
      </c>
      <c r="AM1392" s="4">
        <v>0.68055555555555558</v>
      </c>
      <c r="AN1392" t="s">
        <v>66</v>
      </c>
      <c r="AO1392" t="s">
        <v>67</v>
      </c>
    </row>
    <row r="1393" spans="1:41" x14ac:dyDescent="0.2">
      <c r="A1393">
        <v>367936</v>
      </c>
      <c r="B1393" t="s">
        <v>9833</v>
      </c>
      <c r="C1393" t="s">
        <v>662</v>
      </c>
      <c r="D1393" t="s">
        <v>1782</v>
      </c>
      <c r="E1393" t="s">
        <v>9834</v>
      </c>
      <c r="G1393" s="1">
        <v>43082</v>
      </c>
      <c r="H1393" s="1">
        <v>45687</v>
      </c>
      <c r="J1393" t="s">
        <v>45</v>
      </c>
      <c r="K1393" t="s">
        <v>45</v>
      </c>
      <c r="L1393" t="s">
        <v>72</v>
      </c>
      <c r="N1393" t="s">
        <v>47</v>
      </c>
      <c r="O1393" t="s">
        <v>48</v>
      </c>
      <c r="P1393" t="s">
        <v>49</v>
      </c>
      <c r="Q1393" t="s">
        <v>9835</v>
      </c>
      <c r="R1393" t="s">
        <v>9836</v>
      </c>
      <c r="S1393">
        <v>498</v>
      </c>
      <c r="T1393" t="s">
        <v>92</v>
      </c>
      <c r="U1393" t="s">
        <v>1197</v>
      </c>
      <c r="V1393" t="s">
        <v>1791</v>
      </c>
      <c r="W1393" t="s">
        <v>1792</v>
      </c>
      <c r="X1393" t="s">
        <v>92</v>
      </c>
      <c r="Y1393" t="s">
        <v>450</v>
      </c>
      <c r="Z1393">
        <v>9367</v>
      </c>
      <c r="AA1393">
        <v>14</v>
      </c>
      <c r="AB1393">
        <v>28</v>
      </c>
      <c r="AC1393" t="s">
        <v>1796</v>
      </c>
      <c r="AD1393" t="s">
        <v>1797</v>
      </c>
      <c r="AE1393" t="s">
        <v>1798</v>
      </c>
      <c r="AF1393" t="s">
        <v>1793</v>
      </c>
      <c r="AG1393" t="s">
        <v>1794</v>
      </c>
      <c r="AH1393" t="s">
        <v>1795</v>
      </c>
      <c r="AJ1393" s="2">
        <v>45693.842870370368</v>
      </c>
      <c r="AK1393" t="s">
        <v>526</v>
      </c>
      <c r="AL1393" t="s">
        <v>65</v>
      </c>
      <c r="AM1393" s="3">
        <v>1.6597222222222223</v>
      </c>
      <c r="AN1393" t="s">
        <v>66</v>
      </c>
      <c r="AO1393" t="s">
        <v>67</v>
      </c>
    </row>
    <row r="1394" spans="1:41" x14ac:dyDescent="0.2">
      <c r="A1394">
        <v>357489</v>
      </c>
      <c r="B1394" t="s">
        <v>9837</v>
      </c>
      <c r="C1394" t="s">
        <v>278</v>
      </c>
      <c r="D1394" t="s">
        <v>3630</v>
      </c>
      <c r="E1394" t="s">
        <v>9838</v>
      </c>
      <c r="J1394" t="s">
        <v>45</v>
      </c>
      <c r="K1394" t="s">
        <v>45</v>
      </c>
      <c r="L1394" t="s">
        <v>72</v>
      </c>
      <c r="N1394" t="s">
        <v>89</v>
      </c>
      <c r="O1394" t="s">
        <v>121</v>
      </c>
      <c r="P1394" t="s">
        <v>49</v>
      </c>
      <c r="Q1394" t="s">
        <v>9839</v>
      </c>
      <c r="R1394" t="s">
        <v>3633</v>
      </c>
      <c r="S1394">
        <v>5600</v>
      </c>
      <c r="T1394" t="s">
        <v>92</v>
      </c>
      <c r="U1394" t="s">
        <v>3634</v>
      </c>
      <c r="V1394" t="s">
        <v>3635</v>
      </c>
      <c r="W1394" t="s">
        <v>3636</v>
      </c>
      <c r="X1394" t="s">
        <v>92</v>
      </c>
      <c r="Y1394" t="s">
        <v>96</v>
      </c>
      <c r="Z1394">
        <v>11607</v>
      </c>
      <c r="AA1394">
        <v>2</v>
      </c>
      <c r="AB1394">
        <v>189</v>
      </c>
      <c r="AC1394" t="s">
        <v>3637</v>
      </c>
      <c r="AD1394" t="s">
        <v>3638</v>
      </c>
      <c r="AE1394" t="s">
        <v>3639</v>
      </c>
      <c r="AJ1394" s="2">
        <v>45330.727164351854</v>
      </c>
      <c r="AK1394" t="s">
        <v>149</v>
      </c>
      <c r="AL1394" t="s">
        <v>65</v>
      </c>
      <c r="AM1394" s="3">
        <v>1.2569444444444444</v>
      </c>
      <c r="AN1394" t="s">
        <v>66</v>
      </c>
      <c r="AO1394" t="s">
        <v>67</v>
      </c>
    </row>
    <row r="1395" spans="1:41" x14ac:dyDescent="0.2">
      <c r="A1395">
        <v>362049</v>
      </c>
      <c r="B1395" t="s">
        <v>9840</v>
      </c>
      <c r="C1395" t="s">
        <v>134</v>
      </c>
      <c r="D1395" t="s">
        <v>9817</v>
      </c>
      <c r="E1395" t="s">
        <v>9841</v>
      </c>
      <c r="F1395">
        <v>451611</v>
      </c>
      <c r="G1395" s="1">
        <v>30279</v>
      </c>
      <c r="H1395" s="1">
        <v>45470</v>
      </c>
      <c r="I1395" s="1">
        <v>46188</v>
      </c>
      <c r="J1395" t="s">
        <v>45</v>
      </c>
      <c r="K1395" t="s">
        <v>45</v>
      </c>
      <c r="L1395" t="s">
        <v>429</v>
      </c>
      <c r="M1395" s="1">
        <v>43656</v>
      </c>
      <c r="N1395" t="s">
        <v>47</v>
      </c>
      <c r="O1395" t="s">
        <v>48</v>
      </c>
      <c r="P1395" t="s">
        <v>49</v>
      </c>
      <c r="Q1395" t="s">
        <v>9842</v>
      </c>
      <c r="R1395" t="s">
        <v>9843</v>
      </c>
      <c r="S1395">
        <v>2028</v>
      </c>
      <c r="T1395" t="s">
        <v>52</v>
      </c>
      <c r="U1395">
        <v>6</v>
      </c>
      <c r="V1395" t="s">
        <v>7415</v>
      </c>
      <c r="W1395" t="s">
        <v>54</v>
      </c>
      <c r="X1395" t="s">
        <v>76</v>
      </c>
      <c r="Y1395" t="s">
        <v>56</v>
      </c>
      <c r="Z1395">
        <v>782</v>
      </c>
      <c r="AA1395">
        <v>62</v>
      </c>
      <c r="AB1395">
        <v>28</v>
      </c>
      <c r="AC1395" t="s">
        <v>7435</v>
      </c>
      <c r="AD1395" t="s">
        <v>7436</v>
      </c>
      <c r="AE1395" t="s">
        <v>7437</v>
      </c>
      <c r="AF1395" t="s">
        <v>7438</v>
      </c>
      <c r="AG1395" t="s">
        <v>7439</v>
      </c>
      <c r="AH1395" t="s">
        <v>7440</v>
      </c>
      <c r="AI1395" t="s">
        <v>179</v>
      </c>
      <c r="AJ1395" s="2">
        <v>45472.015833333331</v>
      </c>
      <c r="AK1395" t="s">
        <v>717</v>
      </c>
      <c r="AL1395" t="s">
        <v>65</v>
      </c>
      <c r="AM1395" s="3">
        <v>1.2152777777777777</v>
      </c>
      <c r="AN1395" t="s">
        <v>66</v>
      </c>
      <c r="AO1395" t="s">
        <v>67</v>
      </c>
    </row>
    <row r="1396" spans="1:41" x14ac:dyDescent="0.2">
      <c r="A1396">
        <v>370147</v>
      </c>
      <c r="B1396" t="s">
        <v>9844</v>
      </c>
      <c r="C1396" t="s">
        <v>182</v>
      </c>
      <c r="D1396" t="s">
        <v>1086</v>
      </c>
      <c r="E1396" t="s">
        <v>9845</v>
      </c>
      <c r="F1396">
        <v>44707</v>
      </c>
      <c r="G1396" s="1">
        <v>35920</v>
      </c>
      <c r="H1396" s="1">
        <v>45762</v>
      </c>
      <c r="I1396" s="1">
        <v>46113</v>
      </c>
      <c r="J1396" t="s">
        <v>45</v>
      </c>
      <c r="K1396" t="s">
        <v>45</v>
      </c>
      <c r="L1396" t="s">
        <v>429</v>
      </c>
      <c r="M1396" s="1">
        <v>42209</v>
      </c>
      <c r="N1396" t="s">
        <v>47</v>
      </c>
      <c r="O1396" t="s">
        <v>48</v>
      </c>
      <c r="P1396" t="s">
        <v>49</v>
      </c>
      <c r="Q1396" t="s">
        <v>9846</v>
      </c>
      <c r="R1396" t="s">
        <v>9847</v>
      </c>
      <c r="S1396">
        <v>4684</v>
      </c>
      <c r="T1396" t="s">
        <v>52</v>
      </c>
      <c r="U1396">
        <v>5</v>
      </c>
      <c r="V1396" t="s">
        <v>2763</v>
      </c>
      <c r="W1396" t="s">
        <v>54</v>
      </c>
      <c r="X1396" t="s">
        <v>493</v>
      </c>
      <c r="Y1396" t="s">
        <v>434</v>
      </c>
      <c r="Z1396">
        <v>630</v>
      </c>
      <c r="AA1396">
        <v>60</v>
      </c>
      <c r="AB1396">
        <v>144</v>
      </c>
      <c r="AC1396" t="s">
        <v>9848</v>
      </c>
      <c r="AD1396" t="s">
        <v>9849</v>
      </c>
      <c r="AE1396" t="s">
        <v>9850</v>
      </c>
      <c r="AF1396" t="s">
        <v>9851</v>
      </c>
      <c r="AG1396" t="s">
        <v>9852</v>
      </c>
      <c r="AH1396" t="s">
        <v>9853</v>
      </c>
      <c r="AI1396" t="s">
        <v>9854</v>
      </c>
      <c r="AJ1396" s="2">
        <v>45763.975613425922</v>
      </c>
      <c r="AK1396" t="s">
        <v>2668</v>
      </c>
      <c r="AL1396" t="s">
        <v>65</v>
      </c>
      <c r="AM1396" s="3">
        <v>2.3055555555555554</v>
      </c>
      <c r="AN1396" t="s">
        <v>66</v>
      </c>
      <c r="AO1396" t="s">
        <v>67</v>
      </c>
    </row>
    <row r="1397" spans="1:41" x14ac:dyDescent="0.2">
      <c r="A1397">
        <v>365058</v>
      </c>
      <c r="B1397" t="s">
        <v>9855</v>
      </c>
      <c r="C1397" t="s">
        <v>345</v>
      </c>
      <c r="D1397" t="s">
        <v>3845</v>
      </c>
      <c r="E1397">
        <v>32862480</v>
      </c>
      <c r="F1397">
        <v>53004</v>
      </c>
      <c r="G1397" s="1">
        <v>38168</v>
      </c>
      <c r="H1397" s="1">
        <v>45562</v>
      </c>
      <c r="I1397" s="1">
        <v>46218</v>
      </c>
      <c r="J1397" t="s">
        <v>45</v>
      </c>
      <c r="K1397" t="s">
        <v>45</v>
      </c>
      <c r="L1397" t="s">
        <v>429</v>
      </c>
      <c r="M1397" s="1">
        <v>44349</v>
      </c>
      <c r="N1397" t="s">
        <v>47</v>
      </c>
      <c r="O1397" t="s">
        <v>48</v>
      </c>
      <c r="P1397" t="s">
        <v>49</v>
      </c>
      <c r="Q1397" t="s">
        <v>9856</v>
      </c>
      <c r="R1397" t="s">
        <v>9857</v>
      </c>
      <c r="S1397">
        <v>9543</v>
      </c>
      <c r="T1397" t="s">
        <v>52</v>
      </c>
      <c r="U1397">
        <v>2</v>
      </c>
      <c r="V1397" t="s">
        <v>1522</v>
      </c>
      <c r="W1397" t="s">
        <v>54</v>
      </c>
      <c r="X1397" t="s">
        <v>55</v>
      </c>
      <c r="Y1397" t="s">
        <v>56</v>
      </c>
      <c r="Z1397">
        <v>2066</v>
      </c>
      <c r="AA1397">
        <v>46</v>
      </c>
      <c r="AB1397">
        <v>160</v>
      </c>
      <c r="AC1397" t="s">
        <v>9858</v>
      </c>
      <c r="AD1397" t="s">
        <v>9859</v>
      </c>
      <c r="AE1397" t="s">
        <v>9860</v>
      </c>
      <c r="AF1397" t="s">
        <v>9861</v>
      </c>
      <c r="AG1397" t="s">
        <v>9862</v>
      </c>
      <c r="AH1397" t="s">
        <v>9863</v>
      </c>
      <c r="AI1397" t="s">
        <v>9864</v>
      </c>
      <c r="AJ1397" s="2">
        <v>45567.714884259258</v>
      </c>
      <c r="AK1397" t="s">
        <v>609</v>
      </c>
      <c r="AL1397" t="s">
        <v>65</v>
      </c>
      <c r="AM1397" s="3">
        <v>2.4166666666666665</v>
      </c>
      <c r="AN1397" t="s">
        <v>66</v>
      </c>
      <c r="AO1397" t="s">
        <v>67</v>
      </c>
    </row>
    <row r="1398" spans="1:41" x14ac:dyDescent="0.2">
      <c r="A1398">
        <v>369122</v>
      </c>
      <c r="B1398" t="s">
        <v>9865</v>
      </c>
      <c r="C1398" t="s">
        <v>167</v>
      </c>
      <c r="D1398" t="s">
        <v>9866</v>
      </c>
      <c r="E1398">
        <v>60004164</v>
      </c>
      <c r="F1398">
        <v>352025</v>
      </c>
      <c r="G1398" s="1">
        <v>38198</v>
      </c>
      <c r="H1398" s="1">
        <v>45723</v>
      </c>
      <c r="I1398" s="1">
        <v>46113</v>
      </c>
      <c r="J1398" t="s">
        <v>45</v>
      </c>
      <c r="K1398" t="s">
        <v>45</v>
      </c>
      <c r="L1398" t="s">
        <v>72</v>
      </c>
      <c r="M1398" s="1">
        <v>43570</v>
      </c>
      <c r="N1398" t="s">
        <v>47</v>
      </c>
      <c r="O1398" t="s">
        <v>48</v>
      </c>
      <c r="P1398" t="s">
        <v>49</v>
      </c>
      <c r="Q1398" t="s">
        <v>9867</v>
      </c>
      <c r="R1398" t="s">
        <v>9868</v>
      </c>
      <c r="S1398">
        <v>752</v>
      </c>
      <c r="T1398" t="s">
        <v>92</v>
      </c>
      <c r="U1398" t="s">
        <v>3030</v>
      </c>
      <c r="V1398" t="s">
        <v>3031</v>
      </c>
      <c r="W1398" t="s">
        <v>3032</v>
      </c>
      <c r="X1398" t="s">
        <v>52</v>
      </c>
      <c r="Y1398" t="s">
        <v>110</v>
      </c>
      <c r="Z1398">
        <v>1562</v>
      </c>
      <c r="AA1398">
        <v>50</v>
      </c>
      <c r="AB1398">
        <v>176</v>
      </c>
      <c r="AC1398" t="s">
        <v>9869</v>
      </c>
      <c r="AD1398" t="s">
        <v>9870</v>
      </c>
      <c r="AE1398" t="s">
        <v>9871</v>
      </c>
      <c r="AF1398" t="s">
        <v>9872</v>
      </c>
      <c r="AG1398" t="s">
        <v>9873</v>
      </c>
      <c r="AH1398" t="s">
        <v>9874</v>
      </c>
      <c r="AJ1398" s="2">
        <v>45727.634930555556</v>
      </c>
      <c r="AK1398" t="s">
        <v>9869</v>
      </c>
      <c r="AL1398" t="s">
        <v>65</v>
      </c>
      <c r="AM1398" s="4">
        <v>0.55555555555555558</v>
      </c>
      <c r="AN1398" t="s">
        <v>66</v>
      </c>
      <c r="AO1398" t="s">
        <v>67</v>
      </c>
    </row>
    <row r="1399" spans="1:41" x14ac:dyDescent="0.2">
      <c r="A1399">
        <v>370000</v>
      </c>
      <c r="B1399" t="s">
        <v>9875</v>
      </c>
      <c r="C1399" t="s">
        <v>69</v>
      </c>
      <c r="D1399" t="s">
        <v>69</v>
      </c>
      <c r="E1399" t="s">
        <v>9876</v>
      </c>
      <c r="F1399">
        <v>101051</v>
      </c>
      <c r="G1399" s="1">
        <v>45107</v>
      </c>
      <c r="H1399" s="1">
        <v>45756</v>
      </c>
      <c r="I1399" s="1">
        <v>46127</v>
      </c>
      <c r="J1399" t="s">
        <v>45</v>
      </c>
      <c r="K1399" t="s">
        <v>45</v>
      </c>
      <c r="L1399" t="s">
        <v>429</v>
      </c>
      <c r="N1399" t="s">
        <v>47</v>
      </c>
      <c r="O1399" t="s">
        <v>48</v>
      </c>
      <c r="P1399" t="s">
        <v>49</v>
      </c>
      <c r="Q1399" t="s">
        <v>9877</v>
      </c>
      <c r="R1399" t="s">
        <v>9878</v>
      </c>
      <c r="S1399">
        <v>4506</v>
      </c>
      <c r="T1399" t="s">
        <v>92</v>
      </c>
      <c r="U1399" t="s">
        <v>3058</v>
      </c>
      <c r="V1399" t="s">
        <v>9879</v>
      </c>
      <c r="W1399" t="s">
        <v>9880</v>
      </c>
      <c r="X1399" t="s">
        <v>76</v>
      </c>
      <c r="Y1399" t="s">
        <v>56</v>
      </c>
      <c r="Z1399">
        <v>12189</v>
      </c>
      <c r="AA1399">
        <v>13</v>
      </c>
      <c r="AB1399">
        <v>44</v>
      </c>
      <c r="AC1399" t="s">
        <v>9881</v>
      </c>
      <c r="AD1399" t="s">
        <v>9882</v>
      </c>
      <c r="AE1399" t="s">
        <v>9883</v>
      </c>
      <c r="AF1399" t="s">
        <v>9884</v>
      </c>
      <c r="AG1399" t="s">
        <v>9885</v>
      </c>
      <c r="AH1399" t="s">
        <v>9883</v>
      </c>
      <c r="AI1399" t="s">
        <v>9882</v>
      </c>
      <c r="AJ1399" s="2">
        <v>45761.710613425923</v>
      </c>
      <c r="AK1399" t="s">
        <v>9886</v>
      </c>
      <c r="AL1399" t="s">
        <v>65</v>
      </c>
      <c r="AM1399" s="3">
        <v>1.3923611111111112</v>
      </c>
      <c r="AN1399" t="s">
        <v>66</v>
      </c>
      <c r="AO1399" t="s">
        <v>67</v>
      </c>
    </row>
    <row r="1400" spans="1:41" x14ac:dyDescent="0.2">
      <c r="A1400">
        <v>372304</v>
      </c>
      <c r="B1400" t="s">
        <v>9887</v>
      </c>
      <c r="C1400" t="s">
        <v>182</v>
      </c>
      <c r="D1400" t="s">
        <v>1064</v>
      </c>
      <c r="E1400" t="s">
        <v>9888</v>
      </c>
      <c r="F1400">
        <v>40240</v>
      </c>
      <c r="G1400" s="1">
        <v>32453</v>
      </c>
      <c r="H1400" s="1">
        <v>45835</v>
      </c>
      <c r="I1400" s="1">
        <v>46143</v>
      </c>
      <c r="J1400" t="s">
        <v>45</v>
      </c>
      <c r="K1400" t="s">
        <v>45</v>
      </c>
      <c r="L1400" t="s">
        <v>429</v>
      </c>
      <c r="M1400" s="1">
        <v>43647</v>
      </c>
      <c r="N1400" t="s">
        <v>47</v>
      </c>
      <c r="O1400" t="s">
        <v>48</v>
      </c>
      <c r="P1400" t="s">
        <v>49</v>
      </c>
      <c r="Q1400" t="s">
        <v>9889</v>
      </c>
      <c r="R1400" t="s">
        <v>9890</v>
      </c>
      <c r="S1400">
        <v>5173</v>
      </c>
      <c r="T1400" t="s">
        <v>52</v>
      </c>
      <c r="U1400">
        <v>5</v>
      </c>
      <c r="V1400" t="s">
        <v>2947</v>
      </c>
      <c r="W1400" t="s">
        <v>54</v>
      </c>
      <c r="X1400" t="s">
        <v>493</v>
      </c>
      <c r="Y1400" t="s">
        <v>434</v>
      </c>
      <c r="Z1400">
        <v>693</v>
      </c>
      <c r="AA1400">
        <v>54</v>
      </c>
      <c r="AB1400">
        <v>158</v>
      </c>
      <c r="AC1400" t="s">
        <v>9891</v>
      </c>
      <c r="AD1400" t="s">
        <v>9892</v>
      </c>
      <c r="AE1400" t="s">
        <v>9893</v>
      </c>
      <c r="AF1400" t="s">
        <v>9894</v>
      </c>
      <c r="AG1400" t="s">
        <v>9895</v>
      </c>
      <c r="AH1400" t="s">
        <v>9896</v>
      </c>
      <c r="AI1400" t="s">
        <v>500</v>
      </c>
      <c r="AJ1400" s="2">
        <v>45837.910150462965</v>
      </c>
      <c r="AK1400" t="s">
        <v>180</v>
      </c>
      <c r="AL1400" t="s">
        <v>65</v>
      </c>
      <c r="AM1400" s="4">
        <v>0.72916666666666663</v>
      </c>
      <c r="AN1400" t="s">
        <v>66</v>
      </c>
      <c r="AO1400" t="s">
        <v>67</v>
      </c>
    </row>
    <row r="1401" spans="1:41" x14ac:dyDescent="0.2">
      <c r="A1401">
        <v>371872</v>
      </c>
      <c r="B1401" t="s">
        <v>9897</v>
      </c>
      <c r="C1401" t="s">
        <v>735</v>
      </c>
      <c r="D1401" t="s">
        <v>966</v>
      </c>
      <c r="E1401" t="s">
        <v>9898</v>
      </c>
      <c r="F1401">
        <v>242208</v>
      </c>
      <c r="G1401" s="1">
        <v>40750</v>
      </c>
      <c r="H1401" s="1">
        <v>45815</v>
      </c>
      <c r="I1401" s="1">
        <v>46174</v>
      </c>
      <c r="J1401" t="s">
        <v>45</v>
      </c>
      <c r="K1401" t="s">
        <v>45</v>
      </c>
      <c r="L1401" t="s">
        <v>429</v>
      </c>
      <c r="M1401" s="1">
        <v>41537</v>
      </c>
      <c r="N1401" t="s">
        <v>47</v>
      </c>
      <c r="O1401" t="s">
        <v>48</v>
      </c>
      <c r="P1401" t="s">
        <v>49</v>
      </c>
      <c r="Q1401" t="s">
        <v>9899</v>
      </c>
      <c r="R1401" t="s">
        <v>9900</v>
      </c>
      <c r="S1401">
        <v>6428</v>
      </c>
      <c r="T1401" t="s">
        <v>365</v>
      </c>
      <c r="U1401" t="s">
        <v>969</v>
      </c>
      <c r="V1401" t="s">
        <v>970</v>
      </c>
      <c r="W1401" t="s">
        <v>367</v>
      </c>
      <c r="X1401" t="s">
        <v>76</v>
      </c>
      <c r="Y1401" t="s">
        <v>434</v>
      </c>
      <c r="Z1401">
        <v>4827</v>
      </c>
      <c r="AA1401">
        <v>34</v>
      </c>
      <c r="AB1401">
        <v>210</v>
      </c>
      <c r="AC1401" t="s">
        <v>971</v>
      </c>
      <c r="AD1401" t="s">
        <v>972</v>
      </c>
      <c r="AE1401" t="s">
        <v>973</v>
      </c>
      <c r="AF1401" t="s">
        <v>974</v>
      </c>
      <c r="AG1401" t="s">
        <v>975</v>
      </c>
      <c r="AH1401" t="s">
        <v>976</v>
      </c>
      <c r="AI1401" t="s">
        <v>3008</v>
      </c>
      <c r="AJ1401" s="2">
        <v>45821.614907407406</v>
      </c>
      <c r="AK1401" t="s">
        <v>568</v>
      </c>
      <c r="AL1401" t="s">
        <v>65</v>
      </c>
      <c r="AM1401" s="3">
        <v>2.1666666666666665</v>
      </c>
      <c r="AN1401" t="s">
        <v>66</v>
      </c>
      <c r="AO1401" t="s">
        <v>67</v>
      </c>
    </row>
    <row r="1402" spans="1:41" x14ac:dyDescent="0.2">
      <c r="A1402">
        <v>370004</v>
      </c>
      <c r="B1402" t="s">
        <v>9901</v>
      </c>
      <c r="C1402" t="s">
        <v>182</v>
      </c>
      <c r="D1402" t="s">
        <v>610</v>
      </c>
      <c r="E1402" t="s">
        <v>9902</v>
      </c>
      <c r="F1402">
        <v>45708</v>
      </c>
      <c r="G1402" s="1">
        <v>33928</v>
      </c>
      <c r="H1402" s="1">
        <v>45614</v>
      </c>
      <c r="J1402" t="s">
        <v>45</v>
      </c>
      <c r="K1402" t="s">
        <v>45</v>
      </c>
      <c r="L1402" t="s">
        <v>72</v>
      </c>
      <c r="N1402" t="s">
        <v>47</v>
      </c>
      <c r="O1402" t="s">
        <v>48</v>
      </c>
      <c r="P1402" t="s">
        <v>49</v>
      </c>
      <c r="Q1402" t="s">
        <v>9903</v>
      </c>
      <c r="R1402" t="s">
        <v>9904</v>
      </c>
      <c r="S1402">
        <v>4238</v>
      </c>
      <c r="T1402" t="s">
        <v>92</v>
      </c>
      <c r="U1402" t="s">
        <v>187</v>
      </c>
      <c r="V1402" t="s">
        <v>447</v>
      </c>
      <c r="W1402" t="s">
        <v>448</v>
      </c>
      <c r="X1402" t="s">
        <v>92</v>
      </c>
      <c r="Y1402" t="s">
        <v>450</v>
      </c>
      <c r="Z1402">
        <v>1242</v>
      </c>
      <c r="AA1402">
        <v>49</v>
      </c>
      <c r="AB1402">
        <v>142</v>
      </c>
      <c r="AC1402" t="s">
        <v>451</v>
      </c>
      <c r="AD1402" t="s">
        <v>452</v>
      </c>
      <c r="AE1402" t="s">
        <v>453</v>
      </c>
      <c r="AF1402" t="s">
        <v>454</v>
      </c>
      <c r="AG1402" t="s">
        <v>473</v>
      </c>
      <c r="AH1402" t="s">
        <v>474</v>
      </c>
      <c r="AJ1402" s="2">
        <v>45761.740104166667</v>
      </c>
      <c r="AK1402" t="s">
        <v>650</v>
      </c>
      <c r="AL1402" t="s">
        <v>65</v>
      </c>
      <c r="AM1402" s="3">
        <v>2.3090277777777777</v>
      </c>
      <c r="AN1402" t="s">
        <v>66</v>
      </c>
      <c r="AO1402" t="s">
        <v>67</v>
      </c>
    </row>
    <row r="1403" spans="1:41" x14ac:dyDescent="0.2">
      <c r="A1403">
        <v>366571</v>
      </c>
      <c r="B1403" t="s">
        <v>9905</v>
      </c>
      <c r="C1403" t="s">
        <v>345</v>
      </c>
      <c r="D1403" t="s">
        <v>950</v>
      </c>
      <c r="E1403" t="s">
        <v>9906</v>
      </c>
      <c r="J1403" t="s">
        <v>45</v>
      </c>
      <c r="K1403" t="s">
        <v>45</v>
      </c>
      <c r="L1403" t="s">
        <v>72</v>
      </c>
      <c r="N1403" t="s">
        <v>89</v>
      </c>
      <c r="O1403" t="s">
        <v>48</v>
      </c>
      <c r="P1403" t="s">
        <v>49</v>
      </c>
      <c r="T1403" t="s">
        <v>52</v>
      </c>
      <c r="U1403">
        <v>2</v>
      </c>
      <c r="V1403" t="s">
        <v>945</v>
      </c>
      <c r="W1403" t="s">
        <v>54</v>
      </c>
      <c r="X1403" t="s">
        <v>52</v>
      </c>
      <c r="Y1403" t="s">
        <v>56</v>
      </c>
      <c r="Z1403">
        <v>12185</v>
      </c>
      <c r="AA1403">
        <v>6</v>
      </c>
      <c r="AB1403">
        <v>44</v>
      </c>
      <c r="AC1403" t="s">
        <v>946</v>
      </c>
      <c r="AD1403" t="s">
        <v>947</v>
      </c>
      <c r="AE1403" t="s">
        <v>9907</v>
      </c>
      <c r="AJ1403" s="2">
        <v>45628.630902777775</v>
      </c>
      <c r="AK1403" t="s">
        <v>9908</v>
      </c>
      <c r="AL1403" t="s">
        <v>65</v>
      </c>
      <c r="AM1403" s="3">
        <v>1.3715277777777777</v>
      </c>
      <c r="AN1403" t="s">
        <v>66</v>
      </c>
      <c r="AO1403" t="s">
        <v>67</v>
      </c>
    </row>
    <row r="1404" spans="1:41" x14ac:dyDescent="0.2">
      <c r="A1404">
        <v>356544</v>
      </c>
      <c r="B1404" t="s">
        <v>9909</v>
      </c>
      <c r="C1404" t="s">
        <v>69</v>
      </c>
      <c r="D1404" t="s">
        <v>3278</v>
      </c>
      <c r="E1404" t="s">
        <v>9910</v>
      </c>
      <c r="G1404" s="1">
        <v>41417</v>
      </c>
      <c r="H1404" s="1">
        <v>42809</v>
      </c>
      <c r="J1404" t="s">
        <v>326</v>
      </c>
      <c r="K1404" t="s">
        <v>326</v>
      </c>
      <c r="L1404" t="s">
        <v>72</v>
      </c>
      <c r="M1404" s="1">
        <v>42321</v>
      </c>
      <c r="N1404" t="s">
        <v>47</v>
      </c>
      <c r="O1404" t="s">
        <v>48</v>
      </c>
      <c r="P1404" t="s">
        <v>1752</v>
      </c>
      <c r="Q1404" t="s">
        <v>9911</v>
      </c>
      <c r="R1404" t="s">
        <v>9912</v>
      </c>
      <c r="S1404">
        <v>4923</v>
      </c>
      <c r="T1404" t="s">
        <v>1328</v>
      </c>
      <c r="U1404" t="s">
        <v>1329</v>
      </c>
      <c r="V1404" t="s">
        <v>9913</v>
      </c>
      <c r="W1404" t="s">
        <v>1331</v>
      </c>
      <c r="X1404" t="s">
        <v>1328</v>
      </c>
      <c r="Y1404" t="s">
        <v>642</v>
      </c>
      <c r="Z1404">
        <v>5006</v>
      </c>
      <c r="AA1404">
        <v>24</v>
      </c>
      <c r="AB1404">
        <v>34</v>
      </c>
      <c r="AC1404" t="s">
        <v>9914</v>
      </c>
      <c r="AD1404" t="s">
        <v>9915</v>
      </c>
      <c r="AE1404" t="s">
        <v>9916</v>
      </c>
      <c r="AJ1404" s="2">
        <v>45313.633287037039</v>
      </c>
      <c r="AK1404" t="s">
        <v>149</v>
      </c>
      <c r="AL1404" t="s">
        <v>1168</v>
      </c>
      <c r="AM1404" s="4">
        <v>9.0277777777777776E-2</v>
      </c>
      <c r="AN1404" t="s">
        <v>66</v>
      </c>
      <c r="AO1404" t="s">
        <v>67</v>
      </c>
    </row>
    <row r="1405" spans="1:41" x14ac:dyDescent="0.2">
      <c r="A1405">
        <v>372152</v>
      </c>
      <c r="B1405" t="s">
        <v>9917</v>
      </c>
      <c r="C1405" t="s">
        <v>182</v>
      </c>
      <c r="D1405" t="s">
        <v>1948</v>
      </c>
      <c r="E1405">
        <v>32780410</v>
      </c>
      <c r="F1405">
        <v>40308</v>
      </c>
      <c r="G1405" s="1">
        <v>32225</v>
      </c>
      <c r="H1405" s="1">
        <v>45828</v>
      </c>
      <c r="I1405" s="1">
        <v>45931</v>
      </c>
      <c r="J1405" t="s">
        <v>45</v>
      </c>
      <c r="K1405" t="s">
        <v>45</v>
      </c>
      <c r="L1405" t="s">
        <v>429</v>
      </c>
      <c r="M1405" s="1">
        <v>44721</v>
      </c>
      <c r="N1405" t="s">
        <v>47</v>
      </c>
      <c r="O1405" t="s">
        <v>48</v>
      </c>
      <c r="P1405" t="s">
        <v>49</v>
      </c>
      <c r="Q1405" t="s">
        <v>9918</v>
      </c>
      <c r="R1405" t="s">
        <v>9919</v>
      </c>
      <c r="S1405">
        <v>4636</v>
      </c>
      <c r="T1405" t="s">
        <v>365</v>
      </c>
      <c r="U1405" t="s">
        <v>562</v>
      </c>
      <c r="V1405" t="s">
        <v>1746</v>
      </c>
      <c r="W1405" t="s">
        <v>367</v>
      </c>
      <c r="X1405" t="s">
        <v>493</v>
      </c>
      <c r="Y1405" t="s">
        <v>434</v>
      </c>
      <c r="Z1405">
        <v>105</v>
      </c>
      <c r="AA1405">
        <v>64</v>
      </c>
      <c r="AB1405">
        <v>160</v>
      </c>
      <c r="AC1405" t="s">
        <v>1747</v>
      </c>
      <c r="AD1405" t="s">
        <v>2887</v>
      </c>
      <c r="AE1405" t="s">
        <v>1749</v>
      </c>
      <c r="AI1405" t="s">
        <v>9920</v>
      </c>
      <c r="AJ1405" s="2">
        <v>45832.800208333334</v>
      </c>
      <c r="AK1405" t="s">
        <v>1740</v>
      </c>
      <c r="AL1405" t="s">
        <v>65</v>
      </c>
      <c r="AM1405" s="3">
        <v>2.1944444444444446</v>
      </c>
      <c r="AN1405" t="s">
        <v>66</v>
      </c>
      <c r="AO1405" t="s">
        <v>67</v>
      </c>
    </row>
    <row r="1406" spans="1:41" x14ac:dyDescent="0.2">
      <c r="A1406">
        <v>371890</v>
      </c>
      <c r="B1406" t="s">
        <v>9921</v>
      </c>
      <c r="C1406" t="s">
        <v>134</v>
      </c>
      <c r="D1406" t="s">
        <v>1001</v>
      </c>
      <c r="E1406" t="s">
        <v>9922</v>
      </c>
      <c r="F1406">
        <v>453201</v>
      </c>
      <c r="G1406" s="1">
        <v>32986</v>
      </c>
      <c r="H1406" s="1">
        <v>45810</v>
      </c>
      <c r="I1406" s="1">
        <v>46174</v>
      </c>
      <c r="J1406" t="s">
        <v>45</v>
      </c>
      <c r="K1406" t="s">
        <v>45</v>
      </c>
      <c r="L1406" t="s">
        <v>72</v>
      </c>
      <c r="M1406" s="1">
        <v>40780</v>
      </c>
      <c r="N1406" t="s">
        <v>47</v>
      </c>
      <c r="O1406" t="s">
        <v>48</v>
      </c>
      <c r="P1406" t="s">
        <v>49</v>
      </c>
      <c r="Q1406" t="s">
        <v>9923</v>
      </c>
      <c r="R1406" t="s">
        <v>9924</v>
      </c>
      <c r="S1406">
        <v>979</v>
      </c>
      <c r="T1406" t="s">
        <v>365</v>
      </c>
      <c r="U1406" t="s">
        <v>532</v>
      </c>
      <c r="V1406" t="s">
        <v>6560</v>
      </c>
      <c r="W1406" t="s">
        <v>367</v>
      </c>
      <c r="X1406" t="s">
        <v>76</v>
      </c>
      <c r="Y1406" t="s">
        <v>434</v>
      </c>
      <c r="Z1406">
        <v>374</v>
      </c>
      <c r="AA1406">
        <v>59</v>
      </c>
      <c r="AB1406">
        <v>166</v>
      </c>
      <c r="AC1406" t="s">
        <v>6561</v>
      </c>
      <c r="AD1406" t="s">
        <v>6562</v>
      </c>
      <c r="AE1406" t="s">
        <v>6563</v>
      </c>
      <c r="AI1406" t="s">
        <v>179</v>
      </c>
      <c r="AJ1406" s="2">
        <v>45821.922534722224</v>
      </c>
      <c r="AK1406" t="s">
        <v>717</v>
      </c>
      <c r="AL1406" t="s">
        <v>65</v>
      </c>
      <c r="AM1406" s="3">
        <v>2.0416666666666665</v>
      </c>
      <c r="AN1406" t="s">
        <v>66</v>
      </c>
      <c r="AO1406" t="s">
        <v>67</v>
      </c>
    </row>
    <row r="1407" spans="1:41" x14ac:dyDescent="0.2">
      <c r="A1407">
        <v>368903</v>
      </c>
      <c r="B1407" t="s">
        <v>9925</v>
      </c>
      <c r="C1407" t="s">
        <v>558</v>
      </c>
      <c r="D1407" t="s">
        <v>1743</v>
      </c>
      <c r="E1407" t="s">
        <v>9926</v>
      </c>
      <c r="F1407">
        <v>260112</v>
      </c>
      <c r="G1407" s="1">
        <v>33520</v>
      </c>
      <c r="H1407" s="1">
        <v>45585</v>
      </c>
      <c r="I1407" s="1">
        <v>45931</v>
      </c>
      <c r="J1407" t="s">
        <v>45</v>
      </c>
      <c r="K1407" t="s">
        <v>45</v>
      </c>
      <c r="L1407" t="s">
        <v>429</v>
      </c>
      <c r="M1407" s="1">
        <v>34162</v>
      </c>
      <c r="N1407" t="s">
        <v>47</v>
      </c>
      <c r="O1407" t="s">
        <v>48</v>
      </c>
      <c r="P1407" t="s">
        <v>49</v>
      </c>
      <c r="Q1407" t="s">
        <v>9927</v>
      </c>
      <c r="R1407" t="s">
        <v>9928</v>
      </c>
      <c r="S1407">
        <v>5536</v>
      </c>
      <c r="T1407" t="s">
        <v>365</v>
      </c>
      <c r="U1407" t="s">
        <v>562</v>
      </c>
      <c r="V1407" t="s">
        <v>1746</v>
      </c>
      <c r="W1407" t="s">
        <v>367</v>
      </c>
      <c r="X1407" t="s">
        <v>493</v>
      </c>
      <c r="Y1407" t="s">
        <v>434</v>
      </c>
      <c r="Z1407">
        <v>102</v>
      </c>
      <c r="AA1407">
        <v>58</v>
      </c>
      <c r="AB1407">
        <v>78</v>
      </c>
      <c r="AC1407" t="s">
        <v>1747</v>
      </c>
      <c r="AD1407" t="s">
        <v>2887</v>
      </c>
      <c r="AE1407" t="s">
        <v>3658</v>
      </c>
      <c r="AF1407" t="s">
        <v>6587</v>
      </c>
      <c r="AG1407" t="s">
        <v>6588</v>
      </c>
      <c r="AH1407" t="s">
        <v>6589</v>
      </c>
      <c r="AI1407" t="s">
        <v>500</v>
      </c>
      <c r="AJ1407" s="2">
        <v>45722.902002314811</v>
      </c>
      <c r="AK1407" t="s">
        <v>501</v>
      </c>
      <c r="AL1407" t="s">
        <v>65</v>
      </c>
      <c r="AM1407" s="3">
        <v>1.0277777777777777</v>
      </c>
      <c r="AN1407" t="s">
        <v>66</v>
      </c>
      <c r="AO1407" t="s">
        <v>67</v>
      </c>
    </row>
    <row r="1408" spans="1:41" x14ac:dyDescent="0.2">
      <c r="A1408">
        <v>364080</v>
      </c>
      <c r="B1408" t="s">
        <v>9929</v>
      </c>
      <c r="C1408" t="s">
        <v>236</v>
      </c>
      <c r="D1408" t="s">
        <v>7034</v>
      </c>
      <c r="E1408" t="s">
        <v>9930</v>
      </c>
      <c r="F1408">
        <v>210507</v>
      </c>
      <c r="G1408" s="1">
        <v>37776</v>
      </c>
      <c r="H1408" s="1">
        <v>45442</v>
      </c>
      <c r="I1408" s="1">
        <v>46143</v>
      </c>
      <c r="J1408" t="s">
        <v>45</v>
      </c>
      <c r="K1408" t="s">
        <v>72</v>
      </c>
      <c r="L1408" t="s">
        <v>72</v>
      </c>
      <c r="N1408" t="s">
        <v>47</v>
      </c>
      <c r="O1408" t="s">
        <v>48</v>
      </c>
      <c r="P1408" t="s">
        <v>49</v>
      </c>
      <c r="Q1408" t="s">
        <v>9931</v>
      </c>
      <c r="R1408" t="s">
        <v>9932</v>
      </c>
      <c r="S1408">
        <v>1200</v>
      </c>
      <c r="T1408" t="s">
        <v>257</v>
      </c>
      <c r="U1408" t="s">
        <v>258</v>
      </c>
      <c r="V1408" t="s">
        <v>9933</v>
      </c>
      <c r="W1408" t="s">
        <v>260</v>
      </c>
      <c r="X1408" t="s">
        <v>257</v>
      </c>
      <c r="Y1408" t="s">
        <v>110</v>
      </c>
      <c r="Z1408">
        <v>1400</v>
      </c>
      <c r="AA1408">
        <v>26</v>
      </c>
      <c r="AB1408">
        <v>28</v>
      </c>
      <c r="AC1408" t="s">
        <v>9934</v>
      </c>
      <c r="AD1408" t="s">
        <v>9935</v>
      </c>
      <c r="AE1408" t="s">
        <v>9936</v>
      </c>
      <c r="AF1408" t="s">
        <v>9937</v>
      </c>
      <c r="AG1408" t="s">
        <v>9938</v>
      </c>
      <c r="AH1408" t="s">
        <v>9939</v>
      </c>
      <c r="AI1408" t="s">
        <v>9940</v>
      </c>
      <c r="AJ1408" s="2">
        <v>45532.598043981481</v>
      </c>
      <c r="AK1408" t="s">
        <v>9934</v>
      </c>
      <c r="AL1408" t="s">
        <v>65</v>
      </c>
      <c r="AM1408" s="3">
        <v>1.2986111111111112</v>
      </c>
      <c r="AN1408" t="s">
        <v>66</v>
      </c>
      <c r="AO1408" t="s">
        <v>67</v>
      </c>
    </row>
    <row r="1409" spans="1:41" x14ac:dyDescent="0.2">
      <c r="A1409">
        <v>373085</v>
      </c>
      <c r="B1409" t="s">
        <v>9941</v>
      </c>
      <c r="C1409" t="s">
        <v>309</v>
      </c>
      <c r="D1409" t="s">
        <v>8509</v>
      </c>
      <c r="E1409" t="s">
        <v>9942</v>
      </c>
      <c r="G1409" s="1">
        <v>45797</v>
      </c>
      <c r="J1409" t="s">
        <v>45</v>
      </c>
      <c r="K1409" t="s">
        <v>45</v>
      </c>
      <c r="L1409" t="s">
        <v>46</v>
      </c>
      <c r="N1409" t="s">
        <v>89</v>
      </c>
      <c r="O1409" t="s">
        <v>48</v>
      </c>
      <c r="P1409" t="s">
        <v>49</v>
      </c>
      <c r="Q1409" t="s">
        <v>9943</v>
      </c>
      <c r="R1409" t="s">
        <v>9944</v>
      </c>
      <c r="S1409">
        <v>5400</v>
      </c>
      <c r="T1409" t="s">
        <v>92</v>
      </c>
      <c r="U1409" t="s">
        <v>313</v>
      </c>
      <c r="V1409" t="s">
        <v>314</v>
      </c>
      <c r="W1409" t="s">
        <v>315</v>
      </c>
      <c r="X1409" t="s">
        <v>92</v>
      </c>
      <c r="Y1409" t="s">
        <v>96</v>
      </c>
      <c r="Z1409">
        <v>12320</v>
      </c>
      <c r="AA1409">
        <v>2</v>
      </c>
      <c r="AB1409">
        <v>44</v>
      </c>
      <c r="AC1409" t="s">
        <v>316</v>
      </c>
      <c r="AD1409" t="s">
        <v>317</v>
      </c>
      <c r="AE1409" t="s">
        <v>318</v>
      </c>
      <c r="AF1409" t="s">
        <v>8548</v>
      </c>
      <c r="AG1409" t="s">
        <v>8549</v>
      </c>
      <c r="AH1409" t="s">
        <v>8550</v>
      </c>
      <c r="AJ1409" s="2">
        <v>45856.904814814814</v>
      </c>
      <c r="AK1409" t="s">
        <v>100</v>
      </c>
      <c r="AL1409" t="s">
        <v>65</v>
      </c>
      <c r="AM1409" s="3">
        <v>1.4409722222222223</v>
      </c>
      <c r="AN1409" t="s">
        <v>66</v>
      </c>
      <c r="AO1409" t="s">
        <v>67</v>
      </c>
    </row>
    <row r="1410" spans="1:41" x14ac:dyDescent="0.2">
      <c r="A1410">
        <v>370114</v>
      </c>
      <c r="B1410" t="s">
        <v>9945</v>
      </c>
      <c r="C1410" t="s">
        <v>309</v>
      </c>
      <c r="D1410" t="s">
        <v>8509</v>
      </c>
      <c r="E1410" t="s">
        <v>9946</v>
      </c>
      <c r="G1410" s="1">
        <v>45761</v>
      </c>
      <c r="H1410" s="1">
        <v>45580</v>
      </c>
      <c r="J1410" t="s">
        <v>45</v>
      </c>
      <c r="K1410" t="s">
        <v>45</v>
      </c>
      <c r="L1410" t="s">
        <v>46</v>
      </c>
      <c r="N1410" t="s">
        <v>47</v>
      </c>
      <c r="O1410" t="s">
        <v>48</v>
      </c>
      <c r="P1410" t="s">
        <v>49</v>
      </c>
      <c r="Q1410" t="s">
        <v>9947</v>
      </c>
      <c r="R1410" t="s">
        <v>9948</v>
      </c>
      <c r="S1410">
        <v>1509</v>
      </c>
      <c r="T1410" t="s">
        <v>92</v>
      </c>
      <c r="U1410" t="s">
        <v>313</v>
      </c>
      <c r="V1410" t="s">
        <v>314</v>
      </c>
      <c r="W1410" t="s">
        <v>315</v>
      </c>
      <c r="X1410" t="s">
        <v>92</v>
      </c>
      <c r="Y1410" t="s">
        <v>96</v>
      </c>
      <c r="Z1410">
        <v>12308</v>
      </c>
      <c r="AA1410">
        <v>6</v>
      </c>
      <c r="AB1410">
        <v>44</v>
      </c>
      <c r="AC1410" t="s">
        <v>316</v>
      </c>
      <c r="AD1410" t="s">
        <v>317</v>
      </c>
      <c r="AE1410" t="s">
        <v>318</v>
      </c>
      <c r="AF1410" t="s">
        <v>8548</v>
      </c>
      <c r="AG1410" t="s">
        <v>8549</v>
      </c>
      <c r="AH1410" t="s">
        <v>8550</v>
      </c>
      <c r="AJ1410" s="2">
        <v>45763.740486111114</v>
      </c>
      <c r="AK1410" t="s">
        <v>1167</v>
      </c>
      <c r="AL1410" t="s">
        <v>65</v>
      </c>
      <c r="AM1410" s="3">
        <v>1.1006944444444444</v>
      </c>
      <c r="AN1410" t="s">
        <v>66</v>
      </c>
      <c r="AO1410" t="s">
        <v>67</v>
      </c>
    </row>
    <row r="1411" spans="1:41" x14ac:dyDescent="0.2">
      <c r="A1411">
        <v>369033</v>
      </c>
      <c r="B1411" t="s">
        <v>9949</v>
      </c>
      <c r="C1411" t="s">
        <v>309</v>
      </c>
      <c r="D1411" t="s">
        <v>309</v>
      </c>
      <c r="E1411">
        <v>32639544</v>
      </c>
      <c r="F1411">
        <v>496023</v>
      </c>
      <c r="G1411" s="1">
        <v>38664</v>
      </c>
      <c r="H1411" s="1">
        <v>45722</v>
      </c>
      <c r="I1411" s="1">
        <v>46235</v>
      </c>
      <c r="J1411" t="s">
        <v>45</v>
      </c>
      <c r="K1411" t="s">
        <v>45</v>
      </c>
      <c r="L1411" t="s">
        <v>72</v>
      </c>
      <c r="M1411" s="1">
        <v>43311</v>
      </c>
      <c r="N1411" t="s">
        <v>47</v>
      </c>
      <c r="O1411" t="s">
        <v>48</v>
      </c>
      <c r="P1411" t="s">
        <v>49</v>
      </c>
      <c r="Q1411" t="s">
        <v>9950</v>
      </c>
      <c r="R1411" t="s">
        <v>9951</v>
      </c>
      <c r="S1411">
        <v>5894</v>
      </c>
      <c r="T1411" t="s">
        <v>257</v>
      </c>
      <c r="U1411" t="s">
        <v>640</v>
      </c>
      <c r="V1411" t="s">
        <v>9952</v>
      </c>
      <c r="W1411" t="s">
        <v>260</v>
      </c>
      <c r="X1411" t="s">
        <v>257</v>
      </c>
      <c r="Y1411" t="s">
        <v>110</v>
      </c>
      <c r="Z1411">
        <v>1781</v>
      </c>
      <c r="AA1411">
        <v>48</v>
      </c>
      <c r="AB1411">
        <v>14</v>
      </c>
      <c r="AC1411" t="s">
        <v>646</v>
      </c>
      <c r="AD1411" t="s">
        <v>8507</v>
      </c>
      <c r="AE1411" t="s">
        <v>648</v>
      </c>
      <c r="AF1411" t="s">
        <v>9953</v>
      </c>
      <c r="AG1411" t="s">
        <v>9954</v>
      </c>
      <c r="AH1411" t="s">
        <v>9955</v>
      </c>
      <c r="AI1411" t="s">
        <v>9956</v>
      </c>
      <c r="AJ1411" s="2">
        <v>45723.069247685184</v>
      </c>
      <c r="AK1411" t="s">
        <v>646</v>
      </c>
      <c r="AL1411" t="s">
        <v>65</v>
      </c>
      <c r="AM1411" s="3">
        <v>1.2291666666666667</v>
      </c>
      <c r="AN1411" t="s">
        <v>66</v>
      </c>
      <c r="AO1411" t="s">
        <v>67</v>
      </c>
    </row>
    <row r="1412" spans="1:41" x14ac:dyDescent="0.2">
      <c r="A1412">
        <v>365753</v>
      </c>
      <c r="B1412" t="s">
        <v>9957</v>
      </c>
      <c r="C1412" t="s">
        <v>309</v>
      </c>
      <c r="D1412" t="s">
        <v>6367</v>
      </c>
      <c r="E1412" t="s">
        <v>9958</v>
      </c>
      <c r="F1412">
        <v>490306</v>
      </c>
      <c r="G1412" s="1">
        <v>36663</v>
      </c>
      <c r="H1412" s="1">
        <v>45301</v>
      </c>
      <c r="I1412" s="1">
        <v>46235</v>
      </c>
      <c r="J1412" t="s">
        <v>45</v>
      </c>
      <c r="K1412" t="s">
        <v>45</v>
      </c>
      <c r="L1412" t="s">
        <v>72</v>
      </c>
      <c r="M1412" s="1">
        <v>43656</v>
      </c>
      <c r="N1412" t="s">
        <v>47</v>
      </c>
      <c r="O1412" t="s">
        <v>48</v>
      </c>
      <c r="P1412" t="s">
        <v>49</v>
      </c>
      <c r="Q1412" t="s">
        <v>9959</v>
      </c>
      <c r="R1412" t="s">
        <v>9960</v>
      </c>
      <c r="S1412">
        <v>596</v>
      </c>
      <c r="T1412" t="s">
        <v>1328</v>
      </c>
      <c r="U1412" t="s">
        <v>3114</v>
      </c>
      <c r="V1412" t="s">
        <v>6371</v>
      </c>
      <c r="W1412" t="s">
        <v>3116</v>
      </c>
      <c r="X1412" t="s">
        <v>1328</v>
      </c>
      <c r="Y1412" t="s">
        <v>110</v>
      </c>
      <c r="Z1412">
        <v>1150</v>
      </c>
      <c r="AA1412">
        <v>29</v>
      </c>
      <c r="AB1412">
        <v>76</v>
      </c>
      <c r="AC1412" t="s">
        <v>6372</v>
      </c>
      <c r="AD1412" t="s">
        <v>6373</v>
      </c>
      <c r="AE1412" t="s">
        <v>6374</v>
      </c>
      <c r="AF1412" t="s">
        <v>6375</v>
      </c>
      <c r="AG1412" t="s">
        <v>6376</v>
      </c>
      <c r="AH1412" t="s">
        <v>6377</v>
      </c>
      <c r="AJ1412" s="2">
        <v>45591.572696759256</v>
      </c>
      <c r="AK1412" t="s">
        <v>132</v>
      </c>
      <c r="AL1412" t="s">
        <v>65</v>
      </c>
      <c r="AM1412" s="3">
        <v>2.4583333333333335</v>
      </c>
      <c r="AN1412" t="s">
        <v>66</v>
      </c>
      <c r="AO1412" t="s">
        <v>67</v>
      </c>
    </row>
    <row r="1413" spans="1:41" x14ac:dyDescent="0.2">
      <c r="A1413">
        <v>367642</v>
      </c>
      <c r="B1413" t="s">
        <v>9961</v>
      </c>
      <c r="C1413" t="s">
        <v>118</v>
      </c>
      <c r="D1413" t="s">
        <v>1410</v>
      </c>
      <c r="E1413" t="s">
        <v>9962</v>
      </c>
      <c r="F1413">
        <v>20281</v>
      </c>
      <c r="G1413" s="1">
        <v>45684</v>
      </c>
      <c r="H1413" s="1">
        <v>45685</v>
      </c>
      <c r="I1413" s="1">
        <v>46037</v>
      </c>
      <c r="J1413" t="s">
        <v>45</v>
      </c>
      <c r="K1413" t="s">
        <v>45</v>
      </c>
      <c r="L1413" t="s">
        <v>72</v>
      </c>
      <c r="N1413" t="s">
        <v>89</v>
      </c>
      <c r="O1413" t="s">
        <v>121</v>
      </c>
      <c r="P1413" t="s">
        <v>49</v>
      </c>
      <c r="Q1413" t="s">
        <v>9963</v>
      </c>
      <c r="R1413" t="s">
        <v>9964</v>
      </c>
      <c r="S1413">
        <v>8350</v>
      </c>
      <c r="T1413" t="s">
        <v>52</v>
      </c>
      <c r="U1413">
        <v>3</v>
      </c>
      <c r="V1413" t="s">
        <v>6686</v>
      </c>
      <c r="W1413" t="s">
        <v>54</v>
      </c>
      <c r="X1413" t="s">
        <v>52</v>
      </c>
      <c r="Y1413" t="s">
        <v>125</v>
      </c>
      <c r="Z1413">
        <v>2115</v>
      </c>
      <c r="AA1413">
        <v>59</v>
      </c>
      <c r="AB1413">
        <v>174</v>
      </c>
      <c r="AC1413" t="s">
        <v>9965</v>
      </c>
      <c r="AD1413" t="s">
        <v>3403</v>
      </c>
      <c r="AE1413" t="s">
        <v>6690</v>
      </c>
      <c r="AF1413" t="s">
        <v>9966</v>
      </c>
      <c r="AG1413" t="s">
        <v>6688</v>
      </c>
      <c r="AH1413" t="s">
        <v>9967</v>
      </c>
      <c r="AI1413" t="s">
        <v>9968</v>
      </c>
      <c r="AJ1413" s="2">
        <v>45685.510567129626</v>
      </c>
      <c r="AK1413" t="s">
        <v>132</v>
      </c>
      <c r="AL1413" t="s">
        <v>65</v>
      </c>
      <c r="AM1413" s="4">
        <v>0.72916666666666663</v>
      </c>
      <c r="AN1413" t="s">
        <v>66</v>
      </c>
      <c r="AO1413" t="s">
        <v>67</v>
      </c>
    </row>
    <row r="1414" spans="1:41" x14ac:dyDescent="0.2">
      <c r="A1414">
        <v>368510</v>
      </c>
      <c r="B1414" t="s">
        <v>9969</v>
      </c>
      <c r="C1414" t="s">
        <v>118</v>
      </c>
      <c r="D1414" t="s">
        <v>1410</v>
      </c>
      <c r="E1414">
        <v>33319550</v>
      </c>
      <c r="F1414">
        <v>20283</v>
      </c>
      <c r="G1414" s="1">
        <v>45713</v>
      </c>
      <c r="H1414" s="1">
        <v>45672</v>
      </c>
      <c r="I1414" s="1">
        <v>45962</v>
      </c>
      <c r="J1414" t="s">
        <v>45</v>
      </c>
      <c r="K1414" t="s">
        <v>45</v>
      </c>
      <c r="L1414" t="s">
        <v>72</v>
      </c>
      <c r="M1414" s="1">
        <v>41388</v>
      </c>
      <c r="N1414" t="s">
        <v>47</v>
      </c>
      <c r="O1414" t="s">
        <v>121</v>
      </c>
      <c r="P1414" t="s">
        <v>49</v>
      </c>
      <c r="Q1414" t="s">
        <v>9970</v>
      </c>
      <c r="R1414" t="s">
        <v>9971</v>
      </c>
      <c r="S1414">
        <v>6882</v>
      </c>
      <c r="T1414" t="s">
        <v>52</v>
      </c>
      <c r="U1414">
        <v>3</v>
      </c>
      <c r="V1414" t="s">
        <v>6686</v>
      </c>
      <c r="W1414" t="s">
        <v>54</v>
      </c>
      <c r="X1414" t="s">
        <v>52</v>
      </c>
      <c r="Y1414" t="s">
        <v>125</v>
      </c>
      <c r="Z1414">
        <v>2114</v>
      </c>
      <c r="AA1414">
        <v>68</v>
      </c>
      <c r="AB1414">
        <v>174</v>
      </c>
      <c r="AC1414" t="s">
        <v>6766</v>
      </c>
      <c r="AD1414" t="s">
        <v>6767</v>
      </c>
      <c r="AE1414" t="s">
        <v>6768</v>
      </c>
      <c r="AF1414" t="s">
        <v>9972</v>
      </c>
      <c r="AG1414" t="s">
        <v>9973</v>
      </c>
      <c r="AI1414" t="s">
        <v>9974</v>
      </c>
      <c r="AJ1414" s="2">
        <v>45713.936064814814</v>
      </c>
      <c r="AK1414" t="s">
        <v>2854</v>
      </c>
      <c r="AL1414" t="s">
        <v>65</v>
      </c>
      <c r="AM1414" s="4">
        <v>0.72222222222222221</v>
      </c>
      <c r="AN1414" t="s">
        <v>66</v>
      </c>
      <c r="AO1414" t="s">
        <v>67</v>
      </c>
    </row>
    <row r="1415" spans="1:41" x14ac:dyDescent="0.2">
      <c r="A1415">
        <v>369505</v>
      </c>
      <c r="B1415" t="s">
        <v>9975</v>
      </c>
      <c r="C1415" t="s">
        <v>118</v>
      </c>
      <c r="D1415" t="s">
        <v>1410</v>
      </c>
      <c r="E1415" t="s">
        <v>9976</v>
      </c>
      <c r="F1415">
        <v>20282</v>
      </c>
      <c r="G1415" s="1">
        <v>45742</v>
      </c>
      <c r="H1415" s="1">
        <v>45672</v>
      </c>
      <c r="I1415" s="1">
        <v>45962</v>
      </c>
      <c r="J1415" t="s">
        <v>45</v>
      </c>
      <c r="K1415" t="s">
        <v>45</v>
      </c>
      <c r="L1415" t="s">
        <v>72</v>
      </c>
      <c r="N1415" t="s">
        <v>47</v>
      </c>
      <c r="O1415" t="s">
        <v>121</v>
      </c>
      <c r="P1415" t="s">
        <v>49</v>
      </c>
      <c r="Q1415" t="s">
        <v>9977</v>
      </c>
      <c r="R1415" t="s">
        <v>9978</v>
      </c>
      <c r="S1415">
        <v>7314</v>
      </c>
      <c r="T1415" t="s">
        <v>52</v>
      </c>
      <c r="U1415">
        <v>3</v>
      </c>
      <c r="V1415" t="s">
        <v>6686</v>
      </c>
      <c r="W1415" t="s">
        <v>54</v>
      </c>
      <c r="X1415" t="s">
        <v>52</v>
      </c>
      <c r="Y1415" t="s">
        <v>125</v>
      </c>
      <c r="Z1415">
        <v>2116</v>
      </c>
      <c r="AA1415">
        <v>67</v>
      </c>
      <c r="AB1415">
        <v>174</v>
      </c>
      <c r="AC1415" t="s">
        <v>6766</v>
      </c>
      <c r="AD1415" t="s">
        <v>6767</v>
      </c>
      <c r="AE1415" t="s">
        <v>6768</v>
      </c>
      <c r="AF1415" t="s">
        <v>9979</v>
      </c>
      <c r="AG1415" t="s">
        <v>9980</v>
      </c>
      <c r="AH1415" t="s">
        <v>9981</v>
      </c>
      <c r="AI1415" t="s">
        <v>9974</v>
      </c>
      <c r="AJ1415" s="2">
        <v>45742.766886574071</v>
      </c>
      <c r="AK1415" t="s">
        <v>660</v>
      </c>
      <c r="AL1415" t="s">
        <v>65</v>
      </c>
      <c r="AM1415" s="4">
        <v>0.73611111111111116</v>
      </c>
      <c r="AN1415" t="s">
        <v>66</v>
      </c>
      <c r="AO1415" t="s">
        <v>67</v>
      </c>
    </row>
    <row r="1416" spans="1:41" x14ac:dyDescent="0.2">
      <c r="A1416">
        <v>371742</v>
      </c>
      <c r="B1416" t="s">
        <v>9982</v>
      </c>
      <c r="C1416" t="s">
        <v>323</v>
      </c>
      <c r="D1416" t="s">
        <v>372</v>
      </c>
      <c r="E1416" t="s">
        <v>9983</v>
      </c>
      <c r="F1416">
        <v>500322</v>
      </c>
      <c r="G1416" s="1">
        <v>35664</v>
      </c>
      <c r="H1416" s="1">
        <v>45795</v>
      </c>
      <c r="I1416" s="1">
        <v>46037</v>
      </c>
      <c r="J1416" t="s">
        <v>45</v>
      </c>
      <c r="K1416" t="s">
        <v>45</v>
      </c>
      <c r="L1416" t="s">
        <v>72</v>
      </c>
      <c r="M1416" s="1">
        <v>45421</v>
      </c>
      <c r="N1416" t="s">
        <v>47</v>
      </c>
      <c r="O1416" t="s">
        <v>48</v>
      </c>
      <c r="P1416" t="s">
        <v>49</v>
      </c>
      <c r="Q1416" t="s">
        <v>9984</v>
      </c>
      <c r="R1416" t="s">
        <v>9985</v>
      </c>
      <c r="S1416">
        <v>110</v>
      </c>
      <c r="T1416" t="s">
        <v>156</v>
      </c>
      <c r="U1416" t="s">
        <v>460</v>
      </c>
      <c r="V1416" t="s">
        <v>330</v>
      </c>
      <c r="W1416" t="s">
        <v>159</v>
      </c>
      <c r="X1416" t="s">
        <v>76</v>
      </c>
      <c r="Y1416" t="s">
        <v>110</v>
      </c>
      <c r="Z1416">
        <v>1338</v>
      </c>
      <c r="AA1416">
        <v>37</v>
      </c>
      <c r="AB1416">
        <v>158</v>
      </c>
      <c r="AC1416" t="s">
        <v>368</v>
      </c>
      <c r="AD1416" t="s">
        <v>369</v>
      </c>
      <c r="AE1416" t="s">
        <v>370</v>
      </c>
      <c r="AF1416" t="s">
        <v>5645</v>
      </c>
      <c r="AG1416" t="s">
        <v>5646</v>
      </c>
      <c r="AH1416" t="s">
        <v>5647</v>
      </c>
      <c r="AI1416" t="s">
        <v>466</v>
      </c>
      <c r="AJ1416" s="2">
        <v>45818.808530092596</v>
      </c>
      <c r="AK1416" t="s">
        <v>727</v>
      </c>
      <c r="AL1416" t="s">
        <v>65</v>
      </c>
      <c r="AM1416" s="4">
        <v>0.88194444444444442</v>
      </c>
      <c r="AN1416" t="s">
        <v>66</v>
      </c>
      <c r="AO1416" t="s">
        <v>67</v>
      </c>
    </row>
    <row r="1417" spans="1:41" x14ac:dyDescent="0.2">
      <c r="A1417">
        <v>364286</v>
      </c>
      <c r="B1417" t="s">
        <v>9986</v>
      </c>
      <c r="C1417" t="s">
        <v>323</v>
      </c>
      <c r="D1417" t="s">
        <v>9987</v>
      </c>
      <c r="E1417" t="s">
        <v>9988</v>
      </c>
      <c r="F1417">
        <v>501026</v>
      </c>
      <c r="G1417" s="1">
        <v>31499</v>
      </c>
      <c r="H1417" s="1">
        <v>45530</v>
      </c>
      <c r="I1417" s="1">
        <v>46174</v>
      </c>
      <c r="J1417" t="s">
        <v>45</v>
      </c>
      <c r="K1417" t="s">
        <v>45</v>
      </c>
      <c r="L1417" t="s">
        <v>72</v>
      </c>
      <c r="M1417" s="1">
        <v>44054</v>
      </c>
      <c r="N1417" t="s">
        <v>89</v>
      </c>
      <c r="O1417" t="s">
        <v>48</v>
      </c>
      <c r="P1417" t="s">
        <v>49</v>
      </c>
      <c r="Q1417" t="s">
        <v>9989</v>
      </c>
      <c r="R1417" t="s">
        <v>9990</v>
      </c>
      <c r="S1417">
        <v>400</v>
      </c>
      <c r="T1417" t="s">
        <v>52</v>
      </c>
      <c r="U1417">
        <v>10</v>
      </c>
      <c r="V1417" t="s">
        <v>2192</v>
      </c>
      <c r="W1417" t="s">
        <v>54</v>
      </c>
      <c r="X1417" t="s">
        <v>76</v>
      </c>
      <c r="Y1417" t="s">
        <v>56</v>
      </c>
      <c r="Z1417">
        <v>892</v>
      </c>
      <c r="AA1417">
        <v>53</v>
      </c>
      <c r="AB1417">
        <v>66</v>
      </c>
      <c r="AC1417" t="s">
        <v>8495</v>
      </c>
      <c r="AD1417" t="s">
        <v>8496</v>
      </c>
      <c r="AE1417" t="s">
        <v>9991</v>
      </c>
      <c r="AF1417" t="s">
        <v>2193</v>
      </c>
      <c r="AG1417" t="s">
        <v>2194</v>
      </c>
      <c r="AH1417" t="s">
        <v>2195</v>
      </c>
      <c r="AI1417" t="s">
        <v>9992</v>
      </c>
      <c r="AJ1417" s="2">
        <v>45539.794108796297</v>
      </c>
      <c r="AK1417" t="s">
        <v>717</v>
      </c>
      <c r="AL1417" t="s">
        <v>65</v>
      </c>
      <c r="AM1417" s="3">
        <v>2.3125</v>
      </c>
      <c r="AN1417" t="s">
        <v>66</v>
      </c>
      <c r="AO1417" t="s">
        <v>67</v>
      </c>
    </row>
    <row r="1418" spans="1:41" x14ac:dyDescent="0.2">
      <c r="A1418">
        <v>293950</v>
      </c>
      <c r="B1418" t="s">
        <v>9993</v>
      </c>
      <c r="C1418" t="s">
        <v>309</v>
      </c>
      <c r="D1418" t="s">
        <v>8509</v>
      </c>
      <c r="E1418" t="s">
        <v>9994</v>
      </c>
      <c r="J1418" t="s">
        <v>72</v>
      </c>
      <c r="K1418" t="s">
        <v>326</v>
      </c>
      <c r="L1418" t="s">
        <v>72</v>
      </c>
      <c r="N1418" t="s">
        <v>89</v>
      </c>
      <c r="O1418" t="s">
        <v>48</v>
      </c>
      <c r="P1418" t="s">
        <v>406</v>
      </c>
      <c r="Q1418" t="s">
        <v>9995</v>
      </c>
      <c r="R1418" t="s">
        <v>9996</v>
      </c>
      <c r="T1418" t="s">
        <v>257</v>
      </c>
      <c r="U1418" t="s">
        <v>640</v>
      </c>
      <c r="W1418" t="s">
        <v>260</v>
      </c>
      <c r="X1418" t="s">
        <v>257</v>
      </c>
      <c r="Y1418" t="s">
        <v>642</v>
      </c>
      <c r="Z1418">
        <v>5371</v>
      </c>
      <c r="AA1418">
        <v>3</v>
      </c>
      <c r="AB1418">
        <v>34</v>
      </c>
      <c r="AC1418" t="s">
        <v>9997</v>
      </c>
      <c r="AD1418" t="s">
        <v>9998</v>
      </c>
      <c r="AE1418" t="s">
        <v>9999</v>
      </c>
      <c r="AJ1418" s="2">
        <v>44004.686840277776</v>
      </c>
      <c r="AK1418" t="s">
        <v>132</v>
      </c>
      <c r="AL1418" t="s">
        <v>1168</v>
      </c>
      <c r="AM1418" s="4">
        <v>0.97916666666666663</v>
      </c>
      <c r="AN1418" t="s">
        <v>66</v>
      </c>
      <c r="AO1418" t="s">
        <v>67</v>
      </c>
    </row>
    <row r="1419" spans="1:41" x14ac:dyDescent="0.2">
      <c r="A1419">
        <v>357591</v>
      </c>
      <c r="B1419" t="s">
        <v>10000</v>
      </c>
      <c r="C1419" t="s">
        <v>309</v>
      </c>
      <c r="D1419" t="s">
        <v>8539</v>
      </c>
      <c r="E1419" t="s">
        <v>10001</v>
      </c>
      <c r="J1419" t="s">
        <v>45</v>
      </c>
      <c r="K1419" t="s">
        <v>45</v>
      </c>
      <c r="L1419" t="s">
        <v>72</v>
      </c>
      <c r="N1419" t="s">
        <v>89</v>
      </c>
      <c r="O1419" t="s">
        <v>48</v>
      </c>
      <c r="P1419" t="s">
        <v>49</v>
      </c>
      <c r="Q1419" t="s">
        <v>10002</v>
      </c>
      <c r="R1419" t="s">
        <v>10003</v>
      </c>
      <c r="S1419">
        <v>257</v>
      </c>
      <c r="T1419" t="s">
        <v>92</v>
      </c>
      <c r="U1419" t="s">
        <v>313</v>
      </c>
      <c r="V1419" t="s">
        <v>314</v>
      </c>
      <c r="W1419" t="s">
        <v>315</v>
      </c>
      <c r="X1419" t="s">
        <v>92</v>
      </c>
      <c r="Y1419" t="s">
        <v>110</v>
      </c>
      <c r="Z1419">
        <v>10346</v>
      </c>
      <c r="AA1419">
        <v>2</v>
      </c>
      <c r="AB1419">
        <v>160</v>
      </c>
      <c r="AC1419" t="s">
        <v>316</v>
      </c>
      <c r="AD1419" t="s">
        <v>317</v>
      </c>
      <c r="AE1419" t="s">
        <v>318</v>
      </c>
      <c r="AJ1419" s="2">
        <v>45335.571793981479</v>
      </c>
      <c r="AK1419" t="s">
        <v>100</v>
      </c>
      <c r="AL1419" t="s">
        <v>65</v>
      </c>
      <c r="AM1419" s="4">
        <v>0.29166666666666669</v>
      </c>
      <c r="AN1419" t="s">
        <v>66</v>
      </c>
      <c r="AO1419" t="s">
        <v>67</v>
      </c>
    </row>
    <row r="1420" spans="1:41" x14ac:dyDescent="0.2">
      <c r="A1420">
        <v>368154</v>
      </c>
      <c r="B1420" t="s">
        <v>10004</v>
      </c>
      <c r="C1420" t="s">
        <v>309</v>
      </c>
      <c r="D1420" t="s">
        <v>309</v>
      </c>
      <c r="E1420" t="s">
        <v>10005</v>
      </c>
      <c r="F1420">
        <v>496017</v>
      </c>
      <c r="G1420" s="1">
        <v>38666</v>
      </c>
      <c r="H1420" s="1">
        <v>45700</v>
      </c>
      <c r="I1420" s="1">
        <v>45945</v>
      </c>
      <c r="J1420" t="s">
        <v>45</v>
      </c>
      <c r="K1420" t="s">
        <v>45</v>
      </c>
      <c r="L1420" t="s">
        <v>72</v>
      </c>
      <c r="M1420" s="1">
        <v>44186</v>
      </c>
      <c r="N1420" t="s">
        <v>47</v>
      </c>
      <c r="O1420" t="s">
        <v>48</v>
      </c>
      <c r="P1420" t="s">
        <v>49</v>
      </c>
      <c r="Q1420" t="s">
        <v>10006</v>
      </c>
      <c r="R1420" t="s">
        <v>10007</v>
      </c>
      <c r="S1420">
        <v>25</v>
      </c>
      <c r="T1420" t="s">
        <v>257</v>
      </c>
      <c r="U1420" t="s">
        <v>640</v>
      </c>
      <c r="V1420" t="s">
        <v>10008</v>
      </c>
      <c r="W1420" t="s">
        <v>260</v>
      </c>
      <c r="X1420" t="s">
        <v>257</v>
      </c>
      <c r="Y1420" t="s">
        <v>110</v>
      </c>
      <c r="Z1420">
        <v>2662</v>
      </c>
      <c r="AA1420">
        <v>42</v>
      </c>
      <c r="AB1420">
        <v>158</v>
      </c>
      <c r="AC1420" t="s">
        <v>10009</v>
      </c>
      <c r="AD1420" t="s">
        <v>10010</v>
      </c>
      <c r="AE1420" t="s">
        <v>10011</v>
      </c>
      <c r="AH1420" t="s">
        <v>10012</v>
      </c>
      <c r="AI1420" t="s">
        <v>647</v>
      </c>
      <c r="AJ1420" s="2">
        <v>45701.817407407405</v>
      </c>
      <c r="AK1420" t="s">
        <v>10013</v>
      </c>
      <c r="AL1420" t="s">
        <v>65</v>
      </c>
      <c r="AM1420" s="4">
        <v>0.65972222222222221</v>
      </c>
      <c r="AN1420" t="s">
        <v>66</v>
      </c>
      <c r="AO1420" t="s">
        <v>67</v>
      </c>
    </row>
    <row r="1421" spans="1:41" x14ac:dyDescent="0.2">
      <c r="A1421">
        <v>371503</v>
      </c>
      <c r="B1421" t="s">
        <v>10014</v>
      </c>
      <c r="C1421" t="s">
        <v>323</v>
      </c>
      <c r="E1421" t="s">
        <v>10015</v>
      </c>
      <c r="G1421" s="1">
        <v>41110</v>
      </c>
      <c r="H1421" s="1">
        <v>45808</v>
      </c>
      <c r="J1421" t="s">
        <v>72</v>
      </c>
      <c r="K1421" t="s">
        <v>72</v>
      </c>
      <c r="L1421" t="s">
        <v>72</v>
      </c>
      <c r="M1421" s="1">
        <v>41110</v>
      </c>
      <c r="N1421" t="s">
        <v>47</v>
      </c>
      <c r="O1421" t="s">
        <v>48</v>
      </c>
      <c r="P1421" t="s">
        <v>406</v>
      </c>
      <c r="Q1421" t="s">
        <v>10016</v>
      </c>
      <c r="R1421" t="s">
        <v>10017</v>
      </c>
      <c r="S1421">
        <v>2486</v>
      </c>
      <c r="T1421" t="s">
        <v>257</v>
      </c>
      <c r="U1421" t="s">
        <v>329</v>
      </c>
      <c r="V1421" t="s">
        <v>1163</v>
      </c>
      <c r="W1421" t="s">
        <v>260</v>
      </c>
      <c r="X1421" t="s">
        <v>257</v>
      </c>
      <c r="Y1421" t="s">
        <v>642</v>
      </c>
      <c r="Z1421">
        <v>5827</v>
      </c>
      <c r="AA1421">
        <v>25</v>
      </c>
      <c r="AB1421">
        <v>108</v>
      </c>
      <c r="AC1421" t="s">
        <v>1164</v>
      </c>
      <c r="AD1421" t="s">
        <v>1165</v>
      </c>
      <c r="AE1421" t="s">
        <v>1166</v>
      </c>
      <c r="AJ1421" s="2">
        <v>45813.794282407405</v>
      </c>
      <c r="AK1421" t="s">
        <v>1164</v>
      </c>
      <c r="AL1421" t="s">
        <v>1168</v>
      </c>
      <c r="AM1421" s="4">
        <v>0.9375</v>
      </c>
      <c r="AN1421" t="s">
        <v>66</v>
      </c>
      <c r="AO1421" t="s">
        <v>67</v>
      </c>
    </row>
    <row r="1422" spans="1:41" x14ac:dyDescent="0.2">
      <c r="A1422">
        <v>372844</v>
      </c>
      <c r="B1422" t="s">
        <v>10018</v>
      </c>
      <c r="C1422" t="s">
        <v>309</v>
      </c>
      <c r="D1422" t="s">
        <v>8539</v>
      </c>
      <c r="E1422" t="s">
        <v>10019</v>
      </c>
      <c r="G1422" s="1">
        <v>45825</v>
      </c>
      <c r="H1422" s="1">
        <v>45825</v>
      </c>
      <c r="J1422" t="s">
        <v>45</v>
      </c>
      <c r="K1422" t="s">
        <v>45</v>
      </c>
      <c r="L1422" t="s">
        <v>46</v>
      </c>
      <c r="N1422" t="s">
        <v>89</v>
      </c>
      <c r="O1422" t="s">
        <v>48</v>
      </c>
      <c r="P1422" t="s">
        <v>49</v>
      </c>
      <c r="Q1422" t="s">
        <v>10020</v>
      </c>
      <c r="R1422" t="s">
        <v>10021</v>
      </c>
      <c r="S1422">
        <v>740</v>
      </c>
      <c r="T1422" t="s">
        <v>92</v>
      </c>
      <c r="U1422" t="s">
        <v>313</v>
      </c>
      <c r="V1422" t="s">
        <v>314</v>
      </c>
      <c r="W1422" t="s">
        <v>315</v>
      </c>
      <c r="X1422" t="s">
        <v>92</v>
      </c>
      <c r="Y1422" t="s">
        <v>96</v>
      </c>
      <c r="Z1422">
        <v>12314</v>
      </c>
      <c r="AA1422">
        <v>3</v>
      </c>
      <c r="AB1422">
        <v>44</v>
      </c>
      <c r="AC1422" t="s">
        <v>316</v>
      </c>
      <c r="AD1422" t="s">
        <v>317</v>
      </c>
      <c r="AE1422" t="s">
        <v>318</v>
      </c>
      <c r="AF1422" t="s">
        <v>10022</v>
      </c>
      <c r="AG1422" t="s">
        <v>10023</v>
      </c>
      <c r="AH1422" t="s">
        <v>10024</v>
      </c>
      <c r="AJ1422" s="2">
        <v>45854.834050925929</v>
      </c>
      <c r="AK1422" t="s">
        <v>100</v>
      </c>
      <c r="AL1422" t="s">
        <v>65</v>
      </c>
      <c r="AM1422" s="3">
        <v>1.2326388888888888</v>
      </c>
      <c r="AN1422" t="s">
        <v>66</v>
      </c>
      <c r="AO1422" t="s">
        <v>67</v>
      </c>
    </row>
    <row r="1423" spans="1:41" x14ac:dyDescent="0.2">
      <c r="A1423">
        <v>369587</v>
      </c>
      <c r="B1423" t="s">
        <v>10025</v>
      </c>
      <c r="C1423" t="s">
        <v>309</v>
      </c>
      <c r="D1423" t="s">
        <v>6367</v>
      </c>
      <c r="E1423" t="s">
        <v>10026</v>
      </c>
      <c r="G1423" s="1">
        <v>45744</v>
      </c>
      <c r="H1423" s="1">
        <v>45566</v>
      </c>
      <c r="J1423" t="s">
        <v>45</v>
      </c>
      <c r="K1423" t="s">
        <v>45</v>
      </c>
      <c r="L1423" t="s">
        <v>46</v>
      </c>
      <c r="N1423" t="s">
        <v>47</v>
      </c>
      <c r="O1423" t="s">
        <v>48</v>
      </c>
      <c r="P1423" t="s">
        <v>49</v>
      </c>
      <c r="Q1423" t="s">
        <v>10027</v>
      </c>
      <c r="R1423" t="s">
        <v>10028</v>
      </c>
      <c r="S1423">
        <v>1347</v>
      </c>
      <c r="T1423" t="s">
        <v>92</v>
      </c>
      <c r="U1423" t="s">
        <v>313</v>
      </c>
      <c r="V1423" t="s">
        <v>314</v>
      </c>
      <c r="W1423" t="s">
        <v>315</v>
      </c>
      <c r="X1423" t="s">
        <v>92</v>
      </c>
      <c r="Y1423" t="s">
        <v>96</v>
      </c>
      <c r="Z1423">
        <v>12302</v>
      </c>
      <c r="AA1423">
        <v>5</v>
      </c>
      <c r="AB1423">
        <v>44</v>
      </c>
      <c r="AC1423" t="s">
        <v>316</v>
      </c>
      <c r="AD1423" t="s">
        <v>317</v>
      </c>
      <c r="AE1423" t="s">
        <v>318</v>
      </c>
      <c r="AF1423" t="s">
        <v>10029</v>
      </c>
      <c r="AG1423" t="s">
        <v>10030</v>
      </c>
      <c r="AH1423" t="s">
        <v>10031</v>
      </c>
      <c r="AJ1423" s="2">
        <v>45744.837175925924</v>
      </c>
      <c r="AK1423" t="s">
        <v>375</v>
      </c>
      <c r="AL1423" t="s">
        <v>65</v>
      </c>
      <c r="AM1423" s="3">
        <v>2.03125</v>
      </c>
      <c r="AN1423" t="s">
        <v>66</v>
      </c>
      <c r="AO1423" t="s">
        <v>67</v>
      </c>
    </row>
    <row r="1424" spans="1:41" x14ac:dyDescent="0.2">
      <c r="A1424">
        <v>370764</v>
      </c>
      <c r="B1424" t="s">
        <v>10032</v>
      </c>
      <c r="C1424" t="s">
        <v>309</v>
      </c>
      <c r="D1424" t="s">
        <v>8509</v>
      </c>
      <c r="E1424" t="s">
        <v>10033</v>
      </c>
      <c r="G1424" s="1">
        <v>45689</v>
      </c>
      <c r="H1424" s="1">
        <v>45747</v>
      </c>
      <c r="J1424" t="s">
        <v>45</v>
      </c>
      <c r="K1424" t="s">
        <v>45</v>
      </c>
      <c r="L1424" t="s">
        <v>46</v>
      </c>
      <c r="N1424" t="s">
        <v>47</v>
      </c>
      <c r="O1424" t="s">
        <v>48</v>
      </c>
      <c r="P1424" t="s">
        <v>49</v>
      </c>
      <c r="Q1424" t="s">
        <v>10034</v>
      </c>
      <c r="R1424" t="s">
        <v>10035</v>
      </c>
      <c r="S1424">
        <v>6738</v>
      </c>
      <c r="T1424" t="s">
        <v>92</v>
      </c>
      <c r="U1424" t="s">
        <v>313</v>
      </c>
      <c r="V1424" t="s">
        <v>314</v>
      </c>
      <c r="W1424" t="s">
        <v>315</v>
      </c>
      <c r="X1424" t="s">
        <v>92</v>
      </c>
      <c r="Y1424" t="s">
        <v>96</v>
      </c>
      <c r="Z1424">
        <v>12297</v>
      </c>
      <c r="AA1424">
        <v>6</v>
      </c>
      <c r="AB1424">
        <v>44</v>
      </c>
      <c r="AC1424" t="s">
        <v>10036</v>
      </c>
      <c r="AD1424" t="s">
        <v>317</v>
      </c>
      <c r="AE1424" t="s">
        <v>318</v>
      </c>
      <c r="AF1424" t="s">
        <v>8548</v>
      </c>
      <c r="AG1424" t="s">
        <v>8549</v>
      </c>
      <c r="AH1424" t="s">
        <v>8550</v>
      </c>
      <c r="AJ1424" s="2">
        <v>45783.912268518521</v>
      </c>
      <c r="AK1424" t="s">
        <v>660</v>
      </c>
      <c r="AL1424" t="s">
        <v>65</v>
      </c>
      <c r="AM1424" s="3">
        <v>2.0173611111111112</v>
      </c>
      <c r="AN1424" t="s">
        <v>66</v>
      </c>
      <c r="AO1424" t="s">
        <v>67</v>
      </c>
    </row>
    <row r="1425" spans="1:41" x14ac:dyDescent="0.2">
      <c r="A1425">
        <v>361529</v>
      </c>
      <c r="B1425" t="s">
        <v>10037</v>
      </c>
      <c r="C1425" t="s">
        <v>278</v>
      </c>
      <c r="D1425" t="s">
        <v>427</v>
      </c>
      <c r="E1425" t="s">
        <v>10038</v>
      </c>
      <c r="F1425">
        <v>422712</v>
      </c>
      <c r="G1425" s="1">
        <v>33409</v>
      </c>
      <c r="H1425" s="1">
        <v>45449</v>
      </c>
      <c r="I1425" s="1">
        <v>46096</v>
      </c>
      <c r="J1425" t="s">
        <v>45</v>
      </c>
      <c r="K1425" t="s">
        <v>45</v>
      </c>
      <c r="L1425" t="s">
        <v>429</v>
      </c>
      <c r="M1425" s="1">
        <v>41760</v>
      </c>
      <c r="N1425" t="s">
        <v>47</v>
      </c>
      <c r="O1425" t="s">
        <v>48</v>
      </c>
      <c r="P1425" t="s">
        <v>49</v>
      </c>
      <c r="Q1425" t="s">
        <v>10039</v>
      </c>
      <c r="R1425" t="s">
        <v>10040</v>
      </c>
      <c r="S1425">
        <v>6431</v>
      </c>
      <c r="T1425" t="s">
        <v>365</v>
      </c>
      <c r="U1425" t="s">
        <v>432</v>
      </c>
      <c r="V1425" t="s">
        <v>2391</v>
      </c>
      <c r="W1425" t="s">
        <v>367</v>
      </c>
      <c r="X1425" t="s">
        <v>55</v>
      </c>
      <c r="Y1425" t="s">
        <v>434</v>
      </c>
      <c r="Z1425">
        <v>344</v>
      </c>
      <c r="AA1425">
        <v>52</v>
      </c>
      <c r="AB1425">
        <v>158</v>
      </c>
      <c r="AC1425" t="s">
        <v>2392</v>
      </c>
      <c r="AD1425" t="s">
        <v>2393</v>
      </c>
      <c r="AE1425" t="s">
        <v>2394</v>
      </c>
      <c r="AF1425" t="s">
        <v>2392</v>
      </c>
      <c r="AG1425" t="s">
        <v>2393</v>
      </c>
      <c r="AH1425" t="s">
        <v>2395</v>
      </c>
      <c r="AI1425" t="s">
        <v>179</v>
      </c>
      <c r="AJ1425" s="2">
        <v>45455.930034722223</v>
      </c>
      <c r="AK1425" t="s">
        <v>609</v>
      </c>
      <c r="AL1425" t="s">
        <v>65</v>
      </c>
      <c r="AM1425" s="3">
        <v>1.75</v>
      </c>
      <c r="AN1425" t="s">
        <v>66</v>
      </c>
      <c r="AO1425" t="s">
        <v>67</v>
      </c>
    </row>
    <row r="1426" spans="1:41" x14ac:dyDescent="0.2">
      <c r="A1426">
        <v>370293</v>
      </c>
      <c r="B1426" t="s">
        <v>10041</v>
      </c>
      <c r="C1426" t="s">
        <v>558</v>
      </c>
      <c r="D1426" t="s">
        <v>1849</v>
      </c>
      <c r="E1426" t="s">
        <v>10042</v>
      </c>
      <c r="F1426">
        <v>261604</v>
      </c>
      <c r="G1426" s="1">
        <v>31723</v>
      </c>
      <c r="H1426" s="1">
        <v>45769</v>
      </c>
      <c r="I1426" s="1">
        <v>46113</v>
      </c>
      <c r="J1426" t="s">
        <v>45</v>
      </c>
      <c r="K1426" t="s">
        <v>45</v>
      </c>
      <c r="L1426" t="s">
        <v>429</v>
      </c>
      <c r="M1426" s="1">
        <v>44509</v>
      </c>
      <c r="N1426" t="s">
        <v>47</v>
      </c>
      <c r="O1426" t="s">
        <v>48</v>
      </c>
      <c r="P1426" t="s">
        <v>49</v>
      </c>
      <c r="Q1426" t="s">
        <v>10043</v>
      </c>
      <c r="R1426" t="s">
        <v>10044</v>
      </c>
      <c r="S1426">
        <v>4382</v>
      </c>
      <c r="T1426" t="s">
        <v>365</v>
      </c>
      <c r="U1426" t="s">
        <v>562</v>
      </c>
      <c r="V1426" t="s">
        <v>563</v>
      </c>
      <c r="W1426" t="s">
        <v>367</v>
      </c>
      <c r="X1426" t="s">
        <v>76</v>
      </c>
      <c r="Y1426" t="s">
        <v>434</v>
      </c>
      <c r="Z1426">
        <v>276</v>
      </c>
      <c r="AA1426">
        <v>59</v>
      </c>
      <c r="AB1426">
        <v>166</v>
      </c>
      <c r="AC1426" t="s">
        <v>564</v>
      </c>
      <c r="AD1426" t="s">
        <v>565</v>
      </c>
      <c r="AE1426" t="s">
        <v>566</v>
      </c>
      <c r="AI1426" t="s">
        <v>567</v>
      </c>
      <c r="AJ1426" s="2">
        <v>45770.136354166665</v>
      </c>
      <c r="AK1426" t="s">
        <v>568</v>
      </c>
      <c r="AL1426" t="s">
        <v>65</v>
      </c>
      <c r="AM1426" s="3">
        <v>1.7430555555555556</v>
      </c>
      <c r="AN1426" t="s">
        <v>66</v>
      </c>
      <c r="AO1426" t="s">
        <v>67</v>
      </c>
    </row>
    <row r="1427" spans="1:41" x14ac:dyDescent="0.2">
      <c r="A1427">
        <v>370380</v>
      </c>
      <c r="B1427" t="s">
        <v>10045</v>
      </c>
      <c r="C1427" t="s">
        <v>309</v>
      </c>
      <c r="D1427" t="s">
        <v>8509</v>
      </c>
      <c r="E1427">
        <v>32793370</v>
      </c>
      <c r="G1427" s="1">
        <v>37161</v>
      </c>
      <c r="H1427" s="1">
        <v>42138</v>
      </c>
      <c r="J1427" t="s">
        <v>72</v>
      </c>
      <c r="K1427" t="s">
        <v>326</v>
      </c>
      <c r="L1427" t="s">
        <v>72</v>
      </c>
      <c r="M1427" s="1">
        <v>42159</v>
      </c>
      <c r="N1427" t="s">
        <v>89</v>
      </c>
      <c r="O1427" t="s">
        <v>48</v>
      </c>
      <c r="P1427" t="s">
        <v>1752</v>
      </c>
      <c r="Q1427" t="s">
        <v>10046</v>
      </c>
      <c r="R1427" t="s">
        <v>10047</v>
      </c>
      <c r="S1427">
        <v>815</v>
      </c>
      <c r="T1427" t="s">
        <v>92</v>
      </c>
      <c r="U1427" t="s">
        <v>313</v>
      </c>
      <c r="V1427" t="s">
        <v>8513</v>
      </c>
      <c r="W1427" t="s">
        <v>3116</v>
      </c>
      <c r="X1427" t="s">
        <v>92</v>
      </c>
      <c r="Y1427" t="s">
        <v>410</v>
      </c>
      <c r="Z1427">
        <v>1911</v>
      </c>
      <c r="AA1427">
        <v>30</v>
      </c>
      <c r="AB1427">
        <v>76</v>
      </c>
      <c r="AC1427" t="s">
        <v>8514</v>
      </c>
      <c r="AD1427" t="s">
        <v>8515</v>
      </c>
      <c r="AE1427" t="s">
        <v>8516</v>
      </c>
      <c r="AF1427" t="s">
        <v>10048</v>
      </c>
      <c r="AH1427" t="s">
        <v>8518</v>
      </c>
      <c r="AI1427" t="s">
        <v>8515</v>
      </c>
      <c r="AJ1427" s="2">
        <v>45772.758599537039</v>
      </c>
      <c r="AK1427" t="s">
        <v>100</v>
      </c>
      <c r="AL1427" t="s">
        <v>3105</v>
      </c>
      <c r="AM1427" s="3">
        <v>2.2243055555555555</v>
      </c>
      <c r="AN1427" t="s">
        <v>66</v>
      </c>
      <c r="AO1427" t="s">
        <v>67</v>
      </c>
    </row>
    <row r="1428" spans="1:41" x14ac:dyDescent="0.2">
      <c r="A1428">
        <v>371805</v>
      </c>
      <c r="B1428" t="s">
        <v>10049</v>
      </c>
      <c r="C1428" t="s">
        <v>134</v>
      </c>
      <c r="D1428" t="s">
        <v>6133</v>
      </c>
      <c r="E1428" t="s">
        <v>10050</v>
      </c>
      <c r="F1428">
        <v>452913</v>
      </c>
      <c r="G1428" s="1">
        <v>45819</v>
      </c>
      <c r="H1428" s="1">
        <v>45616</v>
      </c>
      <c r="J1428" t="s">
        <v>45</v>
      </c>
      <c r="K1428" t="s">
        <v>45</v>
      </c>
      <c r="L1428" t="s">
        <v>72</v>
      </c>
      <c r="M1428" s="1">
        <v>42480</v>
      </c>
      <c r="N1428" t="s">
        <v>47</v>
      </c>
      <c r="O1428" t="s">
        <v>121</v>
      </c>
      <c r="P1428" t="s">
        <v>49</v>
      </c>
      <c r="Q1428" t="s">
        <v>10051</v>
      </c>
      <c r="R1428" t="s">
        <v>10052</v>
      </c>
      <c r="S1428">
        <v>3290</v>
      </c>
      <c r="T1428" t="s">
        <v>52</v>
      </c>
      <c r="U1428">
        <v>6</v>
      </c>
      <c r="V1428" t="s">
        <v>3463</v>
      </c>
      <c r="W1428" t="s">
        <v>54</v>
      </c>
      <c r="X1428" t="s">
        <v>52</v>
      </c>
      <c r="Y1428" t="s">
        <v>125</v>
      </c>
      <c r="Z1428">
        <v>371</v>
      </c>
      <c r="AA1428">
        <v>88</v>
      </c>
      <c r="AB1428">
        <v>142</v>
      </c>
      <c r="AC1428" t="s">
        <v>10053</v>
      </c>
      <c r="AD1428" t="s">
        <v>10054</v>
      </c>
      <c r="AE1428" t="s">
        <v>10055</v>
      </c>
      <c r="AF1428" t="s">
        <v>10056</v>
      </c>
      <c r="AG1428" t="s">
        <v>10057</v>
      </c>
      <c r="AH1428" t="s">
        <v>10058</v>
      </c>
      <c r="AJ1428" s="2">
        <v>45819.85769675926</v>
      </c>
      <c r="AK1428" t="s">
        <v>10053</v>
      </c>
      <c r="AL1428" t="s">
        <v>65</v>
      </c>
      <c r="AM1428" s="3">
        <v>1.6597222222222223</v>
      </c>
      <c r="AN1428" t="s">
        <v>66</v>
      </c>
      <c r="AO1428" t="s">
        <v>67</v>
      </c>
    </row>
    <row r="1429" spans="1:41" x14ac:dyDescent="0.2">
      <c r="A1429">
        <v>371799</v>
      </c>
      <c r="B1429" t="s">
        <v>10059</v>
      </c>
      <c r="C1429" t="s">
        <v>323</v>
      </c>
      <c r="D1429" t="s">
        <v>372</v>
      </c>
      <c r="E1429" t="s">
        <v>10060</v>
      </c>
      <c r="F1429">
        <v>500321</v>
      </c>
      <c r="G1429" s="1">
        <v>33044</v>
      </c>
      <c r="H1429" s="1">
        <v>45775</v>
      </c>
      <c r="I1429" s="1">
        <v>46037</v>
      </c>
      <c r="J1429" t="s">
        <v>45</v>
      </c>
      <c r="K1429" t="s">
        <v>45</v>
      </c>
      <c r="L1429" t="s">
        <v>72</v>
      </c>
      <c r="M1429" s="1">
        <v>42886</v>
      </c>
      <c r="N1429" t="s">
        <v>47</v>
      </c>
      <c r="O1429" t="s">
        <v>48</v>
      </c>
      <c r="P1429" t="s">
        <v>49</v>
      </c>
      <c r="Q1429" t="s">
        <v>10061</v>
      </c>
      <c r="R1429" t="s">
        <v>10062</v>
      </c>
      <c r="S1429">
        <v>825</v>
      </c>
      <c r="T1429" t="s">
        <v>156</v>
      </c>
      <c r="U1429" t="s">
        <v>460</v>
      </c>
      <c r="V1429" t="s">
        <v>330</v>
      </c>
      <c r="W1429" t="s">
        <v>159</v>
      </c>
      <c r="X1429" t="s">
        <v>76</v>
      </c>
      <c r="Y1429" t="s">
        <v>110</v>
      </c>
      <c r="Z1429">
        <v>465</v>
      </c>
      <c r="AA1429">
        <v>38</v>
      </c>
      <c r="AB1429">
        <v>158</v>
      </c>
      <c r="AC1429" t="s">
        <v>368</v>
      </c>
      <c r="AD1429" t="s">
        <v>369</v>
      </c>
      <c r="AE1429" t="s">
        <v>370</v>
      </c>
      <c r="AF1429" t="s">
        <v>463</v>
      </c>
      <c r="AG1429" t="s">
        <v>464</v>
      </c>
      <c r="AH1429" t="s">
        <v>465</v>
      </c>
      <c r="AI1429" t="s">
        <v>466</v>
      </c>
      <c r="AJ1429" s="2">
        <v>45819.766944444447</v>
      </c>
      <c r="AK1429" t="s">
        <v>727</v>
      </c>
      <c r="AL1429" t="s">
        <v>65</v>
      </c>
      <c r="AM1429" s="4">
        <v>0.88888888888888884</v>
      </c>
      <c r="AN1429" t="s">
        <v>66</v>
      </c>
      <c r="AO1429" t="s">
        <v>67</v>
      </c>
    </row>
    <row r="1430" spans="1:41" x14ac:dyDescent="0.2">
      <c r="A1430">
        <v>371753</v>
      </c>
      <c r="B1430" t="s">
        <v>10063</v>
      </c>
      <c r="C1430" t="s">
        <v>309</v>
      </c>
      <c r="D1430" t="s">
        <v>8509</v>
      </c>
      <c r="E1430" t="s">
        <v>10064</v>
      </c>
      <c r="G1430" s="1">
        <v>45818</v>
      </c>
      <c r="H1430" s="1">
        <v>45792</v>
      </c>
      <c r="J1430" t="s">
        <v>45</v>
      </c>
      <c r="K1430" t="s">
        <v>45</v>
      </c>
      <c r="L1430" t="s">
        <v>46</v>
      </c>
      <c r="N1430" t="s">
        <v>47</v>
      </c>
      <c r="O1430" t="s">
        <v>48</v>
      </c>
      <c r="P1430" t="s">
        <v>49</v>
      </c>
      <c r="Q1430" t="s">
        <v>10065</v>
      </c>
      <c r="R1430" t="s">
        <v>10066</v>
      </c>
      <c r="S1430">
        <v>2041</v>
      </c>
      <c r="T1430" t="s">
        <v>92</v>
      </c>
      <c r="U1430" t="s">
        <v>313</v>
      </c>
      <c r="V1430" t="s">
        <v>314</v>
      </c>
      <c r="W1430" t="s">
        <v>315</v>
      </c>
      <c r="X1430" t="s">
        <v>92</v>
      </c>
      <c r="Y1430" t="s">
        <v>96</v>
      </c>
      <c r="Z1430">
        <v>12312</v>
      </c>
      <c r="AA1430">
        <v>4</v>
      </c>
      <c r="AB1430">
        <v>44</v>
      </c>
      <c r="AC1430" t="s">
        <v>316</v>
      </c>
      <c r="AD1430" t="s">
        <v>317</v>
      </c>
      <c r="AE1430" t="s">
        <v>318</v>
      </c>
      <c r="AF1430" t="s">
        <v>8548</v>
      </c>
      <c r="AG1430" t="s">
        <v>8549</v>
      </c>
      <c r="AH1430" t="s">
        <v>8550</v>
      </c>
      <c r="AJ1430" s="2">
        <v>45818.86478009259</v>
      </c>
      <c r="AK1430" t="s">
        <v>132</v>
      </c>
      <c r="AL1430" t="s">
        <v>65</v>
      </c>
      <c r="AM1430" s="3">
        <v>1.1145833333333333</v>
      </c>
      <c r="AN1430" t="s">
        <v>66</v>
      </c>
      <c r="AO1430" t="s">
        <v>67</v>
      </c>
    </row>
    <row r="1431" spans="1:41" x14ac:dyDescent="0.2">
      <c r="A1431">
        <v>373083</v>
      </c>
      <c r="B1431" t="s">
        <v>10067</v>
      </c>
      <c r="C1431" t="s">
        <v>309</v>
      </c>
      <c r="D1431" t="s">
        <v>8509</v>
      </c>
      <c r="E1431" t="s">
        <v>10068</v>
      </c>
      <c r="G1431" s="1">
        <v>45797</v>
      </c>
      <c r="J1431" t="s">
        <v>45</v>
      </c>
      <c r="K1431" t="s">
        <v>45</v>
      </c>
      <c r="L1431" t="s">
        <v>46</v>
      </c>
      <c r="N1431" t="s">
        <v>89</v>
      </c>
      <c r="O1431" t="s">
        <v>48</v>
      </c>
      <c r="P1431" t="s">
        <v>49</v>
      </c>
      <c r="Q1431" t="s">
        <v>10069</v>
      </c>
      <c r="R1431" t="s">
        <v>10070</v>
      </c>
      <c r="S1431">
        <v>220</v>
      </c>
      <c r="T1431" t="s">
        <v>92</v>
      </c>
      <c r="U1431" t="s">
        <v>313</v>
      </c>
      <c r="V1431" t="s">
        <v>314</v>
      </c>
      <c r="W1431" t="s">
        <v>315</v>
      </c>
      <c r="X1431" t="s">
        <v>92</v>
      </c>
      <c r="Y1431" t="s">
        <v>96</v>
      </c>
      <c r="Z1431">
        <v>12319</v>
      </c>
      <c r="AA1431">
        <v>2</v>
      </c>
      <c r="AB1431">
        <v>44</v>
      </c>
      <c r="AC1431" t="s">
        <v>316</v>
      </c>
      <c r="AD1431" t="s">
        <v>317</v>
      </c>
      <c r="AE1431" t="s">
        <v>318</v>
      </c>
      <c r="AF1431" t="s">
        <v>8548</v>
      </c>
      <c r="AG1431" t="s">
        <v>8549</v>
      </c>
      <c r="AH1431" t="s">
        <v>8550</v>
      </c>
      <c r="AJ1431" s="2">
        <v>45856.895243055558</v>
      </c>
      <c r="AK1431" t="s">
        <v>100</v>
      </c>
      <c r="AL1431" t="s">
        <v>65</v>
      </c>
      <c r="AM1431" s="3">
        <v>1.4340277777777777</v>
      </c>
      <c r="AN1431" t="s">
        <v>66</v>
      </c>
      <c r="AO1431" t="s">
        <v>67</v>
      </c>
    </row>
    <row r="1432" spans="1:41" x14ac:dyDescent="0.2">
      <c r="A1432">
        <v>372662</v>
      </c>
      <c r="B1432" t="s">
        <v>10071</v>
      </c>
      <c r="C1432" t="s">
        <v>309</v>
      </c>
      <c r="D1432" t="s">
        <v>309</v>
      </c>
      <c r="E1432" t="s">
        <v>10072</v>
      </c>
      <c r="F1432">
        <v>496033</v>
      </c>
      <c r="G1432" s="1">
        <v>40744</v>
      </c>
      <c r="H1432" s="1">
        <v>45736</v>
      </c>
      <c r="I1432" s="1">
        <v>45992</v>
      </c>
      <c r="J1432" t="s">
        <v>45</v>
      </c>
      <c r="K1432" t="s">
        <v>45</v>
      </c>
      <c r="L1432" t="s">
        <v>72</v>
      </c>
      <c r="M1432" s="1">
        <v>45189</v>
      </c>
      <c r="N1432" t="s">
        <v>47</v>
      </c>
      <c r="O1432" t="s">
        <v>48</v>
      </c>
      <c r="P1432" t="s">
        <v>49</v>
      </c>
      <c r="Q1432" t="s">
        <v>10073</v>
      </c>
      <c r="R1432" t="s">
        <v>10074</v>
      </c>
      <c r="S1432">
        <v>1733</v>
      </c>
      <c r="T1432" t="s">
        <v>92</v>
      </c>
      <c r="U1432" t="s">
        <v>313</v>
      </c>
      <c r="V1432" t="s">
        <v>314</v>
      </c>
      <c r="W1432" t="s">
        <v>315</v>
      </c>
      <c r="X1432" t="s">
        <v>92</v>
      </c>
      <c r="Y1432" t="s">
        <v>110</v>
      </c>
      <c r="Z1432">
        <v>4726</v>
      </c>
      <c r="AA1432">
        <v>28</v>
      </c>
      <c r="AB1432">
        <v>210</v>
      </c>
      <c r="AC1432" t="s">
        <v>316</v>
      </c>
      <c r="AD1432" t="s">
        <v>317</v>
      </c>
      <c r="AE1432" t="s">
        <v>318</v>
      </c>
      <c r="AF1432" t="s">
        <v>319</v>
      </c>
      <c r="AG1432" t="s">
        <v>320</v>
      </c>
      <c r="AI1432" t="s">
        <v>321</v>
      </c>
      <c r="AJ1432" s="2">
        <v>45849.47452546296</v>
      </c>
      <c r="AK1432" t="s">
        <v>132</v>
      </c>
      <c r="AL1432" t="s">
        <v>65</v>
      </c>
      <c r="AM1432" s="3">
        <v>2</v>
      </c>
      <c r="AN1432" t="s">
        <v>66</v>
      </c>
      <c r="AO1432" t="s">
        <v>67</v>
      </c>
    </row>
    <row r="1433" spans="1:41" x14ac:dyDescent="0.2">
      <c r="A1433">
        <v>369655</v>
      </c>
      <c r="B1433" t="s">
        <v>10075</v>
      </c>
      <c r="C1433" t="s">
        <v>309</v>
      </c>
      <c r="D1433" t="s">
        <v>309</v>
      </c>
      <c r="E1433" s="5" t="s">
        <v>10076</v>
      </c>
      <c r="F1433">
        <v>496031</v>
      </c>
      <c r="G1433" s="1">
        <v>39868</v>
      </c>
      <c r="H1433" s="1">
        <v>45736</v>
      </c>
      <c r="I1433" s="1">
        <v>45992</v>
      </c>
      <c r="J1433" t="s">
        <v>45</v>
      </c>
      <c r="K1433" t="s">
        <v>45</v>
      </c>
      <c r="L1433" t="s">
        <v>72</v>
      </c>
      <c r="N1433" t="s">
        <v>47</v>
      </c>
      <c r="O1433" t="s">
        <v>48</v>
      </c>
      <c r="P1433" t="s">
        <v>49</v>
      </c>
      <c r="Q1433" t="s">
        <v>10077</v>
      </c>
      <c r="R1433" t="s">
        <v>10078</v>
      </c>
      <c r="S1433">
        <v>1221</v>
      </c>
      <c r="T1433" t="s">
        <v>92</v>
      </c>
      <c r="U1433" t="s">
        <v>313</v>
      </c>
      <c r="V1433" t="s">
        <v>314</v>
      </c>
      <c r="W1433" t="s">
        <v>315</v>
      </c>
      <c r="X1433" t="s">
        <v>92</v>
      </c>
      <c r="Y1433" t="s">
        <v>110</v>
      </c>
      <c r="Z1433">
        <v>3059</v>
      </c>
      <c r="AA1433">
        <v>25</v>
      </c>
      <c r="AB1433">
        <v>80</v>
      </c>
      <c r="AC1433" t="s">
        <v>8870</v>
      </c>
      <c r="AD1433" t="s">
        <v>8871</v>
      </c>
      <c r="AE1433" t="s">
        <v>8872</v>
      </c>
      <c r="AF1433" t="s">
        <v>319</v>
      </c>
      <c r="AG1433" t="s">
        <v>320</v>
      </c>
      <c r="AH1433" t="s">
        <v>8873</v>
      </c>
      <c r="AI1433" t="s">
        <v>321</v>
      </c>
      <c r="AJ1433" s="2">
        <v>45747.995555555557</v>
      </c>
      <c r="AK1433" t="s">
        <v>316</v>
      </c>
      <c r="AL1433" t="s">
        <v>65</v>
      </c>
      <c r="AM1433" s="3">
        <v>1.5</v>
      </c>
      <c r="AN1433" t="s">
        <v>66</v>
      </c>
      <c r="AO1433" t="s">
        <v>67</v>
      </c>
    </row>
    <row r="1434" spans="1:41" x14ac:dyDescent="0.2">
      <c r="A1434">
        <v>371755</v>
      </c>
      <c r="B1434" t="s">
        <v>10079</v>
      </c>
      <c r="C1434" t="s">
        <v>323</v>
      </c>
      <c r="D1434" t="s">
        <v>3603</v>
      </c>
      <c r="E1434" t="s">
        <v>10080</v>
      </c>
      <c r="F1434">
        <v>500217</v>
      </c>
      <c r="G1434" s="1">
        <v>33768</v>
      </c>
      <c r="H1434" s="1">
        <v>45792</v>
      </c>
      <c r="I1434" s="1">
        <v>46037</v>
      </c>
      <c r="J1434" t="s">
        <v>45</v>
      </c>
      <c r="K1434" t="s">
        <v>45</v>
      </c>
      <c r="L1434" t="s">
        <v>72</v>
      </c>
      <c r="M1434" s="1">
        <v>45443</v>
      </c>
      <c r="N1434" t="s">
        <v>47</v>
      </c>
      <c r="O1434" t="s">
        <v>48</v>
      </c>
      <c r="P1434" t="s">
        <v>49</v>
      </c>
      <c r="Q1434" t="s">
        <v>10081</v>
      </c>
      <c r="R1434" t="s">
        <v>10082</v>
      </c>
      <c r="S1434">
        <v>235</v>
      </c>
      <c r="T1434" t="s">
        <v>257</v>
      </c>
      <c r="U1434" t="s">
        <v>329</v>
      </c>
      <c r="V1434" t="s">
        <v>10083</v>
      </c>
      <c r="W1434" t="s">
        <v>260</v>
      </c>
      <c r="X1434" t="s">
        <v>76</v>
      </c>
      <c r="Y1434" t="s">
        <v>110</v>
      </c>
      <c r="Z1434">
        <v>502</v>
      </c>
      <c r="AA1434">
        <v>47</v>
      </c>
      <c r="AB1434">
        <v>152</v>
      </c>
      <c r="AC1434" t="s">
        <v>6179</v>
      </c>
      <c r="AD1434" t="s">
        <v>343</v>
      </c>
      <c r="AE1434" t="s">
        <v>6180</v>
      </c>
      <c r="AF1434" t="s">
        <v>368</v>
      </c>
      <c r="AG1434" t="s">
        <v>369</v>
      </c>
      <c r="AH1434" t="s">
        <v>370</v>
      </c>
      <c r="AI1434" t="s">
        <v>332</v>
      </c>
      <c r="AJ1434" s="2">
        <v>45818.873993055553</v>
      </c>
      <c r="AK1434" t="s">
        <v>727</v>
      </c>
      <c r="AL1434" t="s">
        <v>65</v>
      </c>
      <c r="AM1434" s="3">
        <v>2.3402777777777777</v>
      </c>
      <c r="AN1434" t="s">
        <v>66</v>
      </c>
      <c r="AO1434" t="s">
        <v>67</v>
      </c>
    </row>
    <row r="1435" spans="1:41" x14ac:dyDescent="0.2">
      <c r="A1435">
        <v>365754</v>
      </c>
      <c r="B1435" t="s">
        <v>10084</v>
      </c>
      <c r="C1435" t="s">
        <v>309</v>
      </c>
      <c r="D1435" t="s">
        <v>6367</v>
      </c>
      <c r="E1435" t="s">
        <v>10085</v>
      </c>
      <c r="F1435">
        <v>499903</v>
      </c>
      <c r="G1435" s="1">
        <v>38086</v>
      </c>
      <c r="H1435" s="1">
        <v>45335</v>
      </c>
      <c r="I1435" s="1">
        <v>46235</v>
      </c>
      <c r="J1435" t="s">
        <v>72</v>
      </c>
      <c r="K1435" t="s">
        <v>45</v>
      </c>
      <c r="L1435" t="s">
        <v>72</v>
      </c>
      <c r="M1435" s="1">
        <v>43314</v>
      </c>
      <c r="N1435" t="s">
        <v>89</v>
      </c>
      <c r="O1435" t="s">
        <v>48</v>
      </c>
      <c r="P1435" t="s">
        <v>49</v>
      </c>
      <c r="Q1435" t="s">
        <v>10086</v>
      </c>
      <c r="R1435" t="s">
        <v>10087</v>
      </c>
      <c r="S1435">
        <v>1274</v>
      </c>
      <c r="T1435" t="s">
        <v>1328</v>
      </c>
      <c r="U1435" t="s">
        <v>3114</v>
      </c>
      <c r="V1435" t="s">
        <v>6371</v>
      </c>
      <c r="W1435" t="s">
        <v>3116</v>
      </c>
      <c r="X1435" t="s">
        <v>1328</v>
      </c>
      <c r="Y1435" t="s">
        <v>110</v>
      </c>
      <c r="Z1435">
        <v>2546</v>
      </c>
      <c r="AA1435">
        <v>21</v>
      </c>
      <c r="AB1435">
        <v>160</v>
      </c>
      <c r="AC1435" t="s">
        <v>6372</v>
      </c>
      <c r="AD1435" t="s">
        <v>6373</v>
      </c>
      <c r="AE1435" t="s">
        <v>6374</v>
      </c>
      <c r="AF1435" t="s">
        <v>6375</v>
      </c>
      <c r="AG1435" t="s">
        <v>6376</v>
      </c>
      <c r="AH1435" t="s">
        <v>6377</v>
      </c>
      <c r="AJ1435" s="2">
        <v>45591.573067129626</v>
      </c>
      <c r="AK1435" t="s">
        <v>132</v>
      </c>
      <c r="AL1435" t="s">
        <v>65</v>
      </c>
      <c r="AM1435" s="3">
        <v>2.0555555555555554</v>
      </c>
      <c r="AN1435" t="s">
        <v>66</v>
      </c>
      <c r="AO1435" t="s">
        <v>67</v>
      </c>
    </row>
    <row r="1436" spans="1:41" x14ac:dyDescent="0.2">
      <c r="A1436">
        <v>362215</v>
      </c>
      <c r="B1436" t="s">
        <v>10088</v>
      </c>
      <c r="C1436" t="s">
        <v>309</v>
      </c>
      <c r="D1436" t="s">
        <v>309</v>
      </c>
      <c r="E1436">
        <v>32807432</v>
      </c>
      <c r="F1436">
        <v>496024</v>
      </c>
      <c r="G1436" s="1">
        <v>39478</v>
      </c>
      <c r="H1436" s="1">
        <v>45478</v>
      </c>
      <c r="I1436" s="1">
        <v>45976</v>
      </c>
      <c r="J1436" t="s">
        <v>45</v>
      </c>
      <c r="K1436" t="s">
        <v>45</v>
      </c>
      <c r="L1436" t="s">
        <v>72</v>
      </c>
      <c r="M1436" s="1">
        <v>45327</v>
      </c>
      <c r="N1436" t="s">
        <v>47</v>
      </c>
      <c r="O1436" t="s">
        <v>48</v>
      </c>
      <c r="P1436" t="s">
        <v>49</v>
      </c>
      <c r="Q1436" t="s">
        <v>10089</v>
      </c>
      <c r="R1436" t="s">
        <v>10090</v>
      </c>
      <c r="S1436">
        <v>97</v>
      </c>
      <c r="T1436" t="s">
        <v>257</v>
      </c>
      <c r="U1436" t="s">
        <v>640</v>
      </c>
      <c r="V1436" t="s">
        <v>9952</v>
      </c>
      <c r="W1436" t="s">
        <v>260</v>
      </c>
      <c r="X1436" t="s">
        <v>257</v>
      </c>
      <c r="Y1436" t="s">
        <v>110</v>
      </c>
      <c r="Z1436">
        <v>2981</v>
      </c>
      <c r="AA1436">
        <v>44</v>
      </c>
      <c r="AB1436">
        <v>144</v>
      </c>
      <c r="AC1436" t="s">
        <v>646</v>
      </c>
      <c r="AD1436" t="s">
        <v>647</v>
      </c>
      <c r="AE1436" t="s">
        <v>648</v>
      </c>
      <c r="AF1436" t="s">
        <v>9953</v>
      </c>
      <c r="AG1436" t="s">
        <v>9954</v>
      </c>
      <c r="AH1436" t="s">
        <v>9955</v>
      </c>
      <c r="AI1436" t="s">
        <v>647</v>
      </c>
      <c r="AJ1436" s="2">
        <v>45478.986608796295</v>
      </c>
      <c r="AK1436" t="s">
        <v>646</v>
      </c>
      <c r="AL1436" t="s">
        <v>65</v>
      </c>
      <c r="AM1436" s="3">
        <v>1.8611111111111112</v>
      </c>
      <c r="AN1436" t="s">
        <v>66</v>
      </c>
      <c r="AO1436" t="s">
        <v>67</v>
      </c>
    </row>
    <row r="1437" spans="1:41" x14ac:dyDescent="0.2">
      <c r="A1437">
        <v>368415</v>
      </c>
      <c r="B1437" t="s">
        <v>10091</v>
      </c>
      <c r="C1437" t="s">
        <v>309</v>
      </c>
      <c r="D1437" t="s">
        <v>8509</v>
      </c>
      <c r="E1437" t="s">
        <v>10092</v>
      </c>
      <c r="F1437">
        <v>498013</v>
      </c>
      <c r="G1437" s="1">
        <v>42430</v>
      </c>
      <c r="H1437" s="1">
        <v>45708</v>
      </c>
      <c r="I1437" s="1">
        <v>46068</v>
      </c>
      <c r="J1437" t="s">
        <v>45</v>
      </c>
      <c r="K1437" t="s">
        <v>45</v>
      </c>
      <c r="L1437" t="s">
        <v>72</v>
      </c>
      <c r="M1437" s="1">
        <v>43666</v>
      </c>
      <c r="N1437" t="s">
        <v>47</v>
      </c>
      <c r="O1437" t="s">
        <v>48</v>
      </c>
      <c r="P1437" t="s">
        <v>49</v>
      </c>
      <c r="Q1437" t="s">
        <v>10093</v>
      </c>
      <c r="R1437" t="s">
        <v>10094</v>
      </c>
      <c r="S1437">
        <v>12</v>
      </c>
      <c r="T1437" t="s">
        <v>156</v>
      </c>
      <c r="U1437" t="s">
        <v>4608</v>
      </c>
      <c r="W1437" t="s">
        <v>159</v>
      </c>
      <c r="X1437" t="s">
        <v>156</v>
      </c>
      <c r="Y1437" t="s">
        <v>110</v>
      </c>
      <c r="Z1437">
        <v>8266</v>
      </c>
      <c r="AA1437">
        <v>23</v>
      </c>
      <c r="AB1437">
        <v>78</v>
      </c>
      <c r="AC1437" t="s">
        <v>646</v>
      </c>
      <c r="AD1437" t="s">
        <v>8507</v>
      </c>
      <c r="AE1437" t="s">
        <v>648</v>
      </c>
      <c r="AF1437" t="s">
        <v>4613</v>
      </c>
      <c r="AG1437" t="s">
        <v>4614</v>
      </c>
      <c r="AH1437" t="s">
        <v>4615</v>
      </c>
      <c r="AI1437" t="s">
        <v>10095</v>
      </c>
      <c r="AJ1437" s="2">
        <v>45709.773055555554</v>
      </c>
      <c r="AK1437" t="s">
        <v>646</v>
      </c>
      <c r="AL1437" t="s">
        <v>65</v>
      </c>
      <c r="AM1437" s="4">
        <v>0.85416666666666663</v>
      </c>
      <c r="AN1437" t="s">
        <v>66</v>
      </c>
      <c r="AO1437" t="s">
        <v>67</v>
      </c>
    </row>
    <row r="1438" spans="1:41" x14ac:dyDescent="0.2">
      <c r="A1438">
        <v>202306</v>
      </c>
      <c r="B1438" t="s">
        <v>10096</v>
      </c>
      <c r="C1438" t="s">
        <v>309</v>
      </c>
      <c r="D1438" t="s">
        <v>8509</v>
      </c>
      <c r="E1438">
        <v>32792006</v>
      </c>
      <c r="G1438" s="1">
        <v>37161</v>
      </c>
      <c r="H1438" s="1">
        <v>42123</v>
      </c>
      <c r="J1438" t="s">
        <v>72</v>
      </c>
      <c r="K1438" t="s">
        <v>72</v>
      </c>
      <c r="L1438" t="s">
        <v>72</v>
      </c>
      <c r="M1438" s="1">
        <v>42089</v>
      </c>
      <c r="N1438" t="s">
        <v>89</v>
      </c>
      <c r="O1438" t="s">
        <v>48</v>
      </c>
      <c r="P1438" t="s">
        <v>1752</v>
      </c>
      <c r="Q1438" t="s">
        <v>10097</v>
      </c>
      <c r="R1438" t="s">
        <v>10098</v>
      </c>
      <c r="S1438">
        <v>825</v>
      </c>
      <c r="T1438" t="s">
        <v>92</v>
      </c>
      <c r="U1438" t="s">
        <v>313</v>
      </c>
      <c r="V1438" t="s">
        <v>8513</v>
      </c>
      <c r="W1438" t="s">
        <v>3116</v>
      </c>
      <c r="X1438" t="s">
        <v>1328</v>
      </c>
      <c r="Y1438" t="s">
        <v>410</v>
      </c>
      <c r="Z1438">
        <v>1910</v>
      </c>
      <c r="AA1438">
        <v>29</v>
      </c>
      <c r="AB1438">
        <v>14</v>
      </c>
      <c r="AC1438" t="s">
        <v>8514</v>
      </c>
      <c r="AD1438" t="s">
        <v>8515</v>
      </c>
      <c r="AE1438" t="s">
        <v>8516</v>
      </c>
      <c r="AF1438" t="s">
        <v>8941</v>
      </c>
      <c r="AH1438" t="s">
        <v>8518</v>
      </c>
      <c r="AI1438" t="s">
        <v>8515</v>
      </c>
      <c r="AJ1438" s="2">
        <v>42914.725231481483</v>
      </c>
      <c r="AK1438" t="s">
        <v>149</v>
      </c>
      <c r="AL1438" t="s">
        <v>3105</v>
      </c>
      <c r="AM1438" s="3">
        <v>1.0208333333333333</v>
      </c>
      <c r="AN1438" t="s">
        <v>66</v>
      </c>
      <c r="AO1438" t="s">
        <v>67</v>
      </c>
    </row>
    <row r="1439" spans="1:41" x14ac:dyDescent="0.2">
      <c r="A1439">
        <v>366961</v>
      </c>
      <c r="B1439" t="s">
        <v>10099</v>
      </c>
      <c r="C1439" t="s">
        <v>1244</v>
      </c>
      <c r="D1439" t="s">
        <v>1050</v>
      </c>
      <c r="E1439" t="s">
        <v>10100</v>
      </c>
      <c r="F1439">
        <v>462901</v>
      </c>
      <c r="G1439" s="1">
        <v>43054</v>
      </c>
      <c r="H1439" s="1">
        <v>45636</v>
      </c>
      <c r="J1439" t="s">
        <v>45</v>
      </c>
      <c r="K1439" t="s">
        <v>45</v>
      </c>
      <c r="L1439" t="s">
        <v>72</v>
      </c>
      <c r="M1439" s="1">
        <v>43054</v>
      </c>
      <c r="N1439" t="s">
        <v>47</v>
      </c>
      <c r="O1439" t="s">
        <v>48</v>
      </c>
      <c r="P1439" t="s">
        <v>49</v>
      </c>
      <c r="Q1439" t="s">
        <v>10101</v>
      </c>
      <c r="R1439" t="s">
        <v>10102</v>
      </c>
      <c r="S1439">
        <v>602</v>
      </c>
      <c r="T1439" t="s">
        <v>92</v>
      </c>
      <c r="U1439" t="s">
        <v>1249</v>
      </c>
      <c r="V1439" t="s">
        <v>1250</v>
      </c>
      <c r="W1439" t="s">
        <v>1251</v>
      </c>
      <c r="X1439" t="s">
        <v>92</v>
      </c>
      <c r="Y1439" t="s">
        <v>450</v>
      </c>
      <c r="Z1439">
        <v>2901</v>
      </c>
      <c r="AA1439">
        <v>28</v>
      </c>
      <c r="AB1439">
        <v>166</v>
      </c>
      <c r="AC1439" t="s">
        <v>1252</v>
      </c>
      <c r="AD1439" t="s">
        <v>1253</v>
      </c>
      <c r="AE1439" t="s">
        <v>1254</v>
      </c>
      <c r="AF1439" t="s">
        <v>1255</v>
      </c>
      <c r="AG1439" t="s">
        <v>1256</v>
      </c>
      <c r="AH1439" t="s">
        <v>1257</v>
      </c>
      <c r="AI1439" t="s">
        <v>1258</v>
      </c>
      <c r="AJ1439" s="2">
        <v>45649.63925925926</v>
      </c>
      <c r="AK1439" t="s">
        <v>1255</v>
      </c>
      <c r="AL1439" t="s">
        <v>65</v>
      </c>
      <c r="AM1439" s="4">
        <v>0.57638888888888884</v>
      </c>
      <c r="AN1439" t="s">
        <v>66</v>
      </c>
      <c r="AO1439" t="s">
        <v>67</v>
      </c>
    </row>
    <row r="1440" spans="1:41" x14ac:dyDescent="0.2">
      <c r="A1440">
        <v>371056</v>
      </c>
      <c r="B1440" t="s">
        <v>10103</v>
      </c>
      <c r="C1440" t="s">
        <v>167</v>
      </c>
      <c r="D1440" t="s">
        <v>3018</v>
      </c>
      <c r="E1440" t="s">
        <v>10104</v>
      </c>
      <c r="F1440">
        <v>352332</v>
      </c>
      <c r="G1440" s="1">
        <v>34955</v>
      </c>
      <c r="H1440" s="1">
        <v>45790</v>
      </c>
      <c r="I1440" s="1">
        <v>46157</v>
      </c>
      <c r="J1440" t="s">
        <v>45</v>
      </c>
      <c r="K1440" t="s">
        <v>45</v>
      </c>
      <c r="L1440" t="s">
        <v>72</v>
      </c>
      <c r="M1440" s="1">
        <v>39617</v>
      </c>
      <c r="N1440" t="s">
        <v>47</v>
      </c>
      <c r="O1440" t="s">
        <v>48</v>
      </c>
      <c r="P1440" t="s">
        <v>49</v>
      </c>
      <c r="Q1440" t="s">
        <v>10105</v>
      </c>
      <c r="R1440" t="s">
        <v>10106</v>
      </c>
      <c r="S1440">
        <v>5120</v>
      </c>
      <c r="T1440" t="s">
        <v>52</v>
      </c>
      <c r="U1440">
        <v>6</v>
      </c>
      <c r="V1440" t="s">
        <v>574</v>
      </c>
      <c r="W1440" t="s">
        <v>54</v>
      </c>
      <c r="X1440" t="s">
        <v>76</v>
      </c>
      <c r="Y1440" t="s">
        <v>56</v>
      </c>
      <c r="Z1440">
        <v>952</v>
      </c>
      <c r="AA1440">
        <v>46</v>
      </c>
      <c r="AB1440">
        <v>38</v>
      </c>
      <c r="AC1440" t="s">
        <v>578</v>
      </c>
      <c r="AD1440" t="s">
        <v>579</v>
      </c>
      <c r="AE1440" t="s">
        <v>580</v>
      </c>
      <c r="AF1440" t="s">
        <v>3022</v>
      </c>
      <c r="AG1440" t="s">
        <v>3023</v>
      </c>
      <c r="AH1440" t="s">
        <v>3024</v>
      </c>
      <c r="AI1440" t="s">
        <v>3025</v>
      </c>
      <c r="AJ1440" s="2">
        <v>45793.712604166663</v>
      </c>
      <c r="AK1440" t="s">
        <v>540</v>
      </c>
      <c r="AL1440" t="s">
        <v>65</v>
      </c>
      <c r="AM1440" s="3">
        <v>1.1944444444444444</v>
      </c>
      <c r="AN1440" t="s">
        <v>66</v>
      </c>
      <c r="AO1440" t="s">
        <v>67</v>
      </c>
    </row>
    <row r="1441" spans="1:41" x14ac:dyDescent="0.2">
      <c r="A1441">
        <v>369939</v>
      </c>
      <c r="B1441" t="s">
        <v>10107</v>
      </c>
      <c r="C1441" t="s">
        <v>182</v>
      </c>
      <c r="D1441" t="s">
        <v>779</v>
      </c>
      <c r="E1441">
        <v>32675560</v>
      </c>
      <c r="F1441">
        <v>45604</v>
      </c>
      <c r="G1441" s="1">
        <v>33001</v>
      </c>
      <c r="H1441" s="1">
        <v>45608</v>
      </c>
      <c r="I1441" s="1">
        <v>45945</v>
      </c>
      <c r="J1441" t="s">
        <v>45</v>
      </c>
      <c r="K1441" t="s">
        <v>45</v>
      </c>
      <c r="L1441" t="s">
        <v>429</v>
      </c>
      <c r="M1441" s="1">
        <v>43480</v>
      </c>
      <c r="N1441" t="s">
        <v>47</v>
      </c>
      <c r="O1441" t="s">
        <v>48</v>
      </c>
      <c r="P1441" t="s">
        <v>49</v>
      </c>
      <c r="Q1441" t="s">
        <v>10108</v>
      </c>
      <c r="R1441" t="s">
        <v>10109</v>
      </c>
      <c r="S1441">
        <v>4752</v>
      </c>
      <c r="T1441" t="s">
        <v>52</v>
      </c>
      <c r="U1441">
        <v>5</v>
      </c>
      <c r="V1441" t="s">
        <v>1665</v>
      </c>
      <c r="W1441" t="s">
        <v>54</v>
      </c>
      <c r="X1441" t="s">
        <v>493</v>
      </c>
      <c r="Y1441" t="s">
        <v>434</v>
      </c>
      <c r="Z1441">
        <v>728</v>
      </c>
      <c r="AA1441">
        <v>48</v>
      </c>
      <c r="AB1441">
        <v>28</v>
      </c>
      <c r="AC1441" t="s">
        <v>1666</v>
      </c>
      <c r="AD1441" t="s">
        <v>1667</v>
      </c>
      <c r="AE1441" t="s">
        <v>10110</v>
      </c>
      <c r="AF1441" t="s">
        <v>5810</v>
      </c>
      <c r="AG1441" t="s">
        <v>5811</v>
      </c>
      <c r="AH1441" t="s">
        <v>5812</v>
      </c>
      <c r="AI1441" t="s">
        <v>5813</v>
      </c>
      <c r="AJ1441" s="2">
        <v>45757.983518518522</v>
      </c>
      <c r="AK1441" t="s">
        <v>1871</v>
      </c>
      <c r="AL1441" t="s">
        <v>65</v>
      </c>
      <c r="AM1441" s="4">
        <v>0.70833333333333337</v>
      </c>
      <c r="AN1441" t="s">
        <v>66</v>
      </c>
      <c r="AO1441" t="s">
        <v>67</v>
      </c>
    </row>
    <row r="1442" spans="1:41" x14ac:dyDescent="0.2">
      <c r="A1442">
        <v>366780</v>
      </c>
      <c r="B1442" t="s">
        <v>10111</v>
      </c>
      <c r="C1442" t="s">
        <v>236</v>
      </c>
      <c r="D1442" t="s">
        <v>2133</v>
      </c>
      <c r="E1442">
        <v>70709524</v>
      </c>
      <c r="F1442">
        <v>210902</v>
      </c>
      <c r="G1442" s="1">
        <v>35065</v>
      </c>
      <c r="H1442" s="1">
        <v>45581</v>
      </c>
      <c r="J1442" t="s">
        <v>45</v>
      </c>
      <c r="K1442" t="s">
        <v>45</v>
      </c>
      <c r="L1442" t="s">
        <v>72</v>
      </c>
      <c r="M1442" s="1">
        <v>42206</v>
      </c>
      <c r="N1442" t="s">
        <v>47</v>
      </c>
      <c r="O1442" t="s">
        <v>48</v>
      </c>
      <c r="P1442" t="s">
        <v>49</v>
      </c>
      <c r="Q1442" t="s">
        <v>10112</v>
      </c>
      <c r="R1442" t="s">
        <v>10113</v>
      </c>
      <c r="S1442">
        <v>1352</v>
      </c>
      <c r="T1442" t="s">
        <v>92</v>
      </c>
      <c r="U1442" t="s">
        <v>1509</v>
      </c>
      <c r="V1442" t="s">
        <v>506</v>
      </c>
      <c r="W1442" t="s">
        <v>1510</v>
      </c>
      <c r="X1442" t="s">
        <v>52</v>
      </c>
      <c r="Y1442" t="s">
        <v>410</v>
      </c>
      <c r="Z1442">
        <v>1388</v>
      </c>
      <c r="AA1442">
        <v>45</v>
      </c>
      <c r="AB1442">
        <v>174</v>
      </c>
      <c r="AC1442" t="s">
        <v>1511</v>
      </c>
      <c r="AD1442" t="s">
        <v>1512</v>
      </c>
      <c r="AE1442" t="s">
        <v>1513</v>
      </c>
      <c r="AF1442" t="s">
        <v>10114</v>
      </c>
      <c r="AG1442" t="s">
        <v>10115</v>
      </c>
      <c r="AH1442" t="s">
        <v>4547</v>
      </c>
      <c r="AI1442" t="s">
        <v>10116</v>
      </c>
      <c r="AJ1442" s="2">
        <v>45791.806805555556</v>
      </c>
      <c r="AK1442" t="s">
        <v>100</v>
      </c>
      <c r="AL1442" t="s">
        <v>65</v>
      </c>
      <c r="AM1442" s="4">
        <v>0.31944444444444442</v>
      </c>
      <c r="AN1442" t="s">
        <v>66</v>
      </c>
      <c r="AO1442" t="s">
        <v>67</v>
      </c>
    </row>
    <row r="1443" spans="1:41" x14ac:dyDescent="0.2">
      <c r="A1443">
        <v>371745</v>
      </c>
      <c r="B1443" t="s">
        <v>10117</v>
      </c>
      <c r="C1443" t="s">
        <v>323</v>
      </c>
      <c r="D1443" t="s">
        <v>3603</v>
      </c>
      <c r="E1443" t="s">
        <v>10118</v>
      </c>
      <c r="F1443">
        <v>500934</v>
      </c>
      <c r="G1443" s="1">
        <v>31902</v>
      </c>
      <c r="H1443" s="1">
        <v>45792</v>
      </c>
      <c r="I1443" s="1">
        <v>46037</v>
      </c>
      <c r="J1443" t="s">
        <v>45</v>
      </c>
      <c r="K1443" t="s">
        <v>45</v>
      </c>
      <c r="L1443" t="s">
        <v>72</v>
      </c>
      <c r="M1443" s="1">
        <v>43600</v>
      </c>
      <c r="N1443" t="s">
        <v>47</v>
      </c>
      <c r="O1443" t="s">
        <v>48</v>
      </c>
      <c r="P1443" t="s">
        <v>49</v>
      </c>
      <c r="Q1443" t="s">
        <v>10119</v>
      </c>
      <c r="R1443" t="s">
        <v>10120</v>
      </c>
      <c r="S1443">
        <v>382</v>
      </c>
      <c r="T1443" t="s">
        <v>257</v>
      </c>
      <c r="U1443" t="s">
        <v>329</v>
      </c>
      <c r="V1443" t="s">
        <v>1163</v>
      </c>
      <c r="W1443" t="s">
        <v>260</v>
      </c>
      <c r="X1443" t="s">
        <v>76</v>
      </c>
      <c r="Y1443" t="s">
        <v>110</v>
      </c>
      <c r="Z1443">
        <v>494</v>
      </c>
      <c r="AA1443">
        <v>47</v>
      </c>
      <c r="AB1443">
        <v>166</v>
      </c>
      <c r="AC1443" t="s">
        <v>6179</v>
      </c>
      <c r="AD1443" t="s">
        <v>343</v>
      </c>
      <c r="AE1443" t="s">
        <v>6180</v>
      </c>
      <c r="AF1443" t="s">
        <v>368</v>
      </c>
      <c r="AG1443" t="s">
        <v>369</v>
      </c>
      <c r="AH1443" t="s">
        <v>370</v>
      </c>
      <c r="AI1443" t="s">
        <v>332</v>
      </c>
      <c r="AJ1443" s="2">
        <v>45818.828912037039</v>
      </c>
      <c r="AK1443" t="s">
        <v>727</v>
      </c>
      <c r="AL1443" t="s">
        <v>65</v>
      </c>
      <c r="AM1443" s="3">
        <v>2.3541666666666665</v>
      </c>
      <c r="AN1443" t="s">
        <v>66</v>
      </c>
      <c r="AO1443" t="s">
        <v>67</v>
      </c>
    </row>
    <row r="1444" spans="1:41" x14ac:dyDescent="0.2">
      <c r="A1444">
        <v>362801</v>
      </c>
      <c r="B1444" t="s">
        <v>10117</v>
      </c>
      <c r="C1444" t="s">
        <v>692</v>
      </c>
      <c r="D1444" t="s">
        <v>1849</v>
      </c>
      <c r="E1444" s="5" t="s">
        <v>10121</v>
      </c>
      <c r="F1444">
        <v>481208</v>
      </c>
      <c r="G1444" s="1">
        <v>39281</v>
      </c>
      <c r="H1444" s="1">
        <v>45488</v>
      </c>
      <c r="I1444" s="1">
        <v>46204</v>
      </c>
      <c r="J1444" t="s">
        <v>45</v>
      </c>
      <c r="K1444" t="s">
        <v>45</v>
      </c>
      <c r="L1444" t="s">
        <v>72</v>
      </c>
      <c r="M1444" s="1">
        <v>42214</v>
      </c>
      <c r="N1444" t="s">
        <v>47</v>
      </c>
      <c r="O1444" t="s">
        <v>48</v>
      </c>
      <c r="P1444" t="s">
        <v>49</v>
      </c>
      <c r="Q1444" t="s">
        <v>10122</v>
      </c>
      <c r="R1444" t="s">
        <v>10123</v>
      </c>
      <c r="S1444">
        <v>8470</v>
      </c>
      <c r="T1444" t="s">
        <v>52</v>
      </c>
      <c r="U1444">
        <v>4</v>
      </c>
      <c r="V1444" t="s">
        <v>1423</v>
      </c>
      <c r="W1444" t="s">
        <v>54</v>
      </c>
      <c r="X1444" t="s">
        <v>76</v>
      </c>
      <c r="Y1444" t="s">
        <v>56</v>
      </c>
      <c r="Z1444">
        <v>2029</v>
      </c>
      <c r="AA1444">
        <v>53</v>
      </c>
      <c r="AB1444">
        <v>146</v>
      </c>
      <c r="AC1444" t="s">
        <v>10124</v>
      </c>
      <c r="AD1444" t="s">
        <v>10125</v>
      </c>
      <c r="AE1444" t="s">
        <v>10126</v>
      </c>
      <c r="AF1444" t="s">
        <v>10127</v>
      </c>
      <c r="AG1444" t="s">
        <v>10128</v>
      </c>
      <c r="AH1444" t="s">
        <v>10129</v>
      </c>
      <c r="AI1444" t="s">
        <v>179</v>
      </c>
      <c r="AJ1444" s="2">
        <v>45496.830891203703</v>
      </c>
      <c r="AK1444" t="s">
        <v>704</v>
      </c>
      <c r="AL1444" t="s">
        <v>65</v>
      </c>
      <c r="AM1444" s="4">
        <v>2.7777777777777776E-2</v>
      </c>
      <c r="AN1444" t="s">
        <v>66</v>
      </c>
      <c r="AO1444" t="s">
        <v>67</v>
      </c>
    </row>
    <row r="1445" spans="1:41" x14ac:dyDescent="0.2">
      <c r="A1445">
        <v>363626</v>
      </c>
      <c r="B1445" t="s">
        <v>10117</v>
      </c>
      <c r="C1445" t="s">
        <v>69</v>
      </c>
      <c r="D1445" t="s">
        <v>6193</v>
      </c>
      <c r="E1445" t="s">
        <v>10130</v>
      </c>
      <c r="F1445">
        <v>100708</v>
      </c>
      <c r="G1445" s="1">
        <v>33136</v>
      </c>
      <c r="H1445" s="1">
        <v>45468</v>
      </c>
      <c r="I1445" s="1">
        <v>46204</v>
      </c>
      <c r="J1445" t="s">
        <v>45</v>
      </c>
      <c r="K1445" t="s">
        <v>45</v>
      </c>
      <c r="L1445" t="s">
        <v>429</v>
      </c>
      <c r="M1445" s="1">
        <v>44952</v>
      </c>
      <c r="N1445" t="s">
        <v>47</v>
      </c>
      <c r="O1445" t="s">
        <v>48</v>
      </c>
      <c r="P1445" t="s">
        <v>49</v>
      </c>
      <c r="Q1445" t="s">
        <v>10131</v>
      </c>
      <c r="R1445" t="s">
        <v>10132</v>
      </c>
      <c r="S1445">
        <v>2739</v>
      </c>
      <c r="T1445" t="s">
        <v>52</v>
      </c>
      <c r="U1445">
        <v>1</v>
      </c>
      <c r="V1445" t="s">
        <v>4698</v>
      </c>
      <c r="W1445" t="s">
        <v>54</v>
      </c>
      <c r="X1445" t="s">
        <v>76</v>
      </c>
      <c r="Y1445" t="s">
        <v>56</v>
      </c>
      <c r="Z1445">
        <v>540</v>
      </c>
      <c r="AA1445">
        <v>84</v>
      </c>
      <c r="AB1445">
        <v>152</v>
      </c>
      <c r="AC1445" t="s">
        <v>6812</v>
      </c>
      <c r="AD1445" t="s">
        <v>6813</v>
      </c>
      <c r="AE1445" t="s">
        <v>6814</v>
      </c>
      <c r="AF1445" t="s">
        <v>4702</v>
      </c>
      <c r="AG1445" t="s">
        <v>4703</v>
      </c>
      <c r="AH1445" t="s">
        <v>6200</v>
      </c>
      <c r="AI1445" t="s">
        <v>6815</v>
      </c>
      <c r="AJ1445" s="2">
        <v>45518.675162037034</v>
      </c>
      <c r="AK1445" t="s">
        <v>10133</v>
      </c>
      <c r="AL1445" t="s">
        <v>65</v>
      </c>
      <c r="AM1445" s="4">
        <v>0.45833333333333331</v>
      </c>
      <c r="AN1445" t="s">
        <v>66</v>
      </c>
      <c r="AO1445" t="s">
        <v>67</v>
      </c>
    </row>
    <row r="1446" spans="1:41" x14ac:dyDescent="0.2">
      <c r="A1446">
        <v>371722</v>
      </c>
      <c r="B1446" t="s">
        <v>10134</v>
      </c>
      <c r="C1446" t="s">
        <v>69</v>
      </c>
      <c r="D1446" t="s">
        <v>69</v>
      </c>
      <c r="E1446" t="s">
        <v>10135</v>
      </c>
      <c r="F1446">
        <v>101101</v>
      </c>
      <c r="G1446" s="1">
        <v>44986</v>
      </c>
      <c r="H1446" s="1">
        <v>45565</v>
      </c>
      <c r="I1446" s="1">
        <v>46235</v>
      </c>
      <c r="J1446" t="s">
        <v>45</v>
      </c>
      <c r="K1446" t="s">
        <v>45</v>
      </c>
      <c r="L1446" t="s">
        <v>46</v>
      </c>
      <c r="M1446" s="1">
        <v>41122</v>
      </c>
      <c r="N1446" t="s">
        <v>47</v>
      </c>
      <c r="O1446" t="s">
        <v>48</v>
      </c>
      <c r="P1446" t="s">
        <v>49</v>
      </c>
      <c r="Q1446" t="s">
        <v>10136</v>
      </c>
      <c r="R1446" t="s">
        <v>10137</v>
      </c>
      <c r="S1446">
        <v>7113</v>
      </c>
      <c r="T1446" t="s">
        <v>52</v>
      </c>
      <c r="U1446">
        <v>4</v>
      </c>
      <c r="V1446" t="s">
        <v>10138</v>
      </c>
      <c r="W1446" t="s">
        <v>54</v>
      </c>
      <c r="X1446" t="s">
        <v>76</v>
      </c>
      <c r="Y1446" t="s">
        <v>56</v>
      </c>
      <c r="Z1446">
        <v>3007</v>
      </c>
      <c r="AA1446">
        <v>52</v>
      </c>
      <c r="AB1446">
        <v>52</v>
      </c>
      <c r="AC1446" t="s">
        <v>10139</v>
      </c>
      <c r="AD1446" t="s">
        <v>10140</v>
      </c>
      <c r="AE1446" t="s">
        <v>10141</v>
      </c>
      <c r="AF1446" t="s">
        <v>10142</v>
      </c>
      <c r="AG1446" t="s">
        <v>10143</v>
      </c>
      <c r="AH1446" t="s">
        <v>10144</v>
      </c>
      <c r="AI1446" t="s">
        <v>10145</v>
      </c>
      <c r="AJ1446" s="2">
        <v>45818.754189814812</v>
      </c>
      <c r="AK1446" t="s">
        <v>556</v>
      </c>
      <c r="AL1446" t="s">
        <v>65</v>
      </c>
      <c r="AM1446" s="3">
        <v>2.3958333333333335</v>
      </c>
      <c r="AN1446" t="s">
        <v>66</v>
      </c>
      <c r="AO1446" t="s">
        <v>67</v>
      </c>
    </row>
    <row r="1447" spans="1:41" x14ac:dyDescent="0.2">
      <c r="A1447">
        <v>370868</v>
      </c>
      <c r="B1447" t="s">
        <v>10146</v>
      </c>
      <c r="C1447" t="s">
        <v>167</v>
      </c>
      <c r="D1447" t="s">
        <v>528</v>
      </c>
      <c r="E1447">
        <v>32557008</v>
      </c>
      <c r="F1447">
        <v>353613</v>
      </c>
      <c r="G1447" s="1">
        <v>30067</v>
      </c>
      <c r="H1447" s="1">
        <v>45786</v>
      </c>
      <c r="I1447" s="1">
        <v>46157</v>
      </c>
      <c r="J1447" t="s">
        <v>45</v>
      </c>
      <c r="K1447" t="s">
        <v>45</v>
      </c>
      <c r="L1447" t="s">
        <v>429</v>
      </c>
      <c r="M1447" s="1">
        <v>42461</v>
      </c>
      <c r="N1447" t="s">
        <v>47</v>
      </c>
      <c r="O1447" t="s">
        <v>48</v>
      </c>
      <c r="P1447" t="s">
        <v>49</v>
      </c>
      <c r="Q1447" t="s">
        <v>10147</v>
      </c>
      <c r="R1447" t="s">
        <v>10148</v>
      </c>
      <c r="S1447">
        <v>5187</v>
      </c>
      <c r="T1447" t="s">
        <v>365</v>
      </c>
      <c r="U1447" t="s">
        <v>532</v>
      </c>
      <c r="V1447" t="s">
        <v>533</v>
      </c>
      <c r="W1447" t="s">
        <v>367</v>
      </c>
      <c r="X1447" t="s">
        <v>76</v>
      </c>
      <c r="Y1447" t="s">
        <v>434</v>
      </c>
      <c r="Z1447">
        <v>331</v>
      </c>
      <c r="AA1447">
        <v>77</v>
      </c>
      <c r="AB1447">
        <v>158</v>
      </c>
      <c r="AC1447" t="s">
        <v>534</v>
      </c>
      <c r="AD1447" t="s">
        <v>535</v>
      </c>
      <c r="AE1447" t="s">
        <v>536</v>
      </c>
      <c r="AF1447" t="s">
        <v>10149</v>
      </c>
      <c r="AG1447" t="s">
        <v>538</v>
      </c>
      <c r="AH1447" t="s">
        <v>539</v>
      </c>
      <c r="AI1447" t="s">
        <v>179</v>
      </c>
      <c r="AJ1447" s="2">
        <v>45786.833761574075</v>
      </c>
      <c r="AK1447" t="s">
        <v>276</v>
      </c>
      <c r="AL1447" t="s">
        <v>65</v>
      </c>
      <c r="AM1447" s="3">
        <v>2.1805555555555554</v>
      </c>
      <c r="AN1447" t="s">
        <v>66</v>
      </c>
      <c r="AO1447" t="s">
        <v>67</v>
      </c>
    </row>
    <row r="1448" spans="1:41" x14ac:dyDescent="0.2">
      <c r="A1448">
        <v>372678</v>
      </c>
      <c r="B1448" t="s">
        <v>10150</v>
      </c>
      <c r="C1448" t="s">
        <v>323</v>
      </c>
      <c r="D1448" t="s">
        <v>3429</v>
      </c>
      <c r="E1448" t="s">
        <v>10151</v>
      </c>
      <c r="F1448">
        <v>500908</v>
      </c>
      <c r="G1448" s="1">
        <v>31654</v>
      </c>
      <c r="H1448" s="1">
        <v>45848</v>
      </c>
      <c r="I1448" s="1">
        <v>46174</v>
      </c>
      <c r="J1448" t="s">
        <v>45</v>
      </c>
      <c r="K1448" t="s">
        <v>45</v>
      </c>
      <c r="L1448" t="s">
        <v>429</v>
      </c>
      <c r="M1448" s="1">
        <v>42170</v>
      </c>
      <c r="N1448" t="s">
        <v>47</v>
      </c>
      <c r="O1448" t="s">
        <v>48</v>
      </c>
      <c r="P1448" t="s">
        <v>49</v>
      </c>
      <c r="Q1448" t="s">
        <v>10152</v>
      </c>
      <c r="R1448" t="s">
        <v>10153</v>
      </c>
      <c r="S1448">
        <v>470</v>
      </c>
      <c r="T1448" t="s">
        <v>52</v>
      </c>
      <c r="U1448">
        <v>10</v>
      </c>
      <c r="V1448" t="s">
        <v>3432</v>
      </c>
      <c r="W1448" t="s">
        <v>54</v>
      </c>
      <c r="X1448" t="s">
        <v>76</v>
      </c>
      <c r="Y1448" t="s">
        <v>56</v>
      </c>
      <c r="Z1448">
        <v>880</v>
      </c>
      <c r="AA1448">
        <v>45</v>
      </c>
      <c r="AB1448">
        <v>152</v>
      </c>
      <c r="AC1448" t="s">
        <v>3433</v>
      </c>
      <c r="AD1448" t="s">
        <v>3434</v>
      </c>
      <c r="AE1448" t="s">
        <v>3435</v>
      </c>
      <c r="AF1448" t="s">
        <v>3436</v>
      </c>
      <c r="AG1448" t="s">
        <v>3437</v>
      </c>
      <c r="AH1448" t="s">
        <v>3438</v>
      </c>
      <c r="AI1448" t="s">
        <v>3439</v>
      </c>
      <c r="AJ1448" s="2">
        <v>45849.739849537036</v>
      </c>
      <c r="AK1448" t="s">
        <v>540</v>
      </c>
      <c r="AL1448" t="s">
        <v>65</v>
      </c>
      <c r="AM1448" s="3">
        <v>2.3541666666666665</v>
      </c>
      <c r="AN1448" t="s">
        <v>66</v>
      </c>
      <c r="AO1448" t="s">
        <v>67</v>
      </c>
    </row>
    <row r="1449" spans="1:41" x14ac:dyDescent="0.2">
      <c r="A1449">
        <v>371410</v>
      </c>
      <c r="B1449" t="s">
        <v>10154</v>
      </c>
      <c r="C1449" t="s">
        <v>323</v>
      </c>
      <c r="D1449" t="s">
        <v>3429</v>
      </c>
      <c r="E1449">
        <v>12601584</v>
      </c>
      <c r="F1449">
        <v>500963</v>
      </c>
      <c r="G1449" s="1">
        <v>36998</v>
      </c>
      <c r="H1449" s="1">
        <v>45808</v>
      </c>
      <c r="I1449" s="1">
        <v>46037</v>
      </c>
      <c r="J1449" t="s">
        <v>45</v>
      </c>
      <c r="K1449" t="s">
        <v>45</v>
      </c>
      <c r="L1449" t="s">
        <v>72</v>
      </c>
      <c r="M1449" s="1">
        <v>42158</v>
      </c>
      <c r="N1449" t="s">
        <v>47</v>
      </c>
      <c r="O1449" t="s">
        <v>48</v>
      </c>
      <c r="P1449" t="s">
        <v>49</v>
      </c>
      <c r="Q1449" t="s">
        <v>10155</v>
      </c>
      <c r="R1449" t="s">
        <v>10156</v>
      </c>
      <c r="S1449">
        <v>462</v>
      </c>
      <c r="T1449" t="s">
        <v>156</v>
      </c>
      <c r="U1449" t="s">
        <v>460</v>
      </c>
      <c r="V1449" t="s">
        <v>330</v>
      </c>
      <c r="W1449" t="s">
        <v>159</v>
      </c>
      <c r="X1449" t="s">
        <v>156</v>
      </c>
      <c r="Y1449" t="s">
        <v>110</v>
      </c>
      <c r="Z1449">
        <v>457</v>
      </c>
      <c r="AA1449">
        <v>45</v>
      </c>
      <c r="AB1449">
        <v>152</v>
      </c>
      <c r="AC1449" t="s">
        <v>461</v>
      </c>
      <c r="AD1449" t="s">
        <v>5071</v>
      </c>
      <c r="AE1449" t="s">
        <v>462</v>
      </c>
      <c r="AI1449" t="s">
        <v>10157</v>
      </c>
      <c r="AJ1449" s="2">
        <v>45809.997743055559</v>
      </c>
      <c r="AK1449" t="s">
        <v>331</v>
      </c>
      <c r="AL1449" t="s">
        <v>65</v>
      </c>
      <c r="AM1449" s="3">
        <v>2.3611111111111112</v>
      </c>
      <c r="AN1449" t="s">
        <v>66</v>
      </c>
      <c r="AO1449" t="s">
        <v>67</v>
      </c>
    </row>
    <row r="1450" spans="1:41" x14ac:dyDescent="0.2">
      <c r="A1450">
        <v>365656</v>
      </c>
      <c r="B1450" t="s">
        <v>10158</v>
      </c>
      <c r="C1450" t="s">
        <v>542</v>
      </c>
      <c r="D1450" t="s">
        <v>10159</v>
      </c>
      <c r="E1450" t="s">
        <v>10160</v>
      </c>
      <c r="F1450">
        <v>360331</v>
      </c>
      <c r="G1450" s="1">
        <v>39282</v>
      </c>
      <c r="H1450" s="1">
        <v>45588</v>
      </c>
      <c r="J1450" t="s">
        <v>45</v>
      </c>
      <c r="K1450" t="s">
        <v>45</v>
      </c>
      <c r="L1450" t="s">
        <v>72</v>
      </c>
      <c r="M1450" s="1">
        <v>45365</v>
      </c>
      <c r="N1450" t="s">
        <v>47</v>
      </c>
      <c r="O1450" t="s">
        <v>48</v>
      </c>
      <c r="P1450" t="s">
        <v>49</v>
      </c>
      <c r="Q1450" t="s">
        <v>10161</v>
      </c>
      <c r="R1450" t="s">
        <v>10162</v>
      </c>
      <c r="S1450">
        <v>2245</v>
      </c>
      <c r="T1450" t="s">
        <v>92</v>
      </c>
      <c r="U1450" t="s">
        <v>1133</v>
      </c>
      <c r="V1450" t="s">
        <v>1134</v>
      </c>
      <c r="W1450" t="s">
        <v>1135</v>
      </c>
      <c r="X1450" t="s">
        <v>92</v>
      </c>
      <c r="Y1450" t="s">
        <v>770</v>
      </c>
      <c r="Z1450">
        <v>2932</v>
      </c>
      <c r="AA1450">
        <v>34</v>
      </c>
      <c r="AB1450">
        <v>141</v>
      </c>
      <c r="AC1450" t="s">
        <v>1136</v>
      </c>
      <c r="AD1450" t="s">
        <v>1137</v>
      </c>
      <c r="AE1450" t="s">
        <v>1138</v>
      </c>
      <c r="AI1450" t="s">
        <v>1137</v>
      </c>
      <c r="AJ1450" s="2">
        <v>45588.974745370368</v>
      </c>
      <c r="AK1450" t="s">
        <v>1136</v>
      </c>
      <c r="AL1450" t="s">
        <v>65</v>
      </c>
      <c r="AM1450" s="4">
        <v>0.3659722222222222</v>
      </c>
      <c r="AN1450" t="s">
        <v>66</v>
      </c>
      <c r="AO1450" t="s">
        <v>101</v>
      </c>
    </row>
    <row r="1451" spans="1:41" x14ac:dyDescent="0.2">
      <c r="A1451">
        <v>364744</v>
      </c>
      <c r="B1451" t="s">
        <v>10163</v>
      </c>
      <c r="C1451" t="s">
        <v>345</v>
      </c>
      <c r="D1451" t="s">
        <v>3845</v>
      </c>
      <c r="E1451" t="s">
        <v>10164</v>
      </c>
      <c r="F1451">
        <v>53005</v>
      </c>
      <c r="G1451" s="1">
        <v>38837</v>
      </c>
      <c r="H1451" s="1">
        <v>45553</v>
      </c>
      <c r="I1451" s="1">
        <v>45931</v>
      </c>
      <c r="J1451" t="s">
        <v>45</v>
      </c>
      <c r="K1451" t="s">
        <v>45</v>
      </c>
      <c r="L1451" t="s">
        <v>72</v>
      </c>
      <c r="M1451" s="1">
        <v>44102</v>
      </c>
      <c r="N1451" t="s">
        <v>47</v>
      </c>
      <c r="O1451" t="s">
        <v>48</v>
      </c>
      <c r="P1451" t="s">
        <v>49</v>
      </c>
      <c r="Q1451" t="s">
        <v>10165</v>
      </c>
      <c r="R1451" t="s">
        <v>10166</v>
      </c>
      <c r="S1451">
        <v>10200</v>
      </c>
      <c r="T1451" t="s">
        <v>52</v>
      </c>
      <c r="U1451">
        <v>2</v>
      </c>
      <c r="V1451" t="s">
        <v>1522</v>
      </c>
      <c r="W1451" t="s">
        <v>54</v>
      </c>
      <c r="X1451" t="s">
        <v>55</v>
      </c>
      <c r="Y1451" t="s">
        <v>56</v>
      </c>
      <c r="Z1451">
        <v>2247</v>
      </c>
      <c r="AA1451">
        <v>53</v>
      </c>
      <c r="AB1451">
        <v>158</v>
      </c>
      <c r="AC1451" t="s">
        <v>9858</v>
      </c>
      <c r="AD1451" t="s">
        <v>9859</v>
      </c>
      <c r="AE1451" t="s">
        <v>9860</v>
      </c>
      <c r="AF1451" t="s">
        <v>10167</v>
      </c>
      <c r="AG1451" t="s">
        <v>9862</v>
      </c>
      <c r="AH1451" t="s">
        <v>9863</v>
      </c>
      <c r="AI1451" t="s">
        <v>10168</v>
      </c>
      <c r="AJ1451" s="2">
        <v>45558.869421296295</v>
      </c>
      <c r="AK1451" t="s">
        <v>540</v>
      </c>
      <c r="AL1451" t="s">
        <v>65</v>
      </c>
      <c r="AM1451" s="3">
        <v>2.2777777777777777</v>
      </c>
      <c r="AN1451" t="s">
        <v>66</v>
      </c>
      <c r="AO1451" t="s">
        <v>67</v>
      </c>
    </row>
    <row r="1452" spans="1:41" x14ac:dyDescent="0.2">
      <c r="A1452">
        <v>370705</v>
      </c>
      <c r="B1452" t="s">
        <v>10169</v>
      </c>
      <c r="C1452" t="s">
        <v>86</v>
      </c>
      <c r="D1452" t="s">
        <v>10170</v>
      </c>
      <c r="E1452" t="s">
        <v>10171</v>
      </c>
      <c r="F1452">
        <v>200301</v>
      </c>
      <c r="G1452" s="1">
        <v>39861</v>
      </c>
      <c r="H1452" s="1">
        <v>45778</v>
      </c>
      <c r="I1452" s="1">
        <v>46127</v>
      </c>
      <c r="J1452" t="s">
        <v>45</v>
      </c>
      <c r="K1452" t="s">
        <v>45</v>
      </c>
      <c r="L1452" t="s">
        <v>545</v>
      </c>
      <c r="M1452" s="1">
        <v>45365</v>
      </c>
      <c r="N1452" t="s">
        <v>47</v>
      </c>
      <c r="O1452" t="s">
        <v>48</v>
      </c>
      <c r="P1452" t="s">
        <v>49</v>
      </c>
      <c r="Q1452" t="s">
        <v>10172</v>
      </c>
      <c r="R1452" t="s">
        <v>10173</v>
      </c>
      <c r="S1452">
        <v>1337</v>
      </c>
      <c r="T1452" t="s">
        <v>52</v>
      </c>
      <c r="U1452">
        <v>9</v>
      </c>
      <c r="V1452" t="s">
        <v>1678</v>
      </c>
      <c r="W1452" t="s">
        <v>54</v>
      </c>
      <c r="X1452" t="s">
        <v>76</v>
      </c>
      <c r="Y1452" t="s">
        <v>56</v>
      </c>
      <c r="Z1452">
        <v>3005</v>
      </c>
      <c r="AA1452">
        <v>37</v>
      </c>
      <c r="AB1452">
        <v>97</v>
      </c>
      <c r="AC1452" t="s">
        <v>1679</v>
      </c>
      <c r="AD1452" t="s">
        <v>1680</v>
      </c>
      <c r="AE1452" t="s">
        <v>1681</v>
      </c>
      <c r="AF1452" t="s">
        <v>1682</v>
      </c>
      <c r="AG1452" t="s">
        <v>1683</v>
      </c>
      <c r="AH1452" t="s">
        <v>1684</v>
      </c>
      <c r="AI1452" t="s">
        <v>1685</v>
      </c>
      <c r="AJ1452" s="2">
        <v>45783.555150462962</v>
      </c>
      <c r="AK1452" t="s">
        <v>540</v>
      </c>
      <c r="AL1452" t="s">
        <v>65</v>
      </c>
      <c r="AM1452" s="3">
        <v>1.2534722222222223</v>
      </c>
      <c r="AN1452" t="s">
        <v>66</v>
      </c>
      <c r="AO1452" t="s">
        <v>101</v>
      </c>
    </row>
    <row r="1453" spans="1:41" x14ac:dyDescent="0.2">
      <c r="A1453">
        <v>369940</v>
      </c>
      <c r="B1453" t="s">
        <v>10174</v>
      </c>
      <c r="C1453" t="s">
        <v>182</v>
      </c>
      <c r="D1453" t="s">
        <v>779</v>
      </c>
      <c r="E1453" t="s">
        <v>10175</v>
      </c>
      <c r="F1453">
        <v>45605</v>
      </c>
      <c r="G1453" s="1">
        <v>42901</v>
      </c>
      <c r="H1453" s="1">
        <v>45609</v>
      </c>
      <c r="I1453" s="1">
        <v>45945</v>
      </c>
      <c r="J1453" t="s">
        <v>45</v>
      </c>
      <c r="K1453" t="s">
        <v>45</v>
      </c>
      <c r="L1453" t="s">
        <v>46</v>
      </c>
      <c r="M1453" s="1">
        <v>43753</v>
      </c>
      <c r="N1453" t="s">
        <v>47</v>
      </c>
      <c r="O1453" t="s">
        <v>48</v>
      </c>
      <c r="P1453" t="s">
        <v>49</v>
      </c>
      <c r="Q1453" t="s">
        <v>10176</v>
      </c>
      <c r="R1453" t="s">
        <v>10177</v>
      </c>
      <c r="S1453">
        <v>4590</v>
      </c>
      <c r="T1453" t="s">
        <v>52</v>
      </c>
      <c r="U1453">
        <v>5</v>
      </c>
      <c r="V1453" t="s">
        <v>1665</v>
      </c>
      <c r="W1453" t="s">
        <v>54</v>
      </c>
      <c r="X1453" t="s">
        <v>493</v>
      </c>
      <c r="Y1453" t="s">
        <v>434</v>
      </c>
      <c r="Z1453">
        <v>8967</v>
      </c>
      <c r="AA1453">
        <v>21</v>
      </c>
      <c r="AB1453">
        <v>78</v>
      </c>
      <c r="AC1453" t="s">
        <v>1667</v>
      </c>
      <c r="AD1453" t="s">
        <v>1667</v>
      </c>
      <c r="AE1453" t="s">
        <v>1668</v>
      </c>
      <c r="AF1453" t="s">
        <v>10178</v>
      </c>
      <c r="AG1453" t="s">
        <v>10179</v>
      </c>
      <c r="AH1453" t="s">
        <v>5812</v>
      </c>
      <c r="AI1453" t="s">
        <v>5813</v>
      </c>
      <c r="AJ1453" s="2">
        <v>45757.983969907407</v>
      </c>
      <c r="AK1453" t="s">
        <v>1871</v>
      </c>
      <c r="AL1453" t="s">
        <v>65</v>
      </c>
      <c r="AM1453" s="3">
        <v>1.6041666666666667</v>
      </c>
      <c r="AN1453" t="s">
        <v>66</v>
      </c>
      <c r="AO1453" t="s">
        <v>67</v>
      </c>
    </row>
    <row r="1454" spans="1:41" x14ac:dyDescent="0.2">
      <c r="A1454">
        <v>369800</v>
      </c>
      <c r="B1454" t="s">
        <v>10180</v>
      </c>
      <c r="C1454" t="s">
        <v>763</v>
      </c>
      <c r="D1454" t="s">
        <v>10181</v>
      </c>
      <c r="E1454" t="s">
        <v>10182</v>
      </c>
      <c r="F1454">
        <v>472002</v>
      </c>
      <c r="G1454" s="1">
        <v>45590</v>
      </c>
      <c r="H1454" s="1">
        <v>45754</v>
      </c>
      <c r="I1454" s="1">
        <v>46127</v>
      </c>
      <c r="J1454" t="s">
        <v>45</v>
      </c>
      <c r="K1454" t="s">
        <v>45</v>
      </c>
      <c r="L1454" t="s">
        <v>429</v>
      </c>
      <c r="N1454" t="s">
        <v>47</v>
      </c>
      <c r="O1454" t="s">
        <v>48</v>
      </c>
      <c r="P1454" t="s">
        <v>49</v>
      </c>
      <c r="Q1454" t="s">
        <v>10183</v>
      </c>
      <c r="R1454" t="s">
        <v>10184</v>
      </c>
      <c r="S1454">
        <v>877</v>
      </c>
      <c r="T1454" t="s">
        <v>296</v>
      </c>
      <c r="U1454" t="s">
        <v>8128</v>
      </c>
      <c r="V1454" t="s">
        <v>10185</v>
      </c>
      <c r="W1454" t="s">
        <v>299</v>
      </c>
      <c r="X1454" t="s">
        <v>76</v>
      </c>
      <c r="Y1454" t="s">
        <v>56</v>
      </c>
      <c r="Z1454">
        <v>1334</v>
      </c>
      <c r="AA1454">
        <v>45</v>
      </c>
      <c r="AB1454">
        <v>97</v>
      </c>
      <c r="AC1454" t="s">
        <v>10186</v>
      </c>
      <c r="AD1454" t="s">
        <v>10187</v>
      </c>
      <c r="AE1454" t="s">
        <v>10188</v>
      </c>
      <c r="AF1454" t="s">
        <v>10189</v>
      </c>
      <c r="AG1454" t="s">
        <v>10190</v>
      </c>
      <c r="AH1454" t="s">
        <v>10188</v>
      </c>
      <c r="AI1454" t="s">
        <v>8136</v>
      </c>
      <c r="AJ1454" s="2">
        <v>45754.61996527778</v>
      </c>
      <c r="AK1454" t="s">
        <v>800</v>
      </c>
      <c r="AL1454" t="s">
        <v>65</v>
      </c>
      <c r="AM1454" s="3">
        <v>1.3159722222222223</v>
      </c>
      <c r="AN1454" t="s">
        <v>66</v>
      </c>
      <c r="AO1454" t="s">
        <v>101</v>
      </c>
    </row>
    <row r="1455" spans="1:41" x14ac:dyDescent="0.2">
      <c r="A1455">
        <v>370210</v>
      </c>
      <c r="B1455" t="s">
        <v>10191</v>
      </c>
      <c r="C1455" t="s">
        <v>134</v>
      </c>
      <c r="D1455" t="s">
        <v>2341</v>
      </c>
      <c r="E1455" t="s">
        <v>10192</v>
      </c>
      <c r="F1455">
        <v>452916</v>
      </c>
      <c r="G1455" s="1">
        <v>34899</v>
      </c>
      <c r="H1455" s="1">
        <v>45716</v>
      </c>
      <c r="I1455" s="1">
        <v>46249</v>
      </c>
      <c r="J1455" t="s">
        <v>45</v>
      </c>
      <c r="K1455" t="s">
        <v>45</v>
      </c>
      <c r="L1455" t="s">
        <v>72</v>
      </c>
      <c r="M1455" s="1">
        <v>42145</v>
      </c>
      <c r="N1455" t="s">
        <v>47</v>
      </c>
      <c r="O1455" t="s">
        <v>48</v>
      </c>
      <c r="P1455" t="s">
        <v>49</v>
      </c>
      <c r="Q1455" t="s">
        <v>10193</v>
      </c>
      <c r="R1455" t="s">
        <v>10194</v>
      </c>
      <c r="S1455">
        <v>1310</v>
      </c>
      <c r="T1455" t="s">
        <v>257</v>
      </c>
      <c r="U1455" t="s">
        <v>640</v>
      </c>
      <c r="V1455" t="s">
        <v>10195</v>
      </c>
      <c r="W1455" t="s">
        <v>260</v>
      </c>
      <c r="X1455" t="s">
        <v>257</v>
      </c>
      <c r="Y1455" t="s">
        <v>110</v>
      </c>
      <c r="Z1455">
        <v>527</v>
      </c>
      <c r="AA1455">
        <v>60</v>
      </c>
      <c r="AB1455">
        <v>158</v>
      </c>
      <c r="AC1455" t="s">
        <v>9127</v>
      </c>
      <c r="AD1455" t="s">
        <v>9128</v>
      </c>
      <c r="AE1455" t="s">
        <v>9129</v>
      </c>
      <c r="AI1455" t="s">
        <v>10196</v>
      </c>
      <c r="AJ1455" s="2">
        <v>45764.908263888887</v>
      </c>
      <c r="AK1455" t="s">
        <v>800</v>
      </c>
      <c r="AL1455" t="s">
        <v>65</v>
      </c>
      <c r="AM1455" s="3">
        <v>1.5486111111111112</v>
      </c>
      <c r="AN1455" t="s">
        <v>66</v>
      </c>
      <c r="AO1455" t="s">
        <v>67</v>
      </c>
    </row>
    <row r="1456" spans="1:41" x14ac:dyDescent="0.2">
      <c r="A1456">
        <v>369564</v>
      </c>
      <c r="B1456" t="s">
        <v>10197</v>
      </c>
      <c r="C1456" t="s">
        <v>182</v>
      </c>
      <c r="D1456" t="s">
        <v>10198</v>
      </c>
      <c r="E1456" s="5">
        <v>327797</v>
      </c>
      <c r="F1456">
        <v>44602</v>
      </c>
      <c r="G1456" s="1">
        <v>32182</v>
      </c>
      <c r="H1456" s="1">
        <v>45740</v>
      </c>
      <c r="I1456" s="1">
        <v>46113</v>
      </c>
      <c r="J1456" t="s">
        <v>45</v>
      </c>
      <c r="K1456" t="s">
        <v>45</v>
      </c>
      <c r="L1456" t="s">
        <v>429</v>
      </c>
      <c r="M1456" s="1">
        <v>43228</v>
      </c>
      <c r="N1456" t="s">
        <v>47</v>
      </c>
      <c r="O1456" t="s">
        <v>48</v>
      </c>
      <c r="P1456" t="s">
        <v>49</v>
      </c>
      <c r="Q1456" t="s">
        <v>10199</v>
      </c>
      <c r="R1456" t="s">
        <v>10200</v>
      </c>
      <c r="S1456">
        <v>810</v>
      </c>
      <c r="T1456" t="s">
        <v>365</v>
      </c>
      <c r="U1456" t="s">
        <v>562</v>
      </c>
      <c r="V1456" t="s">
        <v>1980</v>
      </c>
      <c r="W1456" t="s">
        <v>367</v>
      </c>
      <c r="X1456" t="s">
        <v>493</v>
      </c>
      <c r="Y1456" t="s">
        <v>434</v>
      </c>
      <c r="Z1456">
        <v>82</v>
      </c>
      <c r="AA1456">
        <v>53</v>
      </c>
      <c r="AB1456">
        <v>166</v>
      </c>
      <c r="AC1456" t="s">
        <v>1981</v>
      </c>
      <c r="AD1456" t="s">
        <v>1982</v>
      </c>
      <c r="AE1456" t="s">
        <v>4452</v>
      </c>
      <c r="AI1456" t="s">
        <v>500</v>
      </c>
      <c r="AJ1456" s="2">
        <v>45743.948275462964</v>
      </c>
      <c r="AK1456" t="s">
        <v>1472</v>
      </c>
      <c r="AL1456" t="s">
        <v>65</v>
      </c>
      <c r="AM1456" s="3">
        <v>2.1111111111111112</v>
      </c>
      <c r="AN1456" t="s">
        <v>66</v>
      </c>
      <c r="AO1456" t="s">
        <v>67</v>
      </c>
    </row>
    <row r="1457" spans="1:41" x14ac:dyDescent="0.2">
      <c r="A1457">
        <v>363614</v>
      </c>
      <c r="B1457" t="s">
        <v>10201</v>
      </c>
      <c r="C1457" t="s">
        <v>345</v>
      </c>
      <c r="D1457" t="s">
        <v>950</v>
      </c>
      <c r="E1457" t="s">
        <v>10202</v>
      </c>
      <c r="F1457">
        <v>50408</v>
      </c>
      <c r="G1457" s="1">
        <v>40387</v>
      </c>
      <c r="H1457" s="1">
        <v>45517</v>
      </c>
      <c r="I1457" s="1">
        <v>45931</v>
      </c>
      <c r="J1457" t="s">
        <v>45</v>
      </c>
      <c r="K1457" t="s">
        <v>45</v>
      </c>
      <c r="L1457" t="s">
        <v>72</v>
      </c>
      <c r="M1457" s="1">
        <v>44620</v>
      </c>
      <c r="N1457" t="s">
        <v>47</v>
      </c>
      <c r="O1457" t="s">
        <v>48</v>
      </c>
      <c r="P1457" t="s">
        <v>49</v>
      </c>
      <c r="Q1457" t="s">
        <v>10203</v>
      </c>
      <c r="R1457" t="s">
        <v>10204</v>
      </c>
      <c r="S1457">
        <v>10201</v>
      </c>
      <c r="T1457" t="s">
        <v>52</v>
      </c>
      <c r="U1457">
        <v>2</v>
      </c>
      <c r="V1457" t="s">
        <v>945</v>
      </c>
      <c r="W1457" t="s">
        <v>54</v>
      </c>
      <c r="X1457" t="s">
        <v>55</v>
      </c>
      <c r="Y1457" t="s">
        <v>56</v>
      </c>
      <c r="Z1457">
        <v>3867</v>
      </c>
      <c r="AA1457">
        <v>34</v>
      </c>
      <c r="AB1457">
        <v>30</v>
      </c>
      <c r="AC1457" t="s">
        <v>946</v>
      </c>
      <c r="AD1457" t="s">
        <v>947</v>
      </c>
      <c r="AE1457" t="s">
        <v>948</v>
      </c>
      <c r="AI1457" t="s">
        <v>5572</v>
      </c>
      <c r="AJ1457" s="2">
        <v>45518.20584490741</v>
      </c>
      <c r="AK1457" t="s">
        <v>4471</v>
      </c>
      <c r="AL1457" t="s">
        <v>65</v>
      </c>
      <c r="AM1457" s="3">
        <v>1.1388888888888888</v>
      </c>
      <c r="AN1457" t="s">
        <v>66</v>
      </c>
      <c r="AO1457" t="s">
        <v>67</v>
      </c>
    </row>
    <row r="1458" spans="1:41" x14ac:dyDescent="0.2">
      <c r="A1458">
        <v>364223</v>
      </c>
      <c r="B1458" t="s">
        <v>10205</v>
      </c>
      <c r="C1458" t="s">
        <v>278</v>
      </c>
      <c r="D1458" t="s">
        <v>2210</v>
      </c>
      <c r="E1458" t="s">
        <v>10206</v>
      </c>
      <c r="G1458" s="1">
        <v>42153</v>
      </c>
      <c r="H1458" s="1">
        <v>42709</v>
      </c>
      <c r="J1458" t="s">
        <v>326</v>
      </c>
      <c r="K1458" t="s">
        <v>45</v>
      </c>
      <c r="L1458" t="s">
        <v>72</v>
      </c>
      <c r="N1458" t="s">
        <v>89</v>
      </c>
      <c r="O1458" t="s">
        <v>121</v>
      </c>
      <c r="P1458" t="s">
        <v>1752</v>
      </c>
      <c r="Q1458" t="s">
        <v>10207</v>
      </c>
      <c r="R1458" t="s">
        <v>10208</v>
      </c>
      <c r="S1458">
        <v>4915</v>
      </c>
      <c r="T1458" t="s">
        <v>365</v>
      </c>
      <c r="U1458" t="s">
        <v>432</v>
      </c>
      <c r="V1458" t="s">
        <v>2214</v>
      </c>
      <c r="W1458" t="s">
        <v>409</v>
      </c>
      <c r="X1458" t="s">
        <v>76</v>
      </c>
      <c r="Y1458" t="s">
        <v>642</v>
      </c>
      <c r="Z1458">
        <v>7387</v>
      </c>
      <c r="AA1458">
        <v>16</v>
      </c>
      <c r="AB1458">
        <v>78</v>
      </c>
      <c r="AC1458" t="s">
        <v>10209</v>
      </c>
      <c r="AD1458" t="s">
        <v>10210</v>
      </c>
      <c r="AE1458" t="s">
        <v>10211</v>
      </c>
      <c r="AI1458" t="s">
        <v>10212</v>
      </c>
      <c r="AJ1458" s="2">
        <v>45538.601747685185</v>
      </c>
      <c r="AK1458" t="s">
        <v>100</v>
      </c>
      <c r="AL1458" t="s">
        <v>1168</v>
      </c>
      <c r="AM1458" s="3">
        <v>1.5694444444444444</v>
      </c>
      <c r="AN1458" t="s">
        <v>66</v>
      </c>
      <c r="AO1458" t="s">
        <v>67</v>
      </c>
    </row>
    <row r="1459" spans="1:41" x14ac:dyDescent="0.2">
      <c r="A1459">
        <v>339367</v>
      </c>
      <c r="B1459" t="s">
        <v>10213</v>
      </c>
      <c r="C1459" t="s">
        <v>278</v>
      </c>
      <c r="D1459" t="s">
        <v>2210</v>
      </c>
      <c r="E1459" t="s">
        <v>10214</v>
      </c>
      <c r="G1459" s="1">
        <v>41508</v>
      </c>
      <c r="H1459" s="1">
        <v>42885</v>
      </c>
      <c r="J1459" t="s">
        <v>326</v>
      </c>
      <c r="K1459" t="s">
        <v>72</v>
      </c>
      <c r="L1459" t="s">
        <v>72</v>
      </c>
      <c r="N1459" t="s">
        <v>47</v>
      </c>
      <c r="O1459" t="s">
        <v>121</v>
      </c>
      <c r="P1459" t="s">
        <v>10215</v>
      </c>
      <c r="Q1459" t="s">
        <v>10216</v>
      </c>
      <c r="R1459" t="s">
        <v>10217</v>
      </c>
      <c r="S1459">
        <v>5944</v>
      </c>
      <c r="T1459" t="s">
        <v>365</v>
      </c>
      <c r="U1459" t="s">
        <v>432</v>
      </c>
      <c r="V1459" t="s">
        <v>2214</v>
      </c>
      <c r="W1459" t="s">
        <v>409</v>
      </c>
      <c r="X1459" t="s">
        <v>76</v>
      </c>
      <c r="Y1459" t="s">
        <v>642</v>
      </c>
      <c r="Z1459">
        <v>6251</v>
      </c>
      <c r="AA1459">
        <v>14</v>
      </c>
      <c r="AB1459">
        <v>78</v>
      </c>
      <c r="AC1459" t="s">
        <v>10209</v>
      </c>
      <c r="AD1459" t="s">
        <v>10210</v>
      </c>
      <c r="AE1459" t="s">
        <v>10211</v>
      </c>
      <c r="AF1459" t="s">
        <v>10209</v>
      </c>
      <c r="AG1459" t="s">
        <v>10218</v>
      </c>
      <c r="AH1459" t="s">
        <v>10219</v>
      </c>
      <c r="AI1459" t="s">
        <v>10212</v>
      </c>
      <c r="AJ1459" s="2">
        <v>44686.572199074071</v>
      </c>
      <c r="AK1459" t="s">
        <v>149</v>
      </c>
      <c r="AL1459" t="s">
        <v>1168</v>
      </c>
      <c r="AM1459" s="3">
        <v>1.5763888888888888</v>
      </c>
      <c r="AN1459" t="s">
        <v>66</v>
      </c>
      <c r="AO1459" t="s">
        <v>67</v>
      </c>
    </row>
    <row r="1460" spans="1:41" x14ac:dyDescent="0.2">
      <c r="A1460">
        <v>348242</v>
      </c>
      <c r="B1460" t="s">
        <v>10220</v>
      </c>
      <c r="C1460" t="s">
        <v>278</v>
      </c>
      <c r="D1460" t="s">
        <v>2210</v>
      </c>
      <c r="E1460" t="s">
        <v>10221</v>
      </c>
      <c r="G1460" s="1">
        <v>43031</v>
      </c>
      <c r="H1460" s="1">
        <v>43017</v>
      </c>
      <c r="J1460" t="s">
        <v>326</v>
      </c>
      <c r="K1460" t="s">
        <v>72</v>
      </c>
      <c r="L1460" t="s">
        <v>72</v>
      </c>
      <c r="M1460" s="1">
        <v>43031</v>
      </c>
      <c r="N1460" t="s">
        <v>47</v>
      </c>
      <c r="O1460" t="s">
        <v>121</v>
      </c>
      <c r="P1460" t="s">
        <v>907</v>
      </c>
      <c r="Q1460" t="s">
        <v>10222</v>
      </c>
      <c r="R1460" t="s">
        <v>10223</v>
      </c>
      <c r="S1460">
        <v>6436</v>
      </c>
      <c r="T1460" t="s">
        <v>365</v>
      </c>
      <c r="U1460" t="s">
        <v>432</v>
      </c>
      <c r="V1460" t="s">
        <v>2214</v>
      </c>
      <c r="W1460" t="s">
        <v>409</v>
      </c>
      <c r="X1460" t="s">
        <v>76</v>
      </c>
      <c r="Y1460" t="s">
        <v>642</v>
      </c>
      <c r="Z1460">
        <v>6250</v>
      </c>
      <c r="AA1460">
        <v>18</v>
      </c>
      <c r="AB1460">
        <v>78</v>
      </c>
      <c r="AC1460" t="s">
        <v>10209</v>
      </c>
      <c r="AD1460" t="s">
        <v>10210</v>
      </c>
      <c r="AE1460" t="s">
        <v>10211</v>
      </c>
      <c r="AF1460" t="s">
        <v>10209</v>
      </c>
      <c r="AG1460" t="s">
        <v>10218</v>
      </c>
      <c r="AH1460" t="s">
        <v>10224</v>
      </c>
      <c r="AI1460" t="s">
        <v>10212</v>
      </c>
      <c r="AJ1460" s="2">
        <v>45051.664699074077</v>
      </c>
      <c r="AK1460" t="s">
        <v>100</v>
      </c>
      <c r="AL1460" t="s">
        <v>1168</v>
      </c>
      <c r="AM1460" s="3">
        <v>1.5833333333333333</v>
      </c>
      <c r="AN1460" t="s">
        <v>66</v>
      </c>
      <c r="AO1460" t="s">
        <v>67</v>
      </c>
    </row>
    <row r="1461" spans="1:41" x14ac:dyDescent="0.2">
      <c r="A1461">
        <v>339369</v>
      </c>
      <c r="B1461" t="s">
        <v>10225</v>
      </c>
      <c r="C1461" t="s">
        <v>278</v>
      </c>
      <c r="D1461" t="s">
        <v>2210</v>
      </c>
      <c r="E1461" t="s">
        <v>10226</v>
      </c>
      <c r="G1461" s="1">
        <v>41502</v>
      </c>
      <c r="H1461" s="1">
        <v>42886</v>
      </c>
      <c r="J1461" t="s">
        <v>326</v>
      </c>
      <c r="K1461" t="s">
        <v>72</v>
      </c>
      <c r="L1461" t="s">
        <v>72</v>
      </c>
      <c r="N1461" t="s">
        <v>47</v>
      </c>
      <c r="O1461" t="s">
        <v>121</v>
      </c>
      <c r="P1461" t="s">
        <v>907</v>
      </c>
      <c r="Q1461" t="s">
        <v>10227</v>
      </c>
      <c r="R1461" t="s">
        <v>10228</v>
      </c>
      <c r="S1461">
        <v>5846</v>
      </c>
      <c r="T1461" t="s">
        <v>365</v>
      </c>
      <c r="U1461" t="s">
        <v>432</v>
      </c>
      <c r="V1461" t="s">
        <v>2214</v>
      </c>
      <c r="W1461" t="s">
        <v>409</v>
      </c>
      <c r="X1461" t="s">
        <v>76</v>
      </c>
      <c r="Y1461" t="s">
        <v>642</v>
      </c>
      <c r="Z1461">
        <v>6249</v>
      </c>
      <c r="AA1461">
        <v>16</v>
      </c>
      <c r="AB1461">
        <v>78</v>
      </c>
      <c r="AC1461" t="s">
        <v>10209</v>
      </c>
      <c r="AD1461" t="s">
        <v>10210</v>
      </c>
      <c r="AE1461" t="s">
        <v>10229</v>
      </c>
      <c r="AF1461" t="s">
        <v>10209</v>
      </c>
      <c r="AG1461" t="s">
        <v>10218</v>
      </c>
      <c r="AH1461" t="s">
        <v>10230</v>
      </c>
      <c r="AI1461" t="s">
        <v>10212</v>
      </c>
      <c r="AJ1461" s="2">
        <v>44686.572662037041</v>
      </c>
      <c r="AK1461" t="s">
        <v>149</v>
      </c>
      <c r="AL1461" t="s">
        <v>1168</v>
      </c>
      <c r="AM1461" s="3">
        <v>1.5902777777777777</v>
      </c>
      <c r="AN1461" t="s">
        <v>66</v>
      </c>
      <c r="AO1461" t="s">
        <v>67</v>
      </c>
    </row>
    <row r="1462" spans="1:41" x14ac:dyDescent="0.2">
      <c r="A1462">
        <v>339370</v>
      </c>
      <c r="B1462" t="s">
        <v>10231</v>
      </c>
      <c r="C1462" t="s">
        <v>278</v>
      </c>
      <c r="D1462" t="s">
        <v>2210</v>
      </c>
      <c r="E1462" t="s">
        <v>10232</v>
      </c>
      <c r="G1462" s="1">
        <v>41614</v>
      </c>
      <c r="H1462" s="1">
        <v>42709</v>
      </c>
      <c r="J1462" t="s">
        <v>326</v>
      </c>
      <c r="K1462" t="s">
        <v>45</v>
      </c>
      <c r="L1462" t="s">
        <v>72</v>
      </c>
      <c r="N1462" t="s">
        <v>47</v>
      </c>
      <c r="O1462" t="s">
        <v>121</v>
      </c>
      <c r="P1462" t="s">
        <v>907</v>
      </c>
      <c r="Q1462" t="s">
        <v>10233</v>
      </c>
      <c r="R1462" t="s">
        <v>10234</v>
      </c>
      <c r="S1462">
        <v>4926</v>
      </c>
      <c r="T1462" t="s">
        <v>365</v>
      </c>
      <c r="U1462" t="s">
        <v>432</v>
      </c>
      <c r="V1462" t="s">
        <v>2214</v>
      </c>
      <c r="W1462" t="s">
        <v>409</v>
      </c>
      <c r="X1462" t="s">
        <v>76</v>
      </c>
      <c r="Y1462" t="s">
        <v>642</v>
      </c>
      <c r="Z1462">
        <v>6411</v>
      </c>
      <c r="AA1462">
        <v>15</v>
      </c>
      <c r="AB1462">
        <v>78</v>
      </c>
      <c r="AC1462" t="s">
        <v>10209</v>
      </c>
      <c r="AD1462" t="s">
        <v>10210</v>
      </c>
      <c r="AE1462" t="s">
        <v>10211</v>
      </c>
      <c r="AF1462" t="s">
        <v>10235</v>
      </c>
      <c r="AG1462" t="s">
        <v>10212</v>
      </c>
      <c r="AI1462" t="s">
        <v>10212</v>
      </c>
      <c r="AJ1462" s="2">
        <v>44686.572939814818</v>
      </c>
      <c r="AK1462" t="s">
        <v>149</v>
      </c>
      <c r="AL1462" t="s">
        <v>1168</v>
      </c>
      <c r="AM1462" s="3">
        <v>1.2569444444444444</v>
      </c>
      <c r="AN1462" t="s">
        <v>66</v>
      </c>
      <c r="AO1462" t="s">
        <v>67</v>
      </c>
    </row>
    <row r="1463" spans="1:41" x14ac:dyDescent="0.2">
      <c r="A1463">
        <v>339371</v>
      </c>
      <c r="B1463" t="s">
        <v>10236</v>
      </c>
      <c r="C1463" t="s">
        <v>278</v>
      </c>
      <c r="D1463" t="s">
        <v>2210</v>
      </c>
      <c r="E1463" t="s">
        <v>10237</v>
      </c>
      <c r="G1463" s="1">
        <v>42171</v>
      </c>
      <c r="H1463" s="1">
        <v>42177</v>
      </c>
      <c r="J1463" t="s">
        <v>326</v>
      </c>
      <c r="K1463" t="s">
        <v>45</v>
      </c>
      <c r="L1463" t="s">
        <v>72</v>
      </c>
      <c r="N1463" t="s">
        <v>47</v>
      </c>
      <c r="O1463" t="s">
        <v>121</v>
      </c>
      <c r="P1463" t="s">
        <v>1752</v>
      </c>
      <c r="Q1463" t="s">
        <v>10238</v>
      </c>
      <c r="R1463" t="s">
        <v>10239</v>
      </c>
      <c r="S1463">
        <v>5370</v>
      </c>
      <c r="T1463" t="s">
        <v>365</v>
      </c>
      <c r="U1463" t="s">
        <v>432</v>
      </c>
      <c r="V1463" t="s">
        <v>2214</v>
      </c>
      <c r="W1463" t="s">
        <v>409</v>
      </c>
      <c r="X1463" t="s">
        <v>76</v>
      </c>
      <c r="Y1463" t="s">
        <v>642</v>
      </c>
      <c r="Z1463">
        <v>7386</v>
      </c>
      <c r="AA1463">
        <v>13</v>
      </c>
      <c r="AB1463">
        <v>14</v>
      </c>
      <c r="AC1463" t="s">
        <v>10209</v>
      </c>
      <c r="AD1463" t="s">
        <v>10210</v>
      </c>
      <c r="AE1463" t="s">
        <v>10211</v>
      </c>
      <c r="AJ1463" s="2">
        <v>44686.573263888888</v>
      </c>
      <c r="AK1463" t="s">
        <v>149</v>
      </c>
      <c r="AL1463" t="s">
        <v>1168</v>
      </c>
      <c r="AM1463" s="4">
        <v>0.40277777777777779</v>
      </c>
      <c r="AN1463" t="s">
        <v>66</v>
      </c>
      <c r="AO1463" t="s">
        <v>67</v>
      </c>
    </row>
    <row r="1464" spans="1:41" x14ac:dyDescent="0.2">
      <c r="A1464">
        <v>372957</v>
      </c>
      <c r="B1464" t="s">
        <v>10240</v>
      </c>
      <c r="C1464" t="s">
        <v>3441</v>
      </c>
      <c r="D1464" t="s">
        <v>10241</v>
      </c>
      <c r="E1464">
        <v>32850562</v>
      </c>
      <c r="F1464">
        <v>346303</v>
      </c>
      <c r="G1464" s="1">
        <v>30956</v>
      </c>
      <c r="H1464" s="1">
        <v>45728</v>
      </c>
      <c r="I1464" s="1">
        <v>46113</v>
      </c>
      <c r="J1464" t="s">
        <v>45</v>
      </c>
      <c r="K1464" t="s">
        <v>45</v>
      </c>
      <c r="L1464" t="s">
        <v>46</v>
      </c>
      <c r="M1464" s="1">
        <v>44977</v>
      </c>
      <c r="N1464" t="s">
        <v>47</v>
      </c>
      <c r="O1464" t="s">
        <v>48</v>
      </c>
      <c r="P1464" t="s">
        <v>49</v>
      </c>
      <c r="Q1464" t="s">
        <v>10242</v>
      </c>
      <c r="R1464" t="s">
        <v>10243</v>
      </c>
      <c r="S1464">
        <v>2392</v>
      </c>
      <c r="T1464" t="s">
        <v>52</v>
      </c>
      <c r="U1464">
        <v>8</v>
      </c>
      <c r="V1464" t="s">
        <v>3178</v>
      </c>
      <c r="W1464" t="s">
        <v>54</v>
      </c>
      <c r="X1464" t="s">
        <v>76</v>
      </c>
      <c r="Y1464" t="s">
        <v>56</v>
      </c>
      <c r="Z1464">
        <v>1043</v>
      </c>
      <c r="AA1464">
        <v>54</v>
      </c>
      <c r="AB1464">
        <v>158</v>
      </c>
      <c r="AC1464" t="s">
        <v>985</v>
      </c>
      <c r="AD1464" t="s">
        <v>986</v>
      </c>
      <c r="AE1464" t="s">
        <v>3446</v>
      </c>
      <c r="AI1464" t="s">
        <v>988</v>
      </c>
      <c r="AJ1464" s="2">
        <v>45855.955439814818</v>
      </c>
      <c r="AK1464" t="s">
        <v>556</v>
      </c>
      <c r="AL1464" t="s">
        <v>65</v>
      </c>
      <c r="AM1464" s="3">
        <v>2.4652777777777777</v>
      </c>
      <c r="AN1464" t="s">
        <v>66</v>
      </c>
      <c r="AO1464" t="s">
        <v>67</v>
      </c>
    </row>
    <row r="1465" spans="1:41" x14ac:dyDescent="0.2">
      <c r="A1465">
        <v>371748</v>
      </c>
      <c r="B1465" t="s">
        <v>10244</v>
      </c>
      <c r="C1465" t="s">
        <v>323</v>
      </c>
      <c r="D1465" t="s">
        <v>3603</v>
      </c>
      <c r="E1465" t="s">
        <v>10245</v>
      </c>
      <c r="F1465">
        <v>500206</v>
      </c>
      <c r="G1465" s="1">
        <v>32509</v>
      </c>
      <c r="H1465" s="1">
        <v>45792</v>
      </c>
      <c r="I1465" s="1">
        <v>46037</v>
      </c>
      <c r="J1465" t="s">
        <v>45</v>
      </c>
      <c r="K1465" t="s">
        <v>45</v>
      </c>
      <c r="L1465" t="s">
        <v>72</v>
      </c>
      <c r="M1465" s="1">
        <v>39311</v>
      </c>
      <c r="N1465" t="s">
        <v>47</v>
      </c>
      <c r="O1465" t="s">
        <v>48</v>
      </c>
      <c r="P1465" t="s">
        <v>49</v>
      </c>
      <c r="Q1465" t="s">
        <v>10246</v>
      </c>
      <c r="R1465" t="s">
        <v>10247</v>
      </c>
      <c r="S1465">
        <v>160</v>
      </c>
      <c r="T1465" t="s">
        <v>365</v>
      </c>
      <c r="U1465" t="s">
        <v>366</v>
      </c>
      <c r="V1465" t="s">
        <v>330</v>
      </c>
      <c r="W1465" t="s">
        <v>367</v>
      </c>
      <c r="X1465" t="s">
        <v>76</v>
      </c>
      <c r="Y1465" t="s">
        <v>110</v>
      </c>
      <c r="Z1465">
        <v>32</v>
      </c>
      <c r="AA1465">
        <v>35</v>
      </c>
      <c r="AB1465">
        <v>160</v>
      </c>
      <c r="AC1465" t="s">
        <v>368</v>
      </c>
      <c r="AD1465" t="s">
        <v>369</v>
      </c>
      <c r="AE1465" t="s">
        <v>370</v>
      </c>
      <c r="AF1465" t="s">
        <v>384</v>
      </c>
      <c r="AG1465" t="s">
        <v>385</v>
      </c>
      <c r="AH1465" t="s">
        <v>386</v>
      </c>
      <c r="AJ1465" s="2">
        <v>45818.843275462961</v>
      </c>
      <c r="AK1465" t="s">
        <v>727</v>
      </c>
      <c r="AL1465" t="s">
        <v>65</v>
      </c>
      <c r="AM1465" s="4">
        <v>0.4513888888888889</v>
      </c>
      <c r="AN1465" t="s">
        <v>66</v>
      </c>
      <c r="AO1465" t="s">
        <v>67</v>
      </c>
    </row>
    <row r="1466" spans="1:41" x14ac:dyDescent="0.2">
      <c r="A1466">
        <v>371300</v>
      </c>
      <c r="B1466" t="s">
        <v>10248</v>
      </c>
      <c r="C1466" t="s">
        <v>662</v>
      </c>
      <c r="D1466" t="s">
        <v>10249</v>
      </c>
      <c r="E1466" t="s">
        <v>10250</v>
      </c>
      <c r="F1466">
        <v>418001</v>
      </c>
      <c r="G1466" s="1">
        <v>39069</v>
      </c>
      <c r="H1466" s="1">
        <v>45790</v>
      </c>
      <c r="I1466" s="1">
        <v>46127</v>
      </c>
      <c r="J1466" t="s">
        <v>45</v>
      </c>
      <c r="K1466" t="s">
        <v>45</v>
      </c>
      <c r="L1466" t="s">
        <v>72</v>
      </c>
      <c r="M1466" s="1">
        <v>41577</v>
      </c>
      <c r="N1466" t="s">
        <v>47</v>
      </c>
      <c r="O1466" t="s">
        <v>48</v>
      </c>
      <c r="P1466" t="s">
        <v>49</v>
      </c>
      <c r="Q1466" t="s">
        <v>10251</v>
      </c>
      <c r="R1466" t="s">
        <v>10252</v>
      </c>
      <c r="S1466">
        <v>1592</v>
      </c>
      <c r="T1466" t="s">
        <v>92</v>
      </c>
      <c r="U1466" t="s">
        <v>1197</v>
      </c>
      <c r="V1466" t="s">
        <v>1198</v>
      </c>
      <c r="W1466" t="s">
        <v>1199</v>
      </c>
      <c r="X1466" t="s">
        <v>92</v>
      </c>
      <c r="Y1466" t="s">
        <v>110</v>
      </c>
      <c r="Z1466">
        <v>2865</v>
      </c>
      <c r="AA1466">
        <v>28</v>
      </c>
      <c r="AB1466">
        <v>146</v>
      </c>
      <c r="AC1466" t="s">
        <v>1200</v>
      </c>
      <c r="AD1466" t="s">
        <v>1201</v>
      </c>
      <c r="AE1466" t="s">
        <v>1202</v>
      </c>
      <c r="AF1466" t="s">
        <v>1786</v>
      </c>
      <c r="AG1466" t="s">
        <v>1787</v>
      </c>
      <c r="AH1466" t="s">
        <v>1788</v>
      </c>
      <c r="AJ1466" s="2">
        <v>45804.698634259257</v>
      </c>
      <c r="AK1466" t="s">
        <v>1786</v>
      </c>
      <c r="AL1466" t="s">
        <v>65</v>
      </c>
      <c r="AM1466" s="4">
        <v>6.9444444444444441E-3</v>
      </c>
      <c r="AN1466" t="s">
        <v>66</v>
      </c>
      <c r="AO1466" t="s">
        <v>67</v>
      </c>
    </row>
    <row r="1467" spans="1:41" x14ac:dyDescent="0.2">
      <c r="A1467">
        <v>362097</v>
      </c>
      <c r="B1467" t="s">
        <v>10253</v>
      </c>
      <c r="C1467" t="s">
        <v>134</v>
      </c>
      <c r="E1467" t="s">
        <v>10254</v>
      </c>
      <c r="F1467">
        <v>451409</v>
      </c>
      <c r="G1467" s="1">
        <v>32509</v>
      </c>
      <c r="H1467" s="1">
        <v>45469</v>
      </c>
      <c r="I1467" s="1">
        <v>46188</v>
      </c>
      <c r="J1467" t="s">
        <v>45</v>
      </c>
      <c r="K1467" t="s">
        <v>45</v>
      </c>
      <c r="L1467" t="s">
        <v>429</v>
      </c>
      <c r="N1467" t="s">
        <v>47</v>
      </c>
      <c r="O1467" t="s">
        <v>48</v>
      </c>
      <c r="P1467" t="s">
        <v>49</v>
      </c>
      <c r="Q1467" t="s">
        <v>10255</v>
      </c>
      <c r="R1467" t="s">
        <v>10256</v>
      </c>
      <c r="S1467">
        <v>3485</v>
      </c>
      <c r="T1467" t="s">
        <v>52</v>
      </c>
      <c r="U1467">
        <v>6</v>
      </c>
      <c r="V1467" t="s">
        <v>7415</v>
      </c>
      <c r="W1467" t="s">
        <v>54</v>
      </c>
      <c r="X1467" t="s">
        <v>76</v>
      </c>
      <c r="Y1467" t="s">
        <v>56</v>
      </c>
      <c r="Z1467">
        <v>781</v>
      </c>
      <c r="AA1467">
        <v>47</v>
      </c>
      <c r="AB1467">
        <v>28</v>
      </c>
      <c r="AC1467" t="s">
        <v>7416</v>
      </c>
      <c r="AD1467" t="s">
        <v>7417</v>
      </c>
      <c r="AE1467" t="s">
        <v>7418</v>
      </c>
      <c r="AF1467" t="s">
        <v>7419</v>
      </c>
      <c r="AG1467" t="s">
        <v>7420</v>
      </c>
      <c r="AH1467" t="s">
        <v>7421</v>
      </c>
      <c r="AI1467" t="s">
        <v>7422</v>
      </c>
      <c r="AJ1467" s="2">
        <v>45474.083321759259</v>
      </c>
      <c r="AK1467" t="s">
        <v>717</v>
      </c>
      <c r="AL1467" t="s">
        <v>65</v>
      </c>
      <c r="AM1467" s="3">
        <v>1.2013888888888888</v>
      </c>
      <c r="AN1467" t="s">
        <v>66</v>
      </c>
      <c r="AO1467" t="s">
        <v>67</v>
      </c>
    </row>
    <row r="1468" spans="1:41" x14ac:dyDescent="0.2">
      <c r="A1468">
        <v>366077</v>
      </c>
      <c r="B1468" t="s">
        <v>10257</v>
      </c>
      <c r="C1468" t="s">
        <v>309</v>
      </c>
      <c r="D1468" t="s">
        <v>6367</v>
      </c>
      <c r="E1468" t="s">
        <v>10258</v>
      </c>
      <c r="F1468">
        <v>150301</v>
      </c>
      <c r="G1468" s="1">
        <v>37438</v>
      </c>
      <c r="H1468" s="1">
        <v>45602</v>
      </c>
      <c r="I1468" s="1">
        <v>46188</v>
      </c>
      <c r="J1468" t="s">
        <v>45</v>
      </c>
      <c r="K1468" t="s">
        <v>72</v>
      </c>
      <c r="L1468" t="s">
        <v>72</v>
      </c>
      <c r="M1468" s="1">
        <v>45413</v>
      </c>
      <c r="N1468" t="s">
        <v>47</v>
      </c>
      <c r="O1468" t="s">
        <v>48</v>
      </c>
      <c r="P1468" t="s">
        <v>49</v>
      </c>
      <c r="Q1468" t="s">
        <v>10259</v>
      </c>
      <c r="R1468" t="s">
        <v>10260</v>
      </c>
      <c r="S1468">
        <v>5</v>
      </c>
      <c r="T1468" t="s">
        <v>156</v>
      </c>
      <c r="U1468" t="s">
        <v>4608</v>
      </c>
      <c r="V1468" t="s">
        <v>10261</v>
      </c>
      <c r="W1468" t="s">
        <v>159</v>
      </c>
      <c r="X1468" t="s">
        <v>156</v>
      </c>
      <c r="Y1468" t="s">
        <v>110</v>
      </c>
      <c r="Z1468">
        <v>2269</v>
      </c>
      <c r="AA1468">
        <v>44</v>
      </c>
      <c r="AB1468">
        <v>160</v>
      </c>
      <c r="AC1468" t="s">
        <v>646</v>
      </c>
      <c r="AD1468" t="s">
        <v>8507</v>
      </c>
      <c r="AE1468" t="s">
        <v>648</v>
      </c>
      <c r="AF1468" t="s">
        <v>4613</v>
      </c>
      <c r="AG1468" t="s">
        <v>4614</v>
      </c>
      <c r="AH1468" t="s">
        <v>4615</v>
      </c>
      <c r="AJ1468" s="2">
        <v>45603.125150462962</v>
      </c>
      <c r="AK1468" t="s">
        <v>646</v>
      </c>
      <c r="AL1468" t="s">
        <v>65</v>
      </c>
      <c r="AM1468" s="3">
        <v>1.8958333333333333</v>
      </c>
      <c r="AN1468" t="s">
        <v>66</v>
      </c>
      <c r="AO1468" t="s">
        <v>67</v>
      </c>
    </row>
    <row r="1469" spans="1:41" x14ac:dyDescent="0.2">
      <c r="A1469">
        <v>360873</v>
      </c>
      <c r="B1469" t="s">
        <v>10262</v>
      </c>
      <c r="C1469" t="s">
        <v>323</v>
      </c>
      <c r="D1469" t="s">
        <v>10263</v>
      </c>
      <c r="E1469">
        <v>12610408</v>
      </c>
      <c r="F1469">
        <v>500735</v>
      </c>
      <c r="G1469" s="1">
        <v>33434</v>
      </c>
      <c r="H1469" s="1">
        <v>45428</v>
      </c>
      <c r="I1469" s="1">
        <v>46037</v>
      </c>
      <c r="J1469" t="s">
        <v>45</v>
      </c>
      <c r="K1469" t="s">
        <v>45</v>
      </c>
      <c r="L1469" t="s">
        <v>72</v>
      </c>
      <c r="M1469" s="1">
        <v>43608</v>
      </c>
      <c r="N1469" t="s">
        <v>47</v>
      </c>
      <c r="O1469" t="s">
        <v>48</v>
      </c>
      <c r="P1469" t="s">
        <v>49</v>
      </c>
      <c r="Q1469" t="s">
        <v>10264</v>
      </c>
      <c r="R1469" t="s">
        <v>10265</v>
      </c>
      <c r="S1469">
        <v>1928</v>
      </c>
      <c r="T1469" t="s">
        <v>156</v>
      </c>
      <c r="U1469" t="s">
        <v>460</v>
      </c>
      <c r="V1469" t="s">
        <v>330</v>
      </c>
      <c r="W1469" t="s">
        <v>159</v>
      </c>
      <c r="X1469" t="s">
        <v>156</v>
      </c>
      <c r="Y1469" t="s">
        <v>110</v>
      </c>
      <c r="Z1469">
        <v>470</v>
      </c>
      <c r="AA1469">
        <v>39</v>
      </c>
      <c r="AB1469">
        <v>152</v>
      </c>
      <c r="AC1469" t="s">
        <v>461</v>
      </c>
      <c r="AD1469" t="s">
        <v>5071</v>
      </c>
      <c r="AE1469" t="s">
        <v>462</v>
      </c>
      <c r="AI1469" t="s">
        <v>10157</v>
      </c>
      <c r="AJ1469" s="2">
        <v>45435.98027777778</v>
      </c>
      <c r="AK1469" t="s">
        <v>461</v>
      </c>
      <c r="AL1469" t="s">
        <v>65</v>
      </c>
      <c r="AM1469" s="3">
        <v>2.3680555555555554</v>
      </c>
      <c r="AN1469" t="s">
        <v>66</v>
      </c>
      <c r="AO1469" t="s">
        <v>67</v>
      </c>
    </row>
    <row r="1470" spans="1:41" x14ac:dyDescent="0.2">
      <c r="A1470">
        <v>371504</v>
      </c>
      <c r="B1470" t="s">
        <v>10266</v>
      </c>
      <c r="C1470" t="s">
        <v>323</v>
      </c>
      <c r="E1470" t="s">
        <v>10267</v>
      </c>
      <c r="G1470" s="1">
        <v>41129</v>
      </c>
      <c r="H1470" s="1">
        <v>45809</v>
      </c>
      <c r="J1470" t="s">
        <v>72</v>
      </c>
      <c r="K1470" t="s">
        <v>72</v>
      </c>
      <c r="L1470" t="s">
        <v>72</v>
      </c>
      <c r="M1470" s="1">
        <v>43361</v>
      </c>
      <c r="N1470" t="s">
        <v>47</v>
      </c>
      <c r="O1470" t="s">
        <v>48</v>
      </c>
      <c r="P1470" t="s">
        <v>406</v>
      </c>
      <c r="Q1470" t="s">
        <v>10268</v>
      </c>
      <c r="R1470" t="s">
        <v>10269</v>
      </c>
      <c r="S1470">
        <v>4360</v>
      </c>
      <c r="T1470" t="s">
        <v>257</v>
      </c>
      <c r="U1470" t="s">
        <v>329</v>
      </c>
      <c r="V1470" t="s">
        <v>5032</v>
      </c>
      <c r="W1470" t="s">
        <v>260</v>
      </c>
      <c r="X1470" t="s">
        <v>257</v>
      </c>
      <c r="Y1470" t="s">
        <v>642</v>
      </c>
      <c r="Z1470">
        <v>5831</v>
      </c>
      <c r="AA1470">
        <v>23</v>
      </c>
      <c r="AB1470">
        <v>108</v>
      </c>
      <c r="AC1470" t="s">
        <v>1164</v>
      </c>
      <c r="AD1470" t="s">
        <v>1165</v>
      </c>
      <c r="AE1470" t="s">
        <v>1166</v>
      </c>
      <c r="AJ1470" s="2">
        <v>45813.798692129632</v>
      </c>
      <c r="AK1470" t="s">
        <v>1164</v>
      </c>
      <c r="AL1470" t="s">
        <v>1168</v>
      </c>
      <c r="AM1470" s="4">
        <v>0.94444444444444442</v>
      </c>
      <c r="AN1470" t="s">
        <v>66</v>
      </c>
      <c r="AO1470" t="s">
        <v>67</v>
      </c>
    </row>
    <row r="1471" spans="1:41" x14ac:dyDescent="0.2">
      <c r="A1471">
        <v>371848</v>
      </c>
      <c r="B1471" t="s">
        <v>10270</v>
      </c>
      <c r="C1471" t="s">
        <v>735</v>
      </c>
      <c r="D1471" t="s">
        <v>2006</v>
      </c>
      <c r="E1471" t="s">
        <v>10271</v>
      </c>
      <c r="F1471">
        <v>240903</v>
      </c>
      <c r="G1471" s="1">
        <v>32071</v>
      </c>
      <c r="H1471" s="1">
        <v>45816</v>
      </c>
      <c r="I1471" s="1">
        <v>46174</v>
      </c>
      <c r="J1471" t="s">
        <v>45</v>
      </c>
      <c r="K1471" t="s">
        <v>45</v>
      </c>
      <c r="L1471" t="s">
        <v>429</v>
      </c>
      <c r="M1471" s="1">
        <v>34627</v>
      </c>
      <c r="N1471" t="s">
        <v>47</v>
      </c>
      <c r="O1471" t="s">
        <v>48</v>
      </c>
      <c r="P1471" t="s">
        <v>49</v>
      </c>
      <c r="Q1471" t="s">
        <v>10272</v>
      </c>
      <c r="R1471" t="s">
        <v>10273</v>
      </c>
      <c r="S1471">
        <v>2760</v>
      </c>
      <c r="T1471" t="s">
        <v>365</v>
      </c>
      <c r="U1471" t="s">
        <v>969</v>
      </c>
      <c r="V1471" t="s">
        <v>970</v>
      </c>
      <c r="W1471" t="s">
        <v>367</v>
      </c>
      <c r="X1471" t="s">
        <v>76</v>
      </c>
      <c r="Y1471" t="s">
        <v>434</v>
      </c>
      <c r="Z1471">
        <v>208</v>
      </c>
      <c r="AA1471">
        <v>54</v>
      </c>
      <c r="AB1471">
        <v>166</v>
      </c>
      <c r="AC1471" t="s">
        <v>971</v>
      </c>
      <c r="AD1471" t="s">
        <v>972</v>
      </c>
      <c r="AE1471" t="s">
        <v>973</v>
      </c>
      <c r="AF1471" t="s">
        <v>974</v>
      </c>
      <c r="AG1471" t="s">
        <v>975</v>
      </c>
      <c r="AH1471" t="s">
        <v>973</v>
      </c>
      <c r="AI1471" t="s">
        <v>3008</v>
      </c>
      <c r="AJ1471" s="2">
        <v>45821.557754629626</v>
      </c>
      <c r="AK1471" t="s">
        <v>568</v>
      </c>
      <c r="AL1471" t="s">
        <v>65</v>
      </c>
      <c r="AM1471" s="3">
        <v>1.8333333333333333</v>
      </c>
      <c r="AN1471" t="s">
        <v>66</v>
      </c>
      <c r="AO1471" t="s">
        <v>67</v>
      </c>
    </row>
    <row r="1472" spans="1:41" x14ac:dyDescent="0.2">
      <c r="A1472">
        <v>373029</v>
      </c>
      <c r="B1472" t="s">
        <v>10274</v>
      </c>
      <c r="C1472" t="s">
        <v>252</v>
      </c>
      <c r="D1472" t="s">
        <v>10275</v>
      </c>
      <c r="E1472">
        <v>32382120</v>
      </c>
      <c r="F1472">
        <v>250203</v>
      </c>
      <c r="G1472" s="1">
        <v>32779</v>
      </c>
      <c r="H1472" s="1">
        <v>45546</v>
      </c>
      <c r="I1472" s="1">
        <v>46266</v>
      </c>
      <c r="J1472" t="s">
        <v>45</v>
      </c>
      <c r="K1472" t="s">
        <v>45</v>
      </c>
      <c r="L1472" t="s">
        <v>429</v>
      </c>
      <c r="M1472" s="1">
        <v>42842</v>
      </c>
      <c r="N1472" t="s">
        <v>47</v>
      </c>
      <c r="O1472" t="s">
        <v>48</v>
      </c>
      <c r="P1472" t="s">
        <v>49</v>
      </c>
      <c r="Q1472" t="s">
        <v>10276</v>
      </c>
      <c r="R1472" t="s">
        <v>10277</v>
      </c>
      <c r="S1472">
        <v>4080</v>
      </c>
      <c r="T1472" t="s">
        <v>52</v>
      </c>
      <c r="U1472">
        <v>2</v>
      </c>
      <c r="V1472" t="s">
        <v>2204</v>
      </c>
      <c r="W1472" t="s">
        <v>54</v>
      </c>
      <c r="X1472" t="s">
        <v>76</v>
      </c>
      <c r="Y1472" t="s">
        <v>56</v>
      </c>
      <c r="Z1472">
        <v>580</v>
      </c>
      <c r="AA1472">
        <v>60</v>
      </c>
      <c r="AB1472">
        <v>30</v>
      </c>
      <c r="AC1472" t="s">
        <v>10278</v>
      </c>
      <c r="AD1472" t="s">
        <v>10279</v>
      </c>
      <c r="AE1472" t="s">
        <v>10280</v>
      </c>
      <c r="AF1472" t="s">
        <v>1570</v>
      </c>
      <c r="AG1472" t="s">
        <v>1571</v>
      </c>
      <c r="AH1472" t="s">
        <v>1572</v>
      </c>
      <c r="AI1472" t="s">
        <v>10281</v>
      </c>
      <c r="AJ1472" s="2">
        <v>45856.035474537035</v>
      </c>
      <c r="AK1472" t="s">
        <v>556</v>
      </c>
      <c r="AL1472" t="s">
        <v>65</v>
      </c>
      <c r="AM1472" s="4">
        <v>0.94444444444444442</v>
      </c>
      <c r="AN1472" t="s">
        <v>66</v>
      </c>
      <c r="AO1472" t="s">
        <v>67</v>
      </c>
    </row>
    <row r="1473" spans="1:41" x14ac:dyDescent="0.2">
      <c r="A1473">
        <v>369266</v>
      </c>
      <c r="B1473" t="s">
        <v>10282</v>
      </c>
      <c r="C1473" t="s">
        <v>151</v>
      </c>
      <c r="E1473" t="s">
        <v>10283</v>
      </c>
      <c r="F1473">
        <v>380601</v>
      </c>
      <c r="G1473" s="1">
        <v>38041</v>
      </c>
      <c r="H1473" s="1">
        <v>45730</v>
      </c>
      <c r="I1473" s="1">
        <v>46006</v>
      </c>
      <c r="J1473" t="s">
        <v>45</v>
      </c>
      <c r="K1473" t="s">
        <v>45</v>
      </c>
      <c r="L1473" t="s">
        <v>72</v>
      </c>
      <c r="N1473" t="s">
        <v>47</v>
      </c>
      <c r="O1473" t="s">
        <v>48</v>
      </c>
      <c r="P1473" t="s">
        <v>49</v>
      </c>
      <c r="Q1473" t="s">
        <v>10284</v>
      </c>
      <c r="R1473" t="s">
        <v>10285</v>
      </c>
      <c r="S1473">
        <v>820</v>
      </c>
      <c r="T1473" t="s">
        <v>257</v>
      </c>
      <c r="U1473" t="s">
        <v>1691</v>
      </c>
      <c r="V1473" t="s">
        <v>10282</v>
      </c>
      <c r="W1473" t="s">
        <v>260</v>
      </c>
      <c r="X1473" t="s">
        <v>257</v>
      </c>
      <c r="Y1473" t="s">
        <v>110</v>
      </c>
      <c r="Z1473">
        <v>2533</v>
      </c>
      <c r="AA1473">
        <v>25</v>
      </c>
      <c r="AB1473">
        <v>45</v>
      </c>
      <c r="AC1473" t="s">
        <v>10286</v>
      </c>
      <c r="AD1473" t="s">
        <v>10287</v>
      </c>
      <c r="AE1473" t="s">
        <v>10288</v>
      </c>
      <c r="AI1473" t="s">
        <v>10287</v>
      </c>
      <c r="AJ1473" s="2">
        <v>45732.536874999998</v>
      </c>
      <c r="AK1473" t="s">
        <v>10289</v>
      </c>
      <c r="AL1473" t="s">
        <v>65</v>
      </c>
      <c r="AM1473" s="3">
        <v>2.2916666666666665</v>
      </c>
      <c r="AN1473" t="s">
        <v>66</v>
      </c>
      <c r="AO1473" t="s">
        <v>101</v>
      </c>
    </row>
    <row r="1474" spans="1:41" x14ac:dyDescent="0.2">
      <c r="A1474">
        <v>362270</v>
      </c>
      <c r="B1474" t="s">
        <v>10290</v>
      </c>
      <c r="C1474" t="s">
        <v>278</v>
      </c>
      <c r="D1474" t="s">
        <v>1151</v>
      </c>
      <c r="E1474" t="s">
        <v>10291</v>
      </c>
      <c r="F1474">
        <v>420806</v>
      </c>
      <c r="G1474" s="1">
        <v>35697</v>
      </c>
      <c r="H1474" s="1">
        <v>45481</v>
      </c>
      <c r="I1474" s="1">
        <v>46235</v>
      </c>
      <c r="J1474" t="s">
        <v>45</v>
      </c>
      <c r="K1474" t="s">
        <v>45</v>
      </c>
      <c r="L1474" t="s">
        <v>72</v>
      </c>
      <c r="M1474" s="1">
        <v>39262</v>
      </c>
      <c r="N1474" t="s">
        <v>47</v>
      </c>
      <c r="O1474" t="s">
        <v>48</v>
      </c>
      <c r="P1474" t="s">
        <v>49</v>
      </c>
      <c r="Q1474" t="s">
        <v>10292</v>
      </c>
      <c r="R1474" t="s">
        <v>10293</v>
      </c>
      <c r="S1474">
        <v>5713</v>
      </c>
      <c r="T1474" t="s">
        <v>365</v>
      </c>
      <c r="U1474" t="s">
        <v>432</v>
      </c>
      <c r="V1474" t="s">
        <v>6362</v>
      </c>
      <c r="W1474" t="s">
        <v>367</v>
      </c>
      <c r="X1474" t="s">
        <v>55</v>
      </c>
      <c r="Y1474" t="s">
        <v>434</v>
      </c>
      <c r="Z1474">
        <v>370</v>
      </c>
      <c r="AA1474">
        <v>66</v>
      </c>
      <c r="AB1474">
        <v>78</v>
      </c>
      <c r="AC1474" t="s">
        <v>6363</v>
      </c>
      <c r="AD1474" t="s">
        <v>6364</v>
      </c>
      <c r="AE1474" t="s">
        <v>6365</v>
      </c>
      <c r="AF1474" t="s">
        <v>3498</v>
      </c>
      <c r="AG1474" t="s">
        <v>2393</v>
      </c>
      <c r="AH1474" t="s">
        <v>2394</v>
      </c>
      <c r="AI1474" t="s">
        <v>179</v>
      </c>
      <c r="AJ1474" s="2">
        <v>45482.204456018517</v>
      </c>
      <c r="AK1474" t="s">
        <v>4471</v>
      </c>
      <c r="AL1474" t="s">
        <v>65</v>
      </c>
      <c r="AM1474" s="3">
        <v>1.1180555555555556</v>
      </c>
      <c r="AN1474" t="s">
        <v>66</v>
      </c>
      <c r="AO1474" t="s">
        <v>67</v>
      </c>
    </row>
    <row r="1475" spans="1:41" x14ac:dyDescent="0.2">
      <c r="A1475">
        <v>364234</v>
      </c>
      <c r="B1475" t="s">
        <v>10294</v>
      </c>
      <c r="C1475" t="s">
        <v>151</v>
      </c>
      <c r="D1475" t="s">
        <v>10295</v>
      </c>
      <c r="E1475" t="s">
        <v>10296</v>
      </c>
      <c r="F1475">
        <v>383501</v>
      </c>
      <c r="G1475" s="1">
        <v>45469</v>
      </c>
      <c r="H1475" s="1">
        <v>45421</v>
      </c>
      <c r="J1475" t="s">
        <v>45</v>
      </c>
      <c r="K1475" t="s">
        <v>45</v>
      </c>
      <c r="L1475" t="s">
        <v>72</v>
      </c>
      <c r="N1475" t="s">
        <v>47</v>
      </c>
      <c r="O1475" t="s">
        <v>48</v>
      </c>
      <c r="P1475" t="s">
        <v>49</v>
      </c>
      <c r="Q1475" t="s">
        <v>10297</v>
      </c>
      <c r="R1475" t="s">
        <v>10298</v>
      </c>
      <c r="S1475">
        <v>86</v>
      </c>
      <c r="T1475" t="s">
        <v>92</v>
      </c>
      <c r="U1475" t="s">
        <v>6005</v>
      </c>
      <c r="V1475" t="s">
        <v>5510</v>
      </c>
      <c r="W1475" t="s">
        <v>6006</v>
      </c>
      <c r="X1475" t="s">
        <v>92</v>
      </c>
      <c r="Y1475" t="s">
        <v>96</v>
      </c>
      <c r="Z1475">
        <v>12231</v>
      </c>
      <c r="AA1475">
        <v>10</v>
      </c>
      <c r="AB1475">
        <v>45</v>
      </c>
      <c r="AC1475" t="s">
        <v>6007</v>
      </c>
      <c r="AD1475" t="s">
        <v>6008</v>
      </c>
      <c r="AE1475" t="s">
        <v>6009</v>
      </c>
      <c r="AF1475" t="s">
        <v>6010</v>
      </c>
      <c r="AG1475" t="s">
        <v>6011</v>
      </c>
      <c r="AH1475" t="s">
        <v>6012</v>
      </c>
      <c r="AI1475" t="s">
        <v>10299</v>
      </c>
      <c r="AJ1475" s="2">
        <v>45538.659502314818</v>
      </c>
      <c r="AK1475" t="s">
        <v>660</v>
      </c>
      <c r="AL1475" t="s">
        <v>65</v>
      </c>
      <c r="AM1475" s="4">
        <v>4.1666666666666664E-2</v>
      </c>
      <c r="AN1475" t="s">
        <v>66</v>
      </c>
      <c r="AO1475" t="s">
        <v>101</v>
      </c>
    </row>
    <row r="1476" spans="1:41" x14ac:dyDescent="0.2">
      <c r="A1476">
        <v>369959</v>
      </c>
      <c r="B1476" t="s">
        <v>10300</v>
      </c>
      <c r="C1476" t="s">
        <v>1244</v>
      </c>
      <c r="D1476" t="s">
        <v>10301</v>
      </c>
      <c r="E1476" t="s">
        <v>10302</v>
      </c>
      <c r="F1476">
        <v>460901</v>
      </c>
      <c r="G1476" s="1">
        <v>38476</v>
      </c>
      <c r="H1476" s="1">
        <v>45636</v>
      </c>
      <c r="J1476" t="s">
        <v>45</v>
      </c>
      <c r="K1476" t="s">
        <v>45</v>
      </c>
      <c r="L1476" t="s">
        <v>72</v>
      </c>
      <c r="M1476" s="1">
        <v>45434</v>
      </c>
      <c r="N1476" t="s">
        <v>47</v>
      </c>
      <c r="O1476" t="s">
        <v>48</v>
      </c>
      <c r="P1476" t="s">
        <v>49</v>
      </c>
      <c r="Q1476" t="s">
        <v>10303</v>
      </c>
      <c r="R1476" t="s">
        <v>10304</v>
      </c>
      <c r="S1476">
        <v>1873</v>
      </c>
      <c r="T1476" t="s">
        <v>92</v>
      </c>
      <c r="U1476" t="s">
        <v>1249</v>
      </c>
      <c r="V1476" t="s">
        <v>1250</v>
      </c>
      <c r="W1476" t="s">
        <v>1251</v>
      </c>
      <c r="X1476" t="s">
        <v>92</v>
      </c>
      <c r="Y1476" t="s">
        <v>770</v>
      </c>
      <c r="Z1476">
        <v>2700</v>
      </c>
      <c r="AA1476">
        <v>32</v>
      </c>
      <c r="AB1476">
        <v>144</v>
      </c>
      <c r="AC1476" t="s">
        <v>1252</v>
      </c>
      <c r="AD1476" t="s">
        <v>1253</v>
      </c>
      <c r="AE1476" t="s">
        <v>1254</v>
      </c>
      <c r="AF1476" t="s">
        <v>1255</v>
      </c>
      <c r="AG1476" t="s">
        <v>1256</v>
      </c>
      <c r="AH1476" t="s">
        <v>1257</v>
      </c>
      <c r="AI1476" t="s">
        <v>1256</v>
      </c>
      <c r="AJ1476" s="2">
        <v>45758.624745370369</v>
      </c>
      <c r="AK1476" t="s">
        <v>375</v>
      </c>
      <c r="AL1476" t="s">
        <v>65</v>
      </c>
      <c r="AM1476" s="4">
        <v>0.73611111111111116</v>
      </c>
      <c r="AN1476" t="s">
        <v>66</v>
      </c>
      <c r="AO1476" t="s">
        <v>67</v>
      </c>
    </row>
    <row r="1477" spans="1:41" x14ac:dyDescent="0.2">
      <c r="A1477">
        <v>370727</v>
      </c>
      <c r="B1477" t="s">
        <v>10305</v>
      </c>
      <c r="C1477" t="s">
        <v>542</v>
      </c>
      <c r="D1477" t="s">
        <v>10306</v>
      </c>
      <c r="E1477" t="s">
        <v>10307</v>
      </c>
      <c r="F1477">
        <v>361231</v>
      </c>
      <c r="G1477" s="1">
        <v>39357</v>
      </c>
      <c r="H1477" s="1">
        <v>45777</v>
      </c>
      <c r="I1477" s="1">
        <v>46143</v>
      </c>
      <c r="J1477" t="s">
        <v>45</v>
      </c>
      <c r="K1477" t="s">
        <v>45</v>
      </c>
      <c r="L1477" t="s">
        <v>72</v>
      </c>
      <c r="M1477" s="1">
        <v>45779</v>
      </c>
      <c r="N1477" t="s">
        <v>47</v>
      </c>
      <c r="O1477" t="s">
        <v>48</v>
      </c>
      <c r="P1477" t="s">
        <v>49</v>
      </c>
      <c r="Q1477" t="s">
        <v>10308</v>
      </c>
      <c r="R1477" t="s">
        <v>10309</v>
      </c>
      <c r="S1477">
        <v>1408</v>
      </c>
      <c r="T1477" t="s">
        <v>52</v>
      </c>
      <c r="U1477">
        <v>9</v>
      </c>
      <c r="V1477" t="s">
        <v>548</v>
      </c>
      <c r="W1477" t="s">
        <v>54</v>
      </c>
      <c r="X1477" t="s">
        <v>76</v>
      </c>
      <c r="Y1477" t="s">
        <v>56</v>
      </c>
      <c r="Z1477">
        <v>2621</v>
      </c>
      <c r="AA1477">
        <v>42</v>
      </c>
      <c r="AB1477">
        <v>37</v>
      </c>
      <c r="AC1477" t="s">
        <v>549</v>
      </c>
      <c r="AD1477" t="s">
        <v>550</v>
      </c>
      <c r="AE1477" t="s">
        <v>551</v>
      </c>
      <c r="AF1477" t="s">
        <v>552</v>
      </c>
      <c r="AG1477" t="s">
        <v>553</v>
      </c>
      <c r="AH1477" t="s">
        <v>554</v>
      </c>
      <c r="AI1477" t="s">
        <v>555</v>
      </c>
      <c r="AJ1477" s="2">
        <v>45783.663321759261</v>
      </c>
      <c r="AK1477" t="s">
        <v>717</v>
      </c>
      <c r="AL1477" t="s">
        <v>65</v>
      </c>
      <c r="AM1477" s="4">
        <v>0.9375</v>
      </c>
      <c r="AN1477" t="s">
        <v>66</v>
      </c>
      <c r="AO1477" t="s">
        <v>101</v>
      </c>
    </row>
    <row r="1478" spans="1:41" x14ac:dyDescent="0.2">
      <c r="A1478">
        <v>372550</v>
      </c>
      <c r="B1478" t="s">
        <v>10310</v>
      </c>
      <c r="C1478" t="s">
        <v>662</v>
      </c>
      <c r="D1478" t="s">
        <v>10311</v>
      </c>
      <c r="E1478" t="s">
        <v>10312</v>
      </c>
      <c r="F1478">
        <v>414501</v>
      </c>
      <c r="G1478" s="1">
        <v>37669</v>
      </c>
      <c r="H1478" s="1">
        <v>45538</v>
      </c>
      <c r="I1478" s="1">
        <v>46266</v>
      </c>
      <c r="J1478" t="s">
        <v>45</v>
      </c>
      <c r="K1478" t="s">
        <v>45</v>
      </c>
      <c r="L1478" t="s">
        <v>72</v>
      </c>
      <c r="M1478" s="1">
        <v>45840</v>
      </c>
      <c r="N1478" t="s">
        <v>47</v>
      </c>
      <c r="O1478" t="s">
        <v>48</v>
      </c>
      <c r="P1478" t="s">
        <v>49</v>
      </c>
      <c r="Q1478" t="s">
        <v>10313</v>
      </c>
      <c r="R1478" t="s">
        <v>10314</v>
      </c>
      <c r="S1478">
        <v>118</v>
      </c>
      <c r="T1478" t="s">
        <v>92</v>
      </c>
      <c r="U1478" t="s">
        <v>1197</v>
      </c>
      <c r="V1478" t="s">
        <v>1198</v>
      </c>
      <c r="W1478" t="s">
        <v>1199</v>
      </c>
      <c r="X1478" t="s">
        <v>52</v>
      </c>
      <c r="Y1478" t="s">
        <v>110</v>
      </c>
      <c r="Z1478">
        <v>2093</v>
      </c>
      <c r="AA1478">
        <v>49</v>
      </c>
      <c r="AB1478">
        <v>158</v>
      </c>
      <c r="AC1478" t="s">
        <v>1200</v>
      </c>
      <c r="AD1478" t="s">
        <v>1201</v>
      </c>
      <c r="AE1478" t="s">
        <v>1202</v>
      </c>
      <c r="AF1478" t="s">
        <v>1203</v>
      </c>
      <c r="AG1478" t="s">
        <v>1204</v>
      </c>
      <c r="AH1478" t="s">
        <v>1205</v>
      </c>
      <c r="AJ1478" s="2">
        <v>45845.575787037036</v>
      </c>
      <c r="AK1478" t="s">
        <v>1203</v>
      </c>
      <c r="AL1478" t="s">
        <v>65</v>
      </c>
      <c r="AM1478" s="4">
        <v>0.24305555555555555</v>
      </c>
      <c r="AN1478" t="s">
        <v>66</v>
      </c>
      <c r="AO1478" t="s">
        <v>67</v>
      </c>
    </row>
    <row r="1479" spans="1:41" x14ac:dyDescent="0.2">
      <c r="A1479">
        <v>369697</v>
      </c>
      <c r="B1479" t="s">
        <v>10315</v>
      </c>
      <c r="C1479" t="s">
        <v>5138</v>
      </c>
      <c r="D1479" t="s">
        <v>10316</v>
      </c>
      <c r="E1479" t="s">
        <v>10317</v>
      </c>
      <c r="F1479">
        <v>140401</v>
      </c>
      <c r="G1479" s="1">
        <v>39505</v>
      </c>
      <c r="H1479" s="1">
        <v>45554</v>
      </c>
      <c r="J1479" t="s">
        <v>45</v>
      </c>
      <c r="K1479" t="s">
        <v>45</v>
      </c>
      <c r="L1479" t="s">
        <v>72</v>
      </c>
      <c r="M1479" s="1">
        <v>40066</v>
      </c>
      <c r="N1479" t="s">
        <v>47</v>
      </c>
      <c r="O1479" t="s">
        <v>48</v>
      </c>
      <c r="P1479" t="s">
        <v>49</v>
      </c>
      <c r="Q1479" t="s">
        <v>10318</v>
      </c>
      <c r="R1479" t="s">
        <v>10319</v>
      </c>
      <c r="S1479">
        <v>1747</v>
      </c>
      <c r="T1479" t="s">
        <v>156</v>
      </c>
      <c r="U1479" t="s">
        <v>1018</v>
      </c>
      <c r="V1479" t="s">
        <v>10320</v>
      </c>
      <c r="W1479" t="s">
        <v>159</v>
      </c>
      <c r="X1479" t="s">
        <v>156</v>
      </c>
      <c r="Y1479" t="s">
        <v>450</v>
      </c>
      <c r="Z1479">
        <v>2966</v>
      </c>
      <c r="AA1479">
        <v>42</v>
      </c>
      <c r="AB1479">
        <v>66</v>
      </c>
      <c r="AC1479" t="s">
        <v>10321</v>
      </c>
      <c r="AD1479" t="s">
        <v>1043</v>
      </c>
      <c r="AE1479" t="s">
        <v>1044</v>
      </c>
      <c r="AF1479" t="s">
        <v>10322</v>
      </c>
      <c r="AG1479" t="s">
        <v>10323</v>
      </c>
      <c r="AH1479" t="s">
        <v>10324</v>
      </c>
      <c r="AI1479" t="s">
        <v>10325</v>
      </c>
      <c r="AJ1479" s="2">
        <v>45749.592048611114</v>
      </c>
      <c r="AK1479" t="s">
        <v>1024</v>
      </c>
      <c r="AL1479" t="s">
        <v>65</v>
      </c>
      <c r="AM1479" s="3">
        <v>2.3402777777777777</v>
      </c>
      <c r="AN1479" t="s">
        <v>66</v>
      </c>
      <c r="AO1479" t="s">
        <v>67</v>
      </c>
    </row>
    <row r="1480" spans="1:41" x14ac:dyDescent="0.2">
      <c r="A1480">
        <v>366572</v>
      </c>
      <c r="B1480" t="s">
        <v>10326</v>
      </c>
      <c r="C1480" t="s">
        <v>1687</v>
      </c>
      <c r="D1480" t="s">
        <v>7185</v>
      </c>
      <c r="E1480" t="s">
        <v>10327</v>
      </c>
      <c r="J1480" t="s">
        <v>45</v>
      </c>
      <c r="K1480" t="s">
        <v>45</v>
      </c>
      <c r="L1480" t="s">
        <v>72</v>
      </c>
      <c r="N1480" t="s">
        <v>89</v>
      </c>
      <c r="O1480" t="s">
        <v>121</v>
      </c>
      <c r="P1480" t="s">
        <v>49</v>
      </c>
      <c r="T1480" t="s">
        <v>52</v>
      </c>
      <c r="U1480">
        <v>8</v>
      </c>
      <c r="V1480" t="s">
        <v>4309</v>
      </c>
      <c r="W1480" t="s">
        <v>54</v>
      </c>
      <c r="X1480" t="s">
        <v>76</v>
      </c>
      <c r="Y1480" t="s">
        <v>125</v>
      </c>
      <c r="Z1480">
        <v>12226</v>
      </c>
      <c r="AA1480">
        <v>2</v>
      </c>
      <c r="AB1480">
        <v>37</v>
      </c>
      <c r="AC1480" t="s">
        <v>10328</v>
      </c>
      <c r="AD1480" t="s">
        <v>10329</v>
      </c>
      <c r="AE1480" t="s">
        <v>10330</v>
      </c>
      <c r="AJ1480" s="2">
        <v>45628.631944444445</v>
      </c>
      <c r="AK1480" t="s">
        <v>9908</v>
      </c>
      <c r="AL1480" t="s">
        <v>65</v>
      </c>
      <c r="AM1480" s="3">
        <v>1.3298611111111112</v>
      </c>
      <c r="AN1480" t="s">
        <v>66</v>
      </c>
      <c r="AO1480" t="s">
        <v>101</v>
      </c>
    </row>
    <row r="1481" spans="1:41" x14ac:dyDescent="0.2">
      <c r="A1481">
        <v>366573</v>
      </c>
      <c r="B1481" t="s">
        <v>10331</v>
      </c>
      <c r="C1481" t="s">
        <v>1687</v>
      </c>
      <c r="D1481" t="s">
        <v>7185</v>
      </c>
      <c r="E1481" s="5" t="s">
        <v>10332</v>
      </c>
      <c r="J1481" t="s">
        <v>45</v>
      </c>
      <c r="K1481" t="s">
        <v>45</v>
      </c>
      <c r="L1481" t="s">
        <v>72</v>
      </c>
      <c r="N1481" t="s">
        <v>89</v>
      </c>
      <c r="O1481" t="s">
        <v>121</v>
      </c>
      <c r="P1481" t="s">
        <v>49</v>
      </c>
      <c r="T1481" t="s">
        <v>52</v>
      </c>
      <c r="U1481">
        <v>8</v>
      </c>
      <c r="V1481" t="s">
        <v>4309</v>
      </c>
      <c r="W1481" t="s">
        <v>54</v>
      </c>
      <c r="X1481" t="s">
        <v>76</v>
      </c>
      <c r="Y1481" t="s">
        <v>125</v>
      </c>
      <c r="Z1481">
        <v>12227</v>
      </c>
      <c r="AA1481">
        <v>2</v>
      </c>
      <c r="AB1481">
        <v>37</v>
      </c>
      <c r="AC1481" t="s">
        <v>10328</v>
      </c>
      <c r="AD1481" t="s">
        <v>10329</v>
      </c>
      <c r="AE1481" t="s">
        <v>10330</v>
      </c>
      <c r="AJ1481" s="2">
        <v>45628.632685185185</v>
      </c>
      <c r="AK1481" t="s">
        <v>9908</v>
      </c>
      <c r="AL1481" t="s">
        <v>65</v>
      </c>
      <c r="AM1481" s="3">
        <v>1.3368055555555556</v>
      </c>
      <c r="AN1481" t="s">
        <v>66</v>
      </c>
      <c r="AO1481" t="s">
        <v>101</v>
      </c>
    </row>
    <row r="1482" spans="1:41" x14ac:dyDescent="0.2">
      <c r="A1482">
        <v>367919</v>
      </c>
      <c r="B1482" t="s">
        <v>10333</v>
      </c>
      <c r="C1482" t="s">
        <v>788</v>
      </c>
      <c r="D1482" t="s">
        <v>1324</v>
      </c>
      <c r="E1482" t="s">
        <v>10334</v>
      </c>
      <c r="F1482">
        <v>85601</v>
      </c>
      <c r="G1482" s="1">
        <v>44931</v>
      </c>
      <c r="H1482" s="1">
        <v>45679</v>
      </c>
      <c r="J1482" t="s">
        <v>45</v>
      </c>
      <c r="K1482" t="s">
        <v>45</v>
      </c>
      <c r="L1482" t="s">
        <v>72</v>
      </c>
      <c r="N1482" t="s">
        <v>47</v>
      </c>
      <c r="O1482" t="s">
        <v>48</v>
      </c>
      <c r="P1482" t="s">
        <v>49</v>
      </c>
      <c r="Q1482" t="s">
        <v>10335</v>
      </c>
      <c r="R1482" t="s">
        <v>10336</v>
      </c>
      <c r="S1482">
        <v>25</v>
      </c>
      <c r="T1482" t="s">
        <v>156</v>
      </c>
      <c r="U1482" t="s">
        <v>157</v>
      </c>
      <c r="V1482" t="s">
        <v>8630</v>
      </c>
      <c r="W1482" t="s">
        <v>159</v>
      </c>
      <c r="X1482" t="s">
        <v>156</v>
      </c>
      <c r="Y1482" t="s">
        <v>450</v>
      </c>
      <c r="Z1482">
        <v>12137</v>
      </c>
      <c r="AA1482">
        <v>13</v>
      </c>
      <c r="AB1482">
        <v>39</v>
      </c>
      <c r="AC1482" t="s">
        <v>6395</v>
      </c>
      <c r="AD1482" t="s">
        <v>6396</v>
      </c>
      <c r="AE1482" t="s">
        <v>8631</v>
      </c>
      <c r="AJ1482" s="2">
        <v>45693.80972222222</v>
      </c>
      <c r="AK1482" t="s">
        <v>526</v>
      </c>
      <c r="AL1482" t="s">
        <v>65</v>
      </c>
      <c r="AM1482" s="3">
        <v>2.0798611111111112</v>
      </c>
      <c r="AN1482" t="s">
        <v>66</v>
      </c>
      <c r="AO1482" t="s">
        <v>101</v>
      </c>
    </row>
    <row r="1483" spans="1:41" x14ac:dyDescent="0.2">
      <c r="A1483">
        <v>366774</v>
      </c>
      <c r="B1483" t="s">
        <v>10337</v>
      </c>
      <c r="C1483" t="s">
        <v>236</v>
      </c>
      <c r="D1483" t="s">
        <v>10338</v>
      </c>
      <c r="E1483" t="s">
        <v>10339</v>
      </c>
      <c r="F1483">
        <v>210101</v>
      </c>
      <c r="G1483" s="1">
        <v>41532</v>
      </c>
      <c r="H1483" s="1">
        <v>45576</v>
      </c>
      <c r="J1483" t="s">
        <v>45</v>
      </c>
      <c r="K1483" t="s">
        <v>45</v>
      </c>
      <c r="L1483" t="s">
        <v>72</v>
      </c>
      <c r="N1483" t="s">
        <v>47</v>
      </c>
      <c r="O1483" t="s">
        <v>48</v>
      </c>
      <c r="P1483" t="s">
        <v>49</v>
      </c>
      <c r="Q1483" t="s">
        <v>10340</v>
      </c>
      <c r="R1483" t="s">
        <v>10341</v>
      </c>
      <c r="S1483">
        <v>1060</v>
      </c>
      <c r="T1483" t="s">
        <v>92</v>
      </c>
      <c r="U1483" t="s">
        <v>1509</v>
      </c>
      <c r="V1483" t="s">
        <v>506</v>
      </c>
      <c r="W1483" t="s">
        <v>1510</v>
      </c>
      <c r="X1483" t="s">
        <v>92</v>
      </c>
      <c r="Y1483" t="s">
        <v>410</v>
      </c>
      <c r="Z1483">
        <v>6286</v>
      </c>
      <c r="AA1483">
        <v>28</v>
      </c>
      <c r="AB1483">
        <v>78</v>
      </c>
      <c r="AC1483" t="s">
        <v>1511</v>
      </c>
      <c r="AD1483" t="s">
        <v>1512</v>
      </c>
      <c r="AE1483" t="s">
        <v>1513</v>
      </c>
      <c r="AF1483" t="s">
        <v>10342</v>
      </c>
      <c r="AG1483" t="s">
        <v>10343</v>
      </c>
      <c r="AH1483" t="s">
        <v>10344</v>
      </c>
      <c r="AI1483" t="s">
        <v>10345</v>
      </c>
      <c r="AJ1483" s="2">
        <v>45791.806805555556</v>
      </c>
      <c r="AK1483" t="s">
        <v>100</v>
      </c>
      <c r="AL1483" t="s">
        <v>65</v>
      </c>
      <c r="AM1483" s="4">
        <v>0.2638888888888889</v>
      </c>
      <c r="AN1483" t="s">
        <v>66</v>
      </c>
      <c r="AO1483" t="s">
        <v>67</v>
      </c>
    </row>
    <row r="1484" spans="1:41" x14ac:dyDescent="0.2">
      <c r="A1484">
        <v>366275</v>
      </c>
      <c r="B1484" t="s">
        <v>10346</v>
      </c>
      <c r="C1484" t="s">
        <v>182</v>
      </c>
      <c r="D1484" t="s">
        <v>4261</v>
      </c>
      <c r="E1484" t="s">
        <v>10347</v>
      </c>
      <c r="G1484" s="1">
        <v>44217</v>
      </c>
      <c r="H1484" s="1">
        <v>45422</v>
      </c>
      <c r="J1484" t="s">
        <v>45</v>
      </c>
      <c r="K1484" t="s">
        <v>45</v>
      </c>
      <c r="L1484" t="s">
        <v>72</v>
      </c>
      <c r="N1484" t="s">
        <v>89</v>
      </c>
      <c r="O1484" t="s">
        <v>48</v>
      </c>
      <c r="P1484" t="s">
        <v>49</v>
      </c>
      <c r="Q1484" t="s">
        <v>10348</v>
      </c>
      <c r="R1484" t="s">
        <v>10349</v>
      </c>
      <c r="S1484">
        <v>3</v>
      </c>
      <c r="T1484" t="s">
        <v>449</v>
      </c>
      <c r="U1484" t="s">
        <v>187</v>
      </c>
      <c r="V1484" t="s">
        <v>6945</v>
      </c>
      <c r="W1484" t="s">
        <v>6946</v>
      </c>
      <c r="X1484" t="s">
        <v>449</v>
      </c>
      <c r="Y1484" t="s">
        <v>96</v>
      </c>
      <c r="Z1484">
        <v>11429</v>
      </c>
      <c r="AA1484">
        <v>11</v>
      </c>
      <c r="AB1484">
        <v>210</v>
      </c>
      <c r="AC1484" t="s">
        <v>10350</v>
      </c>
      <c r="AD1484" t="s">
        <v>10351</v>
      </c>
      <c r="AE1484" t="s">
        <v>10352</v>
      </c>
      <c r="AI1484" t="s">
        <v>10353</v>
      </c>
      <c r="AJ1484" s="2">
        <v>45611.637673611112</v>
      </c>
      <c r="AK1484" t="s">
        <v>132</v>
      </c>
      <c r="AL1484" t="s">
        <v>65</v>
      </c>
      <c r="AM1484" s="4">
        <v>0.28472222222222221</v>
      </c>
      <c r="AN1484" t="s">
        <v>66</v>
      </c>
      <c r="AO1484" t="s">
        <v>67</v>
      </c>
    </row>
    <row r="1485" spans="1:41" x14ac:dyDescent="0.2">
      <c r="A1485">
        <v>370630</v>
      </c>
      <c r="B1485" t="s">
        <v>10354</v>
      </c>
      <c r="C1485" t="s">
        <v>182</v>
      </c>
      <c r="D1485" t="s">
        <v>1948</v>
      </c>
      <c r="E1485" t="s">
        <v>10355</v>
      </c>
      <c r="F1485">
        <v>49916</v>
      </c>
      <c r="G1485" s="1">
        <v>45223</v>
      </c>
      <c r="H1485" s="1">
        <v>45566</v>
      </c>
      <c r="I1485" s="1">
        <v>46266</v>
      </c>
      <c r="J1485" t="s">
        <v>45</v>
      </c>
      <c r="K1485" t="s">
        <v>45</v>
      </c>
      <c r="L1485" t="s">
        <v>72</v>
      </c>
      <c r="N1485" t="s">
        <v>89</v>
      </c>
      <c r="O1485" t="s">
        <v>121</v>
      </c>
      <c r="P1485" t="s">
        <v>49</v>
      </c>
      <c r="Q1485" t="s">
        <v>10356</v>
      </c>
      <c r="R1485" t="s">
        <v>10357</v>
      </c>
      <c r="S1485">
        <v>4038</v>
      </c>
      <c r="T1485" t="s">
        <v>156</v>
      </c>
      <c r="U1485" t="s">
        <v>1079</v>
      </c>
      <c r="V1485" t="s">
        <v>10358</v>
      </c>
      <c r="W1485" t="s">
        <v>159</v>
      </c>
      <c r="X1485" t="s">
        <v>156</v>
      </c>
      <c r="Y1485" t="s">
        <v>110</v>
      </c>
      <c r="Z1485">
        <v>2852</v>
      </c>
      <c r="AA1485">
        <v>57</v>
      </c>
      <c r="AB1485">
        <v>152</v>
      </c>
      <c r="AC1485" t="s">
        <v>10359</v>
      </c>
      <c r="AD1485" t="s">
        <v>10360</v>
      </c>
      <c r="AE1485" t="s">
        <v>10361</v>
      </c>
      <c r="AF1485" t="s">
        <v>10362</v>
      </c>
      <c r="AG1485" t="s">
        <v>10363</v>
      </c>
      <c r="AH1485" t="s">
        <v>10364</v>
      </c>
      <c r="AI1485" t="s">
        <v>1084</v>
      </c>
      <c r="AJ1485" s="2">
        <v>45782.6643287037</v>
      </c>
      <c r="AK1485" t="s">
        <v>10362</v>
      </c>
      <c r="AL1485" t="s">
        <v>65</v>
      </c>
      <c r="AM1485" s="3">
        <v>2.4027777777777777</v>
      </c>
      <c r="AN1485" t="s">
        <v>66</v>
      </c>
      <c r="AO1485" t="s">
        <v>67</v>
      </c>
    </row>
    <row r="1486" spans="1:41" x14ac:dyDescent="0.2">
      <c r="A1486">
        <v>370628</v>
      </c>
      <c r="B1486" t="s">
        <v>10365</v>
      </c>
      <c r="C1486" t="s">
        <v>167</v>
      </c>
      <c r="D1486" t="s">
        <v>2702</v>
      </c>
      <c r="E1486" t="s">
        <v>10366</v>
      </c>
      <c r="F1486">
        <v>353346</v>
      </c>
      <c r="G1486" s="1">
        <v>37426</v>
      </c>
      <c r="H1486" s="1">
        <v>45566</v>
      </c>
      <c r="I1486" s="1">
        <v>46266</v>
      </c>
      <c r="J1486" t="s">
        <v>45</v>
      </c>
      <c r="K1486" t="s">
        <v>45</v>
      </c>
      <c r="L1486" t="s">
        <v>72</v>
      </c>
      <c r="M1486" s="1">
        <v>44936</v>
      </c>
      <c r="N1486" t="s">
        <v>47</v>
      </c>
      <c r="O1486" t="s">
        <v>48</v>
      </c>
      <c r="P1486" t="s">
        <v>49</v>
      </c>
      <c r="Q1486" t="s">
        <v>10367</v>
      </c>
      <c r="R1486" t="s">
        <v>10368</v>
      </c>
      <c r="S1486">
        <v>4531</v>
      </c>
      <c r="T1486" t="s">
        <v>156</v>
      </c>
      <c r="U1486" t="s">
        <v>1079</v>
      </c>
      <c r="V1486" t="s">
        <v>10369</v>
      </c>
      <c r="W1486" t="s">
        <v>159</v>
      </c>
      <c r="X1486" t="s">
        <v>156</v>
      </c>
      <c r="Y1486" t="s">
        <v>110</v>
      </c>
      <c r="Z1486">
        <v>2219</v>
      </c>
      <c r="AA1486">
        <v>43</v>
      </c>
      <c r="AB1486">
        <v>158</v>
      </c>
      <c r="AC1486" t="s">
        <v>10359</v>
      </c>
      <c r="AD1486" t="s">
        <v>10360</v>
      </c>
      <c r="AE1486" t="s">
        <v>10361</v>
      </c>
      <c r="AF1486" t="s">
        <v>10362</v>
      </c>
      <c r="AG1486" t="s">
        <v>10363</v>
      </c>
      <c r="AH1486" t="s">
        <v>10364</v>
      </c>
      <c r="AI1486" t="s">
        <v>10370</v>
      </c>
      <c r="AJ1486" s="2">
        <v>45782.663252314815</v>
      </c>
      <c r="AK1486" t="s">
        <v>10362</v>
      </c>
      <c r="AL1486" t="s">
        <v>65</v>
      </c>
      <c r="AM1486" s="3">
        <v>1.3472222222222223</v>
      </c>
      <c r="AN1486" t="s">
        <v>66</v>
      </c>
      <c r="AO1486" t="s">
        <v>67</v>
      </c>
    </row>
    <row r="1487" spans="1:41" x14ac:dyDescent="0.2">
      <c r="A1487">
        <v>371378</v>
      </c>
      <c r="B1487" t="s">
        <v>10371</v>
      </c>
      <c r="C1487" t="s">
        <v>323</v>
      </c>
      <c r="D1487" t="s">
        <v>5058</v>
      </c>
      <c r="E1487" t="s">
        <v>10372</v>
      </c>
      <c r="F1487">
        <v>500958</v>
      </c>
      <c r="G1487" s="1">
        <v>42511</v>
      </c>
      <c r="H1487" s="1">
        <v>45793</v>
      </c>
      <c r="I1487" s="1">
        <v>46037</v>
      </c>
      <c r="J1487" t="s">
        <v>45</v>
      </c>
      <c r="K1487" t="s">
        <v>45</v>
      </c>
      <c r="L1487" t="s">
        <v>72</v>
      </c>
      <c r="M1487" s="1">
        <v>44369</v>
      </c>
      <c r="N1487" t="s">
        <v>47</v>
      </c>
      <c r="O1487" t="s">
        <v>48</v>
      </c>
      <c r="P1487" t="s">
        <v>49</v>
      </c>
      <c r="Q1487" t="s">
        <v>10373</v>
      </c>
      <c r="R1487" t="s">
        <v>10374</v>
      </c>
      <c r="S1487">
        <v>2513</v>
      </c>
      <c r="T1487" t="s">
        <v>257</v>
      </c>
      <c r="U1487" t="s">
        <v>329</v>
      </c>
      <c r="V1487" t="s">
        <v>4982</v>
      </c>
      <c r="W1487" t="s">
        <v>260</v>
      </c>
      <c r="X1487" t="s">
        <v>257</v>
      </c>
      <c r="Y1487" t="s">
        <v>110</v>
      </c>
      <c r="Z1487">
        <v>496</v>
      </c>
      <c r="AA1487">
        <v>48</v>
      </c>
      <c r="AB1487">
        <v>166</v>
      </c>
      <c r="AC1487" t="s">
        <v>331</v>
      </c>
      <c r="AD1487" t="s">
        <v>332</v>
      </c>
      <c r="AE1487" t="s">
        <v>333</v>
      </c>
      <c r="AF1487" t="s">
        <v>334</v>
      </c>
      <c r="AG1487" t="s">
        <v>335</v>
      </c>
      <c r="AH1487" t="s">
        <v>336</v>
      </c>
      <c r="AI1487" t="s">
        <v>337</v>
      </c>
      <c r="AJ1487" s="2">
        <v>45806.96130787037</v>
      </c>
      <c r="AK1487" t="s">
        <v>331</v>
      </c>
      <c r="AL1487" t="s">
        <v>65</v>
      </c>
      <c r="AM1487" s="3">
        <v>2.3611111111111112</v>
      </c>
      <c r="AN1487" t="s">
        <v>66</v>
      </c>
      <c r="AO1487" t="s">
        <v>67</v>
      </c>
    </row>
    <row r="1488" spans="1:41" x14ac:dyDescent="0.2">
      <c r="A1488">
        <v>370474</v>
      </c>
      <c r="B1488" t="s">
        <v>10375</v>
      </c>
      <c r="C1488" t="s">
        <v>182</v>
      </c>
      <c r="D1488" t="s">
        <v>468</v>
      </c>
      <c r="E1488" t="s">
        <v>10376</v>
      </c>
      <c r="F1488">
        <v>40429</v>
      </c>
      <c r="G1488" s="1">
        <v>38756</v>
      </c>
      <c r="H1488" s="1">
        <v>45774</v>
      </c>
      <c r="J1488" t="s">
        <v>45</v>
      </c>
      <c r="K1488" t="s">
        <v>72</v>
      </c>
      <c r="L1488" t="s">
        <v>72</v>
      </c>
      <c r="N1488" t="s">
        <v>47</v>
      </c>
      <c r="O1488" t="s">
        <v>48</v>
      </c>
      <c r="P1488" t="s">
        <v>49</v>
      </c>
      <c r="Q1488" t="s">
        <v>10377</v>
      </c>
      <c r="R1488" t="s">
        <v>10378</v>
      </c>
      <c r="S1488">
        <v>2737</v>
      </c>
      <c r="T1488" t="s">
        <v>92</v>
      </c>
      <c r="U1488" t="s">
        <v>187</v>
      </c>
      <c r="V1488" t="s">
        <v>447</v>
      </c>
      <c r="W1488" t="s">
        <v>448</v>
      </c>
      <c r="X1488" t="s">
        <v>92</v>
      </c>
      <c r="Y1488" t="s">
        <v>450</v>
      </c>
      <c r="Z1488">
        <v>2835</v>
      </c>
      <c r="AA1488">
        <v>31</v>
      </c>
      <c r="AB1488">
        <v>142</v>
      </c>
      <c r="AC1488" t="s">
        <v>451</v>
      </c>
      <c r="AD1488" t="s">
        <v>4047</v>
      </c>
      <c r="AE1488" t="s">
        <v>453</v>
      </c>
      <c r="AF1488" t="s">
        <v>454</v>
      </c>
      <c r="AG1488" t="s">
        <v>473</v>
      </c>
      <c r="AH1488" t="s">
        <v>474</v>
      </c>
      <c r="AJ1488" s="2">
        <v>45776.648958333331</v>
      </c>
      <c r="AK1488" t="s">
        <v>456</v>
      </c>
      <c r="AL1488" t="s">
        <v>475</v>
      </c>
      <c r="AM1488" s="3">
        <v>2.3159722222222223</v>
      </c>
      <c r="AN1488" t="s">
        <v>66</v>
      </c>
      <c r="AO1488" t="s">
        <v>67</v>
      </c>
    </row>
    <row r="1489" spans="1:41" x14ac:dyDescent="0.2">
      <c r="A1489">
        <v>367689</v>
      </c>
      <c r="B1489" t="s">
        <v>10379</v>
      </c>
      <c r="C1489" t="s">
        <v>735</v>
      </c>
      <c r="D1489" t="s">
        <v>1849</v>
      </c>
      <c r="E1489" t="s">
        <v>10380</v>
      </c>
      <c r="G1489" s="1">
        <v>45685</v>
      </c>
      <c r="H1489" s="1">
        <v>45686</v>
      </c>
      <c r="I1489" s="1">
        <v>45976</v>
      </c>
      <c r="J1489" t="s">
        <v>45</v>
      </c>
      <c r="K1489" t="s">
        <v>45</v>
      </c>
      <c r="L1489" t="s">
        <v>72</v>
      </c>
      <c r="M1489" s="1">
        <v>43999</v>
      </c>
      <c r="N1489" t="s">
        <v>89</v>
      </c>
      <c r="O1489" t="s">
        <v>121</v>
      </c>
      <c r="P1489" t="s">
        <v>49</v>
      </c>
      <c r="Q1489" t="s">
        <v>10381</v>
      </c>
      <c r="R1489" t="s">
        <v>10382</v>
      </c>
      <c r="S1489">
        <v>6542</v>
      </c>
      <c r="T1489" t="s">
        <v>52</v>
      </c>
      <c r="U1489">
        <v>1</v>
      </c>
      <c r="V1489" t="s">
        <v>1853</v>
      </c>
      <c r="W1489" t="s">
        <v>54</v>
      </c>
      <c r="X1489" t="s">
        <v>52</v>
      </c>
      <c r="Y1489" t="s">
        <v>125</v>
      </c>
      <c r="Z1489">
        <v>8406</v>
      </c>
      <c r="AA1489">
        <v>20</v>
      </c>
      <c r="AB1489">
        <v>78</v>
      </c>
      <c r="AC1489" t="s">
        <v>10383</v>
      </c>
      <c r="AD1489" t="s">
        <v>3866</v>
      </c>
      <c r="AE1489" t="s">
        <v>3876</v>
      </c>
      <c r="AF1489" t="s">
        <v>10384</v>
      </c>
      <c r="AG1489" t="s">
        <v>10385</v>
      </c>
      <c r="AH1489" t="s">
        <v>10386</v>
      </c>
      <c r="AI1489" t="s">
        <v>10387</v>
      </c>
      <c r="AJ1489" s="2">
        <v>45686.494664351849</v>
      </c>
      <c r="AK1489" t="s">
        <v>132</v>
      </c>
      <c r="AL1489" t="s">
        <v>65</v>
      </c>
      <c r="AM1489" s="3">
        <v>1</v>
      </c>
      <c r="AN1489" t="s">
        <v>66</v>
      </c>
      <c r="AO1489" t="s">
        <v>67</v>
      </c>
    </row>
    <row r="1490" spans="1:41" x14ac:dyDescent="0.2">
      <c r="A1490">
        <v>366100</v>
      </c>
      <c r="B1490" t="s">
        <v>10388</v>
      </c>
      <c r="C1490" t="s">
        <v>735</v>
      </c>
      <c r="D1490" t="s">
        <v>1849</v>
      </c>
      <c r="E1490" t="s">
        <v>10389</v>
      </c>
      <c r="G1490" s="1">
        <v>45504</v>
      </c>
      <c r="H1490" s="1">
        <v>45503</v>
      </c>
      <c r="I1490" s="1">
        <v>46143</v>
      </c>
      <c r="J1490" t="s">
        <v>45</v>
      </c>
      <c r="K1490" t="s">
        <v>45</v>
      </c>
      <c r="L1490" t="s">
        <v>72</v>
      </c>
      <c r="M1490" s="1">
        <v>44000</v>
      </c>
      <c r="N1490" t="s">
        <v>89</v>
      </c>
      <c r="O1490" t="s">
        <v>121</v>
      </c>
      <c r="P1490" t="s">
        <v>49</v>
      </c>
      <c r="Q1490" t="s">
        <v>10390</v>
      </c>
      <c r="R1490" t="s">
        <v>10391</v>
      </c>
      <c r="S1490">
        <v>4711</v>
      </c>
      <c r="T1490" t="s">
        <v>52</v>
      </c>
      <c r="U1490">
        <v>1</v>
      </c>
      <c r="V1490" t="s">
        <v>1853</v>
      </c>
      <c r="W1490" t="s">
        <v>54</v>
      </c>
      <c r="X1490" t="s">
        <v>52</v>
      </c>
      <c r="Y1490" t="s">
        <v>125</v>
      </c>
      <c r="Z1490">
        <v>5866</v>
      </c>
      <c r="AA1490">
        <v>83</v>
      </c>
      <c r="AB1490">
        <v>28</v>
      </c>
      <c r="AC1490" t="s">
        <v>3865</v>
      </c>
      <c r="AD1490" t="s">
        <v>3866</v>
      </c>
      <c r="AE1490" t="s">
        <v>10392</v>
      </c>
      <c r="AF1490" t="s">
        <v>10393</v>
      </c>
      <c r="AG1490" t="s">
        <v>7172</v>
      </c>
      <c r="AH1490" t="s">
        <v>7173</v>
      </c>
      <c r="AJ1490" s="2">
        <v>45603.738252314812</v>
      </c>
      <c r="AK1490" t="s">
        <v>100</v>
      </c>
      <c r="AL1490" t="s">
        <v>65</v>
      </c>
      <c r="AM1490" s="4">
        <v>0.97916666666666663</v>
      </c>
      <c r="AN1490" t="s">
        <v>66</v>
      </c>
      <c r="AO1490" t="s">
        <v>67</v>
      </c>
    </row>
    <row r="1491" spans="1:41" x14ac:dyDescent="0.2">
      <c r="A1491">
        <v>348338</v>
      </c>
      <c r="B1491" t="s">
        <v>10394</v>
      </c>
      <c r="C1491" t="s">
        <v>182</v>
      </c>
      <c r="D1491" t="s">
        <v>1064</v>
      </c>
      <c r="E1491" t="s">
        <v>10395</v>
      </c>
      <c r="F1491">
        <v>40291</v>
      </c>
      <c r="G1491" s="1">
        <v>45055</v>
      </c>
      <c r="H1491" s="1">
        <v>45056</v>
      </c>
      <c r="I1491" s="1">
        <v>46096</v>
      </c>
      <c r="J1491" t="s">
        <v>45</v>
      </c>
      <c r="K1491" t="s">
        <v>326</v>
      </c>
      <c r="L1491" t="s">
        <v>72</v>
      </c>
      <c r="N1491" t="s">
        <v>89</v>
      </c>
      <c r="O1491" t="s">
        <v>121</v>
      </c>
      <c r="P1491" t="s">
        <v>7488</v>
      </c>
      <c r="Q1491" t="s">
        <v>10396</v>
      </c>
      <c r="R1491" t="s">
        <v>10397</v>
      </c>
      <c r="S1491">
        <v>4950</v>
      </c>
      <c r="T1491" t="s">
        <v>52</v>
      </c>
      <c r="U1491">
        <v>5</v>
      </c>
      <c r="V1491" t="s">
        <v>2947</v>
      </c>
      <c r="W1491" t="s">
        <v>54</v>
      </c>
      <c r="X1491" t="s">
        <v>52</v>
      </c>
      <c r="Y1491" t="s">
        <v>125</v>
      </c>
      <c r="Z1491">
        <v>698</v>
      </c>
      <c r="AA1491">
        <v>74</v>
      </c>
      <c r="AB1491">
        <v>38</v>
      </c>
      <c r="AC1491" t="s">
        <v>5386</v>
      </c>
      <c r="AD1491" t="s">
        <v>5387</v>
      </c>
      <c r="AE1491" t="s">
        <v>10398</v>
      </c>
      <c r="AI1491" t="s">
        <v>4396</v>
      </c>
      <c r="AJ1491" s="2">
        <v>45056.467523148145</v>
      </c>
      <c r="AK1491" t="s">
        <v>132</v>
      </c>
      <c r="AL1491" t="s">
        <v>65</v>
      </c>
      <c r="AM1491" s="3">
        <v>2.0208333333333335</v>
      </c>
      <c r="AN1491" t="s">
        <v>66</v>
      </c>
      <c r="AO1491" t="s">
        <v>67</v>
      </c>
    </row>
    <row r="1492" spans="1:41" x14ac:dyDescent="0.2">
      <c r="A1492">
        <v>364872</v>
      </c>
      <c r="B1492" t="s">
        <v>10399</v>
      </c>
      <c r="C1492" t="s">
        <v>182</v>
      </c>
      <c r="D1492" t="s">
        <v>1064</v>
      </c>
      <c r="E1492" t="s">
        <v>10400</v>
      </c>
      <c r="F1492">
        <v>40292</v>
      </c>
      <c r="G1492" s="1">
        <v>45561</v>
      </c>
      <c r="H1492" s="1">
        <v>45562</v>
      </c>
      <c r="I1492" s="1">
        <v>45962</v>
      </c>
      <c r="J1492" t="s">
        <v>45</v>
      </c>
      <c r="K1492" t="s">
        <v>45</v>
      </c>
      <c r="L1492" t="s">
        <v>72</v>
      </c>
      <c r="M1492" s="1">
        <v>42436</v>
      </c>
      <c r="N1492" t="s">
        <v>89</v>
      </c>
      <c r="O1492" t="s">
        <v>121</v>
      </c>
      <c r="P1492" t="s">
        <v>49</v>
      </c>
      <c r="Q1492" t="s">
        <v>10401</v>
      </c>
      <c r="R1492" t="s">
        <v>10402</v>
      </c>
      <c r="S1492">
        <v>6400</v>
      </c>
      <c r="T1492" t="s">
        <v>52</v>
      </c>
      <c r="U1492">
        <v>5</v>
      </c>
      <c r="V1492" t="s">
        <v>2947</v>
      </c>
      <c r="W1492" t="s">
        <v>54</v>
      </c>
      <c r="X1492" t="s">
        <v>52</v>
      </c>
      <c r="Y1492" t="s">
        <v>125</v>
      </c>
      <c r="Z1492">
        <v>700</v>
      </c>
      <c r="AA1492">
        <v>63</v>
      </c>
      <c r="AB1492">
        <v>144</v>
      </c>
      <c r="AC1492" t="s">
        <v>6776</v>
      </c>
      <c r="AD1492" t="s">
        <v>10403</v>
      </c>
      <c r="AE1492" t="s">
        <v>10404</v>
      </c>
      <c r="AF1492" t="s">
        <v>6776</v>
      </c>
      <c r="AG1492" t="s">
        <v>10403</v>
      </c>
      <c r="AH1492" t="s">
        <v>10404</v>
      </c>
      <c r="AI1492" t="s">
        <v>4396</v>
      </c>
      <c r="AJ1492" s="2">
        <v>45562.472129629627</v>
      </c>
      <c r="AK1492" t="s">
        <v>132</v>
      </c>
      <c r="AL1492" t="s">
        <v>65</v>
      </c>
      <c r="AM1492" s="3">
        <v>1.8819444444444444</v>
      </c>
      <c r="AN1492" t="s">
        <v>66</v>
      </c>
      <c r="AO1492" t="s">
        <v>67</v>
      </c>
    </row>
    <row r="1493" spans="1:41" x14ac:dyDescent="0.2">
      <c r="A1493">
        <v>371096</v>
      </c>
      <c r="B1493" t="s">
        <v>10405</v>
      </c>
      <c r="C1493" t="s">
        <v>182</v>
      </c>
      <c r="D1493" t="s">
        <v>1064</v>
      </c>
      <c r="E1493" t="s">
        <v>10406</v>
      </c>
      <c r="F1493">
        <v>40295</v>
      </c>
      <c r="G1493" s="1">
        <v>45792</v>
      </c>
      <c r="H1493" s="1">
        <v>45749</v>
      </c>
      <c r="I1493" s="1">
        <v>46113</v>
      </c>
      <c r="J1493" t="s">
        <v>45</v>
      </c>
      <c r="K1493" t="s">
        <v>45</v>
      </c>
      <c r="L1493" t="s">
        <v>72</v>
      </c>
      <c r="N1493" t="s">
        <v>47</v>
      </c>
      <c r="O1493" t="s">
        <v>121</v>
      </c>
      <c r="P1493" t="s">
        <v>49</v>
      </c>
      <c r="Q1493" t="s">
        <v>10407</v>
      </c>
      <c r="R1493" t="s">
        <v>10408</v>
      </c>
      <c r="S1493">
        <v>3633</v>
      </c>
      <c r="T1493" t="s">
        <v>52</v>
      </c>
      <c r="U1493">
        <v>5</v>
      </c>
      <c r="V1493" t="s">
        <v>2947</v>
      </c>
      <c r="W1493" t="s">
        <v>54</v>
      </c>
      <c r="X1493" t="s">
        <v>52</v>
      </c>
      <c r="Y1493" t="s">
        <v>125</v>
      </c>
      <c r="Z1493">
        <v>697</v>
      </c>
      <c r="AA1493">
        <v>72</v>
      </c>
      <c r="AB1493">
        <v>152</v>
      </c>
      <c r="AC1493" t="s">
        <v>10409</v>
      </c>
      <c r="AD1493" t="s">
        <v>10410</v>
      </c>
      <c r="AE1493" t="s">
        <v>10411</v>
      </c>
      <c r="AF1493" t="s">
        <v>2951</v>
      </c>
      <c r="AG1493" t="s">
        <v>2951</v>
      </c>
      <c r="AI1493" t="s">
        <v>4396</v>
      </c>
      <c r="AJ1493" s="2">
        <v>45796.640567129631</v>
      </c>
      <c r="AK1493" t="s">
        <v>375</v>
      </c>
      <c r="AL1493" t="s">
        <v>65</v>
      </c>
      <c r="AM1493" s="4">
        <v>8.3333333333333329E-2</v>
      </c>
      <c r="AN1493" t="s">
        <v>66</v>
      </c>
      <c r="AO1493" t="s">
        <v>67</v>
      </c>
    </row>
    <row r="1494" spans="1:41" x14ac:dyDescent="0.2">
      <c r="A1494">
        <v>369043</v>
      </c>
      <c r="B1494" t="s">
        <v>10412</v>
      </c>
      <c r="C1494" t="s">
        <v>182</v>
      </c>
      <c r="D1494" t="s">
        <v>1064</v>
      </c>
      <c r="E1494" t="s">
        <v>10413</v>
      </c>
      <c r="F1494">
        <v>40298</v>
      </c>
      <c r="G1494" s="1">
        <v>45558</v>
      </c>
      <c r="H1494" s="1">
        <v>45722</v>
      </c>
      <c r="I1494" s="1">
        <v>46096</v>
      </c>
      <c r="J1494" t="s">
        <v>45</v>
      </c>
      <c r="K1494" t="s">
        <v>45</v>
      </c>
      <c r="L1494" t="s">
        <v>46</v>
      </c>
      <c r="N1494" t="s">
        <v>89</v>
      </c>
      <c r="O1494" t="s">
        <v>121</v>
      </c>
      <c r="P1494" t="s">
        <v>49</v>
      </c>
      <c r="Q1494" t="s">
        <v>10414</v>
      </c>
      <c r="R1494" t="s">
        <v>10415</v>
      </c>
      <c r="S1494">
        <v>6075</v>
      </c>
      <c r="T1494" t="s">
        <v>52</v>
      </c>
      <c r="U1494">
        <v>5</v>
      </c>
      <c r="V1494" t="s">
        <v>2947</v>
      </c>
      <c r="W1494" t="s">
        <v>54</v>
      </c>
      <c r="X1494" t="s">
        <v>52</v>
      </c>
      <c r="Y1494" t="s">
        <v>125</v>
      </c>
      <c r="Z1494">
        <v>5286</v>
      </c>
      <c r="AA1494">
        <v>70</v>
      </c>
      <c r="AB1494">
        <v>34</v>
      </c>
      <c r="AC1494" t="s">
        <v>9891</v>
      </c>
      <c r="AD1494" t="s">
        <v>10416</v>
      </c>
      <c r="AE1494" t="s">
        <v>9893</v>
      </c>
      <c r="AF1494" t="s">
        <v>9894</v>
      </c>
      <c r="AG1494" t="s">
        <v>9895</v>
      </c>
      <c r="AH1494" t="s">
        <v>9896</v>
      </c>
      <c r="AI1494" t="s">
        <v>4396</v>
      </c>
      <c r="AJ1494" s="2">
        <v>45726.449594907404</v>
      </c>
      <c r="AK1494" t="s">
        <v>800</v>
      </c>
      <c r="AL1494" t="s">
        <v>65</v>
      </c>
      <c r="AM1494" s="4">
        <v>0.84722222222222221</v>
      </c>
      <c r="AN1494" t="s">
        <v>66</v>
      </c>
      <c r="AO1494" t="s">
        <v>67</v>
      </c>
    </row>
    <row r="1495" spans="1:41" x14ac:dyDescent="0.2">
      <c r="A1495">
        <v>371389</v>
      </c>
      <c r="B1495" t="s">
        <v>10417</v>
      </c>
      <c r="C1495" t="s">
        <v>1013</v>
      </c>
      <c r="D1495" t="s">
        <v>10418</v>
      </c>
      <c r="E1495" s="5">
        <v>327571000000</v>
      </c>
      <c r="F1495">
        <v>322701</v>
      </c>
      <c r="G1495" s="1">
        <v>39475</v>
      </c>
      <c r="H1495" s="1">
        <v>45755</v>
      </c>
      <c r="I1495" s="1">
        <v>46082</v>
      </c>
      <c r="J1495" t="s">
        <v>45</v>
      </c>
      <c r="K1495" t="s">
        <v>45</v>
      </c>
      <c r="L1495" t="s">
        <v>72</v>
      </c>
      <c r="M1495" s="1">
        <v>45806</v>
      </c>
      <c r="N1495" t="s">
        <v>47</v>
      </c>
      <c r="O1495" t="s">
        <v>48</v>
      </c>
      <c r="P1495" t="s">
        <v>49</v>
      </c>
      <c r="Q1495" t="s">
        <v>10419</v>
      </c>
      <c r="R1495" t="s">
        <v>10420</v>
      </c>
      <c r="S1495">
        <v>1700</v>
      </c>
      <c r="T1495" t="s">
        <v>257</v>
      </c>
      <c r="U1495" t="s">
        <v>258</v>
      </c>
      <c r="V1495" t="s">
        <v>10421</v>
      </c>
      <c r="W1495" t="s">
        <v>260</v>
      </c>
      <c r="X1495" t="s">
        <v>257</v>
      </c>
      <c r="Y1495" t="s">
        <v>110</v>
      </c>
      <c r="Z1495">
        <v>2918</v>
      </c>
      <c r="AA1495">
        <v>37</v>
      </c>
      <c r="AB1495">
        <v>138</v>
      </c>
      <c r="AC1495" t="s">
        <v>10422</v>
      </c>
      <c r="AD1495" t="s">
        <v>10423</v>
      </c>
      <c r="AE1495" t="s">
        <v>10424</v>
      </c>
      <c r="AF1495" t="s">
        <v>9937</v>
      </c>
      <c r="AG1495" t="s">
        <v>10425</v>
      </c>
      <c r="AH1495" t="s">
        <v>9939</v>
      </c>
      <c r="AI1495" t="s">
        <v>10426</v>
      </c>
      <c r="AJ1495" s="2">
        <v>45807.640231481484</v>
      </c>
      <c r="AK1495" t="s">
        <v>10427</v>
      </c>
      <c r="AL1495" t="s">
        <v>65</v>
      </c>
      <c r="AM1495" s="3">
        <v>2.1180555555555554</v>
      </c>
      <c r="AN1495" t="s">
        <v>66</v>
      </c>
      <c r="AO1495" t="s">
        <v>67</v>
      </c>
    </row>
    <row r="1496" spans="1:41" x14ac:dyDescent="0.2">
      <c r="A1496">
        <v>372934</v>
      </c>
      <c r="B1496" t="s">
        <v>10428</v>
      </c>
      <c r="C1496" t="s">
        <v>735</v>
      </c>
      <c r="D1496" t="s">
        <v>2469</v>
      </c>
      <c r="E1496" t="s">
        <v>10429</v>
      </c>
      <c r="F1496">
        <v>244102</v>
      </c>
      <c r="G1496" s="1">
        <v>30072</v>
      </c>
      <c r="H1496" s="1">
        <v>45470</v>
      </c>
      <c r="I1496" s="1">
        <v>46174</v>
      </c>
      <c r="J1496" t="s">
        <v>45</v>
      </c>
      <c r="K1496" t="s">
        <v>45</v>
      </c>
      <c r="L1496" t="s">
        <v>429</v>
      </c>
      <c r="M1496" s="1">
        <v>45459</v>
      </c>
      <c r="N1496" t="s">
        <v>47</v>
      </c>
      <c r="O1496" t="s">
        <v>48</v>
      </c>
      <c r="P1496" t="s">
        <v>49</v>
      </c>
      <c r="Q1496" t="s">
        <v>10430</v>
      </c>
      <c r="R1496" t="s">
        <v>10431</v>
      </c>
      <c r="S1496">
        <v>3320</v>
      </c>
      <c r="T1496" t="s">
        <v>365</v>
      </c>
      <c r="U1496" t="s">
        <v>969</v>
      </c>
      <c r="V1496" t="s">
        <v>2473</v>
      </c>
      <c r="W1496" t="s">
        <v>367</v>
      </c>
      <c r="X1496" t="s">
        <v>76</v>
      </c>
      <c r="Y1496" t="s">
        <v>434</v>
      </c>
      <c r="Z1496">
        <v>212</v>
      </c>
      <c r="AA1496">
        <v>59</v>
      </c>
      <c r="AB1496">
        <v>166</v>
      </c>
      <c r="AC1496" t="s">
        <v>2474</v>
      </c>
      <c r="AD1496" t="s">
        <v>2475</v>
      </c>
      <c r="AE1496" t="s">
        <v>2477</v>
      </c>
      <c r="AF1496" t="s">
        <v>2474</v>
      </c>
      <c r="AH1496" t="s">
        <v>10432</v>
      </c>
      <c r="AI1496" t="s">
        <v>179</v>
      </c>
      <c r="AJ1496" s="2">
        <v>45855.924317129633</v>
      </c>
      <c r="AK1496" t="s">
        <v>556</v>
      </c>
      <c r="AL1496" t="s">
        <v>65</v>
      </c>
      <c r="AM1496" s="3">
        <v>1.6736111111111112</v>
      </c>
      <c r="AN1496" t="s">
        <v>66</v>
      </c>
      <c r="AO1496" t="s">
        <v>67</v>
      </c>
    </row>
    <row r="1497" spans="1:41" x14ac:dyDescent="0.2">
      <c r="A1497">
        <v>363191</v>
      </c>
      <c r="B1497" t="s">
        <v>10433</v>
      </c>
      <c r="C1497" t="s">
        <v>558</v>
      </c>
      <c r="D1497" t="s">
        <v>1743</v>
      </c>
      <c r="E1497" t="s">
        <v>10434</v>
      </c>
      <c r="F1497">
        <v>260117</v>
      </c>
      <c r="G1497" s="1">
        <v>40350</v>
      </c>
      <c r="H1497" s="1">
        <v>45502</v>
      </c>
      <c r="J1497" t="s">
        <v>45</v>
      </c>
      <c r="K1497" t="s">
        <v>45</v>
      </c>
      <c r="L1497" t="s">
        <v>72</v>
      </c>
      <c r="M1497" s="1">
        <v>43117</v>
      </c>
      <c r="N1497" t="s">
        <v>47</v>
      </c>
      <c r="O1497" t="s">
        <v>48</v>
      </c>
      <c r="P1497" t="s">
        <v>49</v>
      </c>
      <c r="Q1497" t="s">
        <v>10435</v>
      </c>
      <c r="R1497" t="s">
        <v>10436</v>
      </c>
      <c r="S1497">
        <v>7568</v>
      </c>
      <c r="T1497" t="s">
        <v>92</v>
      </c>
      <c r="U1497" t="s">
        <v>187</v>
      </c>
      <c r="V1497" t="s">
        <v>447</v>
      </c>
      <c r="W1497" t="s">
        <v>448</v>
      </c>
      <c r="X1497" t="s">
        <v>449</v>
      </c>
      <c r="Y1497" t="s">
        <v>450</v>
      </c>
      <c r="Z1497">
        <v>3626</v>
      </c>
      <c r="AA1497">
        <v>29</v>
      </c>
      <c r="AB1497">
        <v>66</v>
      </c>
      <c r="AC1497" t="s">
        <v>451</v>
      </c>
      <c r="AD1497" t="s">
        <v>4047</v>
      </c>
      <c r="AE1497" t="s">
        <v>10437</v>
      </c>
      <c r="AF1497" t="s">
        <v>8931</v>
      </c>
      <c r="AG1497" t="s">
        <v>8932</v>
      </c>
      <c r="AH1497" t="s">
        <v>8933</v>
      </c>
      <c r="AJ1497" s="2">
        <v>45506.690810185188</v>
      </c>
      <c r="AK1497" t="s">
        <v>526</v>
      </c>
      <c r="AL1497" t="s">
        <v>65</v>
      </c>
      <c r="AM1497" s="4">
        <v>0.79861111111111116</v>
      </c>
      <c r="AN1497" t="s">
        <v>66</v>
      </c>
      <c r="AO1497" t="s">
        <v>67</v>
      </c>
    </row>
    <row r="1498" spans="1:41" x14ac:dyDescent="0.2">
      <c r="A1498">
        <v>368688</v>
      </c>
      <c r="B1498" t="s">
        <v>10438</v>
      </c>
      <c r="C1498" t="s">
        <v>182</v>
      </c>
      <c r="D1498" t="s">
        <v>1628</v>
      </c>
      <c r="E1498" t="s">
        <v>10439</v>
      </c>
      <c r="F1498">
        <v>41409</v>
      </c>
      <c r="G1498" s="1">
        <v>30762</v>
      </c>
      <c r="H1498" s="1">
        <v>45713</v>
      </c>
      <c r="I1498" s="1">
        <v>46082</v>
      </c>
      <c r="J1498" t="s">
        <v>45</v>
      </c>
      <c r="K1498" t="s">
        <v>45</v>
      </c>
      <c r="L1498" t="s">
        <v>429</v>
      </c>
      <c r="M1498" s="1">
        <v>44006</v>
      </c>
      <c r="N1498" t="s">
        <v>47</v>
      </c>
      <c r="O1498" t="s">
        <v>48</v>
      </c>
      <c r="P1498" t="s">
        <v>49</v>
      </c>
      <c r="Q1498" t="s">
        <v>10440</v>
      </c>
      <c r="R1498" t="s">
        <v>10441</v>
      </c>
      <c r="S1498">
        <v>2200</v>
      </c>
      <c r="T1498" t="s">
        <v>365</v>
      </c>
      <c r="U1498" t="s">
        <v>562</v>
      </c>
      <c r="V1498" t="s">
        <v>5248</v>
      </c>
      <c r="W1498" t="s">
        <v>367</v>
      </c>
      <c r="X1498" t="s">
        <v>493</v>
      </c>
      <c r="Y1498" t="s">
        <v>434</v>
      </c>
      <c r="Z1498">
        <v>107</v>
      </c>
      <c r="AA1498">
        <v>68</v>
      </c>
      <c r="AB1498">
        <v>28</v>
      </c>
      <c r="AC1498" t="s">
        <v>5683</v>
      </c>
      <c r="AD1498" t="s">
        <v>5250</v>
      </c>
      <c r="AE1498" t="s">
        <v>5251</v>
      </c>
      <c r="AF1498" t="s">
        <v>10442</v>
      </c>
      <c r="AG1498" t="s">
        <v>5685</v>
      </c>
      <c r="AH1498" t="s">
        <v>5686</v>
      </c>
      <c r="AI1498" t="s">
        <v>500</v>
      </c>
      <c r="AJ1498" s="2">
        <v>45719.882534722223</v>
      </c>
      <c r="AK1498" t="s">
        <v>501</v>
      </c>
      <c r="AL1498" t="s">
        <v>65</v>
      </c>
      <c r="AM1498" s="4">
        <v>0.375</v>
      </c>
      <c r="AN1498" t="s">
        <v>66</v>
      </c>
      <c r="AO1498" t="s">
        <v>67</v>
      </c>
    </row>
    <row r="1499" spans="1:41" x14ac:dyDescent="0.2">
      <c r="A1499">
        <v>369651</v>
      </c>
      <c r="B1499" t="s">
        <v>10443</v>
      </c>
      <c r="C1499" t="s">
        <v>309</v>
      </c>
      <c r="D1499" t="s">
        <v>309</v>
      </c>
      <c r="E1499" t="s">
        <v>10444</v>
      </c>
      <c r="F1499">
        <v>496030</v>
      </c>
      <c r="G1499" s="1">
        <v>39870</v>
      </c>
      <c r="H1499" s="1">
        <v>45736</v>
      </c>
      <c r="I1499" s="1">
        <v>45992</v>
      </c>
      <c r="J1499" t="s">
        <v>45</v>
      </c>
      <c r="K1499" t="s">
        <v>45</v>
      </c>
      <c r="L1499" t="s">
        <v>72</v>
      </c>
      <c r="N1499" t="s">
        <v>47</v>
      </c>
      <c r="O1499" t="s">
        <v>48</v>
      </c>
      <c r="P1499" t="s">
        <v>49</v>
      </c>
      <c r="Q1499" t="s">
        <v>10445</v>
      </c>
      <c r="R1499" t="s">
        <v>10446</v>
      </c>
      <c r="S1499">
        <v>1326</v>
      </c>
      <c r="T1499" t="s">
        <v>92</v>
      </c>
      <c r="U1499" t="s">
        <v>313</v>
      </c>
      <c r="V1499" t="s">
        <v>314</v>
      </c>
      <c r="W1499" t="s">
        <v>315</v>
      </c>
      <c r="X1499" t="s">
        <v>449</v>
      </c>
      <c r="Y1499" t="s">
        <v>110</v>
      </c>
      <c r="Z1499">
        <v>3062</v>
      </c>
      <c r="AA1499">
        <v>28</v>
      </c>
      <c r="AB1499">
        <v>80</v>
      </c>
      <c r="AC1499" t="s">
        <v>316</v>
      </c>
      <c r="AD1499" t="s">
        <v>317</v>
      </c>
      <c r="AE1499" t="s">
        <v>318</v>
      </c>
      <c r="AF1499" t="s">
        <v>10447</v>
      </c>
      <c r="AG1499" t="s">
        <v>10448</v>
      </c>
      <c r="AH1499" t="s">
        <v>10449</v>
      </c>
      <c r="AI1499" t="s">
        <v>10450</v>
      </c>
      <c r="AJ1499" s="2">
        <v>45747.985925925925</v>
      </c>
      <c r="AK1499" t="s">
        <v>316</v>
      </c>
      <c r="AL1499" t="s">
        <v>65</v>
      </c>
      <c r="AM1499" s="3">
        <v>1.4791666666666667</v>
      </c>
      <c r="AN1499" t="s">
        <v>66</v>
      </c>
      <c r="AO1499" t="s">
        <v>67</v>
      </c>
    </row>
    <row r="1500" spans="1:41" x14ac:dyDescent="0.2">
      <c r="A1500">
        <v>372599</v>
      </c>
      <c r="B1500" t="s">
        <v>10451</v>
      </c>
      <c r="C1500" t="s">
        <v>182</v>
      </c>
      <c r="D1500" t="s">
        <v>1628</v>
      </c>
      <c r="E1500" t="s">
        <v>10452</v>
      </c>
      <c r="F1500">
        <v>41411</v>
      </c>
      <c r="G1500" s="1">
        <v>34778</v>
      </c>
      <c r="H1500" s="1">
        <v>45770</v>
      </c>
      <c r="J1500" t="s">
        <v>45</v>
      </c>
      <c r="K1500" t="s">
        <v>72</v>
      </c>
      <c r="L1500" t="s">
        <v>72</v>
      </c>
      <c r="M1500" s="1">
        <v>38540</v>
      </c>
      <c r="N1500" t="s">
        <v>47</v>
      </c>
      <c r="O1500" t="s">
        <v>48</v>
      </c>
      <c r="P1500" t="s">
        <v>49</v>
      </c>
      <c r="Q1500" t="s">
        <v>10453</v>
      </c>
      <c r="R1500" t="s">
        <v>10454</v>
      </c>
      <c r="S1500">
        <v>2163</v>
      </c>
      <c r="T1500" t="s">
        <v>92</v>
      </c>
      <c r="U1500" t="s">
        <v>187</v>
      </c>
      <c r="V1500" t="s">
        <v>447</v>
      </c>
      <c r="W1500" t="s">
        <v>448</v>
      </c>
      <c r="X1500" t="s">
        <v>92</v>
      </c>
      <c r="Y1500" t="s">
        <v>450</v>
      </c>
      <c r="Z1500">
        <v>1244</v>
      </c>
      <c r="AA1500">
        <v>49</v>
      </c>
      <c r="AB1500">
        <v>144</v>
      </c>
      <c r="AC1500" t="s">
        <v>451</v>
      </c>
      <c r="AD1500" t="s">
        <v>452</v>
      </c>
      <c r="AE1500" t="s">
        <v>453</v>
      </c>
      <c r="AF1500" t="s">
        <v>454</v>
      </c>
      <c r="AG1500" t="s">
        <v>473</v>
      </c>
      <c r="AH1500" t="s">
        <v>474</v>
      </c>
      <c r="AJ1500" s="2">
        <v>45846.860231481478</v>
      </c>
      <c r="AK1500" t="s">
        <v>451</v>
      </c>
      <c r="AL1500" t="s">
        <v>475</v>
      </c>
      <c r="AM1500" s="3">
        <v>2.3888888888888888</v>
      </c>
      <c r="AN1500" t="s">
        <v>66</v>
      </c>
      <c r="AO1500" t="s">
        <v>67</v>
      </c>
    </row>
    <row r="1501" spans="1:41" x14ac:dyDescent="0.2">
      <c r="A1501">
        <v>369089</v>
      </c>
      <c r="B1501" t="s">
        <v>10455</v>
      </c>
      <c r="C1501" t="s">
        <v>583</v>
      </c>
      <c r="D1501" t="s">
        <v>10456</v>
      </c>
      <c r="E1501" t="s">
        <v>10457</v>
      </c>
      <c r="F1501">
        <v>154401</v>
      </c>
      <c r="G1501" s="1">
        <v>36126</v>
      </c>
      <c r="H1501" s="1">
        <v>45719</v>
      </c>
      <c r="I1501" s="1">
        <v>46096</v>
      </c>
      <c r="J1501" t="s">
        <v>45</v>
      </c>
      <c r="K1501" t="s">
        <v>45</v>
      </c>
      <c r="L1501" t="s">
        <v>4306</v>
      </c>
      <c r="M1501" s="1">
        <v>45020</v>
      </c>
      <c r="N1501" t="s">
        <v>47</v>
      </c>
      <c r="O1501" t="s">
        <v>48</v>
      </c>
      <c r="P1501" t="s">
        <v>49</v>
      </c>
      <c r="Q1501" t="s">
        <v>10458</v>
      </c>
      <c r="R1501" t="s">
        <v>10459</v>
      </c>
      <c r="S1501">
        <v>1300</v>
      </c>
      <c r="T1501" t="s">
        <v>52</v>
      </c>
      <c r="U1501">
        <v>8</v>
      </c>
      <c r="V1501" t="s">
        <v>10460</v>
      </c>
      <c r="W1501" t="s">
        <v>54</v>
      </c>
      <c r="X1501" t="s">
        <v>76</v>
      </c>
      <c r="Y1501" t="s">
        <v>56</v>
      </c>
      <c r="Z1501">
        <v>1517</v>
      </c>
      <c r="AA1501">
        <v>52</v>
      </c>
      <c r="AB1501">
        <v>37</v>
      </c>
      <c r="AC1501" t="s">
        <v>10461</v>
      </c>
      <c r="AD1501" t="s">
        <v>10462</v>
      </c>
      <c r="AE1501" t="s">
        <v>10463</v>
      </c>
      <c r="AF1501" t="s">
        <v>10464</v>
      </c>
      <c r="AG1501" t="s">
        <v>10465</v>
      </c>
      <c r="AH1501" t="s">
        <v>10466</v>
      </c>
      <c r="AI1501" t="s">
        <v>10467</v>
      </c>
      <c r="AJ1501" s="2">
        <v>45726.861203703702</v>
      </c>
      <c r="AK1501" t="s">
        <v>2517</v>
      </c>
      <c r="AL1501" t="s">
        <v>65</v>
      </c>
      <c r="AM1501" s="4">
        <v>0.75</v>
      </c>
      <c r="AN1501" t="s">
        <v>66</v>
      </c>
      <c r="AO1501" t="s">
        <v>101</v>
      </c>
    </row>
    <row r="1502" spans="1:41" x14ac:dyDescent="0.2">
      <c r="A1502">
        <v>370187</v>
      </c>
      <c r="B1502" t="s">
        <v>10468</v>
      </c>
      <c r="C1502" t="s">
        <v>735</v>
      </c>
      <c r="D1502" t="s">
        <v>1849</v>
      </c>
      <c r="E1502" t="s">
        <v>10469</v>
      </c>
      <c r="G1502" s="1">
        <v>45764</v>
      </c>
      <c r="H1502" s="1">
        <v>45644</v>
      </c>
      <c r="I1502" s="1">
        <v>46006</v>
      </c>
      <c r="J1502" t="s">
        <v>45</v>
      </c>
      <c r="K1502" t="s">
        <v>45</v>
      </c>
      <c r="L1502" t="s">
        <v>72</v>
      </c>
      <c r="N1502" t="s">
        <v>47</v>
      </c>
      <c r="O1502" t="s">
        <v>121</v>
      </c>
      <c r="P1502" t="s">
        <v>49</v>
      </c>
      <c r="Q1502" t="s">
        <v>10470</v>
      </c>
      <c r="R1502" t="s">
        <v>10471</v>
      </c>
      <c r="S1502">
        <v>3303</v>
      </c>
      <c r="T1502" t="s">
        <v>52</v>
      </c>
      <c r="U1502">
        <v>1</v>
      </c>
      <c r="V1502" t="s">
        <v>1853</v>
      </c>
      <c r="W1502" t="s">
        <v>54</v>
      </c>
      <c r="X1502" t="s">
        <v>52</v>
      </c>
      <c r="Y1502" t="s">
        <v>125</v>
      </c>
      <c r="Z1502">
        <v>6466</v>
      </c>
      <c r="AA1502">
        <v>75</v>
      </c>
      <c r="AB1502">
        <v>78</v>
      </c>
      <c r="AC1502" t="s">
        <v>10472</v>
      </c>
      <c r="AD1502" t="s">
        <v>10473</v>
      </c>
      <c r="AE1502" t="s">
        <v>10474</v>
      </c>
      <c r="AF1502" t="s">
        <v>1854</v>
      </c>
      <c r="AG1502" t="s">
        <v>1855</v>
      </c>
      <c r="AH1502" t="s">
        <v>1856</v>
      </c>
      <c r="AI1502" t="s">
        <v>1855</v>
      </c>
      <c r="AJ1502" s="2">
        <v>45764.777627314812</v>
      </c>
      <c r="AK1502" t="s">
        <v>800</v>
      </c>
      <c r="AL1502" t="s">
        <v>65</v>
      </c>
      <c r="AM1502" s="4">
        <v>0.59722222222222221</v>
      </c>
      <c r="AN1502" t="s">
        <v>66</v>
      </c>
      <c r="AO1502" t="s">
        <v>67</v>
      </c>
    </row>
    <row r="1503" spans="1:41" x14ac:dyDescent="0.2">
      <c r="A1503">
        <v>367170</v>
      </c>
      <c r="B1503" t="s">
        <v>10475</v>
      </c>
      <c r="C1503" t="s">
        <v>134</v>
      </c>
      <c r="D1503" t="s">
        <v>4891</v>
      </c>
      <c r="E1503" t="s">
        <v>10476</v>
      </c>
      <c r="F1503">
        <v>451105</v>
      </c>
      <c r="G1503" s="1">
        <v>34806</v>
      </c>
      <c r="H1503" s="1">
        <v>45588</v>
      </c>
      <c r="I1503" s="1">
        <v>45962</v>
      </c>
      <c r="J1503" t="s">
        <v>45</v>
      </c>
      <c r="K1503" t="s">
        <v>45</v>
      </c>
      <c r="L1503" t="s">
        <v>72</v>
      </c>
      <c r="M1503" s="1">
        <v>45588</v>
      </c>
      <c r="N1503" t="s">
        <v>47</v>
      </c>
      <c r="O1503" t="s">
        <v>48</v>
      </c>
      <c r="P1503" t="s">
        <v>49</v>
      </c>
      <c r="Q1503" t="s">
        <v>10477</v>
      </c>
      <c r="R1503" t="s">
        <v>10478</v>
      </c>
      <c r="S1503">
        <v>2100</v>
      </c>
      <c r="T1503" t="s">
        <v>92</v>
      </c>
      <c r="U1503" t="s">
        <v>139</v>
      </c>
      <c r="V1503" t="s">
        <v>140</v>
      </c>
      <c r="W1503" t="s">
        <v>141</v>
      </c>
      <c r="X1503" t="s">
        <v>92</v>
      </c>
      <c r="Y1503" t="s">
        <v>110</v>
      </c>
      <c r="Z1503">
        <v>394</v>
      </c>
      <c r="AA1503">
        <v>54</v>
      </c>
      <c r="AB1503">
        <v>174</v>
      </c>
      <c r="AC1503" t="s">
        <v>142</v>
      </c>
      <c r="AD1503" t="s">
        <v>143</v>
      </c>
      <c r="AE1503" t="s">
        <v>144</v>
      </c>
      <c r="AF1503" t="s">
        <v>145</v>
      </c>
      <c r="AG1503" t="s">
        <v>146</v>
      </c>
      <c r="AH1503" t="s">
        <v>147</v>
      </c>
      <c r="AI1503" t="s">
        <v>148</v>
      </c>
      <c r="AJ1503" s="2">
        <v>45664.703680555554</v>
      </c>
      <c r="AK1503" t="s">
        <v>149</v>
      </c>
      <c r="AL1503" t="s">
        <v>65</v>
      </c>
      <c r="AM1503" s="4">
        <v>0.46527777777777779</v>
      </c>
      <c r="AN1503" t="s">
        <v>66</v>
      </c>
      <c r="AO1503" t="s">
        <v>67</v>
      </c>
    </row>
    <row r="1504" spans="1:41" x14ac:dyDescent="0.2">
      <c r="A1504">
        <v>371744</v>
      </c>
      <c r="B1504" t="s">
        <v>10479</v>
      </c>
      <c r="C1504" t="s">
        <v>323</v>
      </c>
      <c r="E1504" t="s">
        <v>10480</v>
      </c>
      <c r="F1504">
        <v>500319</v>
      </c>
      <c r="G1504" s="1">
        <v>33066</v>
      </c>
      <c r="H1504" s="1">
        <v>45797</v>
      </c>
      <c r="I1504" s="1">
        <v>46037</v>
      </c>
      <c r="J1504" t="s">
        <v>45</v>
      </c>
      <c r="K1504" t="s">
        <v>45</v>
      </c>
      <c r="L1504" t="s">
        <v>72</v>
      </c>
      <c r="M1504" s="1">
        <v>45060</v>
      </c>
      <c r="N1504" t="s">
        <v>47</v>
      </c>
      <c r="O1504" t="s">
        <v>48</v>
      </c>
      <c r="P1504" t="s">
        <v>49</v>
      </c>
      <c r="Q1504" t="s">
        <v>10481</v>
      </c>
      <c r="R1504" t="s">
        <v>10482</v>
      </c>
      <c r="S1504">
        <v>1264</v>
      </c>
      <c r="T1504" t="s">
        <v>156</v>
      </c>
      <c r="U1504" t="s">
        <v>460</v>
      </c>
      <c r="V1504" t="s">
        <v>330</v>
      </c>
      <c r="W1504" t="s">
        <v>159</v>
      </c>
      <c r="X1504" t="s">
        <v>76</v>
      </c>
      <c r="Y1504" t="s">
        <v>110</v>
      </c>
      <c r="Z1504">
        <v>471</v>
      </c>
      <c r="AA1504">
        <v>40</v>
      </c>
      <c r="AB1504">
        <v>158</v>
      </c>
      <c r="AC1504" t="s">
        <v>368</v>
      </c>
      <c r="AD1504" t="s">
        <v>369</v>
      </c>
      <c r="AE1504" t="s">
        <v>370</v>
      </c>
      <c r="AF1504" t="s">
        <v>463</v>
      </c>
      <c r="AG1504" t="s">
        <v>464</v>
      </c>
      <c r="AI1504" t="s">
        <v>466</v>
      </c>
      <c r="AJ1504" s="2">
        <v>45818.823587962965</v>
      </c>
      <c r="AK1504" t="s">
        <v>727</v>
      </c>
      <c r="AL1504" t="s">
        <v>65</v>
      </c>
      <c r="AM1504" s="4">
        <v>0.78472222222222221</v>
      </c>
      <c r="AN1504" t="s">
        <v>66</v>
      </c>
      <c r="AO1504" t="s">
        <v>67</v>
      </c>
    </row>
    <row r="1505" spans="1:41" x14ac:dyDescent="0.2">
      <c r="A1505">
        <v>371739</v>
      </c>
      <c r="B1505" t="s">
        <v>10483</v>
      </c>
      <c r="C1505" t="s">
        <v>134</v>
      </c>
      <c r="D1505" t="s">
        <v>214</v>
      </c>
      <c r="E1505" t="s">
        <v>10484</v>
      </c>
      <c r="F1505">
        <v>452040</v>
      </c>
      <c r="G1505" s="1">
        <v>34017</v>
      </c>
      <c r="H1505" s="1">
        <v>45812</v>
      </c>
      <c r="I1505" s="1">
        <v>46174</v>
      </c>
      <c r="J1505" t="s">
        <v>45</v>
      </c>
      <c r="K1505" t="s">
        <v>45</v>
      </c>
      <c r="L1505" t="s">
        <v>429</v>
      </c>
      <c r="M1505" s="1">
        <v>39295</v>
      </c>
      <c r="N1505" t="s">
        <v>47</v>
      </c>
      <c r="O1505" t="s">
        <v>48</v>
      </c>
      <c r="P1505" t="s">
        <v>49</v>
      </c>
      <c r="Q1505" t="s">
        <v>10485</v>
      </c>
      <c r="R1505" t="s">
        <v>10486</v>
      </c>
      <c r="S1505">
        <v>2720</v>
      </c>
      <c r="T1505" t="s">
        <v>296</v>
      </c>
      <c r="U1505" t="s">
        <v>2267</v>
      </c>
      <c r="V1505" t="s">
        <v>8036</v>
      </c>
      <c r="W1505" t="s">
        <v>299</v>
      </c>
      <c r="X1505" t="s">
        <v>76</v>
      </c>
      <c r="Y1505" t="s">
        <v>56</v>
      </c>
      <c r="Z1505">
        <v>22</v>
      </c>
      <c r="AA1505">
        <v>73</v>
      </c>
      <c r="AB1505">
        <v>160</v>
      </c>
      <c r="AC1505" t="s">
        <v>8037</v>
      </c>
      <c r="AD1505" t="s">
        <v>8038</v>
      </c>
      <c r="AE1505" t="s">
        <v>8039</v>
      </c>
      <c r="AF1505" t="s">
        <v>8040</v>
      </c>
      <c r="AG1505" t="s">
        <v>8041</v>
      </c>
      <c r="AH1505" t="s">
        <v>8042</v>
      </c>
      <c r="AI1505" t="s">
        <v>2274</v>
      </c>
      <c r="AJ1505" s="2">
        <v>45818.800023148149</v>
      </c>
      <c r="AK1505" t="s">
        <v>717</v>
      </c>
      <c r="AL1505" t="s">
        <v>65</v>
      </c>
      <c r="AM1505" s="4">
        <v>0.36805555555555558</v>
      </c>
      <c r="AN1505" t="s">
        <v>66</v>
      </c>
      <c r="AO1505" t="s">
        <v>67</v>
      </c>
    </row>
    <row r="1506" spans="1:41" x14ac:dyDescent="0.2">
      <c r="A1506">
        <v>369180</v>
      </c>
      <c r="B1506" t="s">
        <v>10487</v>
      </c>
      <c r="C1506" t="s">
        <v>662</v>
      </c>
      <c r="D1506" t="s">
        <v>10488</v>
      </c>
      <c r="E1506" t="s">
        <v>10489</v>
      </c>
      <c r="G1506" s="1">
        <v>45720</v>
      </c>
      <c r="H1506" s="1">
        <v>45720</v>
      </c>
      <c r="I1506" s="1">
        <v>46068</v>
      </c>
      <c r="J1506" t="s">
        <v>45</v>
      </c>
      <c r="K1506" t="s">
        <v>45</v>
      </c>
      <c r="L1506" t="s">
        <v>46</v>
      </c>
      <c r="N1506" t="s">
        <v>47</v>
      </c>
      <c r="O1506" t="s">
        <v>48</v>
      </c>
      <c r="P1506" t="s">
        <v>49</v>
      </c>
      <c r="Q1506" t="s">
        <v>10490</v>
      </c>
      <c r="R1506" t="s">
        <v>10491</v>
      </c>
      <c r="S1506">
        <v>4297</v>
      </c>
      <c r="T1506" t="s">
        <v>52</v>
      </c>
      <c r="U1506">
        <v>3</v>
      </c>
      <c r="V1506" t="s">
        <v>53</v>
      </c>
      <c r="W1506" t="s">
        <v>54</v>
      </c>
      <c r="X1506" t="s">
        <v>55</v>
      </c>
      <c r="Y1506" t="s">
        <v>56</v>
      </c>
      <c r="Z1506">
        <v>12240</v>
      </c>
      <c r="AA1506">
        <v>10</v>
      </c>
      <c r="AB1506">
        <v>44</v>
      </c>
      <c r="AC1506" t="s">
        <v>57</v>
      </c>
      <c r="AD1506" t="s">
        <v>58</v>
      </c>
      <c r="AE1506" t="s">
        <v>59</v>
      </c>
      <c r="AF1506" t="s">
        <v>10492</v>
      </c>
      <c r="AG1506" t="s">
        <v>10493</v>
      </c>
      <c r="AH1506" t="s">
        <v>10494</v>
      </c>
      <c r="AI1506" t="s">
        <v>63</v>
      </c>
      <c r="AJ1506" s="2">
        <v>45728.766111111108</v>
      </c>
      <c r="AK1506" t="s">
        <v>64</v>
      </c>
      <c r="AL1506" t="s">
        <v>65</v>
      </c>
      <c r="AM1506" s="3">
        <v>1.5868055555555556</v>
      </c>
      <c r="AN1506" t="s">
        <v>66</v>
      </c>
      <c r="AO1506" t="s">
        <v>67</v>
      </c>
    </row>
    <row r="1507" spans="1:41" x14ac:dyDescent="0.2">
      <c r="A1507">
        <v>364168</v>
      </c>
      <c r="B1507" t="s">
        <v>10495</v>
      </c>
      <c r="C1507" t="s">
        <v>69</v>
      </c>
      <c r="D1507" t="s">
        <v>7205</v>
      </c>
      <c r="E1507" t="s">
        <v>10496</v>
      </c>
      <c r="F1507">
        <v>101315</v>
      </c>
      <c r="G1507" s="1">
        <v>33077</v>
      </c>
      <c r="H1507" s="1">
        <v>45531</v>
      </c>
      <c r="I1507" s="1">
        <v>46249</v>
      </c>
      <c r="J1507" t="s">
        <v>45</v>
      </c>
      <c r="K1507" t="s">
        <v>45</v>
      </c>
      <c r="L1507" t="s">
        <v>429</v>
      </c>
      <c r="M1507" s="1">
        <v>42082</v>
      </c>
      <c r="N1507" t="s">
        <v>47</v>
      </c>
      <c r="O1507" t="s">
        <v>48</v>
      </c>
      <c r="P1507" t="s">
        <v>49</v>
      </c>
      <c r="Q1507" t="s">
        <v>10497</v>
      </c>
      <c r="R1507" t="s">
        <v>10498</v>
      </c>
      <c r="S1507">
        <v>5200</v>
      </c>
      <c r="T1507" t="s">
        <v>365</v>
      </c>
      <c r="U1507" t="s">
        <v>532</v>
      </c>
      <c r="V1507" t="s">
        <v>10499</v>
      </c>
      <c r="W1507" t="s">
        <v>367</v>
      </c>
      <c r="X1507" t="s">
        <v>76</v>
      </c>
      <c r="Y1507" t="s">
        <v>434</v>
      </c>
      <c r="Z1507">
        <v>179</v>
      </c>
      <c r="AA1507">
        <v>60</v>
      </c>
      <c r="AB1507">
        <v>138</v>
      </c>
      <c r="AC1507" t="s">
        <v>10500</v>
      </c>
      <c r="AD1507" t="s">
        <v>10501</v>
      </c>
      <c r="AE1507" t="s">
        <v>10502</v>
      </c>
      <c r="AF1507" t="s">
        <v>10503</v>
      </c>
      <c r="AG1507" t="s">
        <v>10504</v>
      </c>
      <c r="AH1507" t="s">
        <v>10505</v>
      </c>
      <c r="AI1507" t="s">
        <v>10506</v>
      </c>
      <c r="AJ1507" s="2">
        <v>45534.672951388886</v>
      </c>
      <c r="AK1507" t="s">
        <v>2517</v>
      </c>
      <c r="AL1507" t="s">
        <v>65</v>
      </c>
      <c r="AM1507" s="3">
        <v>2.1527777777777777</v>
      </c>
      <c r="AN1507" t="s">
        <v>66</v>
      </c>
      <c r="AO1507" t="s">
        <v>67</v>
      </c>
    </row>
    <row r="1508" spans="1:41" x14ac:dyDescent="0.2">
      <c r="A1508">
        <v>353380</v>
      </c>
      <c r="B1508" t="s">
        <v>10507</v>
      </c>
      <c r="C1508" t="s">
        <v>182</v>
      </c>
      <c r="D1508" t="s">
        <v>2901</v>
      </c>
      <c r="E1508" t="s">
        <v>10508</v>
      </c>
      <c r="F1508">
        <v>49936</v>
      </c>
      <c r="G1508" s="1">
        <v>44388</v>
      </c>
      <c r="H1508" s="1">
        <v>45201</v>
      </c>
      <c r="J1508" t="s">
        <v>45</v>
      </c>
      <c r="K1508" t="s">
        <v>45</v>
      </c>
      <c r="L1508" t="s">
        <v>72</v>
      </c>
      <c r="N1508" t="s">
        <v>47</v>
      </c>
      <c r="O1508" t="s">
        <v>121</v>
      </c>
      <c r="P1508" t="s">
        <v>49</v>
      </c>
      <c r="Q1508" t="s">
        <v>10509</v>
      </c>
      <c r="R1508" t="s">
        <v>10510</v>
      </c>
      <c r="S1508">
        <v>2495</v>
      </c>
      <c r="T1508" t="s">
        <v>92</v>
      </c>
      <c r="U1508" t="s">
        <v>187</v>
      </c>
      <c r="V1508" t="s">
        <v>8218</v>
      </c>
      <c r="W1508" t="s">
        <v>448</v>
      </c>
      <c r="X1508" t="s">
        <v>92</v>
      </c>
      <c r="Y1508" t="s">
        <v>770</v>
      </c>
      <c r="Z1508">
        <v>2857</v>
      </c>
      <c r="AA1508">
        <v>28</v>
      </c>
      <c r="AB1508">
        <v>144</v>
      </c>
      <c r="AC1508" t="s">
        <v>8219</v>
      </c>
      <c r="AD1508" t="s">
        <v>8220</v>
      </c>
      <c r="AE1508" t="s">
        <v>8221</v>
      </c>
      <c r="AJ1508" s="2">
        <v>45203.773958333331</v>
      </c>
      <c r="AK1508" t="s">
        <v>526</v>
      </c>
      <c r="AL1508" t="s">
        <v>65</v>
      </c>
      <c r="AM1508" s="3">
        <v>2.2361111111111112</v>
      </c>
      <c r="AN1508" t="s">
        <v>66</v>
      </c>
      <c r="AO1508" t="s">
        <v>67</v>
      </c>
    </row>
    <row r="1509" spans="1:41" x14ac:dyDescent="0.2">
      <c r="A1509">
        <v>353381</v>
      </c>
      <c r="B1509" t="s">
        <v>10511</v>
      </c>
      <c r="C1509" t="s">
        <v>182</v>
      </c>
      <c r="D1509" t="s">
        <v>2901</v>
      </c>
      <c r="E1509" t="s">
        <v>10512</v>
      </c>
      <c r="F1509">
        <v>49937</v>
      </c>
      <c r="G1509" s="1">
        <v>39036</v>
      </c>
      <c r="H1509" s="1">
        <v>45201</v>
      </c>
      <c r="J1509" t="s">
        <v>45</v>
      </c>
      <c r="K1509" t="s">
        <v>45</v>
      </c>
      <c r="L1509" t="s">
        <v>72</v>
      </c>
      <c r="N1509" t="s">
        <v>47</v>
      </c>
      <c r="O1509" t="s">
        <v>121</v>
      </c>
      <c r="P1509" t="s">
        <v>49</v>
      </c>
      <c r="Q1509" t="s">
        <v>10513</v>
      </c>
      <c r="R1509" t="s">
        <v>10514</v>
      </c>
      <c r="S1509">
        <v>5672</v>
      </c>
      <c r="T1509" t="s">
        <v>92</v>
      </c>
      <c r="U1509" t="s">
        <v>187</v>
      </c>
      <c r="V1509" t="s">
        <v>8218</v>
      </c>
      <c r="W1509" t="s">
        <v>448</v>
      </c>
      <c r="X1509" t="s">
        <v>92</v>
      </c>
      <c r="Y1509" t="s">
        <v>770</v>
      </c>
      <c r="Z1509">
        <v>2856</v>
      </c>
      <c r="AA1509">
        <v>25</v>
      </c>
      <c r="AB1509">
        <v>144</v>
      </c>
      <c r="AC1509" t="s">
        <v>10515</v>
      </c>
      <c r="AD1509" t="s">
        <v>8220</v>
      </c>
      <c r="AE1509" t="s">
        <v>8221</v>
      </c>
      <c r="AJ1509" s="2">
        <v>45203.774652777778</v>
      </c>
      <c r="AK1509" t="s">
        <v>526</v>
      </c>
      <c r="AL1509" t="s">
        <v>65</v>
      </c>
      <c r="AM1509" s="3">
        <v>2.2291666666666665</v>
      </c>
      <c r="AN1509" t="s">
        <v>66</v>
      </c>
      <c r="AO1509" t="s">
        <v>67</v>
      </c>
    </row>
    <row r="1510" spans="1:41" x14ac:dyDescent="0.2">
      <c r="A1510">
        <v>353382</v>
      </c>
      <c r="B1510" t="s">
        <v>10516</v>
      </c>
      <c r="C1510" t="s">
        <v>182</v>
      </c>
      <c r="D1510" t="s">
        <v>2901</v>
      </c>
      <c r="E1510" t="s">
        <v>10517</v>
      </c>
      <c r="F1510">
        <v>49938</v>
      </c>
      <c r="G1510" s="1">
        <v>45083</v>
      </c>
      <c r="H1510" s="1">
        <v>45202</v>
      </c>
      <c r="J1510" t="s">
        <v>45</v>
      </c>
      <c r="K1510" t="s">
        <v>45</v>
      </c>
      <c r="L1510" t="s">
        <v>72</v>
      </c>
      <c r="N1510" t="s">
        <v>47</v>
      </c>
      <c r="O1510" t="s">
        <v>121</v>
      </c>
      <c r="P1510" t="s">
        <v>49</v>
      </c>
      <c r="Q1510" t="s">
        <v>10518</v>
      </c>
      <c r="R1510" t="s">
        <v>10519</v>
      </c>
      <c r="S1510">
        <v>2064</v>
      </c>
      <c r="T1510" t="s">
        <v>92</v>
      </c>
      <c r="U1510" t="s">
        <v>187</v>
      </c>
      <c r="V1510" t="s">
        <v>8218</v>
      </c>
      <c r="W1510" t="s">
        <v>448</v>
      </c>
      <c r="X1510" t="s">
        <v>92</v>
      </c>
      <c r="Y1510" t="s">
        <v>770</v>
      </c>
      <c r="Z1510">
        <v>2895</v>
      </c>
      <c r="AA1510">
        <v>26</v>
      </c>
      <c r="AB1510">
        <v>166</v>
      </c>
      <c r="AC1510" t="s">
        <v>10515</v>
      </c>
      <c r="AD1510" t="s">
        <v>8220</v>
      </c>
      <c r="AE1510" t="s">
        <v>8221</v>
      </c>
      <c r="AJ1510" s="2">
        <v>45203.775324074071</v>
      </c>
      <c r="AK1510" t="s">
        <v>526</v>
      </c>
      <c r="AL1510" t="s">
        <v>65</v>
      </c>
      <c r="AM1510" s="4">
        <v>0.76388888888888884</v>
      </c>
      <c r="AN1510" t="s">
        <v>66</v>
      </c>
      <c r="AO1510" t="s">
        <v>67</v>
      </c>
    </row>
    <row r="1511" spans="1:41" x14ac:dyDescent="0.2">
      <c r="A1511">
        <v>366101</v>
      </c>
      <c r="B1511" t="s">
        <v>10520</v>
      </c>
      <c r="C1511" t="s">
        <v>735</v>
      </c>
      <c r="D1511" t="s">
        <v>1849</v>
      </c>
      <c r="E1511" t="s">
        <v>10521</v>
      </c>
      <c r="G1511" s="1">
        <v>45503</v>
      </c>
      <c r="H1511" s="1">
        <v>45447</v>
      </c>
      <c r="I1511" s="1">
        <v>46157</v>
      </c>
      <c r="J1511" t="s">
        <v>45</v>
      </c>
      <c r="K1511" t="s">
        <v>45</v>
      </c>
      <c r="L1511" t="s">
        <v>72</v>
      </c>
      <c r="M1511" s="1">
        <v>44000</v>
      </c>
      <c r="N1511" t="s">
        <v>89</v>
      </c>
      <c r="O1511" t="s">
        <v>121</v>
      </c>
      <c r="P1511" t="s">
        <v>49</v>
      </c>
      <c r="Q1511" t="s">
        <v>10522</v>
      </c>
      <c r="R1511" t="s">
        <v>10523</v>
      </c>
      <c r="S1511">
        <v>4539</v>
      </c>
      <c r="T1511" t="s">
        <v>52</v>
      </c>
      <c r="U1511">
        <v>1</v>
      </c>
      <c r="V1511" t="s">
        <v>1853</v>
      </c>
      <c r="W1511" t="s">
        <v>54</v>
      </c>
      <c r="X1511" t="s">
        <v>52</v>
      </c>
      <c r="Y1511" t="s">
        <v>125</v>
      </c>
      <c r="Z1511">
        <v>9246</v>
      </c>
      <c r="AA1511">
        <v>37</v>
      </c>
      <c r="AB1511">
        <v>28</v>
      </c>
      <c r="AC1511" t="s">
        <v>3865</v>
      </c>
      <c r="AD1511" t="s">
        <v>3866</v>
      </c>
      <c r="AE1511" t="s">
        <v>3876</v>
      </c>
      <c r="AF1511" t="s">
        <v>10524</v>
      </c>
      <c r="AG1511" t="s">
        <v>10525</v>
      </c>
      <c r="AH1511" t="s">
        <v>10392</v>
      </c>
      <c r="AI1511" t="s">
        <v>10526</v>
      </c>
      <c r="AJ1511" s="2">
        <v>45603.738680555558</v>
      </c>
      <c r="AK1511" t="s">
        <v>100</v>
      </c>
      <c r="AL1511" t="s">
        <v>65</v>
      </c>
      <c r="AM1511" s="4">
        <v>0.86805555555555558</v>
      </c>
      <c r="AN1511" t="s">
        <v>66</v>
      </c>
      <c r="AO1511" t="s">
        <v>67</v>
      </c>
    </row>
    <row r="1512" spans="1:41" x14ac:dyDescent="0.2">
      <c r="A1512">
        <v>372142</v>
      </c>
      <c r="B1512" t="s">
        <v>10527</v>
      </c>
      <c r="C1512" t="s">
        <v>309</v>
      </c>
      <c r="D1512" t="s">
        <v>6367</v>
      </c>
      <c r="E1512">
        <v>48710720</v>
      </c>
      <c r="F1512">
        <v>492019</v>
      </c>
      <c r="G1512" s="1">
        <v>40021</v>
      </c>
      <c r="H1512" s="1">
        <v>45828</v>
      </c>
      <c r="I1512" s="1">
        <v>46096</v>
      </c>
      <c r="J1512" t="s">
        <v>45</v>
      </c>
      <c r="K1512" t="s">
        <v>45</v>
      </c>
      <c r="L1512" t="s">
        <v>72</v>
      </c>
      <c r="M1512" s="1">
        <v>45582</v>
      </c>
      <c r="N1512" t="s">
        <v>47</v>
      </c>
      <c r="O1512" t="s">
        <v>48</v>
      </c>
      <c r="P1512" t="s">
        <v>49</v>
      </c>
      <c r="Q1512" t="s">
        <v>10528</v>
      </c>
      <c r="R1512" t="s">
        <v>10529</v>
      </c>
      <c r="S1512">
        <v>947</v>
      </c>
      <c r="T1512" t="s">
        <v>92</v>
      </c>
      <c r="U1512" t="s">
        <v>313</v>
      </c>
      <c r="V1512" t="s">
        <v>314</v>
      </c>
      <c r="W1512" t="s">
        <v>315</v>
      </c>
      <c r="X1512" t="s">
        <v>52</v>
      </c>
      <c r="Y1512" t="s">
        <v>110</v>
      </c>
      <c r="Z1512">
        <v>4186</v>
      </c>
      <c r="AA1512">
        <v>35</v>
      </c>
      <c r="AB1512">
        <v>80</v>
      </c>
      <c r="AC1512" t="s">
        <v>316</v>
      </c>
      <c r="AD1512" t="s">
        <v>317</v>
      </c>
      <c r="AE1512" t="s">
        <v>10530</v>
      </c>
      <c r="AF1512" t="s">
        <v>10029</v>
      </c>
      <c r="AG1512" t="s">
        <v>10030</v>
      </c>
      <c r="AH1512" t="s">
        <v>10031</v>
      </c>
      <c r="AI1512" t="s">
        <v>317</v>
      </c>
      <c r="AJ1512" s="2">
        <v>45832.12667824074</v>
      </c>
      <c r="AK1512" t="s">
        <v>316</v>
      </c>
      <c r="AL1512" t="s">
        <v>65</v>
      </c>
      <c r="AM1512" s="3">
        <v>1.5138888888888888</v>
      </c>
      <c r="AN1512" t="s">
        <v>66</v>
      </c>
      <c r="AO1512" t="s">
        <v>67</v>
      </c>
    </row>
    <row r="1513" spans="1:41" x14ac:dyDescent="0.2">
      <c r="A1513">
        <v>371533</v>
      </c>
      <c r="B1513" t="s">
        <v>10531</v>
      </c>
      <c r="C1513" t="s">
        <v>323</v>
      </c>
      <c r="E1513" t="s">
        <v>10532</v>
      </c>
      <c r="G1513" s="1">
        <v>41838</v>
      </c>
      <c r="H1513" s="1">
        <v>45807</v>
      </c>
      <c r="J1513" t="s">
        <v>72</v>
      </c>
      <c r="K1513" t="s">
        <v>326</v>
      </c>
      <c r="L1513" t="s">
        <v>72</v>
      </c>
      <c r="N1513" t="s">
        <v>47</v>
      </c>
      <c r="O1513" t="s">
        <v>48</v>
      </c>
      <c r="P1513" t="s">
        <v>586</v>
      </c>
      <c r="Q1513" t="s">
        <v>10533</v>
      </c>
      <c r="R1513" t="s">
        <v>10534</v>
      </c>
      <c r="S1513">
        <v>1020</v>
      </c>
      <c r="T1513" t="s">
        <v>257</v>
      </c>
      <c r="U1513" t="s">
        <v>329</v>
      </c>
      <c r="V1513" t="s">
        <v>1163</v>
      </c>
      <c r="W1513" t="s">
        <v>3303</v>
      </c>
      <c r="Y1513" t="s">
        <v>642</v>
      </c>
      <c r="Z1513">
        <v>7146</v>
      </c>
      <c r="AA1513">
        <v>14</v>
      </c>
      <c r="AB1513">
        <v>108</v>
      </c>
      <c r="AC1513" t="s">
        <v>1164</v>
      </c>
      <c r="AD1513" t="s">
        <v>1165</v>
      </c>
      <c r="AE1513" t="s">
        <v>1166</v>
      </c>
      <c r="AF1513" t="s">
        <v>6277</v>
      </c>
      <c r="AG1513" t="s">
        <v>4984</v>
      </c>
      <c r="AH1513" t="s">
        <v>1166</v>
      </c>
      <c r="AJ1513" s="2">
        <v>45814.619733796295</v>
      </c>
      <c r="AK1513" t="s">
        <v>1167</v>
      </c>
      <c r="AL1513" t="s">
        <v>1168</v>
      </c>
      <c r="AM1513" s="4">
        <v>0.97222222222222221</v>
      </c>
      <c r="AN1513" t="s">
        <v>66</v>
      </c>
      <c r="AO1513" t="s">
        <v>67</v>
      </c>
    </row>
    <row r="1514" spans="1:41" x14ac:dyDescent="0.2">
      <c r="A1514">
        <v>365831</v>
      </c>
      <c r="B1514" t="s">
        <v>10535</v>
      </c>
      <c r="C1514" t="s">
        <v>309</v>
      </c>
      <c r="D1514" t="s">
        <v>8509</v>
      </c>
      <c r="E1514" t="s">
        <v>10536</v>
      </c>
      <c r="F1514">
        <v>498012</v>
      </c>
      <c r="G1514" s="1">
        <v>40743</v>
      </c>
      <c r="H1514" s="1">
        <v>45588</v>
      </c>
      <c r="I1514" s="1">
        <v>46204</v>
      </c>
      <c r="J1514" t="s">
        <v>45</v>
      </c>
      <c r="K1514" t="s">
        <v>326</v>
      </c>
      <c r="L1514" t="s">
        <v>72</v>
      </c>
      <c r="N1514" t="s">
        <v>47</v>
      </c>
      <c r="O1514" t="s">
        <v>48</v>
      </c>
      <c r="P1514" t="s">
        <v>49</v>
      </c>
      <c r="Q1514" t="s">
        <v>10537</v>
      </c>
      <c r="R1514" t="s">
        <v>10538</v>
      </c>
      <c r="S1514">
        <v>6620</v>
      </c>
      <c r="T1514" t="s">
        <v>92</v>
      </c>
      <c r="U1514" t="s">
        <v>313</v>
      </c>
      <c r="V1514" t="s">
        <v>314</v>
      </c>
      <c r="W1514" t="s">
        <v>315</v>
      </c>
      <c r="X1514" t="s">
        <v>92</v>
      </c>
      <c r="Y1514" t="s">
        <v>110</v>
      </c>
      <c r="Z1514">
        <v>4727</v>
      </c>
      <c r="AA1514">
        <v>28</v>
      </c>
      <c r="AB1514">
        <v>210</v>
      </c>
      <c r="AC1514" t="s">
        <v>316</v>
      </c>
      <c r="AD1514" t="s">
        <v>317</v>
      </c>
      <c r="AE1514" t="s">
        <v>318</v>
      </c>
      <c r="AI1514" t="s">
        <v>317</v>
      </c>
      <c r="AJ1514" s="2">
        <v>45594.01457175926</v>
      </c>
      <c r="AK1514" t="s">
        <v>316</v>
      </c>
      <c r="AL1514" t="s">
        <v>65</v>
      </c>
      <c r="AM1514" s="3">
        <v>2.0069444444444446</v>
      </c>
      <c r="AN1514" t="s">
        <v>66</v>
      </c>
      <c r="AO1514" t="s">
        <v>67</v>
      </c>
    </row>
    <row r="1515" spans="1:41" x14ac:dyDescent="0.2">
      <c r="A1515">
        <v>372958</v>
      </c>
      <c r="B1515" t="s">
        <v>10539</v>
      </c>
      <c r="C1515" t="s">
        <v>583</v>
      </c>
      <c r="D1515" t="s">
        <v>7337</v>
      </c>
      <c r="E1515" t="s">
        <v>10540</v>
      </c>
      <c r="F1515">
        <v>159901</v>
      </c>
      <c r="G1515" s="1">
        <v>36800</v>
      </c>
      <c r="H1515" s="1">
        <v>45728</v>
      </c>
      <c r="I1515" s="1">
        <v>46096</v>
      </c>
      <c r="J1515" t="s">
        <v>45</v>
      </c>
      <c r="K1515" t="s">
        <v>45</v>
      </c>
      <c r="L1515" t="s">
        <v>46</v>
      </c>
      <c r="M1515" s="1">
        <v>45182</v>
      </c>
      <c r="N1515" t="s">
        <v>47</v>
      </c>
      <c r="O1515" t="s">
        <v>48</v>
      </c>
      <c r="P1515" t="s">
        <v>49</v>
      </c>
      <c r="Q1515" t="s">
        <v>10541</v>
      </c>
      <c r="R1515" t="s">
        <v>10542</v>
      </c>
      <c r="S1515">
        <v>649</v>
      </c>
      <c r="T1515" t="s">
        <v>52</v>
      </c>
      <c r="U1515">
        <v>8</v>
      </c>
      <c r="V1515" t="s">
        <v>10543</v>
      </c>
      <c r="W1515" t="s">
        <v>54</v>
      </c>
      <c r="X1515" t="s">
        <v>76</v>
      </c>
      <c r="Y1515" t="s">
        <v>56</v>
      </c>
      <c r="Z1515">
        <v>1620</v>
      </c>
      <c r="AA1515">
        <v>54</v>
      </c>
      <c r="AB1515">
        <v>15</v>
      </c>
      <c r="AC1515" t="s">
        <v>10544</v>
      </c>
      <c r="AD1515" t="s">
        <v>10545</v>
      </c>
      <c r="AE1515" t="s">
        <v>10546</v>
      </c>
      <c r="AF1515" t="s">
        <v>10547</v>
      </c>
      <c r="AG1515" t="s">
        <v>10548</v>
      </c>
      <c r="AH1515" t="s">
        <v>10549</v>
      </c>
      <c r="AI1515" t="s">
        <v>10550</v>
      </c>
      <c r="AJ1515" s="2">
        <v>45855.956111111111</v>
      </c>
      <c r="AK1515" t="s">
        <v>556</v>
      </c>
      <c r="AL1515" t="s">
        <v>65</v>
      </c>
      <c r="AM1515" s="4">
        <v>0.24652777777777779</v>
      </c>
      <c r="AN1515" t="s">
        <v>66</v>
      </c>
      <c r="AO1515" t="s">
        <v>101</v>
      </c>
    </row>
    <row r="1516" spans="1:41" x14ac:dyDescent="0.2">
      <c r="A1516">
        <v>366260</v>
      </c>
      <c r="B1516" t="s">
        <v>10551</v>
      </c>
      <c r="C1516" t="s">
        <v>558</v>
      </c>
      <c r="D1516" t="s">
        <v>70</v>
      </c>
      <c r="E1516" t="s">
        <v>10552</v>
      </c>
      <c r="F1516">
        <v>261702</v>
      </c>
      <c r="G1516" s="1">
        <v>35921</v>
      </c>
      <c r="H1516" s="1">
        <v>45608</v>
      </c>
      <c r="I1516" s="1">
        <v>45962</v>
      </c>
      <c r="J1516" t="s">
        <v>45</v>
      </c>
      <c r="K1516" t="s">
        <v>45</v>
      </c>
      <c r="L1516" t="s">
        <v>429</v>
      </c>
      <c r="M1516" s="1">
        <v>45177</v>
      </c>
      <c r="N1516" t="s">
        <v>47</v>
      </c>
      <c r="O1516" t="s">
        <v>48</v>
      </c>
      <c r="P1516" t="s">
        <v>49</v>
      </c>
      <c r="Q1516" t="s">
        <v>10553</v>
      </c>
      <c r="R1516" t="s">
        <v>10554</v>
      </c>
      <c r="S1516">
        <v>7200</v>
      </c>
      <c r="T1516" t="s">
        <v>52</v>
      </c>
      <c r="U1516">
        <v>4</v>
      </c>
      <c r="V1516" t="s">
        <v>1271</v>
      </c>
      <c r="W1516" t="s">
        <v>54</v>
      </c>
      <c r="X1516" t="s">
        <v>493</v>
      </c>
      <c r="Y1516" t="s">
        <v>56</v>
      </c>
      <c r="Z1516">
        <v>1372</v>
      </c>
      <c r="AA1516">
        <v>58</v>
      </c>
      <c r="AB1516">
        <v>210</v>
      </c>
      <c r="AC1516" t="s">
        <v>10555</v>
      </c>
      <c r="AD1516" t="s">
        <v>8474</v>
      </c>
      <c r="AE1516" t="s">
        <v>10556</v>
      </c>
      <c r="AI1516" t="s">
        <v>1275</v>
      </c>
      <c r="AJ1516" s="2">
        <v>45610.852361111109</v>
      </c>
      <c r="AK1516" t="s">
        <v>556</v>
      </c>
      <c r="AL1516" t="s">
        <v>65</v>
      </c>
      <c r="AM1516" s="3">
        <v>2.0833333333333335</v>
      </c>
      <c r="AN1516" t="s">
        <v>66</v>
      </c>
      <c r="AO1516" t="s">
        <v>67</v>
      </c>
    </row>
    <row r="1517" spans="1:41" x14ac:dyDescent="0.2">
      <c r="A1517">
        <v>368350</v>
      </c>
      <c r="B1517" t="s">
        <v>10557</v>
      </c>
      <c r="C1517" t="s">
        <v>662</v>
      </c>
      <c r="D1517" t="s">
        <v>6607</v>
      </c>
      <c r="E1517" t="s">
        <v>10558</v>
      </c>
      <c r="G1517" s="1">
        <v>42968</v>
      </c>
      <c r="H1517" s="1">
        <v>45609</v>
      </c>
      <c r="I1517" s="1">
        <v>45931</v>
      </c>
      <c r="J1517" t="s">
        <v>45</v>
      </c>
      <c r="K1517" t="s">
        <v>45</v>
      </c>
      <c r="L1517" t="s">
        <v>72</v>
      </c>
      <c r="M1517" s="1">
        <v>45134</v>
      </c>
      <c r="N1517" t="s">
        <v>47</v>
      </c>
      <c r="O1517" t="s">
        <v>48</v>
      </c>
      <c r="P1517" t="s">
        <v>586</v>
      </c>
      <c r="Q1517" t="s">
        <v>10559</v>
      </c>
      <c r="R1517" t="s">
        <v>10560</v>
      </c>
      <c r="S1517">
        <v>650</v>
      </c>
      <c r="T1517" t="s">
        <v>92</v>
      </c>
      <c r="U1517" t="s">
        <v>1197</v>
      </c>
      <c r="V1517" t="s">
        <v>6611</v>
      </c>
      <c r="W1517" t="s">
        <v>6612</v>
      </c>
      <c r="X1517" t="s">
        <v>92</v>
      </c>
      <c r="Y1517" t="s">
        <v>110</v>
      </c>
      <c r="Z1517">
        <v>9188</v>
      </c>
      <c r="AA1517">
        <v>15</v>
      </c>
      <c r="AB1517">
        <v>28</v>
      </c>
      <c r="AC1517" t="s">
        <v>6613</v>
      </c>
      <c r="AD1517" t="s">
        <v>6614</v>
      </c>
      <c r="AE1517" t="s">
        <v>6615</v>
      </c>
      <c r="AF1517" t="s">
        <v>6616</v>
      </c>
      <c r="AG1517" t="s">
        <v>6617</v>
      </c>
      <c r="AH1517" t="s">
        <v>6618</v>
      </c>
      <c r="AJ1517" s="2">
        <v>45707.706041666665</v>
      </c>
      <c r="AK1517" t="s">
        <v>6613</v>
      </c>
      <c r="AL1517" t="s">
        <v>65</v>
      </c>
      <c r="AM1517" s="4">
        <v>2.7777777777777776E-2</v>
      </c>
      <c r="AN1517" t="s">
        <v>66</v>
      </c>
      <c r="AO1517" t="s">
        <v>67</v>
      </c>
    </row>
    <row r="1518" spans="1:41" x14ac:dyDescent="0.2">
      <c r="A1518">
        <v>367213</v>
      </c>
      <c r="B1518" t="s">
        <v>10561</v>
      </c>
      <c r="C1518" t="s">
        <v>735</v>
      </c>
      <c r="D1518" t="s">
        <v>2158</v>
      </c>
      <c r="E1518" t="s">
        <v>10562</v>
      </c>
      <c r="G1518" s="1">
        <v>45642</v>
      </c>
      <c r="H1518" s="1">
        <v>45643</v>
      </c>
      <c r="I1518" s="1">
        <v>46006</v>
      </c>
      <c r="J1518" t="s">
        <v>45</v>
      </c>
      <c r="K1518" t="s">
        <v>45</v>
      </c>
      <c r="L1518" t="s">
        <v>72</v>
      </c>
      <c r="M1518" s="1">
        <v>44287</v>
      </c>
      <c r="N1518" t="s">
        <v>47</v>
      </c>
      <c r="O1518" t="s">
        <v>121</v>
      </c>
      <c r="P1518" t="s">
        <v>49</v>
      </c>
      <c r="Q1518" t="s">
        <v>10563</v>
      </c>
      <c r="R1518" t="s">
        <v>10564</v>
      </c>
      <c r="S1518">
        <v>4900</v>
      </c>
      <c r="T1518" t="s">
        <v>52</v>
      </c>
      <c r="U1518">
        <v>1</v>
      </c>
      <c r="V1518" t="s">
        <v>2162</v>
      </c>
      <c r="W1518" t="s">
        <v>54</v>
      </c>
      <c r="X1518" t="s">
        <v>52</v>
      </c>
      <c r="Y1518" t="s">
        <v>125</v>
      </c>
      <c r="Z1518">
        <v>1667</v>
      </c>
      <c r="AA1518">
        <v>112</v>
      </c>
      <c r="AB1518">
        <v>160</v>
      </c>
      <c r="AC1518" t="s">
        <v>2163</v>
      </c>
      <c r="AD1518" t="s">
        <v>2164</v>
      </c>
      <c r="AE1518" t="s">
        <v>2165</v>
      </c>
      <c r="AF1518" t="s">
        <v>10565</v>
      </c>
      <c r="AG1518" t="s">
        <v>2167</v>
      </c>
      <c r="AH1518" t="s">
        <v>10566</v>
      </c>
      <c r="AI1518" t="s">
        <v>10567</v>
      </c>
      <c r="AJ1518" s="2">
        <v>45665.669351851851</v>
      </c>
      <c r="AK1518" t="s">
        <v>84</v>
      </c>
      <c r="AL1518" t="s">
        <v>65</v>
      </c>
      <c r="AM1518" s="3">
        <v>1.2083333333333333</v>
      </c>
      <c r="AN1518" t="s">
        <v>66</v>
      </c>
      <c r="AO1518" t="s">
        <v>67</v>
      </c>
    </row>
    <row r="1519" spans="1:41" x14ac:dyDescent="0.2">
      <c r="A1519">
        <v>363553</v>
      </c>
      <c r="B1519" t="s">
        <v>10568</v>
      </c>
      <c r="C1519" t="s">
        <v>182</v>
      </c>
      <c r="D1519" t="s">
        <v>3454</v>
      </c>
      <c r="E1519" t="s">
        <v>10569</v>
      </c>
      <c r="J1519" t="s">
        <v>45</v>
      </c>
      <c r="K1519" t="s">
        <v>45</v>
      </c>
      <c r="L1519" t="s">
        <v>46</v>
      </c>
      <c r="N1519" t="s">
        <v>89</v>
      </c>
      <c r="O1519" t="s">
        <v>48</v>
      </c>
      <c r="P1519" t="s">
        <v>49</v>
      </c>
      <c r="T1519" t="s">
        <v>92</v>
      </c>
      <c r="U1519" t="s">
        <v>187</v>
      </c>
      <c r="V1519" t="s">
        <v>447</v>
      </c>
      <c r="W1519" t="s">
        <v>448</v>
      </c>
      <c r="X1519" t="s">
        <v>92</v>
      </c>
      <c r="Y1519" t="s">
        <v>450</v>
      </c>
      <c r="Z1519">
        <v>12279</v>
      </c>
      <c r="AA1519">
        <v>2</v>
      </c>
      <c r="AB1519">
        <v>44</v>
      </c>
      <c r="AC1519" t="s">
        <v>451</v>
      </c>
      <c r="AD1519" t="s">
        <v>452</v>
      </c>
      <c r="AE1519" t="s">
        <v>453</v>
      </c>
      <c r="AJ1519" s="2">
        <v>45516.712245370371</v>
      </c>
      <c r="AK1519" t="s">
        <v>100</v>
      </c>
      <c r="AL1519" t="s">
        <v>65</v>
      </c>
      <c r="AM1519" s="3">
        <v>1.9340277777777777</v>
      </c>
      <c r="AN1519" t="s">
        <v>66</v>
      </c>
      <c r="AO1519" t="s">
        <v>67</v>
      </c>
    </row>
    <row r="1520" spans="1:41" x14ac:dyDescent="0.2">
      <c r="A1520">
        <v>371605</v>
      </c>
      <c r="B1520" t="s">
        <v>10570</v>
      </c>
      <c r="C1520" t="s">
        <v>86</v>
      </c>
      <c r="D1520" t="s">
        <v>10181</v>
      </c>
      <c r="E1520" t="s">
        <v>10571</v>
      </c>
      <c r="F1520">
        <v>200903</v>
      </c>
      <c r="G1520" s="1">
        <v>32964</v>
      </c>
      <c r="H1520" s="1">
        <v>45785</v>
      </c>
      <c r="I1520" s="1">
        <v>46143</v>
      </c>
      <c r="J1520" t="s">
        <v>45</v>
      </c>
      <c r="K1520" t="s">
        <v>72</v>
      </c>
      <c r="L1520" t="s">
        <v>72</v>
      </c>
      <c r="M1520" s="1">
        <v>41150</v>
      </c>
      <c r="N1520" t="s">
        <v>47</v>
      </c>
      <c r="O1520" t="s">
        <v>48</v>
      </c>
      <c r="P1520" t="s">
        <v>49</v>
      </c>
      <c r="Q1520" t="s">
        <v>10572</v>
      </c>
      <c r="R1520" t="s">
        <v>10573</v>
      </c>
      <c r="S1520">
        <v>983</v>
      </c>
      <c r="T1520" t="s">
        <v>92</v>
      </c>
      <c r="U1520" t="s">
        <v>93</v>
      </c>
      <c r="V1520" t="s">
        <v>506</v>
      </c>
      <c r="W1520" t="s">
        <v>507</v>
      </c>
      <c r="X1520" t="s">
        <v>92</v>
      </c>
      <c r="Y1520" t="s">
        <v>110</v>
      </c>
      <c r="Z1520">
        <v>1966</v>
      </c>
      <c r="AA1520">
        <v>38</v>
      </c>
      <c r="AB1520">
        <v>144</v>
      </c>
      <c r="AC1520" t="s">
        <v>508</v>
      </c>
      <c r="AD1520" t="s">
        <v>509</v>
      </c>
      <c r="AE1520" t="s">
        <v>2361</v>
      </c>
      <c r="AF1520" t="s">
        <v>10574</v>
      </c>
      <c r="AG1520" t="s">
        <v>10575</v>
      </c>
      <c r="AH1520" t="s">
        <v>10576</v>
      </c>
      <c r="AI1520" t="s">
        <v>10577</v>
      </c>
      <c r="AJ1520" s="2">
        <v>45817.705023148148</v>
      </c>
      <c r="AK1520" t="s">
        <v>100</v>
      </c>
      <c r="AL1520" t="s">
        <v>65</v>
      </c>
      <c r="AM1520" s="4">
        <v>0.52777777777777779</v>
      </c>
      <c r="AN1520" t="s">
        <v>66</v>
      </c>
      <c r="AO1520" t="s">
        <v>67</v>
      </c>
    </row>
    <row r="1521" spans="1:41" x14ac:dyDescent="0.2">
      <c r="A1521">
        <v>370170</v>
      </c>
      <c r="B1521" t="s">
        <v>10578</v>
      </c>
      <c r="C1521" t="s">
        <v>182</v>
      </c>
      <c r="D1521" t="s">
        <v>183</v>
      </c>
      <c r="E1521" t="s">
        <v>10579</v>
      </c>
      <c r="G1521" s="1">
        <v>45236</v>
      </c>
      <c r="H1521" s="1">
        <v>45756</v>
      </c>
      <c r="I1521" s="1">
        <v>46068</v>
      </c>
      <c r="J1521" t="s">
        <v>45</v>
      </c>
      <c r="K1521" t="s">
        <v>45</v>
      </c>
      <c r="L1521" t="s">
        <v>72</v>
      </c>
      <c r="M1521" s="1">
        <v>44497</v>
      </c>
      <c r="N1521" t="s">
        <v>89</v>
      </c>
      <c r="O1521" t="s">
        <v>121</v>
      </c>
      <c r="P1521" t="s">
        <v>49</v>
      </c>
      <c r="Q1521" t="s">
        <v>10580</v>
      </c>
      <c r="R1521" t="s">
        <v>10581</v>
      </c>
      <c r="S1521">
        <v>3763</v>
      </c>
      <c r="T1521" t="s">
        <v>92</v>
      </c>
      <c r="U1521" t="s">
        <v>187</v>
      </c>
      <c r="V1521" t="s">
        <v>188</v>
      </c>
      <c r="W1521" t="s">
        <v>189</v>
      </c>
      <c r="X1521" t="s">
        <v>52</v>
      </c>
      <c r="Y1521" t="s">
        <v>110</v>
      </c>
      <c r="Z1521">
        <v>1727</v>
      </c>
      <c r="AA1521">
        <v>73</v>
      </c>
      <c r="AB1521">
        <v>38</v>
      </c>
      <c r="AC1521" t="s">
        <v>190</v>
      </c>
      <c r="AD1521" t="s">
        <v>191</v>
      </c>
      <c r="AE1521" t="s">
        <v>192</v>
      </c>
      <c r="AF1521" t="s">
        <v>193</v>
      </c>
      <c r="AG1521" t="s">
        <v>194</v>
      </c>
      <c r="AH1521" t="s">
        <v>195</v>
      </c>
      <c r="AJ1521" s="2">
        <v>45764.645821759259</v>
      </c>
      <c r="AK1521" t="s">
        <v>193</v>
      </c>
      <c r="AL1521" t="s">
        <v>65</v>
      </c>
      <c r="AM1521" s="4">
        <v>0.11805555555555555</v>
      </c>
      <c r="AN1521" t="s">
        <v>66</v>
      </c>
      <c r="AO1521" t="s">
        <v>67</v>
      </c>
    </row>
    <row r="1522" spans="1:41" x14ac:dyDescent="0.2">
      <c r="A1522">
        <v>370169</v>
      </c>
      <c r="B1522" t="s">
        <v>10582</v>
      </c>
      <c r="C1522" t="s">
        <v>182</v>
      </c>
      <c r="D1522" t="s">
        <v>183</v>
      </c>
      <c r="E1522" t="s">
        <v>10583</v>
      </c>
      <c r="G1522" s="1">
        <v>45670</v>
      </c>
      <c r="H1522" s="1">
        <v>45751</v>
      </c>
      <c r="I1522" s="1">
        <v>46174</v>
      </c>
      <c r="J1522" t="s">
        <v>45</v>
      </c>
      <c r="K1522" t="s">
        <v>45</v>
      </c>
      <c r="L1522" t="s">
        <v>72</v>
      </c>
      <c r="N1522" t="s">
        <v>89</v>
      </c>
      <c r="O1522" t="s">
        <v>121</v>
      </c>
      <c r="P1522" t="s">
        <v>49</v>
      </c>
      <c r="Q1522" t="s">
        <v>10584</v>
      </c>
      <c r="R1522" t="s">
        <v>10585</v>
      </c>
      <c r="S1522">
        <v>378</v>
      </c>
      <c r="T1522" t="s">
        <v>92</v>
      </c>
      <c r="U1522" t="s">
        <v>187</v>
      </c>
      <c r="V1522" t="s">
        <v>188</v>
      </c>
      <c r="W1522" t="s">
        <v>189</v>
      </c>
      <c r="Y1522" t="s">
        <v>110</v>
      </c>
      <c r="Z1522">
        <v>10506</v>
      </c>
      <c r="AA1522">
        <v>20</v>
      </c>
      <c r="AB1522">
        <v>78</v>
      </c>
      <c r="AC1522" t="s">
        <v>190</v>
      </c>
      <c r="AD1522" t="s">
        <v>191</v>
      </c>
      <c r="AE1522" t="s">
        <v>192</v>
      </c>
      <c r="AF1522" t="s">
        <v>193</v>
      </c>
      <c r="AG1522" t="s">
        <v>194</v>
      </c>
      <c r="AH1522" t="s">
        <v>10586</v>
      </c>
      <c r="AJ1522" s="2">
        <v>45764.644768518519</v>
      </c>
      <c r="AK1522" t="s">
        <v>193</v>
      </c>
      <c r="AL1522" t="s">
        <v>65</v>
      </c>
      <c r="AM1522" s="3">
        <v>1.2777777777777777</v>
      </c>
      <c r="AN1522" t="s">
        <v>66</v>
      </c>
      <c r="AO1522" t="s">
        <v>67</v>
      </c>
    </row>
    <row r="1523" spans="1:41" x14ac:dyDescent="0.2">
      <c r="A1523">
        <v>367977</v>
      </c>
      <c r="B1523" t="s">
        <v>10587</v>
      </c>
      <c r="C1523" t="s">
        <v>763</v>
      </c>
      <c r="D1523" t="s">
        <v>10588</v>
      </c>
      <c r="E1523" t="s">
        <v>10589</v>
      </c>
      <c r="F1523">
        <v>474601</v>
      </c>
      <c r="G1523" s="1">
        <v>43679</v>
      </c>
      <c r="H1523" s="1">
        <v>45414</v>
      </c>
      <c r="J1523" t="s">
        <v>45</v>
      </c>
      <c r="K1523" t="s">
        <v>45</v>
      </c>
      <c r="L1523" t="s">
        <v>72</v>
      </c>
      <c r="M1523" s="1">
        <v>43679</v>
      </c>
      <c r="N1523" t="s">
        <v>47</v>
      </c>
      <c r="O1523" t="s">
        <v>48</v>
      </c>
      <c r="P1523" t="s">
        <v>49</v>
      </c>
      <c r="Q1523" t="s">
        <v>10590</v>
      </c>
      <c r="R1523" t="s">
        <v>10591</v>
      </c>
      <c r="S1523">
        <v>1200</v>
      </c>
      <c r="T1523" t="s">
        <v>92</v>
      </c>
      <c r="U1523" t="s">
        <v>767</v>
      </c>
      <c r="V1523" t="s">
        <v>768</v>
      </c>
      <c r="W1523" t="s">
        <v>769</v>
      </c>
      <c r="X1523" t="s">
        <v>92</v>
      </c>
      <c r="Y1523" t="s">
        <v>770</v>
      </c>
      <c r="Z1523">
        <v>10190</v>
      </c>
      <c r="AA1523">
        <v>19</v>
      </c>
      <c r="AB1523">
        <v>76</v>
      </c>
      <c r="AC1523" t="s">
        <v>1263</v>
      </c>
      <c r="AD1523" t="s">
        <v>7844</v>
      </c>
      <c r="AE1523" t="s">
        <v>10592</v>
      </c>
      <c r="AF1523" t="s">
        <v>774</v>
      </c>
      <c r="AG1523" t="s">
        <v>775</v>
      </c>
      <c r="AH1523" t="s">
        <v>776</v>
      </c>
      <c r="AI1523" t="s">
        <v>10593</v>
      </c>
      <c r="AJ1523" s="2">
        <v>45695.580277777779</v>
      </c>
      <c r="AK1523" t="s">
        <v>1263</v>
      </c>
      <c r="AL1523" t="s">
        <v>65</v>
      </c>
      <c r="AM1523" s="4">
        <v>0.34027777777777779</v>
      </c>
      <c r="AN1523" t="s">
        <v>66</v>
      </c>
      <c r="AO1523" t="s">
        <v>67</v>
      </c>
    </row>
    <row r="1524" spans="1:41" x14ac:dyDescent="0.2">
      <c r="A1524">
        <v>371917</v>
      </c>
      <c r="B1524" t="s">
        <v>10594</v>
      </c>
      <c r="C1524" t="s">
        <v>662</v>
      </c>
      <c r="D1524" t="s">
        <v>10595</v>
      </c>
      <c r="E1524">
        <v>88424188</v>
      </c>
      <c r="F1524">
        <v>415602</v>
      </c>
      <c r="G1524" s="1">
        <v>45674</v>
      </c>
      <c r="H1524" s="1">
        <v>45749</v>
      </c>
      <c r="I1524" s="1">
        <v>46127</v>
      </c>
      <c r="J1524" t="s">
        <v>45</v>
      </c>
      <c r="K1524" t="s">
        <v>45</v>
      </c>
      <c r="L1524" t="s">
        <v>46</v>
      </c>
      <c r="M1524" s="1">
        <v>45674</v>
      </c>
      <c r="N1524" t="s">
        <v>47</v>
      </c>
      <c r="O1524" t="s">
        <v>48</v>
      </c>
      <c r="P1524" t="s">
        <v>49</v>
      </c>
      <c r="Q1524" t="s">
        <v>10596</v>
      </c>
      <c r="R1524" t="s">
        <v>10597</v>
      </c>
      <c r="S1524">
        <v>155</v>
      </c>
      <c r="T1524" t="s">
        <v>92</v>
      </c>
      <c r="U1524" t="s">
        <v>1197</v>
      </c>
      <c r="V1524" t="s">
        <v>1198</v>
      </c>
      <c r="W1524" t="s">
        <v>1199</v>
      </c>
      <c r="X1524" t="s">
        <v>52</v>
      </c>
      <c r="Y1524" t="s">
        <v>110</v>
      </c>
      <c r="Z1524">
        <v>2096</v>
      </c>
      <c r="AA1524">
        <v>44</v>
      </c>
      <c r="AB1524">
        <v>176</v>
      </c>
      <c r="AC1524" t="s">
        <v>1200</v>
      </c>
      <c r="AD1524" t="s">
        <v>1201</v>
      </c>
      <c r="AE1524" t="s">
        <v>1202</v>
      </c>
      <c r="AF1524" t="s">
        <v>1786</v>
      </c>
      <c r="AG1524" t="s">
        <v>1787</v>
      </c>
      <c r="AH1524" t="s">
        <v>1788</v>
      </c>
      <c r="AJ1524" s="2">
        <v>45824.822476851848</v>
      </c>
      <c r="AK1524" t="s">
        <v>1200</v>
      </c>
      <c r="AL1524" t="s">
        <v>65</v>
      </c>
      <c r="AM1524" s="4">
        <v>0.14583333333333334</v>
      </c>
      <c r="AN1524" t="s">
        <v>66</v>
      </c>
      <c r="AO1524" t="s">
        <v>67</v>
      </c>
    </row>
    <row r="1525" spans="1:41" x14ac:dyDescent="0.2">
      <c r="A1525">
        <v>368443</v>
      </c>
      <c r="B1525" t="s">
        <v>10598</v>
      </c>
      <c r="C1525" t="s">
        <v>182</v>
      </c>
      <c r="D1525" t="s">
        <v>3937</v>
      </c>
      <c r="E1525" t="s">
        <v>10599</v>
      </c>
      <c r="F1525">
        <v>43304</v>
      </c>
      <c r="G1525" s="1">
        <v>32509</v>
      </c>
      <c r="H1525" s="1">
        <v>45706</v>
      </c>
      <c r="J1525" t="s">
        <v>45</v>
      </c>
      <c r="K1525" t="s">
        <v>72</v>
      </c>
      <c r="L1525" t="s">
        <v>72</v>
      </c>
      <c r="N1525" t="s">
        <v>47</v>
      </c>
      <c r="O1525" t="s">
        <v>48</v>
      </c>
      <c r="P1525" t="s">
        <v>49</v>
      </c>
      <c r="Q1525" t="s">
        <v>10600</v>
      </c>
      <c r="R1525" t="s">
        <v>10601</v>
      </c>
      <c r="S1525">
        <v>804</v>
      </c>
      <c r="T1525" t="s">
        <v>92</v>
      </c>
      <c r="U1525" t="s">
        <v>187</v>
      </c>
      <c r="V1525" t="s">
        <v>447</v>
      </c>
      <c r="W1525" t="s">
        <v>448</v>
      </c>
      <c r="X1525" t="s">
        <v>92</v>
      </c>
      <c r="Y1525" t="s">
        <v>450</v>
      </c>
      <c r="Z1525">
        <v>1252</v>
      </c>
      <c r="AA1525">
        <v>47</v>
      </c>
      <c r="AB1525">
        <v>152</v>
      </c>
      <c r="AC1525" t="s">
        <v>451</v>
      </c>
      <c r="AD1525" t="s">
        <v>452</v>
      </c>
      <c r="AE1525" t="s">
        <v>453</v>
      </c>
      <c r="AF1525" t="s">
        <v>454</v>
      </c>
      <c r="AG1525" t="s">
        <v>473</v>
      </c>
      <c r="AH1525" t="s">
        <v>474</v>
      </c>
      <c r="AJ1525" s="2">
        <v>45712.684988425928</v>
      </c>
      <c r="AK1525" t="s">
        <v>526</v>
      </c>
      <c r="AL1525" t="s">
        <v>475</v>
      </c>
      <c r="AM1525" s="4">
        <v>0.2986111111111111</v>
      </c>
      <c r="AN1525" t="s">
        <v>66</v>
      </c>
      <c r="AO1525" t="s">
        <v>67</v>
      </c>
    </row>
    <row r="1526" spans="1:41" x14ac:dyDescent="0.2">
      <c r="A1526">
        <v>370273</v>
      </c>
      <c r="B1526" t="s">
        <v>10602</v>
      </c>
      <c r="C1526" t="s">
        <v>182</v>
      </c>
      <c r="D1526" t="s">
        <v>3320</v>
      </c>
      <c r="E1526" t="s">
        <v>10603</v>
      </c>
      <c r="F1526">
        <v>44914</v>
      </c>
      <c r="G1526" s="1">
        <v>32509</v>
      </c>
      <c r="H1526" s="1">
        <v>45709</v>
      </c>
      <c r="J1526" t="s">
        <v>45</v>
      </c>
      <c r="K1526" t="s">
        <v>72</v>
      </c>
      <c r="L1526" t="s">
        <v>72</v>
      </c>
      <c r="N1526" t="s">
        <v>47</v>
      </c>
      <c r="O1526" t="s">
        <v>48</v>
      </c>
      <c r="P1526" t="s">
        <v>49</v>
      </c>
      <c r="Q1526" t="s">
        <v>10604</v>
      </c>
      <c r="R1526" t="s">
        <v>10605</v>
      </c>
      <c r="S1526">
        <v>1633</v>
      </c>
      <c r="T1526" t="s">
        <v>92</v>
      </c>
      <c r="U1526" t="s">
        <v>187</v>
      </c>
      <c r="V1526" t="s">
        <v>447</v>
      </c>
      <c r="W1526" t="s">
        <v>448</v>
      </c>
      <c r="X1526" t="s">
        <v>92</v>
      </c>
      <c r="Y1526" t="s">
        <v>450</v>
      </c>
      <c r="Z1526">
        <v>1253</v>
      </c>
      <c r="AA1526">
        <v>47</v>
      </c>
      <c r="AB1526">
        <v>144</v>
      </c>
      <c r="AC1526" t="s">
        <v>451</v>
      </c>
      <c r="AD1526" t="s">
        <v>452</v>
      </c>
      <c r="AE1526" t="s">
        <v>453</v>
      </c>
      <c r="AF1526" t="s">
        <v>4021</v>
      </c>
      <c r="AG1526" t="s">
        <v>4022</v>
      </c>
      <c r="AI1526" t="s">
        <v>10606</v>
      </c>
      <c r="AJ1526" s="2">
        <v>45769.691192129627</v>
      </c>
      <c r="AK1526" t="s">
        <v>451</v>
      </c>
      <c r="AL1526" t="s">
        <v>475</v>
      </c>
      <c r="AM1526" s="3">
        <v>2.2708333333333335</v>
      </c>
      <c r="AN1526" t="s">
        <v>66</v>
      </c>
      <c r="AO1526" t="s">
        <v>67</v>
      </c>
    </row>
    <row r="1527" spans="1:41" x14ac:dyDescent="0.2">
      <c r="A1527">
        <v>368806</v>
      </c>
      <c r="B1527" t="s">
        <v>10607</v>
      </c>
      <c r="C1527" t="s">
        <v>662</v>
      </c>
      <c r="D1527" t="s">
        <v>10608</v>
      </c>
      <c r="E1527" t="s">
        <v>10609</v>
      </c>
      <c r="F1527">
        <v>418604</v>
      </c>
      <c r="G1527" s="1">
        <v>37564</v>
      </c>
      <c r="H1527" s="1">
        <v>45715</v>
      </c>
      <c r="I1527" s="1">
        <v>46054</v>
      </c>
      <c r="J1527" t="s">
        <v>45</v>
      </c>
      <c r="K1527" t="s">
        <v>45</v>
      </c>
      <c r="L1527" t="s">
        <v>46</v>
      </c>
      <c r="M1527" s="1">
        <v>41878</v>
      </c>
      <c r="N1527" t="s">
        <v>47</v>
      </c>
      <c r="O1527" t="s">
        <v>48</v>
      </c>
      <c r="P1527" t="s">
        <v>49</v>
      </c>
      <c r="Q1527" t="s">
        <v>10610</v>
      </c>
      <c r="R1527" t="s">
        <v>10611</v>
      </c>
      <c r="S1527">
        <v>285</v>
      </c>
      <c r="T1527" t="s">
        <v>156</v>
      </c>
      <c r="U1527" t="s">
        <v>667</v>
      </c>
      <c r="V1527" t="s">
        <v>886</v>
      </c>
      <c r="W1527" t="s">
        <v>159</v>
      </c>
      <c r="X1527" t="s">
        <v>55</v>
      </c>
      <c r="Y1527" t="s">
        <v>56</v>
      </c>
      <c r="Z1527">
        <v>2245</v>
      </c>
      <c r="AA1527">
        <v>47</v>
      </c>
      <c r="AB1527">
        <v>160</v>
      </c>
      <c r="AC1527" t="s">
        <v>887</v>
      </c>
      <c r="AD1527" t="s">
        <v>888</v>
      </c>
      <c r="AE1527" t="s">
        <v>889</v>
      </c>
      <c r="AF1527" t="s">
        <v>10612</v>
      </c>
      <c r="AG1527" t="s">
        <v>10613</v>
      </c>
      <c r="AH1527" t="s">
        <v>10614</v>
      </c>
      <c r="AI1527" t="s">
        <v>179</v>
      </c>
      <c r="AJ1527" s="2">
        <v>45722.621458333335</v>
      </c>
      <c r="AK1527" t="s">
        <v>307</v>
      </c>
      <c r="AL1527" t="s">
        <v>65</v>
      </c>
      <c r="AM1527" s="4">
        <v>0.46527777777777779</v>
      </c>
      <c r="AN1527" t="s">
        <v>66</v>
      </c>
      <c r="AO1527" t="s">
        <v>67</v>
      </c>
    </row>
    <row r="1528" spans="1:41" x14ac:dyDescent="0.2">
      <c r="A1528">
        <v>367220</v>
      </c>
      <c r="B1528" t="s">
        <v>10615</v>
      </c>
      <c r="C1528" t="s">
        <v>1687</v>
      </c>
      <c r="D1528" t="s">
        <v>3344</v>
      </c>
      <c r="E1528" t="s">
        <v>10616</v>
      </c>
      <c r="G1528" s="1">
        <v>40605</v>
      </c>
      <c r="H1528" s="1">
        <v>45665</v>
      </c>
      <c r="I1528" s="1">
        <v>45962</v>
      </c>
      <c r="J1528" t="s">
        <v>45</v>
      </c>
      <c r="K1528" t="s">
        <v>326</v>
      </c>
      <c r="L1528" t="s">
        <v>72</v>
      </c>
      <c r="M1528" s="1">
        <v>42227</v>
      </c>
      <c r="N1528" t="s">
        <v>47</v>
      </c>
      <c r="O1528" t="s">
        <v>121</v>
      </c>
      <c r="P1528" t="s">
        <v>49</v>
      </c>
      <c r="Q1528" t="s">
        <v>10617</v>
      </c>
      <c r="R1528" t="s">
        <v>10618</v>
      </c>
      <c r="S1528">
        <v>80</v>
      </c>
      <c r="T1528" t="s">
        <v>156</v>
      </c>
      <c r="U1528" t="s">
        <v>157</v>
      </c>
      <c r="V1528" t="s">
        <v>3157</v>
      </c>
      <c r="W1528" t="s">
        <v>159</v>
      </c>
      <c r="X1528" t="s">
        <v>156</v>
      </c>
      <c r="Y1528" t="s">
        <v>110</v>
      </c>
      <c r="Z1528">
        <v>2951</v>
      </c>
      <c r="AA1528">
        <v>30</v>
      </c>
      <c r="AB1528">
        <v>160</v>
      </c>
      <c r="AC1528" t="s">
        <v>7347</v>
      </c>
      <c r="AD1528" t="s">
        <v>7348</v>
      </c>
      <c r="AE1528" t="s">
        <v>7349</v>
      </c>
      <c r="AF1528" t="s">
        <v>10619</v>
      </c>
      <c r="AG1528" t="s">
        <v>10620</v>
      </c>
      <c r="AH1528" t="s">
        <v>10621</v>
      </c>
      <c r="AI1528" t="s">
        <v>10622</v>
      </c>
      <c r="AJ1528" s="2">
        <v>45665.874618055554</v>
      </c>
      <c r="AK1528" t="s">
        <v>7347</v>
      </c>
      <c r="AL1528" t="s">
        <v>475</v>
      </c>
      <c r="AM1528" s="3">
        <v>1.7291666666666667</v>
      </c>
      <c r="AN1528" t="s">
        <v>66</v>
      </c>
      <c r="AO1528" t="s">
        <v>67</v>
      </c>
    </row>
    <row r="1529" spans="1:41" x14ac:dyDescent="0.2">
      <c r="A1529">
        <v>372601</v>
      </c>
      <c r="B1529" t="s">
        <v>10623</v>
      </c>
      <c r="C1529" t="s">
        <v>1687</v>
      </c>
      <c r="D1529" t="s">
        <v>6528</v>
      </c>
      <c r="E1529" t="s">
        <v>10624</v>
      </c>
      <c r="F1529">
        <v>165103</v>
      </c>
      <c r="G1529" s="1">
        <v>38177</v>
      </c>
      <c r="H1529" s="1">
        <v>45845</v>
      </c>
      <c r="I1529" s="1">
        <v>46235</v>
      </c>
      <c r="J1529" t="s">
        <v>45</v>
      </c>
      <c r="K1529" t="s">
        <v>326</v>
      </c>
      <c r="L1529" t="s">
        <v>72</v>
      </c>
      <c r="M1529" s="1">
        <v>43676</v>
      </c>
      <c r="N1529" t="s">
        <v>47</v>
      </c>
      <c r="O1529" t="s">
        <v>48</v>
      </c>
      <c r="P1529" t="s">
        <v>49</v>
      </c>
      <c r="Q1529" t="s">
        <v>10625</v>
      </c>
      <c r="R1529" t="s">
        <v>10626</v>
      </c>
      <c r="S1529">
        <v>5</v>
      </c>
      <c r="T1529" t="s">
        <v>156</v>
      </c>
      <c r="U1529" t="s">
        <v>157</v>
      </c>
      <c r="V1529" t="s">
        <v>10627</v>
      </c>
      <c r="W1529" t="s">
        <v>159</v>
      </c>
      <c r="X1529" t="s">
        <v>156</v>
      </c>
      <c r="Y1529" t="s">
        <v>110</v>
      </c>
      <c r="Z1529">
        <v>2475</v>
      </c>
      <c r="AA1529">
        <v>43</v>
      </c>
      <c r="AB1529">
        <v>45</v>
      </c>
      <c r="AC1529" t="s">
        <v>10628</v>
      </c>
      <c r="AD1529" t="s">
        <v>10629</v>
      </c>
      <c r="AE1529" t="s">
        <v>10630</v>
      </c>
      <c r="AF1529" t="s">
        <v>10631</v>
      </c>
      <c r="AG1529" t="s">
        <v>10632</v>
      </c>
      <c r="AH1529" t="s">
        <v>10633</v>
      </c>
      <c r="AJ1529" s="2">
        <v>45846.881064814814</v>
      </c>
      <c r="AK1529" t="s">
        <v>10628</v>
      </c>
      <c r="AL1529" t="s">
        <v>65</v>
      </c>
      <c r="AM1529" s="3">
        <v>2.4583333333333335</v>
      </c>
      <c r="AN1529" t="s">
        <v>66</v>
      </c>
      <c r="AO1529" t="s">
        <v>101</v>
      </c>
    </row>
    <row r="1530" spans="1:41" x14ac:dyDescent="0.2">
      <c r="A1530">
        <v>367937</v>
      </c>
      <c r="B1530" t="s">
        <v>10634</v>
      </c>
      <c r="C1530" t="s">
        <v>662</v>
      </c>
      <c r="D1530" t="s">
        <v>1782</v>
      </c>
      <c r="E1530" t="s">
        <v>10635</v>
      </c>
      <c r="G1530" s="1">
        <v>43084</v>
      </c>
      <c r="H1530" s="1">
        <v>45687</v>
      </c>
      <c r="J1530" t="s">
        <v>45</v>
      </c>
      <c r="K1530" t="s">
        <v>45</v>
      </c>
      <c r="L1530" t="s">
        <v>72</v>
      </c>
      <c r="N1530" t="s">
        <v>47</v>
      </c>
      <c r="O1530" t="s">
        <v>48</v>
      </c>
      <c r="P1530" t="s">
        <v>49</v>
      </c>
      <c r="Q1530" t="s">
        <v>10636</v>
      </c>
      <c r="R1530" t="s">
        <v>10637</v>
      </c>
      <c r="S1530">
        <v>557</v>
      </c>
      <c r="T1530" t="s">
        <v>92</v>
      </c>
      <c r="U1530" t="s">
        <v>1197</v>
      </c>
      <c r="V1530" t="s">
        <v>1791</v>
      </c>
      <c r="W1530" t="s">
        <v>1792</v>
      </c>
      <c r="X1530" t="s">
        <v>92</v>
      </c>
      <c r="Y1530" t="s">
        <v>450</v>
      </c>
      <c r="Z1530">
        <v>9369</v>
      </c>
      <c r="AA1530">
        <v>13</v>
      </c>
      <c r="AB1530">
        <v>28</v>
      </c>
      <c r="AC1530" t="s">
        <v>1796</v>
      </c>
      <c r="AD1530" t="s">
        <v>1797</v>
      </c>
      <c r="AE1530" t="s">
        <v>1798</v>
      </c>
      <c r="AF1530" t="s">
        <v>1793</v>
      </c>
      <c r="AG1530" t="s">
        <v>10638</v>
      </c>
      <c r="AH1530" t="s">
        <v>10639</v>
      </c>
      <c r="AJ1530" s="2">
        <v>45693.844444444447</v>
      </c>
      <c r="AK1530" t="s">
        <v>526</v>
      </c>
      <c r="AL1530" t="s">
        <v>65</v>
      </c>
      <c r="AM1530" s="3">
        <v>1.6458333333333333</v>
      </c>
      <c r="AN1530" t="s">
        <v>66</v>
      </c>
      <c r="AO1530" t="s">
        <v>67</v>
      </c>
    </row>
    <row r="1531" spans="1:41" x14ac:dyDescent="0.2">
      <c r="A1531">
        <v>372242</v>
      </c>
      <c r="B1531" t="s">
        <v>10640</v>
      </c>
      <c r="C1531" t="s">
        <v>182</v>
      </c>
      <c r="D1531" t="s">
        <v>2295</v>
      </c>
      <c r="E1531" t="s">
        <v>10641</v>
      </c>
      <c r="F1531">
        <v>40723</v>
      </c>
      <c r="G1531" s="1">
        <v>32226</v>
      </c>
      <c r="H1531" s="1">
        <v>45832</v>
      </c>
      <c r="I1531" s="1">
        <v>46204</v>
      </c>
      <c r="J1531" t="s">
        <v>45</v>
      </c>
      <c r="K1531" t="s">
        <v>45</v>
      </c>
      <c r="L1531" t="s">
        <v>429</v>
      </c>
      <c r="M1531" s="1">
        <v>45103</v>
      </c>
      <c r="N1531" t="s">
        <v>47</v>
      </c>
      <c r="O1531" t="s">
        <v>48</v>
      </c>
      <c r="P1531" t="s">
        <v>49</v>
      </c>
      <c r="Q1531" t="s">
        <v>10642</v>
      </c>
      <c r="R1531" t="s">
        <v>10643</v>
      </c>
      <c r="S1531">
        <v>5672</v>
      </c>
      <c r="T1531" t="s">
        <v>52</v>
      </c>
      <c r="U1531">
        <v>5</v>
      </c>
      <c r="V1531" t="s">
        <v>2771</v>
      </c>
      <c r="W1531" t="s">
        <v>54</v>
      </c>
      <c r="X1531" t="s">
        <v>493</v>
      </c>
      <c r="Y1531" t="s">
        <v>434</v>
      </c>
      <c r="Z1531">
        <v>706</v>
      </c>
      <c r="AA1531">
        <v>91</v>
      </c>
      <c r="AB1531">
        <v>38</v>
      </c>
      <c r="AC1531" t="s">
        <v>10644</v>
      </c>
      <c r="AD1531" t="s">
        <v>10645</v>
      </c>
      <c r="AE1531" t="s">
        <v>10646</v>
      </c>
      <c r="AF1531" t="s">
        <v>10647</v>
      </c>
      <c r="AG1531" t="s">
        <v>10648</v>
      </c>
      <c r="AH1531" t="s">
        <v>10649</v>
      </c>
      <c r="AI1531" t="s">
        <v>4957</v>
      </c>
      <c r="AJ1531" s="2">
        <v>45834.91269675926</v>
      </c>
      <c r="AK1531" t="s">
        <v>501</v>
      </c>
      <c r="AL1531" t="s">
        <v>65</v>
      </c>
      <c r="AM1531" s="3">
        <v>2.2083333333333335</v>
      </c>
      <c r="AN1531" t="s">
        <v>66</v>
      </c>
      <c r="AO1531" t="s">
        <v>67</v>
      </c>
    </row>
    <row r="1532" spans="1:41" x14ac:dyDescent="0.2">
      <c r="A1532">
        <v>361237</v>
      </c>
      <c r="B1532" t="s">
        <v>10650</v>
      </c>
      <c r="C1532" t="s">
        <v>763</v>
      </c>
      <c r="D1532" t="s">
        <v>8757</v>
      </c>
      <c r="E1532">
        <v>53710180</v>
      </c>
      <c r="F1532">
        <v>471601</v>
      </c>
      <c r="G1532" s="1">
        <v>38373</v>
      </c>
      <c r="H1532" s="1">
        <v>45446</v>
      </c>
      <c r="J1532" t="s">
        <v>45</v>
      </c>
      <c r="K1532" t="s">
        <v>45</v>
      </c>
      <c r="L1532" t="s">
        <v>72</v>
      </c>
      <c r="M1532" s="1">
        <v>42478</v>
      </c>
      <c r="N1532" t="s">
        <v>47</v>
      </c>
      <c r="O1532" t="s">
        <v>48</v>
      </c>
      <c r="P1532" t="s">
        <v>49</v>
      </c>
      <c r="Q1532" t="s">
        <v>10651</v>
      </c>
      <c r="R1532" t="s">
        <v>10652</v>
      </c>
      <c r="S1532">
        <v>1162</v>
      </c>
      <c r="T1532" t="s">
        <v>92</v>
      </c>
      <c r="U1532" t="s">
        <v>767</v>
      </c>
      <c r="V1532" t="s">
        <v>768</v>
      </c>
      <c r="W1532" t="s">
        <v>769</v>
      </c>
      <c r="X1532" t="s">
        <v>92</v>
      </c>
      <c r="Y1532" t="s">
        <v>770</v>
      </c>
      <c r="Z1532">
        <v>2638</v>
      </c>
      <c r="AA1532">
        <v>37</v>
      </c>
      <c r="AB1532">
        <v>146</v>
      </c>
      <c r="AC1532" t="s">
        <v>1717</v>
      </c>
      <c r="AD1532" t="s">
        <v>1718</v>
      </c>
      <c r="AE1532" t="s">
        <v>1719</v>
      </c>
      <c r="AF1532" t="s">
        <v>774</v>
      </c>
      <c r="AG1532" t="s">
        <v>775</v>
      </c>
      <c r="AH1532" t="s">
        <v>776</v>
      </c>
      <c r="AI1532" t="s">
        <v>1720</v>
      </c>
      <c r="AJ1532" s="2">
        <v>45449.824444444443</v>
      </c>
      <c r="AK1532" t="s">
        <v>1721</v>
      </c>
      <c r="AL1532" t="s">
        <v>65</v>
      </c>
      <c r="AM1532" s="4">
        <v>0.22916666666666666</v>
      </c>
      <c r="AN1532" t="s">
        <v>66</v>
      </c>
      <c r="AO1532" t="s">
        <v>67</v>
      </c>
    </row>
    <row r="1533" spans="1:41" x14ac:dyDescent="0.2">
      <c r="A1533">
        <v>367675</v>
      </c>
      <c r="B1533" t="s">
        <v>10653</v>
      </c>
      <c r="C1533" t="s">
        <v>1000</v>
      </c>
      <c r="D1533" t="s">
        <v>1216</v>
      </c>
      <c r="E1533" s="5">
        <v>26077000000</v>
      </c>
      <c r="F1533">
        <v>400501</v>
      </c>
      <c r="G1533" s="1">
        <v>37922</v>
      </c>
      <c r="H1533" s="1">
        <v>45659</v>
      </c>
      <c r="J1533" t="s">
        <v>45</v>
      </c>
      <c r="K1533" t="s">
        <v>45</v>
      </c>
      <c r="L1533" t="s">
        <v>72</v>
      </c>
      <c r="M1533" s="1">
        <v>45659</v>
      </c>
      <c r="N1533" t="s">
        <v>47</v>
      </c>
      <c r="O1533" t="s">
        <v>48</v>
      </c>
      <c r="P1533" t="s">
        <v>49</v>
      </c>
      <c r="Q1533" t="s">
        <v>10654</v>
      </c>
      <c r="R1533" t="s">
        <v>10655</v>
      </c>
      <c r="S1533">
        <v>970</v>
      </c>
      <c r="T1533" t="s">
        <v>92</v>
      </c>
      <c r="U1533" t="s">
        <v>1005</v>
      </c>
      <c r="V1533" t="s">
        <v>590</v>
      </c>
      <c r="W1533" t="s">
        <v>1006</v>
      </c>
      <c r="X1533" t="s">
        <v>92</v>
      </c>
      <c r="Y1533" t="s">
        <v>770</v>
      </c>
      <c r="Z1533">
        <v>2415</v>
      </c>
      <c r="AA1533">
        <v>32</v>
      </c>
      <c r="AB1533">
        <v>144</v>
      </c>
      <c r="AC1533" t="s">
        <v>2845</v>
      </c>
      <c r="AD1533" t="s">
        <v>1008</v>
      </c>
      <c r="AE1533" t="s">
        <v>1009</v>
      </c>
      <c r="AF1533" t="s">
        <v>2846</v>
      </c>
      <c r="AG1533" t="s">
        <v>2847</v>
      </c>
      <c r="AH1533" t="s">
        <v>2848</v>
      </c>
      <c r="AI1533" t="s">
        <v>1010</v>
      </c>
      <c r="AJ1533" s="2">
        <v>45686.258530092593</v>
      </c>
      <c r="AK1533" t="s">
        <v>1011</v>
      </c>
      <c r="AL1533" t="s">
        <v>65</v>
      </c>
      <c r="AM1533" s="4">
        <v>0.2638888888888889</v>
      </c>
      <c r="AN1533" t="s">
        <v>66</v>
      </c>
      <c r="AO1533" t="s">
        <v>67</v>
      </c>
    </row>
    <row r="1534" spans="1:41" x14ac:dyDescent="0.2">
      <c r="A1534">
        <v>358779</v>
      </c>
      <c r="B1534" t="s">
        <v>10656</v>
      </c>
      <c r="C1534" t="s">
        <v>167</v>
      </c>
      <c r="D1534" t="s">
        <v>3344</v>
      </c>
      <c r="E1534" t="s">
        <v>10657</v>
      </c>
      <c r="F1534">
        <v>351417</v>
      </c>
      <c r="G1534" s="1">
        <v>38432</v>
      </c>
      <c r="H1534" s="1">
        <v>42865</v>
      </c>
      <c r="J1534" t="s">
        <v>326</v>
      </c>
      <c r="K1534" t="s">
        <v>72</v>
      </c>
      <c r="L1534" t="s">
        <v>72</v>
      </c>
      <c r="M1534" s="1">
        <v>42865</v>
      </c>
      <c r="N1534" t="s">
        <v>89</v>
      </c>
      <c r="O1534" t="s">
        <v>48</v>
      </c>
      <c r="P1534" t="s">
        <v>49</v>
      </c>
      <c r="Q1534" t="s">
        <v>10658</v>
      </c>
      <c r="R1534" t="s">
        <v>10659</v>
      </c>
      <c r="S1534">
        <v>3079</v>
      </c>
      <c r="T1534" t="s">
        <v>92</v>
      </c>
      <c r="U1534" t="s">
        <v>3030</v>
      </c>
      <c r="V1534" t="s">
        <v>3031</v>
      </c>
      <c r="W1534" t="s">
        <v>3032</v>
      </c>
      <c r="X1534" t="s">
        <v>52</v>
      </c>
      <c r="Y1534" t="s">
        <v>410</v>
      </c>
      <c r="Z1534">
        <v>1560</v>
      </c>
      <c r="AA1534">
        <v>28</v>
      </c>
      <c r="AB1534">
        <v>176</v>
      </c>
      <c r="AC1534" t="s">
        <v>8289</v>
      </c>
      <c r="AD1534" t="s">
        <v>10660</v>
      </c>
      <c r="AE1534" t="s">
        <v>4833</v>
      </c>
      <c r="AJ1534" s="2">
        <v>45370.761724537035</v>
      </c>
      <c r="AK1534" t="s">
        <v>8289</v>
      </c>
      <c r="AL1534" t="s">
        <v>475</v>
      </c>
      <c r="AM1534" s="4">
        <v>0.61805555555555558</v>
      </c>
      <c r="AN1534" t="s">
        <v>66</v>
      </c>
      <c r="AO1534" t="s">
        <v>67</v>
      </c>
    </row>
    <row r="1535" spans="1:41" x14ac:dyDescent="0.2">
      <c r="A1535">
        <v>371629</v>
      </c>
      <c r="B1535" t="s">
        <v>10661</v>
      </c>
      <c r="C1535" t="s">
        <v>42</v>
      </c>
      <c r="D1535" t="s">
        <v>2978</v>
      </c>
      <c r="E1535" t="s">
        <v>10662</v>
      </c>
      <c r="F1535">
        <v>293304</v>
      </c>
      <c r="G1535" s="1">
        <v>38323</v>
      </c>
      <c r="H1535" s="1">
        <v>45814</v>
      </c>
      <c r="I1535" s="1">
        <v>46174</v>
      </c>
      <c r="J1535" t="s">
        <v>45</v>
      </c>
      <c r="K1535" t="s">
        <v>45</v>
      </c>
      <c r="L1535" t="s">
        <v>46</v>
      </c>
      <c r="N1535" t="s">
        <v>47</v>
      </c>
      <c r="O1535" t="s">
        <v>48</v>
      </c>
      <c r="P1535" t="s">
        <v>49</v>
      </c>
      <c r="Q1535" t="s">
        <v>10663</v>
      </c>
      <c r="R1535" t="s">
        <v>10664</v>
      </c>
      <c r="S1535">
        <v>5805</v>
      </c>
      <c r="T1535" t="s">
        <v>296</v>
      </c>
      <c r="U1535" t="s">
        <v>2674</v>
      </c>
      <c r="V1535" t="s">
        <v>10665</v>
      </c>
      <c r="W1535" t="s">
        <v>299</v>
      </c>
      <c r="X1535" t="s">
        <v>55</v>
      </c>
      <c r="Y1535" t="s">
        <v>56</v>
      </c>
      <c r="Z1535">
        <v>2657</v>
      </c>
      <c r="AA1535">
        <v>37</v>
      </c>
      <c r="AB1535">
        <v>160</v>
      </c>
      <c r="AC1535" t="s">
        <v>10666</v>
      </c>
      <c r="AD1535" t="s">
        <v>3529</v>
      </c>
      <c r="AE1535" t="s">
        <v>10667</v>
      </c>
      <c r="AI1535" t="s">
        <v>2682</v>
      </c>
      <c r="AJ1535" s="2">
        <v>45817.74496527778</v>
      </c>
      <c r="AK1535" t="s">
        <v>64</v>
      </c>
      <c r="AL1535" t="s">
        <v>65</v>
      </c>
      <c r="AM1535" s="3">
        <v>1.4027777777777777</v>
      </c>
      <c r="AN1535" t="s">
        <v>66</v>
      </c>
      <c r="AO1535" t="s">
        <v>67</v>
      </c>
    </row>
    <row r="1536" spans="1:41" x14ac:dyDescent="0.2">
      <c r="A1536">
        <v>368808</v>
      </c>
      <c r="B1536" t="s">
        <v>10668</v>
      </c>
      <c r="C1536" t="s">
        <v>662</v>
      </c>
      <c r="D1536" t="s">
        <v>6528</v>
      </c>
      <c r="E1536" t="s">
        <v>10669</v>
      </c>
      <c r="F1536">
        <v>418603</v>
      </c>
      <c r="G1536" s="1">
        <v>37299</v>
      </c>
      <c r="H1536" s="1">
        <v>45715</v>
      </c>
      <c r="I1536" s="1">
        <v>46054</v>
      </c>
      <c r="J1536" t="s">
        <v>45</v>
      </c>
      <c r="K1536" t="s">
        <v>45</v>
      </c>
      <c r="L1536" t="s">
        <v>46</v>
      </c>
      <c r="M1536" s="1">
        <v>45575</v>
      </c>
      <c r="N1536" t="s">
        <v>47</v>
      </c>
      <c r="O1536" t="s">
        <v>48</v>
      </c>
      <c r="P1536" t="s">
        <v>49</v>
      </c>
      <c r="Q1536" t="s">
        <v>10670</v>
      </c>
      <c r="R1536" t="s">
        <v>10671</v>
      </c>
      <c r="S1536">
        <v>25</v>
      </c>
      <c r="T1536" t="s">
        <v>156</v>
      </c>
      <c r="U1536" t="s">
        <v>667</v>
      </c>
      <c r="V1536" t="s">
        <v>886</v>
      </c>
      <c r="W1536" t="s">
        <v>159</v>
      </c>
      <c r="X1536" t="s">
        <v>55</v>
      </c>
      <c r="Y1536" t="s">
        <v>56</v>
      </c>
      <c r="Z1536">
        <v>2012</v>
      </c>
      <c r="AA1536">
        <v>51</v>
      </c>
      <c r="AB1536">
        <v>158</v>
      </c>
      <c r="AC1536" t="s">
        <v>887</v>
      </c>
      <c r="AD1536" t="s">
        <v>888</v>
      </c>
      <c r="AE1536" t="s">
        <v>889</v>
      </c>
      <c r="AF1536" t="s">
        <v>10612</v>
      </c>
      <c r="AG1536" t="s">
        <v>10613</v>
      </c>
      <c r="AH1536" t="s">
        <v>10614</v>
      </c>
      <c r="AI1536" t="s">
        <v>179</v>
      </c>
      <c r="AJ1536" s="2">
        <v>45722.624386574076</v>
      </c>
      <c r="AK1536" t="s">
        <v>307</v>
      </c>
      <c r="AL1536" t="s">
        <v>65</v>
      </c>
      <c r="AM1536" s="4">
        <v>0.94444444444444442</v>
      </c>
      <c r="AN1536" t="s">
        <v>66</v>
      </c>
      <c r="AO1536" t="s">
        <v>67</v>
      </c>
    </row>
    <row r="1537" spans="1:41" x14ac:dyDescent="0.2">
      <c r="A1537">
        <v>369810</v>
      </c>
      <c r="B1537" t="s">
        <v>10672</v>
      </c>
      <c r="C1537" t="s">
        <v>309</v>
      </c>
      <c r="D1537" t="s">
        <v>8509</v>
      </c>
      <c r="E1537" t="s">
        <v>10673</v>
      </c>
      <c r="G1537" s="1">
        <v>45689</v>
      </c>
      <c r="H1537" s="1">
        <v>45566</v>
      </c>
      <c r="J1537" t="s">
        <v>45</v>
      </c>
      <c r="K1537" t="s">
        <v>45</v>
      </c>
      <c r="L1537" t="s">
        <v>46</v>
      </c>
      <c r="N1537" t="s">
        <v>47</v>
      </c>
      <c r="O1537" t="s">
        <v>48</v>
      </c>
      <c r="P1537" t="s">
        <v>49</v>
      </c>
      <c r="Q1537" t="s">
        <v>10674</v>
      </c>
      <c r="R1537" t="s">
        <v>10675</v>
      </c>
      <c r="S1537">
        <v>797</v>
      </c>
      <c r="T1537" t="s">
        <v>92</v>
      </c>
      <c r="U1537" t="s">
        <v>313</v>
      </c>
      <c r="V1537" t="s">
        <v>314</v>
      </c>
      <c r="W1537" t="s">
        <v>315</v>
      </c>
      <c r="X1537" t="s">
        <v>92</v>
      </c>
      <c r="Y1537" t="s">
        <v>96</v>
      </c>
      <c r="Z1537">
        <v>12298</v>
      </c>
      <c r="AA1537">
        <v>4</v>
      </c>
      <c r="AB1537">
        <v>44</v>
      </c>
      <c r="AC1537" t="s">
        <v>316</v>
      </c>
      <c r="AD1537" t="s">
        <v>317</v>
      </c>
      <c r="AE1537" t="s">
        <v>318</v>
      </c>
      <c r="AF1537" t="s">
        <v>8548</v>
      </c>
      <c r="AG1537" t="s">
        <v>8549</v>
      </c>
      <c r="AH1537" t="s">
        <v>8550</v>
      </c>
      <c r="AJ1537" s="2">
        <v>45754.751608796294</v>
      </c>
      <c r="AK1537" t="s">
        <v>100</v>
      </c>
      <c r="AL1537" t="s">
        <v>65</v>
      </c>
      <c r="AM1537" s="3">
        <v>2.0243055555555554</v>
      </c>
      <c r="AN1537" t="s">
        <v>66</v>
      </c>
      <c r="AO1537" t="s">
        <v>67</v>
      </c>
    </row>
    <row r="1538" spans="1:41" x14ac:dyDescent="0.2">
      <c r="A1538">
        <v>339373</v>
      </c>
      <c r="B1538" t="s">
        <v>10676</v>
      </c>
      <c r="C1538" t="s">
        <v>278</v>
      </c>
      <c r="D1538" t="s">
        <v>2210</v>
      </c>
      <c r="E1538" t="s">
        <v>10677</v>
      </c>
      <c r="G1538" s="1">
        <v>36080</v>
      </c>
      <c r="H1538" s="1">
        <v>42900</v>
      </c>
      <c r="J1538" t="s">
        <v>326</v>
      </c>
      <c r="K1538" t="s">
        <v>45</v>
      </c>
      <c r="L1538" t="s">
        <v>72</v>
      </c>
      <c r="M1538" s="1">
        <v>42957</v>
      </c>
      <c r="N1538" t="s">
        <v>89</v>
      </c>
      <c r="O1538" t="s">
        <v>48</v>
      </c>
      <c r="P1538" t="s">
        <v>1752</v>
      </c>
      <c r="Q1538" t="s">
        <v>10678</v>
      </c>
      <c r="R1538" t="s">
        <v>10679</v>
      </c>
      <c r="S1538">
        <v>7426</v>
      </c>
      <c r="T1538" t="s">
        <v>365</v>
      </c>
      <c r="U1538" t="s">
        <v>432</v>
      </c>
      <c r="V1538" t="s">
        <v>2214</v>
      </c>
      <c r="W1538" t="s">
        <v>409</v>
      </c>
      <c r="X1538" t="s">
        <v>76</v>
      </c>
      <c r="Y1538" t="s">
        <v>642</v>
      </c>
      <c r="Z1538">
        <v>9006</v>
      </c>
      <c r="AA1538">
        <v>14</v>
      </c>
      <c r="AB1538">
        <v>160</v>
      </c>
      <c r="AC1538" t="s">
        <v>2215</v>
      </c>
      <c r="AD1538" t="s">
        <v>2216</v>
      </c>
      <c r="AE1538" t="s">
        <v>2217</v>
      </c>
      <c r="AJ1538" s="2">
        <v>44686.573819444442</v>
      </c>
      <c r="AK1538" t="s">
        <v>149</v>
      </c>
      <c r="AL1538" t="s">
        <v>1168</v>
      </c>
      <c r="AM1538" s="3">
        <v>1.9652777777777777</v>
      </c>
      <c r="AN1538" t="s">
        <v>66</v>
      </c>
      <c r="AO1538" t="s">
        <v>67</v>
      </c>
    </row>
    <row r="1539" spans="1:41" x14ac:dyDescent="0.2">
      <c r="A1539">
        <v>369692</v>
      </c>
      <c r="B1539" t="s">
        <v>10680</v>
      </c>
      <c r="C1539" t="s">
        <v>1565</v>
      </c>
      <c r="D1539" t="s">
        <v>10681</v>
      </c>
      <c r="E1539">
        <v>83788290</v>
      </c>
      <c r="F1539">
        <v>395901</v>
      </c>
      <c r="G1539" s="1">
        <v>37931</v>
      </c>
      <c r="H1539" s="1">
        <v>45555</v>
      </c>
      <c r="J1539" t="s">
        <v>45</v>
      </c>
      <c r="K1539" t="s">
        <v>45</v>
      </c>
      <c r="L1539" t="s">
        <v>72</v>
      </c>
      <c r="M1539" s="1">
        <v>43444</v>
      </c>
      <c r="N1539" t="s">
        <v>47</v>
      </c>
      <c r="O1539" t="s">
        <v>48</v>
      </c>
      <c r="P1539" t="s">
        <v>49</v>
      </c>
      <c r="Q1539" t="s">
        <v>10682</v>
      </c>
      <c r="R1539" t="s">
        <v>10683</v>
      </c>
      <c r="S1539">
        <v>1710</v>
      </c>
      <c r="T1539" t="s">
        <v>156</v>
      </c>
      <c r="U1539" t="s">
        <v>1018</v>
      </c>
      <c r="V1539" t="s">
        <v>10684</v>
      </c>
      <c r="W1539" t="s">
        <v>159</v>
      </c>
      <c r="X1539" t="s">
        <v>156</v>
      </c>
      <c r="Y1539" t="s">
        <v>450</v>
      </c>
      <c r="Z1539">
        <v>2469</v>
      </c>
      <c r="AA1539">
        <v>49</v>
      </c>
      <c r="AB1539">
        <v>160</v>
      </c>
      <c r="AC1539" t="s">
        <v>5841</v>
      </c>
      <c r="AD1539" t="s">
        <v>5842</v>
      </c>
      <c r="AE1539" t="s">
        <v>5843</v>
      </c>
      <c r="AF1539" t="s">
        <v>5844</v>
      </c>
      <c r="AG1539" t="s">
        <v>5845</v>
      </c>
      <c r="AH1539" t="s">
        <v>5846</v>
      </c>
      <c r="AI1539" t="s">
        <v>10685</v>
      </c>
      <c r="AJ1539" s="2">
        <v>45749.586435185185</v>
      </c>
      <c r="AK1539" t="s">
        <v>1024</v>
      </c>
      <c r="AL1539" t="s">
        <v>65</v>
      </c>
      <c r="AM1539" s="3">
        <v>1.7430555555555556</v>
      </c>
      <c r="AN1539" t="s">
        <v>66</v>
      </c>
      <c r="AO1539" t="s">
        <v>67</v>
      </c>
    </row>
    <row r="1540" spans="1:41" x14ac:dyDescent="0.2">
      <c r="A1540">
        <v>346007</v>
      </c>
      <c r="B1540" t="s">
        <v>10686</v>
      </c>
      <c r="C1540" t="s">
        <v>182</v>
      </c>
      <c r="D1540" t="s">
        <v>1628</v>
      </c>
      <c r="E1540" t="s">
        <v>10687</v>
      </c>
      <c r="G1540" s="1">
        <v>41493</v>
      </c>
      <c r="H1540" s="1">
        <v>42256</v>
      </c>
      <c r="J1540" t="s">
        <v>72</v>
      </c>
      <c r="K1540" t="s">
        <v>72</v>
      </c>
      <c r="L1540" t="s">
        <v>72</v>
      </c>
      <c r="N1540" t="s">
        <v>47</v>
      </c>
      <c r="O1540" t="s">
        <v>121</v>
      </c>
      <c r="P1540" t="s">
        <v>586</v>
      </c>
      <c r="Q1540" t="s">
        <v>10688</v>
      </c>
      <c r="R1540" t="s">
        <v>10689</v>
      </c>
      <c r="S1540">
        <v>4724</v>
      </c>
      <c r="T1540" t="s">
        <v>92</v>
      </c>
      <c r="U1540" t="s">
        <v>187</v>
      </c>
      <c r="V1540" t="s">
        <v>447</v>
      </c>
      <c r="W1540" t="s">
        <v>10690</v>
      </c>
      <c r="X1540" t="s">
        <v>92</v>
      </c>
      <c r="Y1540" t="s">
        <v>642</v>
      </c>
      <c r="Z1540">
        <v>6386</v>
      </c>
      <c r="AA1540">
        <v>13</v>
      </c>
      <c r="AB1540">
        <v>24</v>
      </c>
      <c r="AC1540" t="s">
        <v>10691</v>
      </c>
      <c r="AD1540" t="s">
        <v>10692</v>
      </c>
      <c r="AE1540" t="s">
        <v>10693</v>
      </c>
      <c r="AF1540" t="s">
        <v>10694</v>
      </c>
      <c r="AG1540" t="s">
        <v>10695</v>
      </c>
      <c r="AH1540" t="s">
        <v>10693</v>
      </c>
      <c r="AJ1540" s="2">
        <v>44956.895277777781</v>
      </c>
      <c r="AK1540" t="s">
        <v>100</v>
      </c>
      <c r="AL1540" t="s">
        <v>1168</v>
      </c>
      <c r="AM1540" s="4">
        <v>0.4513888888888889</v>
      </c>
      <c r="AN1540" t="s">
        <v>66</v>
      </c>
      <c r="AO1540" t="s">
        <v>67</v>
      </c>
    </row>
    <row r="1541" spans="1:41" x14ac:dyDescent="0.2">
      <c r="A1541">
        <v>367880</v>
      </c>
      <c r="B1541" t="s">
        <v>10696</v>
      </c>
      <c r="C1541" t="s">
        <v>788</v>
      </c>
      <c r="D1541" t="s">
        <v>1628</v>
      </c>
      <c r="E1541" t="s">
        <v>10697</v>
      </c>
      <c r="F1541">
        <v>84002</v>
      </c>
      <c r="G1541" s="1">
        <v>44490</v>
      </c>
      <c r="H1541" s="1">
        <v>45629</v>
      </c>
      <c r="J1541" t="s">
        <v>45</v>
      </c>
      <c r="K1541" t="s">
        <v>45</v>
      </c>
      <c r="L1541" t="s">
        <v>72</v>
      </c>
      <c r="N1541" t="s">
        <v>47</v>
      </c>
      <c r="O1541" t="s">
        <v>48</v>
      </c>
      <c r="P1541" t="s">
        <v>49</v>
      </c>
      <c r="Q1541" t="s">
        <v>10698</v>
      </c>
      <c r="R1541" t="s">
        <v>10699</v>
      </c>
      <c r="S1541">
        <v>121</v>
      </c>
      <c r="T1541" t="s">
        <v>92</v>
      </c>
      <c r="U1541" t="s">
        <v>2815</v>
      </c>
      <c r="V1541" t="s">
        <v>2816</v>
      </c>
      <c r="W1541" t="s">
        <v>2817</v>
      </c>
      <c r="X1541" t="s">
        <v>92</v>
      </c>
      <c r="Y1541" t="s">
        <v>410</v>
      </c>
      <c r="Z1541">
        <v>11748</v>
      </c>
      <c r="AA1541">
        <v>12</v>
      </c>
      <c r="AB1541">
        <v>189</v>
      </c>
      <c r="AC1541" t="s">
        <v>10700</v>
      </c>
      <c r="AD1541" t="s">
        <v>10701</v>
      </c>
      <c r="AE1541" t="s">
        <v>10702</v>
      </c>
      <c r="AF1541" t="s">
        <v>2821</v>
      </c>
      <c r="AG1541" t="s">
        <v>2822</v>
      </c>
      <c r="AH1541" t="s">
        <v>2823</v>
      </c>
      <c r="AJ1541" s="2">
        <v>45693.649363425924</v>
      </c>
      <c r="AK1541" t="s">
        <v>149</v>
      </c>
      <c r="AL1541" t="s">
        <v>65</v>
      </c>
      <c r="AM1541" s="3">
        <v>1.3055555555555556</v>
      </c>
      <c r="AN1541" t="s">
        <v>66</v>
      </c>
      <c r="AO1541" t="s">
        <v>101</v>
      </c>
    </row>
    <row r="1542" spans="1:41" x14ac:dyDescent="0.2">
      <c r="A1542">
        <v>364743</v>
      </c>
      <c r="B1542" t="s">
        <v>10703</v>
      </c>
      <c r="C1542" t="s">
        <v>345</v>
      </c>
      <c r="D1542" t="s">
        <v>3845</v>
      </c>
      <c r="E1542" t="s">
        <v>10704</v>
      </c>
      <c r="F1542">
        <v>53002</v>
      </c>
      <c r="G1542" s="1">
        <v>33372</v>
      </c>
      <c r="H1542" s="1">
        <v>45554</v>
      </c>
      <c r="I1542" s="1">
        <v>46218</v>
      </c>
      <c r="J1542" t="s">
        <v>45</v>
      </c>
      <c r="K1542" t="s">
        <v>45</v>
      </c>
      <c r="L1542" t="s">
        <v>72</v>
      </c>
      <c r="M1542" s="1">
        <v>40031</v>
      </c>
      <c r="N1542" t="s">
        <v>47</v>
      </c>
      <c r="O1542" t="s">
        <v>48</v>
      </c>
      <c r="P1542" t="s">
        <v>49</v>
      </c>
      <c r="Q1542" t="s">
        <v>10705</v>
      </c>
      <c r="R1542" t="s">
        <v>10706</v>
      </c>
      <c r="S1542">
        <v>8094</v>
      </c>
      <c r="T1542" t="s">
        <v>52</v>
      </c>
      <c r="U1542">
        <v>2</v>
      </c>
      <c r="V1542" t="s">
        <v>1522</v>
      </c>
      <c r="W1542" t="s">
        <v>54</v>
      </c>
      <c r="X1542" t="s">
        <v>55</v>
      </c>
      <c r="Y1542" t="s">
        <v>56</v>
      </c>
      <c r="Z1542">
        <v>582</v>
      </c>
      <c r="AA1542">
        <v>54</v>
      </c>
      <c r="AB1542">
        <v>38</v>
      </c>
      <c r="AC1542" t="s">
        <v>9858</v>
      </c>
      <c r="AD1542" t="s">
        <v>9859</v>
      </c>
      <c r="AE1542" t="s">
        <v>9860</v>
      </c>
      <c r="AF1542" t="s">
        <v>9861</v>
      </c>
      <c r="AG1542" t="s">
        <v>9862</v>
      </c>
      <c r="AH1542" t="s">
        <v>9863</v>
      </c>
      <c r="AI1542" t="s">
        <v>10707</v>
      </c>
      <c r="AJ1542" s="2">
        <v>45558.862453703703</v>
      </c>
      <c r="AK1542" t="s">
        <v>540</v>
      </c>
      <c r="AL1542" t="s">
        <v>65</v>
      </c>
      <c r="AM1542" s="3">
        <v>1.9375</v>
      </c>
      <c r="AN1542" t="s">
        <v>66</v>
      </c>
      <c r="AO1542" t="s">
        <v>67</v>
      </c>
    </row>
    <row r="1543" spans="1:41" x14ac:dyDescent="0.2">
      <c r="A1543">
        <v>373001</v>
      </c>
      <c r="B1543" t="s">
        <v>10703</v>
      </c>
      <c r="C1543" t="s">
        <v>788</v>
      </c>
      <c r="D1543" t="s">
        <v>3250</v>
      </c>
      <c r="E1543" t="s">
        <v>10708</v>
      </c>
      <c r="F1543">
        <v>83502</v>
      </c>
      <c r="G1543" s="1">
        <v>34822</v>
      </c>
      <c r="H1543" s="1">
        <v>45628</v>
      </c>
      <c r="I1543" s="1">
        <v>45992</v>
      </c>
      <c r="J1543" t="s">
        <v>45</v>
      </c>
      <c r="K1543" t="s">
        <v>45</v>
      </c>
      <c r="L1543" t="s">
        <v>545</v>
      </c>
      <c r="M1543" s="1">
        <v>43419</v>
      </c>
      <c r="N1543" t="s">
        <v>47</v>
      </c>
      <c r="O1543" t="s">
        <v>48</v>
      </c>
      <c r="P1543" t="s">
        <v>49</v>
      </c>
      <c r="Q1543" t="s">
        <v>10709</v>
      </c>
      <c r="R1543" t="s">
        <v>10710</v>
      </c>
      <c r="S1543">
        <v>129</v>
      </c>
      <c r="T1543" t="s">
        <v>52</v>
      </c>
      <c r="U1543">
        <v>8</v>
      </c>
      <c r="V1543" t="s">
        <v>793</v>
      </c>
      <c r="W1543" t="s">
        <v>54</v>
      </c>
      <c r="X1543" t="s">
        <v>76</v>
      </c>
      <c r="Y1543" t="s">
        <v>56</v>
      </c>
      <c r="Z1543">
        <v>2400</v>
      </c>
      <c r="AA1543">
        <v>49</v>
      </c>
      <c r="AB1543">
        <v>45</v>
      </c>
      <c r="AC1543" t="s">
        <v>2863</v>
      </c>
      <c r="AD1543" t="s">
        <v>2864</v>
      </c>
      <c r="AE1543" t="s">
        <v>2865</v>
      </c>
      <c r="AF1543" t="s">
        <v>10711</v>
      </c>
      <c r="AG1543" t="s">
        <v>4799</v>
      </c>
      <c r="AH1543" t="s">
        <v>4800</v>
      </c>
      <c r="AJ1543" s="2">
        <v>45855.993946759256</v>
      </c>
      <c r="AK1543" t="s">
        <v>556</v>
      </c>
      <c r="AL1543" t="s">
        <v>65</v>
      </c>
      <c r="AM1543" s="3">
        <v>2.3958333333333335</v>
      </c>
      <c r="AN1543" t="s">
        <v>66</v>
      </c>
      <c r="AO1543" t="s">
        <v>101</v>
      </c>
    </row>
    <row r="1544" spans="1:41" x14ac:dyDescent="0.2">
      <c r="A1544">
        <v>368891</v>
      </c>
      <c r="B1544" t="s">
        <v>10712</v>
      </c>
      <c r="C1544" t="s">
        <v>182</v>
      </c>
      <c r="D1544" t="s">
        <v>779</v>
      </c>
      <c r="E1544" t="s">
        <v>10713</v>
      </c>
      <c r="F1544">
        <v>45626</v>
      </c>
      <c r="G1544" s="1">
        <v>39867</v>
      </c>
      <c r="H1544" s="1">
        <v>45643</v>
      </c>
      <c r="I1544" s="1">
        <v>46006</v>
      </c>
      <c r="J1544" t="s">
        <v>45</v>
      </c>
      <c r="K1544" t="s">
        <v>45</v>
      </c>
      <c r="L1544" t="s">
        <v>429</v>
      </c>
      <c r="M1544" s="1">
        <v>43657</v>
      </c>
      <c r="N1544" t="s">
        <v>47</v>
      </c>
      <c r="O1544" t="s">
        <v>48</v>
      </c>
      <c r="P1544" t="s">
        <v>49</v>
      </c>
      <c r="Q1544" t="s">
        <v>10714</v>
      </c>
      <c r="R1544" t="s">
        <v>10715</v>
      </c>
      <c r="S1544">
        <v>1516</v>
      </c>
      <c r="T1544" t="s">
        <v>365</v>
      </c>
      <c r="U1544" t="s">
        <v>815</v>
      </c>
      <c r="V1544" t="s">
        <v>816</v>
      </c>
      <c r="W1544" t="s">
        <v>367</v>
      </c>
      <c r="X1544" t="s">
        <v>493</v>
      </c>
      <c r="Y1544" t="s">
        <v>434</v>
      </c>
      <c r="Z1544">
        <v>309</v>
      </c>
      <c r="AA1544">
        <v>70</v>
      </c>
      <c r="AB1544">
        <v>158</v>
      </c>
      <c r="AC1544" t="s">
        <v>817</v>
      </c>
      <c r="AD1544" t="s">
        <v>818</v>
      </c>
      <c r="AE1544" t="s">
        <v>819</v>
      </c>
      <c r="AF1544" t="s">
        <v>10716</v>
      </c>
      <c r="AH1544" t="s">
        <v>10717</v>
      </c>
      <c r="AI1544" t="s">
        <v>179</v>
      </c>
      <c r="AJ1544" s="2">
        <v>45722.893993055557</v>
      </c>
      <c r="AK1544" t="s">
        <v>501</v>
      </c>
      <c r="AL1544" t="s">
        <v>65</v>
      </c>
      <c r="AM1544" s="4">
        <v>0.6875</v>
      </c>
      <c r="AN1544" t="s">
        <v>66</v>
      </c>
      <c r="AO1544" t="s">
        <v>67</v>
      </c>
    </row>
    <row r="1545" spans="1:41" x14ac:dyDescent="0.2">
      <c r="A1545">
        <v>371352</v>
      </c>
      <c r="B1545" t="s">
        <v>10718</v>
      </c>
      <c r="C1545" t="s">
        <v>323</v>
      </c>
      <c r="D1545" t="s">
        <v>6174</v>
      </c>
      <c r="E1545" t="s">
        <v>10719</v>
      </c>
      <c r="F1545">
        <v>500623</v>
      </c>
      <c r="G1545" s="1">
        <v>33773</v>
      </c>
      <c r="H1545" s="1">
        <v>45799</v>
      </c>
      <c r="I1545" s="1">
        <v>46037</v>
      </c>
      <c r="J1545" t="s">
        <v>45</v>
      </c>
      <c r="K1545" t="s">
        <v>45</v>
      </c>
      <c r="L1545" t="s">
        <v>72</v>
      </c>
      <c r="M1545" s="1">
        <v>44404</v>
      </c>
      <c r="N1545" t="s">
        <v>47</v>
      </c>
      <c r="O1545" t="s">
        <v>48</v>
      </c>
      <c r="P1545" t="s">
        <v>49</v>
      </c>
      <c r="Q1545" t="s">
        <v>10720</v>
      </c>
      <c r="R1545" t="s">
        <v>10721</v>
      </c>
      <c r="S1545">
        <v>740</v>
      </c>
      <c r="T1545" t="s">
        <v>257</v>
      </c>
      <c r="U1545" t="s">
        <v>329</v>
      </c>
      <c r="V1545" t="s">
        <v>6178</v>
      </c>
      <c r="W1545" t="s">
        <v>260</v>
      </c>
      <c r="X1545" t="s">
        <v>257</v>
      </c>
      <c r="Y1545" t="s">
        <v>110</v>
      </c>
      <c r="Z1545">
        <v>490</v>
      </c>
      <c r="AA1545">
        <v>48</v>
      </c>
      <c r="AB1545">
        <v>158</v>
      </c>
      <c r="AC1545" t="s">
        <v>6179</v>
      </c>
      <c r="AD1545" t="s">
        <v>343</v>
      </c>
      <c r="AE1545" t="s">
        <v>6180</v>
      </c>
      <c r="AF1545" t="s">
        <v>368</v>
      </c>
      <c r="AG1545" t="s">
        <v>369</v>
      </c>
      <c r="AH1545" t="s">
        <v>370</v>
      </c>
      <c r="AI1545" t="s">
        <v>343</v>
      </c>
      <c r="AJ1545" s="2">
        <v>45806.075752314813</v>
      </c>
      <c r="AK1545" t="s">
        <v>10722</v>
      </c>
      <c r="AL1545" t="s">
        <v>65</v>
      </c>
      <c r="AM1545" s="4">
        <v>0.89583333333333337</v>
      </c>
      <c r="AN1545" t="s">
        <v>66</v>
      </c>
      <c r="AO1545" t="s">
        <v>67</v>
      </c>
    </row>
    <row r="1546" spans="1:41" x14ac:dyDescent="0.2">
      <c r="A1546">
        <v>371149</v>
      </c>
      <c r="B1546" t="s">
        <v>10723</v>
      </c>
      <c r="C1546" t="s">
        <v>182</v>
      </c>
      <c r="D1546" t="s">
        <v>183</v>
      </c>
      <c r="E1546" t="s">
        <v>10724</v>
      </c>
      <c r="F1546">
        <v>45450</v>
      </c>
      <c r="G1546" s="1">
        <v>38330</v>
      </c>
      <c r="H1546" s="1">
        <v>45687</v>
      </c>
      <c r="I1546" s="1">
        <v>46037</v>
      </c>
      <c r="J1546" t="s">
        <v>45</v>
      </c>
      <c r="K1546" t="s">
        <v>45</v>
      </c>
      <c r="L1546" t="s">
        <v>72</v>
      </c>
      <c r="M1546" s="1">
        <v>42838</v>
      </c>
      <c r="N1546" t="s">
        <v>47</v>
      </c>
      <c r="O1546" t="s">
        <v>48</v>
      </c>
      <c r="P1546" t="s">
        <v>49</v>
      </c>
      <c r="Q1546" t="s">
        <v>10725</v>
      </c>
      <c r="R1546" t="s">
        <v>10726</v>
      </c>
      <c r="S1546">
        <v>2980</v>
      </c>
      <c r="T1546" t="s">
        <v>92</v>
      </c>
      <c r="U1546" t="s">
        <v>187</v>
      </c>
      <c r="V1546" t="s">
        <v>188</v>
      </c>
      <c r="W1546" t="s">
        <v>189</v>
      </c>
      <c r="X1546" t="s">
        <v>92</v>
      </c>
      <c r="Y1546" t="s">
        <v>110</v>
      </c>
      <c r="Z1546">
        <v>2341</v>
      </c>
      <c r="AA1546">
        <v>57</v>
      </c>
      <c r="AB1546">
        <v>38</v>
      </c>
      <c r="AC1546" t="s">
        <v>190</v>
      </c>
      <c r="AD1546" t="s">
        <v>191</v>
      </c>
      <c r="AE1546" t="s">
        <v>192</v>
      </c>
      <c r="AF1546" t="s">
        <v>193</v>
      </c>
      <c r="AG1546" t="s">
        <v>10727</v>
      </c>
      <c r="AH1546" t="s">
        <v>195</v>
      </c>
      <c r="AJ1546" s="2">
        <v>45797.724861111114</v>
      </c>
      <c r="AK1546" t="s">
        <v>193</v>
      </c>
      <c r="AL1546" t="s">
        <v>65</v>
      </c>
      <c r="AM1546" s="3">
        <v>2.3194444444444446</v>
      </c>
      <c r="AN1546" t="s">
        <v>66</v>
      </c>
      <c r="AO1546" t="s">
        <v>67</v>
      </c>
    </row>
    <row r="1547" spans="1:41" x14ac:dyDescent="0.2">
      <c r="A1547">
        <v>364032</v>
      </c>
      <c r="B1547" t="s">
        <v>10728</v>
      </c>
      <c r="C1547" t="s">
        <v>412</v>
      </c>
      <c r="D1547" t="s">
        <v>10729</v>
      </c>
      <c r="E1547" t="s">
        <v>10730</v>
      </c>
      <c r="F1547">
        <v>300411</v>
      </c>
      <c r="G1547" s="1">
        <v>38097</v>
      </c>
      <c r="H1547" s="1">
        <v>45481</v>
      </c>
      <c r="J1547" t="s">
        <v>45</v>
      </c>
      <c r="K1547" t="s">
        <v>326</v>
      </c>
      <c r="L1547" t="s">
        <v>72</v>
      </c>
      <c r="N1547" t="s">
        <v>47</v>
      </c>
      <c r="O1547" t="s">
        <v>48</v>
      </c>
      <c r="P1547" t="s">
        <v>49</v>
      </c>
      <c r="Q1547" t="s">
        <v>10731</v>
      </c>
      <c r="R1547" t="s">
        <v>10732</v>
      </c>
      <c r="S1547">
        <v>1800</v>
      </c>
      <c r="T1547" t="s">
        <v>92</v>
      </c>
      <c r="U1547" t="s">
        <v>417</v>
      </c>
      <c r="V1547" t="s">
        <v>418</v>
      </c>
      <c r="W1547" t="s">
        <v>419</v>
      </c>
      <c r="X1547" t="s">
        <v>92</v>
      </c>
      <c r="Y1547" t="s">
        <v>410</v>
      </c>
      <c r="Z1547">
        <v>2561</v>
      </c>
      <c r="AA1547">
        <v>35</v>
      </c>
      <c r="AB1547">
        <v>158</v>
      </c>
      <c r="AC1547" t="s">
        <v>420</v>
      </c>
      <c r="AD1547" t="s">
        <v>421</v>
      </c>
      <c r="AE1547" t="s">
        <v>422</v>
      </c>
      <c r="AF1547" t="s">
        <v>10733</v>
      </c>
      <c r="AG1547" t="s">
        <v>10734</v>
      </c>
      <c r="AH1547" t="s">
        <v>10735</v>
      </c>
      <c r="AJ1547" s="2">
        <v>45848.64607638889</v>
      </c>
      <c r="AK1547" t="s">
        <v>100</v>
      </c>
      <c r="AL1547" t="s">
        <v>65</v>
      </c>
      <c r="AM1547" s="4">
        <v>3.4722222222222224E-2</v>
      </c>
      <c r="AN1547" t="s">
        <v>66</v>
      </c>
      <c r="AO1547" t="s">
        <v>67</v>
      </c>
    </row>
    <row r="1548" spans="1:41" x14ac:dyDescent="0.2">
      <c r="A1548">
        <v>370008</v>
      </c>
      <c r="B1548" t="s">
        <v>10736</v>
      </c>
      <c r="C1548" t="s">
        <v>182</v>
      </c>
      <c r="D1548" t="s">
        <v>779</v>
      </c>
      <c r="E1548" t="s">
        <v>10737</v>
      </c>
      <c r="F1548">
        <v>45637</v>
      </c>
      <c r="G1548" s="1">
        <v>44658</v>
      </c>
      <c r="H1548" s="1">
        <v>45618</v>
      </c>
      <c r="J1548" t="s">
        <v>45</v>
      </c>
      <c r="K1548" t="s">
        <v>45</v>
      </c>
      <c r="L1548" t="s">
        <v>72</v>
      </c>
      <c r="N1548" t="s">
        <v>47</v>
      </c>
      <c r="O1548" t="s">
        <v>48</v>
      </c>
      <c r="P1548" t="s">
        <v>49</v>
      </c>
      <c r="Q1548" t="s">
        <v>10738</v>
      </c>
      <c r="R1548" t="s">
        <v>10739</v>
      </c>
      <c r="S1548">
        <v>1654</v>
      </c>
      <c r="T1548" t="s">
        <v>92</v>
      </c>
      <c r="U1548" t="s">
        <v>187</v>
      </c>
      <c r="V1548" t="s">
        <v>447</v>
      </c>
      <c r="W1548" t="s">
        <v>448</v>
      </c>
      <c r="X1548" t="s">
        <v>92</v>
      </c>
      <c r="Y1548" t="s">
        <v>770</v>
      </c>
      <c r="Z1548">
        <v>10766</v>
      </c>
      <c r="AA1548">
        <v>13</v>
      </c>
      <c r="AB1548">
        <v>78</v>
      </c>
      <c r="AC1548" t="s">
        <v>451</v>
      </c>
      <c r="AD1548" t="s">
        <v>452</v>
      </c>
      <c r="AE1548" t="s">
        <v>453</v>
      </c>
      <c r="AF1548" t="s">
        <v>783</v>
      </c>
      <c r="AG1548" t="s">
        <v>784</v>
      </c>
      <c r="AH1548" t="s">
        <v>785</v>
      </c>
      <c r="AJ1548" s="2">
        <v>45761.749861111108</v>
      </c>
      <c r="AK1548" t="s">
        <v>650</v>
      </c>
      <c r="AL1548" t="s">
        <v>65</v>
      </c>
      <c r="AM1548" s="3">
        <v>1.9791666666666667</v>
      </c>
      <c r="AN1548" t="s">
        <v>66</v>
      </c>
      <c r="AO1548" t="s">
        <v>67</v>
      </c>
    </row>
    <row r="1549" spans="1:41" x14ac:dyDescent="0.2">
      <c r="A1549">
        <v>367918</v>
      </c>
      <c r="B1549" t="s">
        <v>10740</v>
      </c>
      <c r="C1549" t="s">
        <v>788</v>
      </c>
      <c r="E1549" s="5">
        <v>837891000000</v>
      </c>
      <c r="F1549">
        <v>84802</v>
      </c>
      <c r="G1549" s="1">
        <v>38028</v>
      </c>
      <c r="H1549" s="1">
        <v>45685</v>
      </c>
      <c r="J1549" t="s">
        <v>45</v>
      </c>
      <c r="K1549" t="s">
        <v>45</v>
      </c>
      <c r="L1549" t="s">
        <v>72</v>
      </c>
      <c r="N1549" t="s">
        <v>47</v>
      </c>
      <c r="O1549" t="s">
        <v>48</v>
      </c>
      <c r="P1549" t="s">
        <v>49</v>
      </c>
      <c r="Q1549" t="s">
        <v>10741</v>
      </c>
      <c r="R1549" t="s">
        <v>10742</v>
      </c>
      <c r="S1549">
        <v>141</v>
      </c>
      <c r="T1549" t="s">
        <v>156</v>
      </c>
      <c r="U1549" t="s">
        <v>157</v>
      </c>
      <c r="V1549" t="s">
        <v>10743</v>
      </c>
      <c r="W1549" t="s">
        <v>159</v>
      </c>
      <c r="X1549" t="s">
        <v>156</v>
      </c>
      <c r="Y1549" t="s">
        <v>450</v>
      </c>
      <c r="Z1549">
        <v>2474</v>
      </c>
      <c r="AA1549">
        <v>31</v>
      </c>
      <c r="AB1549">
        <v>160</v>
      </c>
      <c r="AC1549" t="s">
        <v>10744</v>
      </c>
      <c r="AD1549" t="s">
        <v>10745</v>
      </c>
      <c r="AE1549" t="s">
        <v>10746</v>
      </c>
      <c r="AI1549" t="s">
        <v>10745</v>
      </c>
      <c r="AJ1549" s="2">
        <v>45693.808506944442</v>
      </c>
      <c r="AK1549" t="s">
        <v>526</v>
      </c>
      <c r="AL1549" t="s">
        <v>65</v>
      </c>
      <c r="AM1549" s="3">
        <v>1.9166666666666667</v>
      </c>
      <c r="AN1549" t="s">
        <v>66</v>
      </c>
      <c r="AO1549" t="s">
        <v>67</v>
      </c>
    </row>
    <row r="1550" spans="1:41" x14ac:dyDescent="0.2">
      <c r="A1550">
        <v>365113</v>
      </c>
      <c r="B1550" t="s">
        <v>10747</v>
      </c>
      <c r="C1550" t="s">
        <v>788</v>
      </c>
      <c r="D1550" t="s">
        <v>10748</v>
      </c>
      <c r="E1550" t="s">
        <v>10749</v>
      </c>
      <c r="F1550">
        <v>83703</v>
      </c>
      <c r="G1550" s="1">
        <v>41912</v>
      </c>
      <c r="H1550" s="1">
        <v>45568</v>
      </c>
      <c r="I1550" s="1">
        <v>45931</v>
      </c>
      <c r="J1550" t="s">
        <v>45</v>
      </c>
      <c r="K1550" t="s">
        <v>45</v>
      </c>
      <c r="L1550" t="s">
        <v>72</v>
      </c>
      <c r="M1550" s="1">
        <v>44481</v>
      </c>
      <c r="N1550" t="s">
        <v>47</v>
      </c>
      <c r="O1550" t="s">
        <v>48</v>
      </c>
      <c r="P1550" t="s">
        <v>49</v>
      </c>
      <c r="Q1550" t="s">
        <v>10750</v>
      </c>
      <c r="R1550" t="s">
        <v>10751</v>
      </c>
      <c r="S1550">
        <v>16</v>
      </c>
      <c r="T1550" t="s">
        <v>156</v>
      </c>
      <c r="U1550" t="s">
        <v>157</v>
      </c>
      <c r="V1550" t="s">
        <v>10752</v>
      </c>
      <c r="W1550" t="s">
        <v>159</v>
      </c>
      <c r="X1550" t="s">
        <v>156</v>
      </c>
      <c r="Y1550" t="s">
        <v>110</v>
      </c>
      <c r="Z1550">
        <v>7267</v>
      </c>
      <c r="AA1550">
        <v>25</v>
      </c>
      <c r="AB1550">
        <v>45</v>
      </c>
      <c r="AC1550" t="s">
        <v>10753</v>
      </c>
      <c r="AD1550" t="s">
        <v>10754</v>
      </c>
      <c r="AE1550" t="s">
        <v>10755</v>
      </c>
      <c r="AF1550" t="s">
        <v>6395</v>
      </c>
      <c r="AG1550" t="s">
        <v>6396</v>
      </c>
      <c r="AH1550" t="s">
        <v>8631</v>
      </c>
      <c r="AI1550" t="s">
        <v>6396</v>
      </c>
      <c r="AJ1550" s="2">
        <v>45568.848136574074</v>
      </c>
      <c r="AK1550" t="s">
        <v>10744</v>
      </c>
      <c r="AL1550" t="s">
        <v>65</v>
      </c>
      <c r="AM1550" s="4">
        <v>0.73611111111111116</v>
      </c>
      <c r="AN1550" t="s">
        <v>66</v>
      </c>
      <c r="AO1550" t="s">
        <v>67</v>
      </c>
    </row>
    <row r="1551" spans="1:41" x14ac:dyDescent="0.2">
      <c r="A1551">
        <v>327335</v>
      </c>
      <c r="B1551" t="s">
        <v>10756</v>
      </c>
      <c r="C1551" t="s">
        <v>788</v>
      </c>
      <c r="D1551" t="s">
        <v>10748</v>
      </c>
      <c r="E1551">
        <v>32940006</v>
      </c>
      <c r="F1551">
        <v>83702</v>
      </c>
      <c r="G1551" s="1">
        <v>42788</v>
      </c>
      <c r="H1551" s="1">
        <v>43636</v>
      </c>
      <c r="I1551" s="1">
        <v>46113</v>
      </c>
      <c r="J1551" t="s">
        <v>45</v>
      </c>
      <c r="K1551" t="s">
        <v>72</v>
      </c>
      <c r="L1551" t="s">
        <v>72</v>
      </c>
      <c r="M1551" s="1">
        <v>43142</v>
      </c>
      <c r="N1551" t="s">
        <v>89</v>
      </c>
      <c r="O1551" t="s">
        <v>121</v>
      </c>
      <c r="P1551" t="s">
        <v>49</v>
      </c>
      <c r="Q1551" t="s">
        <v>10757</v>
      </c>
      <c r="R1551" t="s">
        <v>10758</v>
      </c>
      <c r="S1551">
        <v>47</v>
      </c>
      <c r="T1551" t="s">
        <v>156</v>
      </c>
      <c r="U1551" t="s">
        <v>157</v>
      </c>
      <c r="V1551" t="s">
        <v>10752</v>
      </c>
      <c r="W1551" t="s">
        <v>159</v>
      </c>
      <c r="X1551" t="s">
        <v>156</v>
      </c>
      <c r="Y1551" t="s">
        <v>110</v>
      </c>
      <c r="Z1551">
        <v>2511</v>
      </c>
      <c r="AA1551">
        <v>30</v>
      </c>
      <c r="AB1551">
        <v>66</v>
      </c>
      <c r="AC1551" t="s">
        <v>10744</v>
      </c>
      <c r="AD1551" t="s">
        <v>10759</v>
      </c>
      <c r="AE1551" t="s">
        <v>10760</v>
      </c>
      <c r="AF1551" t="s">
        <v>6395</v>
      </c>
      <c r="AG1551" t="s">
        <v>10761</v>
      </c>
      <c r="AH1551" t="s">
        <v>8631</v>
      </c>
      <c r="AJ1551" s="2">
        <v>44435.657465277778</v>
      </c>
      <c r="AK1551" t="s">
        <v>132</v>
      </c>
      <c r="AL1551" t="s">
        <v>475</v>
      </c>
      <c r="AM1551" s="3">
        <v>2.4583333333333335</v>
      </c>
      <c r="AN1551" t="s">
        <v>66</v>
      </c>
      <c r="AO1551" t="s">
        <v>67</v>
      </c>
    </row>
    <row r="1552" spans="1:41" x14ac:dyDescent="0.2">
      <c r="A1552">
        <v>364539</v>
      </c>
      <c r="B1552" t="s">
        <v>10762</v>
      </c>
      <c r="C1552" t="s">
        <v>118</v>
      </c>
      <c r="D1552" t="s">
        <v>1389</v>
      </c>
      <c r="E1552">
        <v>32840798</v>
      </c>
      <c r="F1552">
        <v>20303</v>
      </c>
      <c r="G1552" s="1">
        <v>45504</v>
      </c>
      <c r="H1552" s="1">
        <v>45545</v>
      </c>
      <c r="I1552" s="1">
        <v>46023</v>
      </c>
      <c r="J1552" t="s">
        <v>45</v>
      </c>
      <c r="K1552" t="s">
        <v>45</v>
      </c>
      <c r="L1552" t="s">
        <v>46</v>
      </c>
      <c r="N1552" t="s">
        <v>47</v>
      </c>
      <c r="O1552" t="s">
        <v>48</v>
      </c>
      <c r="P1552" t="s">
        <v>49</v>
      </c>
      <c r="Q1552" t="s">
        <v>10763</v>
      </c>
      <c r="R1552" t="s">
        <v>10764</v>
      </c>
      <c r="S1552">
        <v>7267</v>
      </c>
      <c r="T1552" t="s">
        <v>52</v>
      </c>
      <c r="U1552">
        <v>3</v>
      </c>
      <c r="V1552" t="s">
        <v>602</v>
      </c>
      <c r="W1552" t="s">
        <v>54</v>
      </c>
      <c r="X1552" t="s">
        <v>55</v>
      </c>
      <c r="Y1552" t="s">
        <v>56</v>
      </c>
      <c r="Z1552">
        <v>1168</v>
      </c>
      <c r="AA1552">
        <v>43</v>
      </c>
      <c r="AB1552">
        <v>160</v>
      </c>
      <c r="AC1552" t="s">
        <v>10765</v>
      </c>
      <c r="AD1552" t="s">
        <v>10766</v>
      </c>
      <c r="AE1552" t="s">
        <v>10767</v>
      </c>
      <c r="AF1552" t="s">
        <v>10768</v>
      </c>
      <c r="AG1552" t="s">
        <v>10769</v>
      </c>
      <c r="AH1552" t="s">
        <v>10770</v>
      </c>
      <c r="AI1552" t="s">
        <v>1809</v>
      </c>
      <c r="AJ1552" s="2">
        <v>45551.729328703703</v>
      </c>
      <c r="AK1552" t="s">
        <v>64</v>
      </c>
      <c r="AL1552" t="s">
        <v>65</v>
      </c>
      <c r="AM1552" s="4">
        <v>6.9444444444444441E-3</v>
      </c>
      <c r="AN1552" t="s">
        <v>66</v>
      </c>
      <c r="AO1552" t="s">
        <v>67</v>
      </c>
    </row>
    <row r="1553" spans="1:41" x14ac:dyDescent="0.2">
      <c r="A1553">
        <v>365031</v>
      </c>
      <c r="B1553" t="s">
        <v>10771</v>
      </c>
      <c r="C1553" t="s">
        <v>167</v>
      </c>
      <c r="D1553" t="s">
        <v>1628</v>
      </c>
      <c r="E1553" t="s">
        <v>10772</v>
      </c>
      <c r="G1553" s="1">
        <v>45566</v>
      </c>
      <c r="H1553" s="1">
        <v>45555</v>
      </c>
      <c r="I1553" s="1">
        <v>45931</v>
      </c>
      <c r="J1553" t="s">
        <v>45</v>
      </c>
      <c r="K1553" t="s">
        <v>45</v>
      </c>
      <c r="L1553" t="s">
        <v>72</v>
      </c>
      <c r="N1553" t="s">
        <v>47</v>
      </c>
      <c r="O1553" t="s">
        <v>121</v>
      </c>
      <c r="P1553" t="s">
        <v>49</v>
      </c>
      <c r="Q1553" t="s">
        <v>10773</v>
      </c>
      <c r="R1553" t="s">
        <v>10774</v>
      </c>
      <c r="S1553">
        <v>5040</v>
      </c>
      <c r="T1553" t="s">
        <v>365</v>
      </c>
      <c r="U1553" t="s">
        <v>562</v>
      </c>
      <c r="V1553" t="s">
        <v>5324</v>
      </c>
      <c r="W1553" t="s">
        <v>367</v>
      </c>
      <c r="X1553" t="s">
        <v>76</v>
      </c>
      <c r="Y1553" t="s">
        <v>125</v>
      </c>
      <c r="Z1553">
        <v>10686</v>
      </c>
      <c r="AA1553">
        <v>42</v>
      </c>
      <c r="AB1553">
        <v>78</v>
      </c>
      <c r="AC1553" t="s">
        <v>10775</v>
      </c>
      <c r="AD1553" t="s">
        <v>10776</v>
      </c>
      <c r="AE1553" t="s">
        <v>10777</v>
      </c>
      <c r="AF1553" t="s">
        <v>10778</v>
      </c>
      <c r="AG1553" t="s">
        <v>10779</v>
      </c>
      <c r="AH1553" t="s">
        <v>10780</v>
      </c>
      <c r="AI1553" t="s">
        <v>4396</v>
      </c>
      <c r="AJ1553" s="2">
        <v>45566.842881944445</v>
      </c>
      <c r="AK1553" t="s">
        <v>660</v>
      </c>
      <c r="AL1553" t="s">
        <v>65</v>
      </c>
      <c r="AM1553" s="3">
        <v>1.9513888888888888</v>
      </c>
      <c r="AN1553" t="s">
        <v>66</v>
      </c>
      <c r="AO1553" t="s">
        <v>67</v>
      </c>
    </row>
    <row r="1554" spans="1:41" x14ac:dyDescent="0.2">
      <c r="A1554">
        <v>367638</v>
      </c>
      <c r="B1554" t="s">
        <v>10781</v>
      </c>
      <c r="C1554" t="s">
        <v>167</v>
      </c>
      <c r="D1554" t="s">
        <v>1628</v>
      </c>
      <c r="E1554" t="s">
        <v>10782</v>
      </c>
      <c r="G1554" s="1">
        <v>45684</v>
      </c>
      <c r="H1554" s="1">
        <v>45685</v>
      </c>
      <c r="I1554" s="1">
        <v>46054</v>
      </c>
      <c r="J1554" t="s">
        <v>45</v>
      </c>
      <c r="K1554" t="s">
        <v>45</v>
      </c>
      <c r="L1554" t="s">
        <v>72</v>
      </c>
      <c r="M1554" s="1">
        <v>41359</v>
      </c>
      <c r="N1554" t="s">
        <v>89</v>
      </c>
      <c r="O1554" t="s">
        <v>121</v>
      </c>
      <c r="P1554" t="s">
        <v>49</v>
      </c>
      <c r="Q1554" t="s">
        <v>10783</v>
      </c>
      <c r="R1554" t="s">
        <v>10784</v>
      </c>
      <c r="S1554">
        <v>5811</v>
      </c>
      <c r="T1554" t="s">
        <v>365</v>
      </c>
      <c r="U1554" t="s">
        <v>562</v>
      </c>
      <c r="V1554" t="s">
        <v>5324</v>
      </c>
      <c r="W1554" t="s">
        <v>367</v>
      </c>
      <c r="X1554" t="s">
        <v>76</v>
      </c>
      <c r="Y1554" t="s">
        <v>125</v>
      </c>
      <c r="Z1554">
        <v>5187</v>
      </c>
      <c r="AA1554">
        <v>56</v>
      </c>
      <c r="AB1554">
        <v>34</v>
      </c>
      <c r="AC1554" t="s">
        <v>10775</v>
      </c>
      <c r="AD1554" t="s">
        <v>10776</v>
      </c>
      <c r="AE1554" t="s">
        <v>10777</v>
      </c>
      <c r="AF1554" t="s">
        <v>10778</v>
      </c>
      <c r="AG1554" t="s">
        <v>10779</v>
      </c>
      <c r="AH1554" t="s">
        <v>10780</v>
      </c>
      <c r="AI1554" t="s">
        <v>4396</v>
      </c>
      <c r="AJ1554" s="2">
        <v>45685.50708333333</v>
      </c>
      <c r="AK1554" t="s">
        <v>132</v>
      </c>
      <c r="AL1554" t="s">
        <v>65</v>
      </c>
      <c r="AM1554" s="4">
        <v>0.22916666666666666</v>
      </c>
      <c r="AN1554" t="s">
        <v>66</v>
      </c>
      <c r="AO1554" t="s">
        <v>67</v>
      </c>
    </row>
    <row r="1555" spans="1:41" x14ac:dyDescent="0.2">
      <c r="A1555">
        <v>372179</v>
      </c>
      <c r="B1555" t="s">
        <v>10785</v>
      </c>
      <c r="C1555" t="s">
        <v>309</v>
      </c>
      <c r="D1555" t="s">
        <v>8509</v>
      </c>
      <c r="E1555">
        <v>48702336</v>
      </c>
      <c r="F1555">
        <v>498010</v>
      </c>
      <c r="G1555" s="1">
        <v>37721</v>
      </c>
      <c r="H1555" s="1">
        <v>45666</v>
      </c>
      <c r="I1555" s="1">
        <v>46204</v>
      </c>
      <c r="J1555" t="s">
        <v>45</v>
      </c>
      <c r="K1555" t="s">
        <v>45</v>
      </c>
      <c r="L1555" t="s">
        <v>72</v>
      </c>
      <c r="N1555" t="s">
        <v>47</v>
      </c>
      <c r="O1555" t="s">
        <v>48</v>
      </c>
      <c r="P1555" t="s">
        <v>49</v>
      </c>
      <c r="Q1555" t="s">
        <v>10786</v>
      </c>
      <c r="R1555" t="s">
        <v>10787</v>
      </c>
      <c r="S1555">
        <v>1270</v>
      </c>
      <c r="T1555" t="s">
        <v>92</v>
      </c>
      <c r="U1555" t="s">
        <v>313</v>
      </c>
      <c r="V1555" t="s">
        <v>314</v>
      </c>
      <c r="W1555" t="s">
        <v>315</v>
      </c>
      <c r="X1555" t="s">
        <v>92</v>
      </c>
      <c r="Y1555" t="s">
        <v>110</v>
      </c>
      <c r="Z1555">
        <v>2316</v>
      </c>
      <c r="AA1555">
        <v>47</v>
      </c>
      <c r="AB1555">
        <v>176</v>
      </c>
      <c r="AC1555" t="s">
        <v>316</v>
      </c>
      <c r="AD1555" t="s">
        <v>317</v>
      </c>
      <c r="AE1555" t="s">
        <v>318</v>
      </c>
      <c r="AI1555" t="s">
        <v>317</v>
      </c>
      <c r="AJ1555" s="2">
        <v>45833.0940625</v>
      </c>
      <c r="AK1555" t="s">
        <v>316</v>
      </c>
      <c r="AL1555" t="s">
        <v>65</v>
      </c>
      <c r="AM1555" s="3">
        <v>1.5625</v>
      </c>
      <c r="AN1555" t="s">
        <v>66</v>
      </c>
      <c r="AO1555" t="s">
        <v>67</v>
      </c>
    </row>
    <row r="1556" spans="1:41" x14ac:dyDescent="0.2">
      <c r="A1556">
        <v>367059</v>
      </c>
      <c r="B1556" t="s">
        <v>10788</v>
      </c>
      <c r="C1556" t="s">
        <v>763</v>
      </c>
      <c r="D1556" t="s">
        <v>3018</v>
      </c>
      <c r="E1556" t="s">
        <v>10789</v>
      </c>
      <c r="F1556">
        <v>476003</v>
      </c>
      <c r="G1556" s="1">
        <v>43776</v>
      </c>
      <c r="H1556" s="1">
        <v>45378</v>
      </c>
      <c r="J1556" t="s">
        <v>45</v>
      </c>
      <c r="K1556" t="s">
        <v>45</v>
      </c>
      <c r="L1556" t="s">
        <v>72</v>
      </c>
      <c r="M1556" s="1">
        <v>44887</v>
      </c>
      <c r="N1556" t="s">
        <v>47</v>
      </c>
      <c r="O1556" t="s">
        <v>48</v>
      </c>
      <c r="P1556" t="s">
        <v>49</v>
      </c>
      <c r="Q1556" t="s">
        <v>10790</v>
      </c>
      <c r="R1556" t="s">
        <v>10791</v>
      </c>
      <c r="S1556">
        <v>1085</v>
      </c>
      <c r="T1556" t="s">
        <v>92</v>
      </c>
      <c r="U1556" t="s">
        <v>767</v>
      </c>
      <c r="V1556" t="s">
        <v>768</v>
      </c>
      <c r="W1556" t="s">
        <v>769</v>
      </c>
      <c r="X1556" t="s">
        <v>92</v>
      </c>
      <c r="Y1556" t="s">
        <v>770</v>
      </c>
      <c r="Z1556">
        <v>10706</v>
      </c>
      <c r="AA1556">
        <v>20</v>
      </c>
      <c r="AB1556">
        <v>45</v>
      </c>
      <c r="AC1556" t="s">
        <v>3210</v>
      </c>
      <c r="AD1556" t="s">
        <v>3211</v>
      </c>
      <c r="AE1556" t="s">
        <v>3212</v>
      </c>
      <c r="AF1556" t="s">
        <v>774</v>
      </c>
      <c r="AG1556" t="s">
        <v>3452</v>
      </c>
      <c r="AH1556" t="s">
        <v>776</v>
      </c>
      <c r="AI1556" t="s">
        <v>3213</v>
      </c>
      <c r="AJ1556" s="2">
        <v>45659.882326388892</v>
      </c>
      <c r="AK1556" t="s">
        <v>3214</v>
      </c>
      <c r="AL1556" t="s">
        <v>65</v>
      </c>
      <c r="AM1556" s="3">
        <v>1.7430555555555556</v>
      </c>
      <c r="AN1556" t="s">
        <v>66</v>
      </c>
      <c r="AO1556" t="s">
        <v>101</v>
      </c>
    </row>
    <row r="1557" spans="1:41" x14ac:dyDescent="0.2">
      <c r="A1557">
        <v>371940</v>
      </c>
      <c r="B1557" t="s">
        <v>10788</v>
      </c>
      <c r="C1557" t="s">
        <v>1911</v>
      </c>
      <c r="D1557" t="s">
        <v>1603</v>
      </c>
      <c r="E1557" t="s">
        <v>10792</v>
      </c>
      <c r="F1557">
        <v>270071</v>
      </c>
      <c r="G1557" s="1">
        <v>37034</v>
      </c>
      <c r="H1557" s="1">
        <v>45824</v>
      </c>
      <c r="I1557" s="1">
        <v>46188</v>
      </c>
      <c r="J1557" t="s">
        <v>45</v>
      </c>
      <c r="K1557" t="s">
        <v>45</v>
      </c>
      <c r="L1557" t="s">
        <v>72</v>
      </c>
      <c r="M1557" s="1">
        <v>41939</v>
      </c>
      <c r="N1557" t="s">
        <v>47</v>
      </c>
      <c r="O1557" t="s">
        <v>48</v>
      </c>
      <c r="P1557" t="s">
        <v>49</v>
      </c>
      <c r="Q1557" t="s">
        <v>10793</v>
      </c>
      <c r="R1557" t="s">
        <v>10794</v>
      </c>
      <c r="S1557">
        <v>898</v>
      </c>
      <c r="T1557" t="s">
        <v>92</v>
      </c>
      <c r="U1557" t="s">
        <v>1916</v>
      </c>
      <c r="V1557" t="s">
        <v>1917</v>
      </c>
      <c r="W1557" t="s">
        <v>1918</v>
      </c>
      <c r="X1557" t="s">
        <v>92</v>
      </c>
      <c r="Y1557" t="s">
        <v>110</v>
      </c>
      <c r="Z1557">
        <v>2025</v>
      </c>
      <c r="AA1557">
        <v>38</v>
      </c>
      <c r="AB1557">
        <v>152</v>
      </c>
      <c r="AC1557" t="s">
        <v>10795</v>
      </c>
      <c r="AD1557" t="s">
        <v>1920</v>
      </c>
      <c r="AE1557" t="s">
        <v>1921</v>
      </c>
      <c r="AF1557" t="s">
        <v>1922</v>
      </c>
      <c r="AG1557" t="s">
        <v>10796</v>
      </c>
      <c r="AH1557" t="s">
        <v>1924</v>
      </c>
      <c r="AI1557" t="s">
        <v>1925</v>
      </c>
      <c r="AJ1557" s="2">
        <v>45825.631782407407</v>
      </c>
      <c r="AK1557" t="s">
        <v>1919</v>
      </c>
      <c r="AL1557" t="s">
        <v>65</v>
      </c>
      <c r="AM1557" s="4">
        <v>0.4236111111111111</v>
      </c>
      <c r="AN1557" t="s">
        <v>66</v>
      </c>
      <c r="AO1557" t="s">
        <v>67</v>
      </c>
    </row>
    <row r="1558" spans="1:41" x14ac:dyDescent="0.2">
      <c r="A1558">
        <v>372687</v>
      </c>
      <c r="B1558" t="s">
        <v>10797</v>
      </c>
      <c r="C1558" t="s">
        <v>134</v>
      </c>
      <c r="D1558" t="s">
        <v>3459</v>
      </c>
      <c r="E1558">
        <v>32458712</v>
      </c>
      <c r="F1558">
        <v>452511</v>
      </c>
      <c r="G1558" s="1">
        <v>37439</v>
      </c>
      <c r="H1558" s="1">
        <v>45813</v>
      </c>
      <c r="I1558" s="1">
        <v>46174</v>
      </c>
      <c r="J1558" t="s">
        <v>45</v>
      </c>
      <c r="K1558" t="s">
        <v>45</v>
      </c>
      <c r="L1558" t="s">
        <v>429</v>
      </c>
      <c r="M1558" s="1">
        <v>42264</v>
      </c>
      <c r="N1558" t="s">
        <v>47</v>
      </c>
      <c r="O1558" t="s">
        <v>48</v>
      </c>
      <c r="P1558" t="s">
        <v>49</v>
      </c>
      <c r="Q1558" t="s">
        <v>10798</v>
      </c>
      <c r="R1558" t="s">
        <v>10799</v>
      </c>
      <c r="S1558">
        <v>4430</v>
      </c>
      <c r="T1558" t="s">
        <v>52</v>
      </c>
      <c r="U1558">
        <v>6</v>
      </c>
      <c r="V1558" t="s">
        <v>3463</v>
      </c>
      <c r="W1558" t="s">
        <v>54</v>
      </c>
      <c r="X1558" t="s">
        <v>76</v>
      </c>
      <c r="Y1558" t="s">
        <v>56</v>
      </c>
      <c r="Z1558">
        <v>749</v>
      </c>
      <c r="AA1558">
        <v>45</v>
      </c>
      <c r="AB1558">
        <v>158</v>
      </c>
      <c r="AC1558" t="s">
        <v>4725</v>
      </c>
      <c r="AD1558" t="s">
        <v>4726</v>
      </c>
      <c r="AE1558" t="s">
        <v>4727</v>
      </c>
      <c r="AF1558" t="s">
        <v>4728</v>
      </c>
      <c r="AG1558" t="s">
        <v>4729</v>
      </c>
      <c r="AI1558" t="s">
        <v>4730</v>
      </c>
      <c r="AJ1558" s="2">
        <v>45849.948541666665</v>
      </c>
      <c r="AK1558" t="s">
        <v>4725</v>
      </c>
      <c r="AL1558" t="s">
        <v>65</v>
      </c>
      <c r="AM1558" s="3">
        <v>2.4166666666666665</v>
      </c>
      <c r="AN1558" t="s">
        <v>66</v>
      </c>
      <c r="AO1558" t="s">
        <v>67</v>
      </c>
    </row>
    <row r="1559" spans="1:41" x14ac:dyDescent="0.2">
      <c r="A1559">
        <v>370015</v>
      </c>
      <c r="B1559" t="s">
        <v>10800</v>
      </c>
      <c r="C1559" t="s">
        <v>763</v>
      </c>
      <c r="D1559" t="s">
        <v>543</v>
      </c>
      <c r="E1559" t="s">
        <v>10801</v>
      </c>
      <c r="F1559">
        <v>471101</v>
      </c>
      <c r="G1559" s="1">
        <v>34305</v>
      </c>
      <c r="H1559" s="1">
        <v>45754</v>
      </c>
      <c r="I1559" s="1">
        <v>46127</v>
      </c>
      <c r="J1559" t="s">
        <v>45</v>
      </c>
      <c r="K1559" t="s">
        <v>326</v>
      </c>
      <c r="L1559" t="s">
        <v>46</v>
      </c>
      <c r="M1559" s="1">
        <v>45757</v>
      </c>
      <c r="N1559" t="s">
        <v>47</v>
      </c>
      <c r="O1559" t="s">
        <v>48</v>
      </c>
      <c r="P1559" t="s">
        <v>49</v>
      </c>
      <c r="Q1559" t="s">
        <v>10802</v>
      </c>
      <c r="R1559" t="s">
        <v>10803</v>
      </c>
      <c r="S1559">
        <v>1472</v>
      </c>
      <c r="T1559" t="s">
        <v>52</v>
      </c>
      <c r="U1559">
        <v>9</v>
      </c>
      <c r="V1559" t="s">
        <v>5182</v>
      </c>
      <c r="W1559" t="s">
        <v>54</v>
      </c>
      <c r="X1559" t="s">
        <v>76</v>
      </c>
      <c r="Y1559" t="s">
        <v>56</v>
      </c>
      <c r="Z1559">
        <v>1108</v>
      </c>
      <c r="AA1559">
        <v>54</v>
      </c>
      <c r="AB1559">
        <v>97</v>
      </c>
      <c r="AC1559" t="s">
        <v>10804</v>
      </c>
      <c r="AD1559" t="s">
        <v>10805</v>
      </c>
      <c r="AE1559" t="s">
        <v>10806</v>
      </c>
      <c r="AF1559" t="s">
        <v>10807</v>
      </c>
      <c r="AG1559" t="s">
        <v>10808</v>
      </c>
      <c r="AH1559" t="s">
        <v>10809</v>
      </c>
      <c r="AI1559" t="s">
        <v>10810</v>
      </c>
      <c r="AJ1559" s="2">
        <v>45761.800219907411</v>
      </c>
      <c r="AK1559" t="s">
        <v>540</v>
      </c>
      <c r="AL1559" t="s">
        <v>65</v>
      </c>
      <c r="AM1559" s="3">
        <v>1.28125</v>
      </c>
      <c r="AN1559" t="s">
        <v>66</v>
      </c>
      <c r="AO1559" t="s">
        <v>101</v>
      </c>
    </row>
    <row r="1560" spans="1:41" x14ac:dyDescent="0.2">
      <c r="A1560">
        <v>372409</v>
      </c>
      <c r="B1560" t="s">
        <v>10811</v>
      </c>
      <c r="C1560" t="s">
        <v>278</v>
      </c>
      <c r="D1560" t="s">
        <v>279</v>
      </c>
      <c r="E1560" t="s">
        <v>10812</v>
      </c>
      <c r="F1560">
        <v>422610</v>
      </c>
      <c r="G1560" s="1">
        <v>37944</v>
      </c>
      <c r="H1560" s="1">
        <v>45835</v>
      </c>
      <c r="I1560" s="1">
        <v>46174</v>
      </c>
      <c r="J1560" t="s">
        <v>45</v>
      </c>
      <c r="K1560" t="s">
        <v>45</v>
      </c>
      <c r="L1560" t="s">
        <v>429</v>
      </c>
      <c r="M1560" s="1">
        <v>42194</v>
      </c>
      <c r="N1560" t="s">
        <v>47</v>
      </c>
      <c r="O1560" t="s">
        <v>48</v>
      </c>
      <c r="P1560" t="s">
        <v>49</v>
      </c>
      <c r="Q1560" t="s">
        <v>10813</v>
      </c>
      <c r="R1560" t="s">
        <v>10814</v>
      </c>
      <c r="S1560">
        <v>8509</v>
      </c>
      <c r="T1560" t="s">
        <v>52</v>
      </c>
      <c r="U1560">
        <v>4</v>
      </c>
      <c r="V1560" t="s">
        <v>2622</v>
      </c>
      <c r="W1560" t="s">
        <v>54</v>
      </c>
      <c r="X1560" t="s">
        <v>55</v>
      </c>
      <c r="Y1560" t="s">
        <v>56</v>
      </c>
      <c r="Z1560">
        <v>2484</v>
      </c>
      <c r="AA1560">
        <v>41</v>
      </c>
      <c r="AB1560">
        <v>160</v>
      </c>
      <c r="AC1560" t="s">
        <v>1186</v>
      </c>
      <c r="AD1560" t="s">
        <v>1187</v>
      </c>
      <c r="AE1560" t="s">
        <v>1188</v>
      </c>
      <c r="AF1560" t="s">
        <v>2623</v>
      </c>
      <c r="AG1560" t="s">
        <v>2624</v>
      </c>
      <c r="AH1560" t="s">
        <v>7499</v>
      </c>
      <c r="AI1560" t="s">
        <v>2626</v>
      </c>
      <c r="AJ1560" s="2">
        <v>45838.91065972222</v>
      </c>
      <c r="AK1560" t="s">
        <v>307</v>
      </c>
      <c r="AL1560" t="s">
        <v>65</v>
      </c>
      <c r="AM1560" s="4">
        <v>0.16666666666666666</v>
      </c>
      <c r="AN1560" t="s">
        <v>66</v>
      </c>
      <c r="AO1560" t="s">
        <v>67</v>
      </c>
    </row>
    <row r="1561" spans="1:41" x14ac:dyDescent="0.2">
      <c r="A1561">
        <v>367171</v>
      </c>
      <c r="B1561" t="s">
        <v>10815</v>
      </c>
      <c r="C1561" t="s">
        <v>134</v>
      </c>
      <c r="D1561" t="s">
        <v>70</v>
      </c>
      <c r="E1561" t="s">
        <v>10816</v>
      </c>
      <c r="F1561">
        <v>451301</v>
      </c>
      <c r="G1561" s="1">
        <v>37769</v>
      </c>
      <c r="H1561" s="1">
        <v>45588</v>
      </c>
      <c r="I1561" s="1">
        <v>45962</v>
      </c>
      <c r="J1561" t="s">
        <v>45</v>
      </c>
      <c r="K1561" t="s">
        <v>45</v>
      </c>
      <c r="L1561" t="s">
        <v>72</v>
      </c>
      <c r="M1561" s="1">
        <v>43040</v>
      </c>
      <c r="N1561" t="s">
        <v>47</v>
      </c>
      <c r="O1561" t="s">
        <v>48</v>
      </c>
      <c r="P1561" t="s">
        <v>49</v>
      </c>
      <c r="Q1561" t="s">
        <v>10817</v>
      </c>
      <c r="R1561" t="s">
        <v>10818</v>
      </c>
      <c r="S1561">
        <v>1150</v>
      </c>
      <c r="T1561" t="s">
        <v>92</v>
      </c>
      <c r="U1561" t="s">
        <v>139</v>
      </c>
      <c r="V1561" t="s">
        <v>140</v>
      </c>
      <c r="W1561" t="s">
        <v>141</v>
      </c>
      <c r="X1561" t="s">
        <v>92</v>
      </c>
      <c r="Y1561" t="s">
        <v>110</v>
      </c>
      <c r="Z1561">
        <v>2390</v>
      </c>
      <c r="AA1561">
        <v>47</v>
      </c>
      <c r="AB1561">
        <v>174</v>
      </c>
      <c r="AC1561" t="s">
        <v>142</v>
      </c>
      <c r="AD1561" t="s">
        <v>143</v>
      </c>
      <c r="AE1561" t="s">
        <v>144</v>
      </c>
      <c r="AF1561" t="s">
        <v>145</v>
      </c>
      <c r="AG1561" t="s">
        <v>146</v>
      </c>
      <c r="AH1561" t="s">
        <v>147</v>
      </c>
      <c r="AI1561" t="s">
        <v>148</v>
      </c>
      <c r="AJ1561" s="2">
        <v>45664.703969907408</v>
      </c>
      <c r="AK1561" t="s">
        <v>149</v>
      </c>
      <c r="AL1561" t="s">
        <v>65</v>
      </c>
      <c r="AM1561" s="4">
        <v>0.3888888888888889</v>
      </c>
      <c r="AN1561" t="s">
        <v>66</v>
      </c>
      <c r="AO1561" t="s">
        <v>67</v>
      </c>
    </row>
    <row r="1562" spans="1:41" x14ac:dyDescent="0.2">
      <c r="A1562">
        <v>368899</v>
      </c>
      <c r="B1562" t="s">
        <v>10819</v>
      </c>
      <c r="C1562" t="s">
        <v>182</v>
      </c>
      <c r="D1562" t="s">
        <v>610</v>
      </c>
      <c r="E1562" t="s">
        <v>10820</v>
      </c>
      <c r="F1562">
        <v>45733</v>
      </c>
      <c r="G1562" s="1">
        <v>32339</v>
      </c>
      <c r="H1562" s="1">
        <v>45636</v>
      </c>
      <c r="I1562" s="1">
        <v>45992</v>
      </c>
      <c r="J1562" t="s">
        <v>45</v>
      </c>
      <c r="K1562" t="s">
        <v>45</v>
      </c>
      <c r="L1562" t="s">
        <v>429</v>
      </c>
      <c r="M1562" s="1">
        <v>43007</v>
      </c>
      <c r="N1562" t="s">
        <v>47</v>
      </c>
      <c r="O1562" t="s">
        <v>48</v>
      </c>
      <c r="P1562" t="s">
        <v>49</v>
      </c>
      <c r="Q1562" t="s">
        <v>10821</v>
      </c>
      <c r="R1562" t="s">
        <v>10822</v>
      </c>
      <c r="S1562">
        <v>754</v>
      </c>
      <c r="T1562" t="s">
        <v>1328</v>
      </c>
      <c r="U1562" t="s">
        <v>1583</v>
      </c>
      <c r="V1562" t="s">
        <v>4498</v>
      </c>
      <c r="W1562" t="s">
        <v>4499</v>
      </c>
      <c r="X1562" t="s">
        <v>493</v>
      </c>
      <c r="Y1562" t="s">
        <v>434</v>
      </c>
      <c r="Z1562">
        <v>1292</v>
      </c>
      <c r="AA1562">
        <v>64</v>
      </c>
      <c r="AB1562">
        <v>24</v>
      </c>
      <c r="AC1562" t="s">
        <v>4500</v>
      </c>
      <c r="AD1562" t="s">
        <v>4501</v>
      </c>
      <c r="AE1562" t="s">
        <v>4502</v>
      </c>
      <c r="AF1562" t="s">
        <v>10823</v>
      </c>
      <c r="AG1562" t="s">
        <v>4504</v>
      </c>
      <c r="AH1562" t="s">
        <v>4505</v>
      </c>
      <c r="AJ1562" s="2">
        <v>45722.897835648146</v>
      </c>
      <c r="AK1562" t="s">
        <v>501</v>
      </c>
      <c r="AL1562" t="s">
        <v>65</v>
      </c>
      <c r="AM1562" s="4">
        <v>0.95138888888888884</v>
      </c>
      <c r="AN1562" t="s">
        <v>66</v>
      </c>
      <c r="AO1562" t="s">
        <v>67</v>
      </c>
    </row>
    <row r="1563" spans="1:41" x14ac:dyDescent="0.2">
      <c r="A1563">
        <v>370641</v>
      </c>
      <c r="B1563" t="s">
        <v>10824</v>
      </c>
      <c r="C1563" t="s">
        <v>182</v>
      </c>
      <c r="D1563" t="s">
        <v>3320</v>
      </c>
      <c r="E1563" t="s">
        <v>10825</v>
      </c>
      <c r="F1563">
        <v>44904</v>
      </c>
      <c r="G1563" s="1">
        <v>32509</v>
      </c>
      <c r="H1563" s="1">
        <v>45708</v>
      </c>
      <c r="J1563" t="s">
        <v>45</v>
      </c>
      <c r="K1563" t="s">
        <v>72</v>
      </c>
      <c r="L1563" t="s">
        <v>72</v>
      </c>
      <c r="N1563" t="s">
        <v>47</v>
      </c>
      <c r="O1563" t="s">
        <v>48</v>
      </c>
      <c r="P1563" t="s">
        <v>49</v>
      </c>
      <c r="Q1563" t="s">
        <v>10826</v>
      </c>
      <c r="R1563" t="s">
        <v>10827</v>
      </c>
      <c r="S1563">
        <v>967</v>
      </c>
      <c r="T1563" t="s">
        <v>92</v>
      </c>
      <c r="U1563" t="s">
        <v>187</v>
      </c>
      <c r="V1563" t="s">
        <v>447</v>
      </c>
      <c r="W1563" t="s">
        <v>448</v>
      </c>
      <c r="X1563" t="s">
        <v>92</v>
      </c>
      <c r="Y1563" t="s">
        <v>450</v>
      </c>
      <c r="Z1563">
        <v>1254</v>
      </c>
      <c r="AA1563">
        <v>47</v>
      </c>
      <c r="AB1563">
        <v>152</v>
      </c>
      <c r="AC1563" t="s">
        <v>451</v>
      </c>
      <c r="AD1563" t="s">
        <v>452</v>
      </c>
      <c r="AE1563" t="s">
        <v>453</v>
      </c>
      <c r="AF1563" t="s">
        <v>4029</v>
      </c>
      <c r="AG1563" t="s">
        <v>4030</v>
      </c>
      <c r="AH1563" t="s">
        <v>4023</v>
      </c>
      <c r="AI1563" t="s">
        <v>10828</v>
      </c>
      <c r="AJ1563" s="2">
        <v>45782.71334490741</v>
      </c>
      <c r="AK1563" t="s">
        <v>375</v>
      </c>
      <c r="AL1563" t="s">
        <v>475</v>
      </c>
      <c r="AM1563" s="4">
        <v>0.30555555555555558</v>
      </c>
      <c r="AN1563" t="s">
        <v>66</v>
      </c>
      <c r="AO1563" t="s">
        <v>67</v>
      </c>
    </row>
    <row r="1564" spans="1:41" x14ac:dyDescent="0.2">
      <c r="A1564">
        <v>372107</v>
      </c>
      <c r="B1564" t="s">
        <v>10829</v>
      </c>
      <c r="C1564" t="s">
        <v>182</v>
      </c>
      <c r="D1564" t="s">
        <v>2636</v>
      </c>
      <c r="E1564" t="s">
        <v>10830</v>
      </c>
      <c r="F1564">
        <v>43009</v>
      </c>
      <c r="G1564" s="1">
        <v>34366</v>
      </c>
      <c r="H1564" s="1">
        <v>45827</v>
      </c>
      <c r="J1564" t="s">
        <v>45</v>
      </c>
      <c r="K1564" t="s">
        <v>72</v>
      </c>
      <c r="L1564" t="s">
        <v>72</v>
      </c>
      <c r="N1564" t="s">
        <v>47</v>
      </c>
      <c r="O1564" t="s">
        <v>48</v>
      </c>
      <c r="P1564" t="s">
        <v>586</v>
      </c>
      <c r="Q1564" t="s">
        <v>10831</v>
      </c>
      <c r="R1564" t="s">
        <v>10832</v>
      </c>
      <c r="S1564">
        <v>1760</v>
      </c>
      <c r="T1564" t="s">
        <v>92</v>
      </c>
      <c r="U1564" t="s">
        <v>187</v>
      </c>
      <c r="V1564" t="s">
        <v>2640</v>
      </c>
      <c r="W1564" t="s">
        <v>448</v>
      </c>
      <c r="X1564" t="s">
        <v>449</v>
      </c>
      <c r="Y1564" t="s">
        <v>770</v>
      </c>
      <c r="Z1564">
        <v>1117</v>
      </c>
      <c r="AA1564">
        <v>32</v>
      </c>
      <c r="AB1564">
        <v>138</v>
      </c>
      <c r="AC1564" t="s">
        <v>2641</v>
      </c>
      <c r="AD1564" t="s">
        <v>2642</v>
      </c>
      <c r="AE1564" t="s">
        <v>2643</v>
      </c>
      <c r="AJ1564" s="2">
        <v>45831.553032407406</v>
      </c>
      <c r="AK1564" t="s">
        <v>456</v>
      </c>
      <c r="AL1564" t="s">
        <v>475</v>
      </c>
      <c r="AM1564" s="3">
        <v>1.1805555555555556</v>
      </c>
      <c r="AN1564" t="s">
        <v>809</v>
      </c>
      <c r="AO1564" t="s">
        <v>67</v>
      </c>
    </row>
    <row r="1565" spans="1:41" x14ac:dyDescent="0.2">
      <c r="A1565">
        <v>363192</v>
      </c>
      <c r="B1565" t="s">
        <v>10833</v>
      </c>
      <c r="C1565" t="s">
        <v>182</v>
      </c>
      <c r="D1565" t="s">
        <v>3956</v>
      </c>
      <c r="E1565" t="s">
        <v>10834</v>
      </c>
      <c r="F1565">
        <v>40815</v>
      </c>
      <c r="G1565" s="1">
        <v>32509</v>
      </c>
      <c r="H1565" s="1">
        <v>45499</v>
      </c>
      <c r="J1565" t="s">
        <v>45</v>
      </c>
      <c r="K1565" t="s">
        <v>72</v>
      </c>
      <c r="L1565" t="s">
        <v>72</v>
      </c>
      <c r="M1565" s="1">
        <v>37042</v>
      </c>
      <c r="N1565" t="s">
        <v>47</v>
      </c>
      <c r="O1565" t="s">
        <v>48</v>
      </c>
      <c r="P1565" t="s">
        <v>49</v>
      </c>
      <c r="Q1565" t="s">
        <v>10835</v>
      </c>
      <c r="R1565" t="s">
        <v>10836</v>
      </c>
      <c r="S1565">
        <v>4159</v>
      </c>
      <c r="T1565" t="s">
        <v>92</v>
      </c>
      <c r="U1565" t="s">
        <v>187</v>
      </c>
      <c r="V1565" t="s">
        <v>447</v>
      </c>
      <c r="W1565" t="s">
        <v>448</v>
      </c>
      <c r="X1565" t="s">
        <v>92</v>
      </c>
      <c r="Y1565" t="s">
        <v>450</v>
      </c>
      <c r="Z1565">
        <v>1255</v>
      </c>
      <c r="AA1565">
        <v>48</v>
      </c>
      <c r="AB1565">
        <v>144</v>
      </c>
      <c r="AC1565" t="s">
        <v>451</v>
      </c>
      <c r="AD1565" t="s">
        <v>452</v>
      </c>
      <c r="AE1565" t="s">
        <v>453</v>
      </c>
      <c r="AF1565" t="s">
        <v>454</v>
      </c>
      <c r="AG1565" t="s">
        <v>473</v>
      </c>
      <c r="AH1565" t="s">
        <v>474</v>
      </c>
      <c r="AJ1565" s="2">
        <v>45506.691805555558</v>
      </c>
      <c r="AK1565" t="s">
        <v>526</v>
      </c>
      <c r="AL1565" t="s">
        <v>475</v>
      </c>
      <c r="AM1565" s="3">
        <v>2.1041666666666665</v>
      </c>
      <c r="AN1565" t="s">
        <v>66</v>
      </c>
      <c r="AO1565" t="s">
        <v>67</v>
      </c>
    </row>
    <row r="1566" spans="1:41" x14ac:dyDescent="0.2">
      <c r="A1566">
        <v>368746</v>
      </c>
      <c r="B1566" t="s">
        <v>10837</v>
      </c>
      <c r="C1566" t="s">
        <v>2298</v>
      </c>
      <c r="D1566" t="s">
        <v>10838</v>
      </c>
      <c r="E1566">
        <v>39106646</v>
      </c>
      <c r="F1566">
        <v>225301</v>
      </c>
      <c r="G1566" s="1">
        <v>38000</v>
      </c>
      <c r="H1566" s="1">
        <v>45706</v>
      </c>
      <c r="J1566" t="s">
        <v>45</v>
      </c>
      <c r="K1566" t="s">
        <v>45</v>
      </c>
      <c r="L1566" t="s">
        <v>72</v>
      </c>
      <c r="N1566" t="s">
        <v>47</v>
      </c>
      <c r="O1566" t="s">
        <v>48</v>
      </c>
      <c r="P1566" t="s">
        <v>49</v>
      </c>
      <c r="Q1566" t="s">
        <v>10839</v>
      </c>
      <c r="R1566" t="s">
        <v>10840</v>
      </c>
      <c r="S1566">
        <v>221</v>
      </c>
      <c r="T1566" t="s">
        <v>92</v>
      </c>
      <c r="U1566" t="s">
        <v>5509</v>
      </c>
      <c r="V1566" t="s">
        <v>5510</v>
      </c>
      <c r="W1566" t="s">
        <v>5511</v>
      </c>
      <c r="X1566" t="s">
        <v>52</v>
      </c>
      <c r="Y1566" t="s">
        <v>770</v>
      </c>
      <c r="Z1566">
        <v>2440</v>
      </c>
      <c r="AA1566">
        <v>29</v>
      </c>
      <c r="AB1566">
        <v>144</v>
      </c>
      <c r="AC1566" t="s">
        <v>5512</v>
      </c>
      <c r="AD1566" t="s">
        <v>5513</v>
      </c>
      <c r="AE1566" t="s">
        <v>5514</v>
      </c>
      <c r="AF1566" t="s">
        <v>5515</v>
      </c>
      <c r="AG1566" t="s">
        <v>5516</v>
      </c>
      <c r="AH1566" t="s">
        <v>5517</v>
      </c>
      <c r="AI1566" t="s">
        <v>5518</v>
      </c>
      <c r="AJ1566" s="2">
        <v>45824.58525462963</v>
      </c>
      <c r="AK1566" t="s">
        <v>5519</v>
      </c>
      <c r="AL1566" t="s">
        <v>65</v>
      </c>
      <c r="AM1566" s="4">
        <v>0.56944444444444442</v>
      </c>
      <c r="AN1566" t="s">
        <v>66</v>
      </c>
      <c r="AO1566" t="s">
        <v>67</v>
      </c>
    </row>
    <row r="1567" spans="1:41" x14ac:dyDescent="0.2">
      <c r="A1567">
        <v>368907</v>
      </c>
      <c r="B1567" t="s">
        <v>10841</v>
      </c>
      <c r="C1567" t="s">
        <v>182</v>
      </c>
      <c r="D1567" t="s">
        <v>2295</v>
      </c>
      <c r="E1567" t="s">
        <v>10842</v>
      </c>
      <c r="F1567">
        <v>40709</v>
      </c>
      <c r="G1567" s="1">
        <v>31847</v>
      </c>
      <c r="H1567" s="1">
        <v>45580</v>
      </c>
      <c r="I1567" s="1">
        <v>46249</v>
      </c>
      <c r="J1567" t="s">
        <v>45</v>
      </c>
      <c r="K1567" t="s">
        <v>45</v>
      </c>
      <c r="L1567" t="s">
        <v>46</v>
      </c>
      <c r="M1567" s="1">
        <v>45044</v>
      </c>
      <c r="N1567" t="s">
        <v>47</v>
      </c>
      <c r="O1567" t="s">
        <v>48</v>
      </c>
      <c r="P1567" t="s">
        <v>49</v>
      </c>
      <c r="Q1567" t="s">
        <v>10843</v>
      </c>
      <c r="R1567" t="s">
        <v>10844</v>
      </c>
      <c r="S1567">
        <v>4800</v>
      </c>
      <c r="T1567" t="s">
        <v>52</v>
      </c>
      <c r="U1567">
        <v>5</v>
      </c>
      <c r="V1567" t="s">
        <v>4509</v>
      </c>
      <c r="W1567" t="s">
        <v>54</v>
      </c>
      <c r="X1567" t="s">
        <v>493</v>
      </c>
      <c r="Y1567" t="s">
        <v>434</v>
      </c>
      <c r="Z1567">
        <v>718</v>
      </c>
      <c r="AA1567">
        <v>56</v>
      </c>
      <c r="AB1567">
        <v>176</v>
      </c>
      <c r="AC1567" t="s">
        <v>5738</v>
      </c>
      <c r="AD1567" t="s">
        <v>5739</v>
      </c>
      <c r="AE1567" t="s">
        <v>5740</v>
      </c>
      <c r="AF1567" t="s">
        <v>5741</v>
      </c>
      <c r="AG1567" t="s">
        <v>5742</v>
      </c>
      <c r="AH1567" t="s">
        <v>5743</v>
      </c>
      <c r="AI1567" t="s">
        <v>5744</v>
      </c>
      <c r="AJ1567" s="2">
        <v>45722.905949074076</v>
      </c>
      <c r="AK1567" t="s">
        <v>1472</v>
      </c>
      <c r="AL1567" t="s">
        <v>65</v>
      </c>
      <c r="AM1567" s="4">
        <v>0.43055555555555558</v>
      </c>
      <c r="AN1567" t="s">
        <v>66</v>
      </c>
      <c r="AO1567" t="s">
        <v>67</v>
      </c>
    </row>
    <row r="1568" spans="1:41" x14ac:dyDescent="0.2">
      <c r="A1568">
        <v>367006</v>
      </c>
      <c r="B1568" t="s">
        <v>10845</v>
      </c>
      <c r="C1568" t="s">
        <v>182</v>
      </c>
      <c r="D1568" t="s">
        <v>2901</v>
      </c>
      <c r="E1568" t="s">
        <v>10846</v>
      </c>
      <c r="F1568">
        <v>45022</v>
      </c>
      <c r="G1568" s="1">
        <v>35094</v>
      </c>
      <c r="H1568" s="1">
        <v>45644</v>
      </c>
      <c r="I1568" s="1">
        <v>45962</v>
      </c>
      <c r="J1568" t="s">
        <v>45</v>
      </c>
      <c r="K1568" t="s">
        <v>45</v>
      </c>
      <c r="L1568" t="s">
        <v>429</v>
      </c>
      <c r="M1568" s="1">
        <v>44222</v>
      </c>
      <c r="N1568" t="s">
        <v>47</v>
      </c>
      <c r="O1568" t="s">
        <v>48</v>
      </c>
      <c r="P1568" t="s">
        <v>49</v>
      </c>
      <c r="Q1568" t="s">
        <v>10847</v>
      </c>
      <c r="R1568" t="s">
        <v>10848</v>
      </c>
      <c r="S1568">
        <v>4390</v>
      </c>
      <c r="T1568" t="s">
        <v>365</v>
      </c>
      <c r="U1568" t="s">
        <v>815</v>
      </c>
      <c r="V1568" t="s">
        <v>816</v>
      </c>
      <c r="W1568" t="s">
        <v>367</v>
      </c>
      <c r="X1568" t="s">
        <v>493</v>
      </c>
      <c r="Y1568" t="s">
        <v>434</v>
      </c>
      <c r="Z1568">
        <v>1444</v>
      </c>
      <c r="AA1568">
        <v>57</v>
      </c>
      <c r="AB1568">
        <v>210</v>
      </c>
      <c r="AC1568" t="s">
        <v>817</v>
      </c>
      <c r="AD1568" t="s">
        <v>818</v>
      </c>
      <c r="AE1568" t="s">
        <v>819</v>
      </c>
      <c r="AI1568" t="s">
        <v>179</v>
      </c>
      <c r="AJ1568" s="2">
        <v>45652.858495370368</v>
      </c>
      <c r="AK1568" t="s">
        <v>556</v>
      </c>
      <c r="AL1568" t="s">
        <v>65</v>
      </c>
      <c r="AM1568" s="3">
        <v>1.1111111111111112</v>
      </c>
      <c r="AN1568" t="s">
        <v>66</v>
      </c>
      <c r="AO1568" t="s">
        <v>67</v>
      </c>
    </row>
    <row r="1569" spans="1:41" x14ac:dyDescent="0.2">
      <c r="A1569">
        <v>369027</v>
      </c>
      <c r="B1569" t="s">
        <v>10849</v>
      </c>
      <c r="C1569" t="s">
        <v>167</v>
      </c>
      <c r="D1569" t="s">
        <v>5372</v>
      </c>
      <c r="E1569" t="s">
        <v>10850</v>
      </c>
      <c r="F1569">
        <v>352618</v>
      </c>
      <c r="G1569" s="1">
        <v>34345</v>
      </c>
      <c r="H1569" s="1">
        <v>45566</v>
      </c>
      <c r="I1569" s="1">
        <v>45931</v>
      </c>
      <c r="J1569" t="s">
        <v>45</v>
      </c>
      <c r="K1569" t="s">
        <v>45</v>
      </c>
      <c r="L1569" t="s">
        <v>429</v>
      </c>
      <c r="M1569" s="1">
        <v>44537</v>
      </c>
      <c r="N1569" t="s">
        <v>47</v>
      </c>
      <c r="O1569" t="s">
        <v>48</v>
      </c>
      <c r="P1569" t="s">
        <v>49</v>
      </c>
      <c r="Q1569" t="s">
        <v>10851</v>
      </c>
      <c r="R1569" t="s">
        <v>10852</v>
      </c>
      <c r="S1569">
        <v>4650</v>
      </c>
      <c r="T1569" t="s">
        <v>52</v>
      </c>
      <c r="U1569">
        <v>6</v>
      </c>
      <c r="V1569" t="s">
        <v>1477</v>
      </c>
      <c r="W1569" t="s">
        <v>54</v>
      </c>
      <c r="X1569" t="s">
        <v>76</v>
      </c>
      <c r="Y1569" t="s">
        <v>56</v>
      </c>
      <c r="Z1569">
        <v>755</v>
      </c>
      <c r="AA1569">
        <v>59</v>
      </c>
      <c r="AB1569">
        <v>142</v>
      </c>
      <c r="AC1569" t="s">
        <v>3853</v>
      </c>
      <c r="AD1569" t="s">
        <v>3854</v>
      </c>
      <c r="AE1569" t="s">
        <v>3855</v>
      </c>
      <c r="AF1569" t="s">
        <v>3856</v>
      </c>
      <c r="AG1569" t="s">
        <v>3857</v>
      </c>
      <c r="AH1569" t="s">
        <v>3858</v>
      </c>
      <c r="AI1569" t="s">
        <v>10853</v>
      </c>
      <c r="AJ1569" s="2">
        <v>45722.967164351852</v>
      </c>
      <c r="AK1569" t="s">
        <v>1472</v>
      </c>
      <c r="AL1569" t="s">
        <v>65</v>
      </c>
      <c r="AM1569" s="3">
        <v>1.0347222222222223</v>
      </c>
      <c r="AN1569" t="s">
        <v>66</v>
      </c>
      <c r="AO1569" t="s">
        <v>67</v>
      </c>
    </row>
    <row r="1570" spans="1:41" x14ac:dyDescent="0.2">
      <c r="A1570">
        <v>371246</v>
      </c>
      <c r="B1570" t="s">
        <v>10854</v>
      </c>
      <c r="C1570" t="s">
        <v>278</v>
      </c>
      <c r="D1570" t="s">
        <v>134</v>
      </c>
      <c r="E1570" t="s">
        <v>10855</v>
      </c>
      <c r="F1570">
        <v>422807</v>
      </c>
      <c r="G1570" s="1">
        <v>34894</v>
      </c>
      <c r="H1570" s="1">
        <v>45799</v>
      </c>
      <c r="I1570" s="1">
        <v>46174</v>
      </c>
      <c r="J1570" t="s">
        <v>45</v>
      </c>
      <c r="K1570" t="s">
        <v>45</v>
      </c>
      <c r="L1570" t="s">
        <v>72</v>
      </c>
      <c r="M1570" s="1">
        <v>44713</v>
      </c>
      <c r="N1570" t="s">
        <v>47</v>
      </c>
      <c r="O1570" t="s">
        <v>48</v>
      </c>
      <c r="P1570" t="s">
        <v>49</v>
      </c>
      <c r="Q1570" t="s">
        <v>10856</v>
      </c>
      <c r="R1570" t="s">
        <v>10857</v>
      </c>
      <c r="S1570">
        <v>7890</v>
      </c>
      <c r="T1570" t="s">
        <v>257</v>
      </c>
      <c r="U1570" t="s">
        <v>283</v>
      </c>
      <c r="V1570" t="s">
        <v>10858</v>
      </c>
      <c r="W1570" t="s">
        <v>260</v>
      </c>
      <c r="X1570" t="s">
        <v>257</v>
      </c>
      <c r="Y1570" t="s">
        <v>110</v>
      </c>
      <c r="Z1570">
        <v>1001</v>
      </c>
      <c r="AA1570">
        <v>79</v>
      </c>
      <c r="AB1570">
        <v>210</v>
      </c>
      <c r="AC1570" t="s">
        <v>285</v>
      </c>
      <c r="AD1570" t="s">
        <v>286</v>
      </c>
      <c r="AE1570" t="s">
        <v>287</v>
      </c>
      <c r="AF1570" t="s">
        <v>288</v>
      </c>
      <c r="AG1570" t="s">
        <v>10859</v>
      </c>
      <c r="AH1570" t="s">
        <v>10860</v>
      </c>
      <c r="AI1570" t="s">
        <v>286</v>
      </c>
      <c r="AJ1570" s="2">
        <v>45800.629444444443</v>
      </c>
      <c r="AK1570" t="s">
        <v>288</v>
      </c>
      <c r="AL1570" t="s">
        <v>65</v>
      </c>
      <c r="AM1570" s="3">
        <v>1.0763888888888888</v>
      </c>
      <c r="AN1570" t="s">
        <v>66</v>
      </c>
      <c r="AO1570" t="s">
        <v>67</v>
      </c>
    </row>
    <row r="1571" spans="1:41" x14ac:dyDescent="0.2">
      <c r="A1571">
        <v>371449</v>
      </c>
      <c r="B1571" t="s">
        <v>10861</v>
      </c>
      <c r="C1571" t="s">
        <v>197</v>
      </c>
      <c r="D1571" t="s">
        <v>789</v>
      </c>
      <c r="E1571" t="s">
        <v>10862</v>
      </c>
      <c r="F1571">
        <v>97901</v>
      </c>
      <c r="G1571" s="1">
        <v>43509</v>
      </c>
      <c r="H1571" s="1">
        <v>45811</v>
      </c>
      <c r="J1571" t="s">
        <v>45</v>
      </c>
      <c r="K1571" t="s">
        <v>45</v>
      </c>
      <c r="L1571" t="s">
        <v>72</v>
      </c>
      <c r="N1571" t="s">
        <v>47</v>
      </c>
      <c r="O1571" t="s">
        <v>48</v>
      </c>
      <c r="P1571" t="s">
        <v>49</v>
      </c>
      <c r="Q1571" t="s">
        <v>10863</v>
      </c>
      <c r="R1571" t="s">
        <v>10864</v>
      </c>
      <c r="S1571">
        <v>91</v>
      </c>
      <c r="T1571" t="s">
        <v>1328</v>
      </c>
      <c r="U1571" t="s">
        <v>3114</v>
      </c>
      <c r="V1571" t="s">
        <v>7982</v>
      </c>
      <c r="W1571" t="s">
        <v>7983</v>
      </c>
      <c r="X1571" t="s">
        <v>1328</v>
      </c>
      <c r="Y1571" t="s">
        <v>770</v>
      </c>
      <c r="Z1571">
        <v>10107</v>
      </c>
      <c r="AA1571">
        <v>16</v>
      </c>
      <c r="AB1571">
        <v>91</v>
      </c>
      <c r="AC1571" t="s">
        <v>7984</v>
      </c>
      <c r="AD1571" t="s">
        <v>7985</v>
      </c>
      <c r="AE1571" t="s">
        <v>7986</v>
      </c>
      <c r="AF1571" t="s">
        <v>7987</v>
      </c>
      <c r="AG1571" t="s">
        <v>7988</v>
      </c>
      <c r="AH1571" t="s">
        <v>7989</v>
      </c>
      <c r="AI1571" t="s">
        <v>7985</v>
      </c>
      <c r="AJ1571" s="2">
        <v>45811.726319444446</v>
      </c>
      <c r="AK1571" t="s">
        <v>7984</v>
      </c>
      <c r="AL1571" t="s">
        <v>65</v>
      </c>
      <c r="AM1571" t="s">
        <v>10865</v>
      </c>
      <c r="AN1571" t="s">
        <v>66</v>
      </c>
      <c r="AO1571" t="s">
        <v>67</v>
      </c>
    </row>
    <row r="1572" spans="1:41" x14ac:dyDescent="0.2">
      <c r="A1572">
        <v>370476</v>
      </c>
      <c r="B1572" t="s">
        <v>10866</v>
      </c>
      <c r="C1572" t="s">
        <v>182</v>
      </c>
      <c r="D1572" t="s">
        <v>3180</v>
      </c>
      <c r="E1572" t="s">
        <v>10867</v>
      </c>
      <c r="F1572">
        <v>41019</v>
      </c>
      <c r="G1572" s="1">
        <v>37532</v>
      </c>
      <c r="H1572" s="1">
        <v>45772</v>
      </c>
      <c r="J1572" t="s">
        <v>45</v>
      </c>
      <c r="K1572" t="s">
        <v>72</v>
      </c>
      <c r="L1572" t="s">
        <v>72</v>
      </c>
      <c r="M1572" s="1">
        <v>39350</v>
      </c>
      <c r="N1572" t="s">
        <v>47</v>
      </c>
      <c r="O1572" t="s">
        <v>48</v>
      </c>
      <c r="P1572" t="s">
        <v>49</v>
      </c>
      <c r="Q1572" t="s">
        <v>10868</v>
      </c>
      <c r="R1572" t="s">
        <v>10869</v>
      </c>
      <c r="S1572">
        <v>1820</v>
      </c>
      <c r="T1572" t="s">
        <v>92</v>
      </c>
      <c r="U1572" t="s">
        <v>187</v>
      </c>
      <c r="V1572" t="s">
        <v>447</v>
      </c>
      <c r="W1572" t="s">
        <v>448</v>
      </c>
      <c r="X1572" t="s">
        <v>92</v>
      </c>
      <c r="Y1572" t="s">
        <v>450</v>
      </c>
      <c r="Z1572">
        <v>1927</v>
      </c>
      <c r="AA1572">
        <v>49</v>
      </c>
      <c r="AB1572">
        <v>66</v>
      </c>
      <c r="AC1572" t="s">
        <v>451</v>
      </c>
      <c r="AD1572" t="s">
        <v>452</v>
      </c>
      <c r="AE1572" t="s">
        <v>453</v>
      </c>
      <c r="AF1572" t="s">
        <v>10870</v>
      </c>
      <c r="AG1572" t="s">
        <v>3185</v>
      </c>
      <c r="AH1572" t="s">
        <v>10871</v>
      </c>
      <c r="AJ1572" s="2">
        <v>45776.657777777778</v>
      </c>
      <c r="AK1572" t="s">
        <v>456</v>
      </c>
      <c r="AL1572" t="s">
        <v>65</v>
      </c>
      <c r="AM1572" s="3">
        <v>1.2083333333333333</v>
      </c>
      <c r="AN1572" t="s">
        <v>66</v>
      </c>
      <c r="AO1572" t="s">
        <v>67</v>
      </c>
    </row>
    <row r="1573" spans="1:41" x14ac:dyDescent="0.2">
      <c r="A1573">
        <v>372964</v>
      </c>
      <c r="B1573" t="s">
        <v>10872</v>
      </c>
      <c r="C1573" t="s">
        <v>662</v>
      </c>
      <c r="D1573" t="s">
        <v>7552</v>
      </c>
      <c r="E1573" t="s">
        <v>10873</v>
      </c>
      <c r="F1573">
        <v>419601</v>
      </c>
      <c r="G1573" s="1">
        <v>38072</v>
      </c>
      <c r="H1573" s="1">
        <v>45726</v>
      </c>
      <c r="I1573" s="1">
        <v>46113</v>
      </c>
      <c r="J1573" t="s">
        <v>45</v>
      </c>
      <c r="K1573" t="s">
        <v>45</v>
      </c>
      <c r="L1573" t="s">
        <v>46</v>
      </c>
      <c r="M1573" s="1">
        <v>44859</v>
      </c>
      <c r="N1573" t="s">
        <v>47</v>
      </c>
      <c r="O1573" t="s">
        <v>48</v>
      </c>
      <c r="P1573" t="s">
        <v>49</v>
      </c>
      <c r="Q1573" t="s">
        <v>10874</v>
      </c>
      <c r="R1573" t="s">
        <v>10875</v>
      </c>
      <c r="S1573">
        <v>932</v>
      </c>
      <c r="T1573" t="s">
        <v>52</v>
      </c>
      <c r="U1573">
        <v>8</v>
      </c>
      <c r="V1573" t="s">
        <v>3914</v>
      </c>
      <c r="W1573" t="s">
        <v>54</v>
      </c>
      <c r="X1573" t="s">
        <v>76</v>
      </c>
      <c r="Y1573" t="s">
        <v>56</v>
      </c>
      <c r="Z1573">
        <v>1067</v>
      </c>
      <c r="AA1573">
        <v>50</v>
      </c>
      <c r="AB1573">
        <v>158</v>
      </c>
      <c r="AC1573" t="s">
        <v>10876</v>
      </c>
      <c r="AD1573" t="s">
        <v>3916</v>
      </c>
      <c r="AE1573" t="s">
        <v>3917</v>
      </c>
      <c r="AJ1573" s="2">
        <v>45855.962442129632</v>
      </c>
      <c r="AK1573" t="s">
        <v>556</v>
      </c>
      <c r="AL1573" t="s">
        <v>65</v>
      </c>
      <c r="AM1573" s="4">
        <v>0.11805555555555555</v>
      </c>
      <c r="AN1573" t="s">
        <v>66</v>
      </c>
      <c r="AO1573" t="s">
        <v>67</v>
      </c>
    </row>
    <row r="1574" spans="1:41" x14ac:dyDescent="0.2">
      <c r="A1574">
        <v>364167</v>
      </c>
      <c r="B1574" t="s">
        <v>10877</v>
      </c>
      <c r="C1574" t="s">
        <v>69</v>
      </c>
      <c r="D1574" t="s">
        <v>7205</v>
      </c>
      <c r="E1574" t="s">
        <v>10878</v>
      </c>
      <c r="F1574">
        <v>101312</v>
      </c>
      <c r="G1574" s="1">
        <v>31980</v>
      </c>
      <c r="H1574" s="1">
        <v>45530</v>
      </c>
      <c r="I1574" s="1">
        <v>46249</v>
      </c>
      <c r="J1574" t="s">
        <v>45</v>
      </c>
      <c r="K1574" t="s">
        <v>45</v>
      </c>
      <c r="L1574" t="s">
        <v>429</v>
      </c>
      <c r="M1574" s="1">
        <v>42081</v>
      </c>
      <c r="N1574" t="s">
        <v>47</v>
      </c>
      <c r="O1574" t="s">
        <v>48</v>
      </c>
      <c r="P1574" t="s">
        <v>49</v>
      </c>
      <c r="Q1574" t="s">
        <v>10879</v>
      </c>
      <c r="R1574" t="s">
        <v>10880</v>
      </c>
      <c r="S1574">
        <v>6150</v>
      </c>
      <c r="T1574" t="s">
        <v>365</v>
      </c>
      <c r="U1574" t="s">
        <v>532</v>
      </c>
      <c r="V1574" t="s">
        <v>10499</v>
      </c>
      <c r="W1574" t="s">
        <v>367</v>
      </c>
      <c r="X1574" t="s">
        <v>76</v>
      </c>
      <c r="Y1574" t="s">
        <v>434</v>
      </c>
      <c r="Z1574">
        <v>182</v>
      </c>
      <c r="AA1574">
        <v>57</v>
      </c>
      <c r="AB1574">
        <v>166</v>
      </c>
      <c r="AC1574" t="s">
        <v>10500</v>
      </c>
      <c r="AD1574" t="s">
        <v>10501</v>
      </c>
      <c r="AE1574" t="s">
        <v>10502</v>
      </c>
      <c r="AF1574" t="s">
        <v>10503</v>
      </c>
      <c r="AG1574" t="s">
        <v>10504</v>
      </c>
      <c r="AH1574" t="s">
        <v>10505</v>
      </c>
      <c r="AI1574" t="s">
        <v>10506</v>
      </c>
      <c r="AJ1574" s="2">
        <v>45534.67260416667</v>
      </c>
      <c r="AK1574" t="s">
        <v>2517</v>
      </c>
      <c r="AL1574" t="s">
        <v>65</v>
      </c>
      <c r="AM1574" s="3">
        <v>1.5138888888888888</v>
      </c>
      <c r="AN1574" t="s">
        <v>66</v>
      </c>
      <c r="AO1574" t="s">
        <v>67</v>
      </c>
    </row>
    <row r="1575" spans="1:41" x14ac:dyDescent="0.2">
      <c r="A1575">
        <v>356786</v>
      </c>
      <c r="B1575" t="s">
        <v>10881</v>
      </c>
      <c r="C1575" t="s">
        <v>182</v>
      </c>
      <c r="D1575" t="s">
        <v>2179</v>
      </c>
      <c r="E1575" t="s">
        <v>10882</v>
      </c>
      <c r="G1575" s="1">
        <v>44833</v>
      </c>
      <c r="H1575" s="1">
        <v>45197</v>
      </c>
      <c r="I1575" s="1">
        <v>46266</v>
      </c>
      <c r="J1575" t="s">
        <v>45</v>
      </c>
      <c r="K1575" t="s">
        <v>45</v>
      </c>
      <c r="L1575" t="s">
        <v>72</v>
      </c>
      <c r="N1575" t="s">
        <v>89</v>
      </c>
      <c r="O1575" t="s">
        <v>48</v>
      </c>
      <c r="P1575" t="s">
        <v>49</v>
      </c>
      <c r="Q1575" t="s">
        <v>10883</v>
      </c>
      <c r="R1575" t="s">
        <v>10884</v>
      </c>
      <c r="S1575">
        <v>9569</v>
      </c>
      <c r="T1575" t="s">
        <v>1328</v>
      </c>
      <c r="U1575" t="s">
        <v>1583</v>
      </c>
      <c r="V1575" t="s">
        <v>2726</v>
      </c>
      <c r="W1575" t="s">
        <v>2727</v>
      </c>
      <c r="X1575" t="s">
        <v>493</v>
      </c>
      <c r="Y1575" t="s">
        <v>434</v>
      </c>
      <c r="Z1575">
        <v>12129</v>
      </c>
      <c r="AA1575">
        <v>14</v>
      </c>
      <c r="AB1575">
        <v>160</v>
      </c>
      <c r="AC1575" t="s">
        <v>2728</v>
      </c>
      <c r="AD1575" t="s">
        <v>2729</v>
      </c>
      <c r="AE1575" t="s">
        <v>2730</v>
      </c>
      <c r="AF1575" t="s">
        <v>2731</v>
      </c>
      <c r="AG1575" t="s">
        <v>2732</v>
      </c>
      <c r="AH1575" t="s">
        <v>2733</v>
      </c>
      <c r="AI1575" t="s">
        <v>179</v>
      </c>
      <c r="AJ1575" s="2">
        <v>45316.882349537038</v>
      </c>
      <c r="AK1575" t="s">
        <v>403</v>
      </c>
      <c r="AL1575" t="s">
        <v>65</v>
      </c>
      <c r="AM1575" s="3">
        <v>1.1111111111111112</v>
      </c>
      <c r="AN1575" t="s">
        <v>66</v>
      </c>
      <c r="AO1575" t="s">
        <v>67</v>
      </c>
    </row>
    <row r="1576" spans="1:41" x14ac:dyDescent="0.2">
      <c r="A1576">
        <v>362632</v>
      </c>
      <c r="B1576" t="s">
        <v>10885</v>
      </c>
      <c r="C1576" t="s">
        <v>134</v>
      </c>
      <c r="D1576" t="s">
        <v>214</v>
      </c>
      <c r="E1576" t="s">
        <v>10886</v>
      </c>
      <c r="F1576">
        <v>452020</v>
      </c>
      <c r="G1576" s="1">
        <v>35348</v>
      </c>
      <c r="H1576" s="1">
        <v>45491</v>
      </c>
      <c r="I1576" s="1">
        <v>46204</v>
      </c>
      <c r="J1576" t="s">
        <v>45</v>
      </c>
      <c r="K1576" t="s">
        <v>45</v>
      </c>
      <c r="L1576" t="s">
        <v>429</v>
      </c>
      <c r="M1576" s="1">
        <v>44119</v>
      </c>
      <c r="N1576" t="s">
        <v>47</v>
      </c>
      <c r="O1576" t="s">
        <v>48</v>
      </c>
      <c r="P1576" t="s">
        <v>49</v>
      </c>
      <c r="Q1576" t="s">
        <v>10887</v>
      </c>
      <c r="R1576" t="s">
        <v>10888</v>
      </c>
      <c r="S1576">
        <v>4991</v>
      </c>
      <c r="T1576" t="s">
        <v>52</v>
      </c>
      <c r="U1576">
        <v>6</v>
      </c>
      <c r="V1576" t="s">
        <v>4158</v>
      </c>
      <c r="W1576" t="s">
        <v>54</v>
      </c>
      <c r="X1576" t="s">
        <v>76</v>
      </c>
      <c r="Y1576" t="s">
        <v>434</v>
      </c>
      <c r="Z1576">
        <v>806</v>
      </c>
      <c r="AA1576">
        <v>65</v>
      </c>
      <c r="AB1576">
        <v>30</v>
      </c>
      <c r="AC1576" t="s">
        <v>4159</v>
      </c>
      <c r="AD1576" t="s">
        <v>4160</v>
      </c>
      <c r="AE1576" t="s">
        <v>4161</v>
      </c>
      <c r="AF1576" t="s">
        <v>6568</v>
      </c>
      <c r="AG1576" t="s">
        <v>6569</v>
      </c>
      <c r="AH1576" t="s">
        <v>6570</v>
      </c>
      <c r="AI1576" t="s">
        <v>6571</v>
      </c>
      <c r="AJ1576" s="2">
        <v>45492.042986111112</v>
      </c>
      <c r="AK1576" t="s">
        <v>2517</v>
      </c>
      <c r="AL1576" t="s">
        <v>65</v>
      </c>
      <c r="AM1576" s="3">
        <v>1.0555555555555556</v>
      </c>
      <c r="AN1576" t="s">
        <v>66</v>
      </c>
      <c r="AO1576" t="s">
        <v>67</v>
      </c>
    </row>
    <row r="1577" spans="1:41" x14ac:dyDescent="0.2">
      <c r="A1577">
        <v>364962</v>
      </c>
      <c r="B1577" t="s">
        <v>10889</v>
      </c>
      <c r="C1577" t="s">
        <v>692</v>
      </c>
      <c r="D1577" t="s">
        <v>10890</v>
      </c>
      <c r="E1577">
        <v>32829234</v>
      </c>
      <c r="F1577">
        <v>480906</v>
      </c>
      <c r="G1577" s="1">
        <v>35977</v>
      </c>
      <c r="H1577" s="1">
        <v>45561</v>
      </c>
      <c r="I1577" s="1">
        <v>45915</v>
      </c>
      <c r="J1577" t="s">
        <v>45</v>
      </c>
      <c r="K1577" t="s">
        <v>45</v>
      </c>
      <c r="L1577" t="s">
        <v>429</v>
      </c>
      <c r="M1577" s="1">
        <v>45125</v>
      </c>
      <c r="N1577" t="s">
        <v>47</v>
      </c>
      <c r="O1577" t="s">
        <v>48</v>
      </c>
      <c r="P1577" t="s">
        <v>49</v>
      </c>
      <c r="Q1577" t="s">
        <v>10891</v>
      </c>
      <c r="R1577" t="s">
        <v>10892</v>
      </c>
      <c r="S1577">
        <v>8334</v>
      </c>
      <c r="T1577" t="s">
        <v>52</v>
      </c>
      <c r="U1577">
        <v>2</v>
      </c>
      <c r="V1577" t="s">
        <v>2248</v>
      </c>
      <c r="W1577" t="s">
        <v>54</v>
      </c>
      <c r="X1577" t="s">
        <v>76</v>
      </c>
      <c r="Y1577" t="s">
        <v>56</v>
      </c>
      <c r="Z1577">
        <v>1453</v>
      </c>
      <c r="AA1577">
        <v>53</v>
      </c>
      <c r="AB1577">
        <v>166</v>
      </c>
      <c r="AC1577" t="s">
        <v>2249</v>
      </c>
      <c r="AD1577" t="s">
        <v>2250</v>
      </c>
      <c r="AE1577" t="s">
        <v>2251</v>
      </c>
      <c r="AF1577" t="s">
        <v>10893</v>
      </c>
      <c r="AG1577" t="s">
        <v>10894</v>
      </c>
      <c r="AH1577" t="s">
        <v>10895</v>
      </c>
      <c r="AI1577" t="s">
        <v>3703</v>
      </c>
      <c r="AJ1577" s="2">
        <v>45566.517280092594</v>
      </c>
      <c r="AK1577" t="s">
        <v>568</v>
      </c>
      <c r="AL1577" t="s">
        <v>65</v>
      </c>
      <c r="AM1577" s="4">
        <v>0.59027777777777779</v>
      </c>
      <c r="AN1577" t="s">
        <v>66</v>
      </c>
      <c r="AO1577" t="s">
        <v>67</v>
      </c>
    </row>
    <row r="1578" spans="1:41" x14ac:dyDescent="0.2">
      <c r="A1578">
        <v>355088</v>
      </c>
      <c r="B1578" t="s">
        <v>10896</v>
      </c>
      <c r="C1578" t="s">
        <v>103</v>
      </c>
      <c r="D1578" t="s">
        <v>8887</v>
      </c>
      <c r="E1578" t="s">
        <v>10897</v>
      </c>
      <c r="F1578">
        <v>319501</v>
      </c>
      <c r="G1578" s="1">
        <v>45231</v>
      </c>
      <c r="H1578" s="1">
        <v>45231</v>
      </c>
      <c r="I1578" s="1">
        <v>46296</v>
      </c>
      <c r="J1578" t="s">
        <v>45</v>
      </c>
      <c r="K1578" t="s">
        <v>45</v>
      </c>
      <c r="L1578" t="s">
        <v>72</v>
      </c>
      <c r="N1578" t="s">
        <v>47</v>
      </c>
      <c r="O1578" t="s">
        <v>48</v>
      </c>
      <c r="P1578" t="s">
        <v>49</v>
      </c>
      <c r="Q1578" t="s">
        <v>10898</v>
      </c>
      <c r="R1578" t="s">
        <v>10899</v>
      </c>
      <c r="S1578">
        <v>68</v>
      </c>
      <c r="T1578" t="s">
        <v>92</v>
      </c>
      <c r="U1578" t="s">
        <v>107</v>
      </c>
      <c r="V1578" t="s">
        <v>108</v>
      </c>
      <c r="W1578" t="s">
        <v>109</v>
      </c>
      <c r="X1578" t="s">
        <v>92</v>
      </c>
      <c r="Y1578" t="s">
        <v>110</v>
      </c>
      <c r="Z1578">
        <v>12133</v>
      </c>
      <c r="AA1578">
        <v>12</v>
      </c>
      <c r="AB1578">
        <v>39</v>
      </c>
      <c r="AC1578" t="s">
        <v>2022</v>
      </c>
      <c r="AD1578" t="s">
        <v>2023</v>
      </c>
      <c r="AE1578" t="s">
        <v>2024</v>
      </c>
      <c r="AF1578" t="s">
        <v>1464</v>
      </c>
      <c r="AG1578" t="s">
        <v>4566</v>
      </c>
      <c r="AH1578" t="s">
        <v>1465</v>
      </c>
      <c r="AI1578" t="s">
        <v>10900</v>
      </c>
      <c r="AJ1578" s="2">
        <v>45818.719537037039</v>
      </c>
      <c r="AK1578" t="s">
        <v>100</v>
      </c>
      <c r="AL1578" t="s">
        <v>65</v>
      </c>
      <c r="AM1578" s="3">
        <v>2.0520833333333335</v>
      </c>
      <c r="AN1578" t="s">
        <v>66</v>
      </c>
      <c r="AO1578" t="s">
        <v>101</v>
      </c>
    </row>
    <row r="1579" spans="1:41" x14ac:dyDescent="0.2">
      <c r="A1579">
        <v>367682</v>
      </c>
      <c r="B1579" t="s">
        <v>10901</v>
      </c>
      <c r="C1579" t="s">
        <v>1000</v>
      </c>
      <c r="D1579" t="s">
        <v>10902</v>
      </c>
      <c r="E1579" t="s">
        <v>10903</v>
      </c>
      <c r="F1579">
        <v>405101</v>
      </c>
      <c r="G1579" s="1">
        <v>37917</v>
      </c>
      <c r="H1579" s="1">
        <v>45612</v>
      </c>
      <c r="J1579" t="s">
        <v>45</v>
      </c>
      <c r="K1579" t="s">
        <v>45</v>
      </c>
      <c r="L1579" t="s">
        <v>72</v>
      </c>
      <c r="M1579" s="1">
        <v>45612</v>
      </c>
      <c r="N1579" t="s">
        <v>47</v>
      </c>
      <c r="O1579" t="s">
        <v>48</v>
      </c>
      <c r="P1579" t="s">
        <v>49</v>
      </c>
      <c r="Q1579" t="s">
        <v>10904</v>
      </c>
      <c r="R1579" t="s">
        <v>10905</v>
      </c>
      <c r="S1579">
        <v>1240</v>
      </c>
      <c r="T1579" t="s">
        <v>92</v>
      </c>
      <c r="U1579" t="s">
        <v>1005</v>
      </c>
      <c r="V1579" t="s">
        <v>590</v>
      </c>
      <c r="W1579" t="s">
        <v>1006</v>
      </c>
      <c r="X1579" t="s">
        <v>92</v>
      </c>
      <c r="Y1579" t="s">
        <v>770</v>
      </c>
      <c r="Z1579">
        <v>2411</v>
      </c>
      <c r="AA1579">
        <v>38</v>
      </c>
      <c r="AB1579">
        <v>144</v>
      </c>
      <c r="AC1579" t="s">
        <v>8528</v>
      </c>
      <c r="AD1579" t="s">
        <v>5089</v>
      </c>
      <c r="AE1579" t="s">
        <v>5090</v>
      </c>
      <c r="AI1579" t="s">
        <v>1010</v>
      </c>
      <c r="AJ1579" s="2">
        <v>45686.270335648151</v>
      </c>
      <c r="AK1579" t="s">
        <v>1011</v>
      </c>
      <c r="AL1579" t="s">
        <v>65</v>
      </c>
      <c r="AM1579" s="4">
        <v>0.2361111111111111</v>
      </c>
      <c r="AN1579" t="s">
        <v>66</v>
      </c>
      <c r="AO1579" t="s">
        <v>67</v>
      </c>
    </row>
    <row r="1580" spans="1:41" x14ac:dyDescent="0.2">
      <c r="A1580">
        <v>370558</v>
      </c>
      <c r="B1580" t="s">
        <v>10906</v>
      </c>
      <c r="C1580" t="s">
        <v>182</v>
      </c>
      <c r="D1580" t="s">
        <v>183</v>
      </c>
      <c r="E1580" t="s">
        <v>10907</v>
      </c>
      <c r="F1580">
        <v>45447</v>
      </c>
      <c r="G1580" s="1">
        <v>36287</v>
      </c>
      <c r="H1580" s="1">
        <v>45771</v>
      </c>
      <c r="I1580" s="1">
        <v>46068</v>
      </c>
      <c r="J1580" t="s">
        <v>45</v>
      </c>
      <c r="K1580" t="s">
        <v>45</v>
      </c>
      <c r="L1580" t="s">
        <v>72</v>
      </c>
      <c r="M1580" s="1">
        <v>42780</v>
      </c>
      <c r="N1580" t="s">
        <v>47</v>
      </c>
      <c r="O1580" t="s">
        <v>48</v>
      </c>
      <c r="P1580" t="s">
        <v>49</v>
      </c>
      <c r="Q1580" t="s">
        <v>10908</v>
      </c>
      <c r="R1580" t="s">
        <v>10909</v>
      </c>
      <c r="S1580">
        <v>50</v>
      </c>
      <c r="T1580" t="s">
        <v>92</v>
      </c>
      <c r="U1580" t="s">
        <v>187</v>
      </c>
      <c r="V1580" t="s">
        <v>188</v>
      </c>
      <c r="W1580" t="s">
        <v>189</v>
      </c>
      <c r="X1580" t="s">
        <v>92</v>
      </c>
      <c r="Y1580" t="s">
        <v>110</v>
      </c>
      <c r="Z1580">
        <v>1617</v>
      </c>
      <c r="AA1580">
        <v>58</v>
      </c>
      <c r="AB1580">
        <v>38</v>
      </c>
      <c r="AC1580" t="s">
        <v>190</v>
      </c>
      <c r="AD1580" t="s">
        <v>191</v>
      </c>
      <c r="AE1580" t="s">
        <v>192</v>
      </c>
      <c r="AF1580" t="s">
        <v>4170</v>
      </c>
      <c r="AG1580" t="s">
        <v>4171</v>
      </c>
      <c r="AH1580" t="s">
        <v>4172</v>
      </c>
      <c r="AJ1580" s="2">
        <v>45777.863333333335</v>
      </c>
      <c r="AK1580" t="s">
        <v>190</v>
      </c>
      <c r="AL1580" t="s">
        <v>65</v>
      </c>
      <c r="AM1580" s="3">
        <v>2.3263888888888888</v>
      </c>
      <c r="AN1580" t="s">
        <v>66</v>
      </c>
      <c r="AO1580" t="s">
        <v>67</v>
      </c>
    </row>
    <row r="1581" spans="1:41" x14ac:dyDescent="0.2">
      <c r="A1581">
        <v>371606</v>
      </c>
      <c r="B1581" t="s">
        <v>10910</v>
      </c>
      <c r="C1581" t="s">
        <v>86</v>
      </c>
      <c r="D1581" t="s">
        <v>10911</v>
      </c>
      <c r="E1581">
        <v>8006624</v>
      </c>
      <c r="F1581">
        <v>204001</v>
      </c>
      <c r="G1581" s="1">
        <v>32964</v>
      </c>
      <c r="H1581" s="1">
        <v>45780</v>
      </c>
      <c r="I1581" s="1">
        <v>46143</v>
      </c>
      <c r="J1581" t="s">
        <v>45</v>
      </c>
      <c r="K1581" t="s">
        <v>45</v>
      </c>
      <c r="L1581" t="s">
        <v>72</v>
      </c>
      <c r="M1581" s="1">
        <v>43717</v>
      </c>
      <c r="N1581" t="s">
        <v>47</v>
      </c>
      <c r="O1581" t="s">
        <v>48</v>
      </c>
      <c r="P1581" t="s">
        <v>49</v>
      </c>
      <c r="Q1581" t="s">
        <v>10912</v>
      </c>
      <c r="R1581" t="s">
        <v>10913</v>
      </c>
      <c r="S1581">
        <v>1089</v>
      </c>
      <c r="T1581" t="s">
        <v>92</v>
      </c>
      <c r="U1581" t="s">
        <v>93</v>
      </c>
      <c r="V1581" t="s">
        <v>506</v>
      </c>
      <c r="W1581" t="s">
        <v>507</v>
      </c>
      <c r="X1581" t="s">
        <v>92</v>
      </c>
      <c r="Y1581" t="s">
        <v>110</v>
      </c>
      <c r="Z1581">
        <v>1973</v>
      </c>
      <c r="AA1581">
        <v>37</v>
      </c>
      <c r="AB1581">
        <v>210</v>
      </c>
      <c r="AC1581" t="s">
        <v>508</v>
      </c>
      <c r="AD1581" t="s">
        <v>509</v>
      </c>
      <c r="AE1581" t="s">
        <v>510</v>
      </c>
      <c r="AF1581" t="s">
        <v>10914</v>
      </c>
      <c r="AG1581" t="s">
        <v>10915</v>
      </c>
      <c r="AH1581" t="s">
        <v>10916</v>
      </c>
      <c r="AI1581" t="s">
        <v>10917</v>
      </c>
      <c r="AJ1581" s="2">
        <v>45817.706006944441</v>
      </c>
      <c r="AK1581" t="s">
        <v>100</v>
      </c>
      <c r="AL1581" t="s">
        <v>65</v>
      </c>
      <c r="AM1581" s="4">
        <v>0.18402777777777779</v>
      </c>
      <c r="AN1581" t="s">
        <v>66</v>
      </c>
      <c r="AO1581" t="s">
        <v>67</v>
      </c>
    </row>
    <row r="1582" spans="1:41" x14ac:dyDescent="0.2">
      <c r="A1582">
        <v>371876</v>
      </c>
      <c r="B1582" t="s">
        <v>10918</v>
      </c>
      <c r="C1582" t="s">
        <v>134</v>
      </c>
      <c r="D1582" t="s">
        <v>7120</v>
      </c>
      <c r="E1582" s="5" t="s">
        <v>10919</v>
      </c>
      <c r="F1582">
        <v>451705</v>
      </c>
      <c r="G1582" s="1">
        <v>32509</v>
      </c>
      <c r="H1582" s="1">
        <v>45468</v>
      </c>
      <c r="I1582" s="1">
        <v>46188</v>
      </c>
      <c r="J1582" t="s">
        <v>45</v>
      </c>
      <c r="K1582" t="s">
        <v>45</v>
      </c>
      <c r="L1582" t="s">
        <v>429</v>
      </c>
      <c r="M1582" s="1">
        <v>41394</v>
      </c>
      <c r="N1582" t="s">
        <v>47</v>
      </c>
      <c r="O1582" t="s">
        <v>48</v>
      </c>
      <c r="P1582" t="s">
        <v>49</v>
      </c>
      <c r="Q1582" t="s">
        <v>10920</v>
      </c>
      <c r="R1582" t="s">
        <v>10921</v>
      </c>
      <c r="S1582">
        <v>1637</v>
      </c>
      <c r="T1582" t="s">
        <v>52</v>
      </c>
      <c r="U1582">
        <v>6</v>
      </c>
      <c r="V1582" t="s">
        <v>7415</v>
      </c>
      <c r="W1582" t="s">
        <v>54</v>
      </c>
      <c r="X1582" t="s">
        <v>76</v>
      </c>
      <c r="Y1582" t="s">
        <v>56</v>
      </c>
      <c r="Z1582">
        <v>783</v>
      </c>
      <c r="AA1582">
        <v>54</v>
      </c>
      <c r="AB1582">
        <v>28</v>
      </c>
      <c r="AC1582" t="s">
        <v>7435</v>
      </c>
      <c r="AD1582" t="s">
        <v>7436</v>
      </c>
      <c r="AE1582" t="s">
        <v>7437</v>
      </c>
      <c r="AF1582" t="s">
        <v>7438</v>
      </c>
      <c r="AG1582" t="s">
        <v>7439</v>
      </c>
      <c r="AH1582" t="s">
        <v>7440</v>
      </c>
      <c r="AI1582" t="s">
        <v>179</v>
      </c>
      <c r="AJ1582" s="2">
        <v>45821.787372685183</v>
      </c>
      <c r="AK1582" t="s">
        <v>660</v>
      </c>
      <c r="AL1582" t="s">
        <v>65</v>
      </c>
      <c r="AM1582" s="3">
        <v>1.2083333333333333</v>
      </c>
      <c r="AN1582" t="s">
        <v>66</v>
      </c>
      <c r="AO1582" t="s">
        <v>67</v>
      </c>
    </row>
    <row r="1583" spans="1:41" x14ac:dyDescent="0.2">
      <c r="A1583">
        <v>370005</v>
      </c>
      <c r="B1583" t="s">
        <v>10922</v>
      </c>
      <c r="C1583" t="s">
        <v>735</v>
      </c>
      <c r="D1583" t="s">
        <v>10923</v>
      </c>
      <c r="E1583">
        <v>32341526</v>
      </c>
      <c r="G1583" s="1">
        <v>45761</v>
      </c>
      <c r="H1583" s="1">
        <v>45726</v>
      </c>
      <c r="I1583" s="1">
        <v>46096</v>
      </c>
      <c r="J1583" t="s">
        <v>45</v>
      </c>
      <c r="K1583" t="s">
        <v>45</v>
      </c>
      <c r="L1583" t="s">
        <v>72</v>
      </c>
      <c r="M1583" s="1">
        <v>38037</v>
      </c>
      <c r="N1583" t="s">
        <v>47</v>
      </c>
      <c r="O1583" t="s">
        <v>121</v>
      </c>
      <c r="P1583" t="s">
        <v>49</v>
      </c>
      <c r="Q1583" t="s">
        <v>10924</v>
      </c>
      <c r="R1583" t="s">
        <v>10925</v>
      </c>
      <c r="S1583">
        <v>4750</v>
      </c>
      <c r="T1583" t="s">
        <v>52</v>
      </c>
      <c r="U1583">
        <v>1</v>
      </c>
      <c r="V1583" t="s">
        <v>2162</v>
      </c>
      <c r="W1583" t="s">
        <v>54</v>
      </c>
      <c r="X1583" t="s">
        <v>76</v>
      </c>
      <c r="Y1583" t="s">
        <v>125</v>
      </c>
      <c r="Z1583">
        <v>2032</v>
      </c>
      <c r="AA1583">
        <v>88</v>
      </c>
      <c r="AB1583">
        <v>160</v>
      </c>
      <c r="AC1583" t="s">
        <v>10926</v>
      </c>
      <c r="AD1583" t="s">
        <v>10927</v>
      </c>
      <c r="AE1583" t="s">
        <v>10928</v>
      </c>
      <c r="AF1583" t="s">
        <v>10929</v>
      </c>
      <c r="AG1583" t="s">
        <v>10930</v>
      </c>
      <c r="AH1583" t="s">
        <v>10931</v>
      </c>
      <c r="AJ1583" s="2">
        <v>45761.741342592592</v>
      </c>
      <c r="AK1583" t="s">
        <v>650</v>
      </c>
      <c r="AL1583" t="s">
        <v>65</v>
      </c>
      <c r="AM1583" s="3">
        <v>1.125</v>
      </c>
      <c r="AN1583" t="s">
        <v>66</v>
      </c>
      <c r="AO1583" t="s">
        <v>67</v>
      </c>
    </row>
    <row r="1584" spans="1:41" x14ac:dyDescent="0.2">
      <c r="A1584">
        <v>367338</v>
      </c>
      <c r="B1584" t="s">
        <v>10932</v>
      </c>
      <c r="C1584" t="s">
        <v>1000</v>
      </c>
      <c r="D1584" t="s">
        <v>237</v>
      </c>
      <c r="E1584">
        <v>2609414</v>
      </c>
      <c r="F1584">
        <v>406601</v>
      </c>
      <c r="G1584" s="1">
        <v>37917</v>
      </c>
      <c r="H1584" s="1">
        <v>45621</v>
      </c>
      <c r="J1584" t="s">
        <v>45</v>
      </c>
      <c r="K1584" t="s">
        <v>45</v>
      </c>
      <c r="L1584" t="s">
        <v>72</v>
      </c>
      <c r="M1584" s="1">
        <v>45621</v>
      </c>
      <c r="N1584" t="s">
        <v>47</v>
      </c>
      <c r="O1584" t="s">
        <v>48</v>
      </c>
      <c r="P1584" t="s">
        <v>49</v>
      </c>
      <c r="Q1584" t="s">
        <v>10933</v>
      </c>
      <c r="R1584" t="s">
        <v>10934</v>
      </c>
      <c r="S1584">
        <v>1150</v>
      </c>
      <c r="T1584" t="s">
        <v>92</v>
      </c>
      <c r="U1584" t="s">
        <v>1005</v>
      </c>
      <c r="V1584" t="s">
        <v>590</v>
      </c>
      <c r="W1584" t="s">
        <v>1006</v>
      </c>
      <c r="X1584" t="s">
        <v>92</v>
      </c>
      <c r="Y1584" t="s">
        <v>770</v>
      </c>
      <c r="Z1584">
        <v>2417</v>
      </c>
      <c r="AA1584">
        <v>34</v>
      </c>
      <c r="AB1584">
        <v>144</v>
      </c>
      <c r="AC1584" t="s">
        <v>3708</v>
      </c>
      <c r="AD1584" t="s">
        <v>3709</v>
      </c>
      <c r="AE1584" t="s">
        <v>10935</v>
      </c>
      <c r="AF1584" t="s">
        <v>1011</v>
      </c>
      <c r="AG1584" t="s">
        <v>1010</v>
      </c>
      <c r="AH1584" t="s">
        <v>3711</v>
      </c>
      <c r="AJ1584" s="2">
        <v>45672.323113425926</v>
      </c>
      <c r="AK1584" t="s">
        <v>1011</v>
      </c>
      <c r="AL1584" t="s">
        <v>65</v>
      </c>
      <c r="AM1584" s="4">
        <v>0.27777777777777779</v>
      </c>
      <c r="AN1584" t="s">
        <v>66</v>
      </c>
      <c r="AO1584" t="s">
        <v>67</v>
      </c>
    </row>
    <row r="1585" spans="1:41" x14ac:dyDescent="0.2">
      <c r="A1585">
        <v>368136</v>
      </c>
      <c r="B1585" t="s">
        <v>10936</v>
      </c>
      <c r="C1585" t="s">
        <v>735</v>
      </c>
      <c r="D1585" t="s">
        <v>10923</v>
      </c>
      <c r="E1585" t="s">
        <v>10937</v>
      </c>
      <c r="G1585" s="1">
        <v>45580</v>
      </c>
      <c r="H1585" s="1">
        <v>45581</v>
      </c>
      <c r="I1585" s="1">
        <v>45976</v>
      </c>
      <c r="J1585" t="s">
        <v>45</v>
      </c>
      <c r="K1585" t="s">
        <v>45</v>
      </c>
      <c r="L1585" t="s">
        <v>72</v>
      </c>
      <c r="N1585" t="s">
        <v>89</v>
      </c>
      <c r="O1585" t="s">
        <v>121</v>
      </c>
      <c r="P1585" t="s">
        <v>49</v>
      </c>
      <c r="Q1585" t="s">
        <v>10938</v>
      </c>
      <c r="R1585" t="s">
        <v>10939</v>
      </c>
      <c r="S1585">
        <v>2072</v>
      </c>
      <c r="T1585" t="s">
        <v>365</v>
      </c>
      <c r="U1585" t="s">
        <v>969</v>
      </c>
      <c r="V1585" t="s">
        <v>970</v>
      </c>
      <c r="W1585" t="s">
        <v>367</v>
      </c>
      <c r="X1585" t="s">
        <v>76</v>
      </c>
      <c r="Y1585" t="s">
        <v>125</v>
      </c>
      <c r="Z1585">
        <v>2168</v>
      </c>
      <c r="AA1585">
        <v>104</v>
      </c>
      <c r="AB1585">
        <v>166</v>
      </c>
      <c r="AC1585" t="s">
        <v>974</v>
      </c>
      <c r="AD1585" t="s">
        <v>975</v>
      </c>
      <c r="AE1585" t="s">
        <v>976</v>
      </c>
      <c r="AF1585" t="s">
        <v>971</v>
      </c>
      <c r="AG1585" t="s">
        <v>972</v>
      </c>
      <c r="AH1585" t="s">
        <v>973</v>
      </c>
      <c r="AI1585" t="s">
        <v>10940</v>
      </c>
      <c r="AJ1585" s="2">
        <v>45701.693668981483</v>
      </c>
      <c r="AK1585" t="s">
        <v>971</v>
      </c>
      <c r="AL1585" t="s">
        <v>65</v>
      </c>
      <c r="AM1585" s="3">
        <v>2.0208333333333335</v>
      </c>
      <c r="AN1585" t="s">
        <v>66</v>
      </c>
      <c r="AO1585" t="s">
        <v>67</v>
      </c>
    </row>
    <row r="1586" spans="1:41" x14ac:dyDescent="0.2">
      <c r="A1586">
        <v>371615</v>
      </c>
      <c r="B1586" t="s">
        <v>10941</v>
      </c>
      <c r="C1586" t="s">
        <v>735</v>
      </c>
      <c r="D1586" t="s">
        <v>6623</v>
      </c>
      <c r="E1586" t="s">
        <v>10942</v>
      </c>
      <c r="G1586" s="1">
        <v>45729</v>
      </c>
      <c r="H1586" s="1">
        <v>45581</v>
      </c>
      <c r="I1586" s="1">
        <v>45976</v>
      </c>
      <c r="J1586" t="s">
        <v>45</v>
      </c>
      <c r="K1586" t="s">
        <v>45</v>
      </c>
      <c r="L1586" t="s">
        <v>72</v>
      </c>
      <c r="M1586" s="1">
        <v>40750</v>
      </c>
      <c r="N1586" t="s">
        <v>89</v>
      </c>
      <c r="O1586" t="s">
        <v>121</v>
      </c>
      <c r="P1586" t="s">
        <v>49</v>
      </c>
      <c r="Q1586" t="s">
        <v>10943</v>
      </c>
      <c r="R1586" t="s">
        <v>10944</v>
      </c>
      <c r="S1586">
        <v>2996</v>
      </c>
      <c r="T1586" t="s">
        <v>365</v>
      </c>
      <c r="U1586" t="s">
        <v>969</v>
      </c>
      <c r="V1586" t="s">
        <v>970</v>
      </c>
      <c r="W1586" t="s">
        <v>367</v>
      </c>
      <c r="X1586" t="s">
        <v>76</v>
      </c>
      <c r="Y1586" t="s">
        <v>125</v>
      </c>
      <c r="Z1586">
        <v>2656</v>
      </c>
      <c r="AA1586">
        <v>140</v>
      </c>
      <c r="AB1586">
        <v>158</v>
      </c>
      <c r="AC1586" t="s">
        <v>974</v>
      </c>
      <c r="AD1586" t="s">
        <v>975</v>
      </c>
      <c r="AE1586" t="s">
        <v>976</v>
      </c>
      <c r="AF1586" t="s">
        <v>971</v>
      </c>
      <c r="AG1586" t="s">
        <v>972</v>
      </c>
      <c r="AH1586" t="s">
        <v>973</v>
      </c>
      <c r="AI1586" t="s">
        <v>977</v>
      </c>
      <c r="AJ1586" s="2">
        <v>45817.711643518516</v>
      </c>
      <c r="AK1586" t="s">
        <v>800</v>
      </c>
      <c r="AL1586" t="s">
        <v>65</v>
      </c>
      <c r="AM1586" s="4">
        <v>0.625</v>
      </c>
      <c r="AN1586" t="s">
        <v>66</v>
      </c>
      <c r="AO1586" t="s">
        <v>67</v>
      </c>
    </row>
    <row r="1587" spans="1:41" x14ac:dyDescent="0.2">
      <c r="A1587">
        <v>359319</v>
      </c>
      <c r="B1587" t="s">
        <v>10945</v>
      </c>
      <c r="C1587" t="s">
        <v>103</v>
      </c>
      <c r="D1587" t="s">
        <v>10946</v>
      </c>
      <c r="E1587" t="s">
        <v>10947</v>
      </c>
      <c r="F1587">
        <v>314602</v>
      </c>
      <c r="G1587" s="1">
        <v>37469</v>
      </c>
      <c r="H1587" s="1">
        <v>45280</v>
      </c>
      <c r="I1587" s="1">
        <v>46310</v>
      </c>
      <c r="J1587" t="s">
        <v>45</v>
      </c>
      <c r="K1587" t="s">
        <v>45</v>
      </c>
      <c r="L1587" t="s">
        <v>72</v>
      </c>
      <c r="M1587" s="1">
        <v>43314</v>
      </c>
      <c r="N1587" t="s">
        <v>47</v>
      </c>
      <c r="O1587" t="s">
        <v>48</v>
      </c>
      <c r="P1587" t="s">
        <v>49</v>
      </c>
      <c r="Q1587" t="s">
        <v>10948</v>
      </c>
      <c r="R1587" t="s">
        <v>10949</v>
      </c>
      <c r="S1587">
        <v>750</v>
      </c>
      <c r="T1587" t="s">
        <v>92</v>
      </c>
      <c r="U1587" t="s">
        <v>107</v>
      </c>
      <c r="V1587" t="s">
        <v>108</v>
      </c>
      <c r="W1587" t="s">
        <v>109</v>
      </c>
      <c r="X1587" t="s">
        <v>52</v>
      </c>
      <c r="Y1587" t="s">
        <v>110</v>
      </c>
      <c r="Z1587">
        <v>2257</v>
      </c>
      <c r="AA1587">
        <v>44</v>
      </c>
      <c r="AB1587">
        <v>160</v>
      </c>
      <c r="AC1587" t="s">
        <v>10950</v>
      </c>
      <c r="AD1587" t="s">
        <v>10951</v>
      </c>
      <c r="AE1587" t="s">
        <v>10952</v>
      </c>
      <c r="AF1587" t="s">
        <v>1464</v>
      </c>
      <c r="AG1587" t="s">
        <v>4566</v>
      </c>
      <c r="AH1587" t="s">
        <v>1465</v>
      </c>
      <c r="AJ1587" s="2">
        <v>45818.719537037039</v>
      </c>
      <c r="AK1587" t="s">
        <v>100</v>
      </c>
      <c r="AL1587" t="s">
        <v>65</v>
      </c>
      <c r="AM1587" s="4">
        <v>0.68055555555555558</v>
      </c>
      <c r="AN1587" t="s">
        <v>66</v>
      </c>
      <c r="AO1587" t="s">
        <v>67</v>
      </c>
    </row>
    <row r="1588" spans="1:41" x14ac:dyDescent="0.2">
      <c r="A1588">
        <v>372258</v>
      </c>
      <c r="B1588" t="s">
        <v>10953</v>
      </c>
      <c r="C1588" t="s">
        <v>735</v>
      </c>
      <c r="D1588" t="s">
        <v>1849</v>
      </c>
      <c r="E1588" t="s">
        <v>10954</v>
      </c>
      <c r="F1588">
        <v>240107</v>
      </c>
      <c r="G1588" s="1">
        <v>33044</v>
      </c>
      <c r="H1588" s="1">
        <v>45520</v>
      </c>
      <c r="I1588" s="1">
        <v>46235</v>
      </c>
      <c r="J1588" t="s">
        <v>45</v>
      </c>
      <c r="K1588" t="s">
        <v>45</v>
      </c>
      <c r="L1588" t="s">
        <v>429</v>
      </c>
      <c r="M1588" s="1">
        <v>42235</v>
      </c>
      <c r="N1588" t="s">
        <v>47</v>
      </c>
      <c r="O1588" t="s">
        <v>48</v>
      </c>
      <c r="P1588" t="s">
        <v>49</v>
      </c>
      <c r="Q1588" t="s">
        <v>10955</v>
      </c>
      <c r="R1588" t="s">
        <v>10956</v>
      </c>
      <c r="S1588">
        <v>2070</v>
      </c>
      <c r="T1588" t="s">
        <v>52</v>
      </c>
      <c r="U1588">
        <v>1</v>
      </c>
      <c r="V1588" t="s">
        <v>1853</v>
      </c>
      <c r="W1588" t="s">
        <v>54</v>
      </c>
      <c r="X1588" t="s">
        <v>76</v>
      </c>
      <c r="Y1588" t="s">
        <v>56</v>
      </c>
      <c r="Z1588">
        <v>958</v>
      </c>
      <c r="AA1588">
        <v>59</v>
      </c>
      <c r="AB1588">
        <v>30</v>
      </c>
      <c r="AC1588" t="s">
        <v>1854</v>
      </c>
      <c r="AD1588" t="s">
        <v>1855</v>
      </c>
      <c r="AE1588" t="s">
        <v>1856</v>
      </c>
      <c r="AF1588" t="s">
        <v>1857</v>
      </c>
      <c r="AG1588" t="s">
        <v>1858</v>
      </c>
      <c r="AH1588" t="s">
        <v>1859</v>
      </c>
      <c r="AI1588" t="s">
        <v>1860</v>
      </c>
      <c r="AJ1588" s="2">
        <v>45835.572696759256</v>
      </c>
      <c r="AK1588" t="s">
        <v>1857</v>
      </c>
      <c r="AL1588" t="s">
        <v>65</v>
      </c>
      <c r="AM1588" s="3">
        <v>1.0694444444444444</v>
      </c>
      <c r="AN1588" t="s">
        <v>66</v>
      </c>
      <c r="AO1588" t="s">
        <v>67</v>
      </c>
    </row>
    <row r="1589" spans="1:41" x14ac:dyDescent="0.2">
      <c r="A1589">
        <v>369100</v>
      </c>
      <c r="B1589" t="s">
        <v>10957</v>
      </c>
      <c r="C1589" t="s">
        <v>831</v>
      </c>
      <c r="D1589" t="s">
        <v>10958</v>
      </c>
      <c r="E1589" t="s">
        <v>10959</v>
      </c>
      <c r="F1589">
        <v>441801</v>
      </c>
      <c r="G1589" s="1">
        <v>38952</v>
      </c>
      <c r="H1589" s="1">
        <v>45721</v>
      </c>
      <c r="I1589" s="1">
        <v>46096</v>
      </c>
      <c r="J1589" t="s">
        <v>45</v>
      </c>
      <c r="K1589" t="s">
        <v>45</v>
      </c>
      <c r="L1589" t="s">
        <v>46</v>
      </c>
      <c r="M1589" s="1">
        <v>43620</v>
      </c>
      <c r="N1589" t="s">
        <v>47</v>
      </c>
      <c r="O1589" t="s">
        <v>48</v>
      </c>
      <c r="P1589" t="s">
        <v>49</v>
      </c>
      <c r="Q1589" t="s">
        <v>10960</v>
      </c>
      <c r="R1589" t="s">
        <v>10961</v>
      </c>
      <c r="S1589">
        <v>2580</v>
      </c>
      <c r="T1589" t="s">
        <v>52</v>
      </c>
      <c r="U1589">
        <v>8</v>
      </c>
      <c r="V1589" t="s">
        <v>4806</v>
      </c>
      <c r="W1589" t="s">
        <v>54</v>
      </c>
      <c r="X1589" t="s">
        <v>76</v>
      </c>
      <c r="Y1589" t="s">
        <v>56</v>
      </c>
      <c r="Z1589">
        <v>1180</v>
      </c>
      <c r="AA1589">
        <v>43</v>
      </c>
      <c r="AB1589">
        <v>37</v>
      </c>
      <c r="AC1589" t="s">
        <v>10962</v>
      </c>
      <c r="AD1589" t="s">
        <v>10963</v>
      </c>
      <c r="AE1589" t="s">
        <v>10964</v>
      </c>
      <c r="AF1589" t="s">
        <v>4810</v>
      </c>
      <c r="AG1589" t="s">
        <v>4811</v>
      </c>
      <c r="AH1589" t="s">
        <v>4812</v>
      </c>
      <c r="AI1589" t="s">
        <v>5771</v>
      </c>
      <c r="AJ1589" s="2">
        <v>45726.887615740743</v>
      </c>
      <c r="AK1589" t="s">
        <v>2517</v>
      </c>
      <c r="AL1589" t="s">
        <v>65</v>
      </c>
      <c r="AM1589" s="4">
        <v>0.69444444444444442</v>
      </c>
      <c r="AN1589" t="s">
        <v>66</v>
      </c>
      <c r="AO1589" t="s">
        <v>101</v>
      </c>
    </row>
    <row r="1590" spans="1:41" x14ac:dyDescent="0.2">
      <c r="A1590">
        <v>364536</v>
      </c>
      <c r="B1590" t="s">
        <v>10965</v>
      </c>
      <c r="C1590" t="s">
        <v>118</v>
      </c>
      <c r="D1590" t="s">
        <v>1389</v>
      </c>
      <c r="E1590" t="s">
        <v>10966</v>
      </c>
      <c r="F1590">
        <v>20309</v>
      </c>
      <c r="G1590" s="1">
        <v>32855</v>
      </c>
      <c r="H1590" s="1">
        <v>45545</v>
      </c>
      <c r="I1590" s="1">
        <v>46174</v>
      </c>
      <c r="J1590" t="s">
        <v>45</v>
      </c>
      <c r="K1590" t="s">
        <v>45</v>
      </c>
      <c r="L1590" t="s">
        <v>429</v>
      </c>
      <c r="M1590" s="1">
        <v>37444</v>
      </c>
      <c r="N1590" t="s">
        <v>47</v>
      </c>
      <c r="O1590" t="s">
        <v>48</v>
      </c>
      <c r="P1590" t="s">
        <v>49</v>
      </c>
      <c r="Q1590" t="s">
        <v>10967</v>
      </c>
      <c r="R1590" t="s">
        <v>10968</v>
      </c>
      <c r="S1590">
        <v>7102</v>
      </c>
      <c r="T1590" t="s">
        <v>296</v>
      </c>
      <c r="U1590" t="s">
        <v>297</v>
      </c>
      <c r="V1590" t="s">
        <v>1379</v>
      </c>
      <c r="W1590" t="s">
        <v>299</v>
      </c>
      <c r="X1590" t="s">
        <v>55</v>
      </c>
      <c r="Y1590" t="s">
        <v>56</v>
      </c>
      <c r="Z1590">
        <v>1</v>
      </c>
      <c r="AA1590">
        <v>61</v>
      </c>
      <c r="AB1590">
        <v>138</v>
      </c>
      <c r="AC1590" t="s">
        <v>1380</v>
      </c>
      <c r="AD1590" t="s">
        <v>1381</v>
      </c>
      <c r="AE1590" t="s">
        <v>10969</v>
      </c>
      <c r="AF1590" t="s">
        <v>10970</v>
      </c>
      <c r="AG1590" t="s">
        <v>304</v>
      </c>
      <c r="AH1590" t="s">
        <v>305</v>
      </c>
      <c r="AI1590" t="s">
        <v>306</v>
      </c>
      <c r="AJ1590" s="2">
        <v>45551.723240740743</v>
      </c>
      <c r="AK1590" t="s">
        <v>64</v>
      </c>
      <c r="AL1590" t="s">
        <v>65</v>
      </c>
      <c r="AM1590" s="3">
        <v>1.0138888888888888</v>
      </c>
      <c r="AN1590" t="s">
        <v>66</v>
      </c>
      <c r="AO1590" t="s">
        <v>67</v>
      </c>
    </row>
    <row r="1591" spans="1:41" x14ac:dyDescent="0.2">
      <c r="A1591">
        <v>365925</v>
      </c>
      <c r="B1591" t="s">
        <v>10971</v>
      </c>
      <c r="C1591" t="s">
        <v>735</v>
      </c>
      <c r="D1591" t="s">
        <v>2158</v>
      </c>
      <c r="E1591" t="s">
        <v>10972</v>
      </c>
      <c r="F1591">
        <v>241904</v>
      </c>
      <c r="G1591" s="1">
        <v>36763</v>
      </c>
      <c r="H1591" s="1">
        <v>45468</v>
      </c>
      <c r="I1591" s="1">
        <v>46249</v>
      </c>
      <c r="J1591" t="s">
        <v>45</v>
      </c>
      <c r="K1591" t="s">
        <v>45</v>
      </c>
      <c r="L1591" t="s">
        <v>46</v>
      </c>
      <c r="M1591" s="1">
        <v>45021</v>
      </c>
      <c r="N1591" t="s">
        <v>47</v>
      </c>
      <c r="O1591" t="s">
        <v>48</v>
      </c>
      <c r="P1591" t="s">
        <v>49</v>
      </c>
      <c r="Q1591" t="s">
        <v>10973</v>
      </c>
      <c r="R1591" t="s">
        <v>10974</v>
      </c>
      <c r="S1591">
        <v>4597</v>
      </c>
      <c r="T1591" t="s">
        <v>52</v>
      </c>
      <c r="U1591">
        <v>1</v>
      </c>
      <c r="V1591" t="s">
        <v>7012</v>
      </c>
      <c r="W1591" t="s">
        <v>54</v>
      </c>
      <c r="X1591" t="s">
        <v>76</v>
      </c>
      <c r="Y1591" t="s">
        <v>56</v>
      </c>
      <c r="Z1591">
        <v>1192</v>
      </c>
      <c r="AA1591">
        <v>47</v>
      </c>
      <c r="AB1591">
        <v>166</v>
      </c>
      <c r="AC1591" t="s">
        <v>10975</v>
      </c>
      <c r="AD1591" t="s">
        <v>10976</v>
      </c>
      <c r="AE1591" t="s">
        <v>10977</v>
      </c>
      <c r="AF1591" t="s">
        <v>10978</v>
      </c>
      <c r="AG1591" t="s">
        <v>10979</v>
      </c>
      <c r="AH1591" t="s">
        <v>10980</v>
      </c>
      <c r="AI1591" t="s">
        <v>10981</v>
      </c>
      <c r="AJ1591" s="2">
        <v>45595.782754629632</v>
      </c>
      <c r="AK1591" t="s">
        <v>10982</v>
      </c>
      <c r="AL1591" t="s">
        <v>65</v>
      </c>
      <c r="AM1591" s="4">
        <v>0.1388888888888889</v>
      </c>
      <c r="AN1591" t="s">
        <v>66</v>
      </c>
      <c r="AO1591" t="s">
        <v>67</v>
      </c>
    </row>
    <row r="1592" spans="1:41" x14ac:dyDescent="0.2">
      <c r="A1592">
        <v>372509</v>
      </c>
      <c r="B1592" t="s">
        <v>10971</v>
      </c>
      <c r="C1592" t="s">
        <v>182</v>
      </c>
      <c r="D1592" t="s">
        <v>6734</v>
      </c>
      <c r="E1592" t="s">
        <v>10983</v>
      </c>
      <c r="F1592">
        <v>41907</v>
      </c>
      <c r="G1592" s="1">
        <v>39944</v>
      </c>
      <c r="H1592" s="1">
        <v>45734</v>
      </c>
      <c r="J1592" t="s">
        <v>45</v>
      </c>
      <c r="K1592" t="s">
        <v>72</v>
      </c>
      <c r="L1592" t="s">
        <v>72</v>
      </c>
      <c r="M1592" s="1">
        <v>38812</v>
      </c>
      <c r="N1592" t="s">
        <v>47</v>
      </c>
      <c r="O1592" t="s">
        <v>48</v>
      </c>
      <c r="P1592" t="s">
        <v>49</v>
      </c>
      <c r="Q1592" t="s">
        <v>10984</v>
      </c>
      <c r="R1592" t="s">
        <v>10985</v>
      </c>
      <c r="S1592">
        <v>210</v>
      </c>
      <c r="T1592" t="s">
        <v>92</v>
      </c>
      <c r="U1592" t="s">
        <v>187</v>
      </c>
      <c r="V1592" t="s">
        <v>447</v>
      </c>
      <c r="W1592" t="s">
        <v>448</v>
      </c>
      <c r="X1592" t="s">
        <v>92</v>
      </c>
      <c r="Y1592" t="s">
        <v>450</v>
      </c>
      <c r="Z1592">
        <v>1256</v>
      </c>
      <c r="AA1592">
        <v>59</v>
      </c>
      <c r="AB1592">
        <v>38</v>
      </c>
      <c r="AC1592" t="s">
        <v>454</v>
      </c>
      <c r="AD1592" t="s">
        <v>473</v>
      </c>
      <c r="AE1592" t="s">
        <v>474</v>
      </c>
      <c r="AF1592" t="s">
        <v>454</v>
      </c>
      <c r="AG1592" t="s">
        <v>473</v>
      </c>
      <c r="AH1592" t="s">
        <v>474</v>
      </c>
      <c r="AJ1592" s="2">
        <v>45841.651307870372</v>
      </c>
      <c r="AK1592" t="s">
        <v>100</v>
      </c>
      <c r="AL1592" t="s">
        <v>65</v>
      </c>
      <c r="AM1592" s="4">
        <v>0.55555555555555558</v>
      </c>
      <c r="AN1592" t="s">
        <v>66</v>
      </c>
      <c r="AO1592" t="s">
        <v>67</v>
      </c>
    </row>
    <row r="1593" spans="1:41" x14ac:dyDescent="0.2">
      <c r="A1593">
        <v>369667</v>
      </c>
      <c r="B1593" t="s">
        <v>10986</v>
      </c>
      <c r="C1593" t="s">
        <v>42</v>
      </c>
      <c r="D1593" t="s">
        <v>2050</v>
      </c>
      <c r="E1593" t="s">
        <v>10987</v>
      </c>
      <c r="F1593">
        <v>292299</v>
      </c>
      <c r="G1593" s="1">
        <v>45435</v>
      </c>
      <c r="H1593" s="1">
        <v>45747</v>
      </c>
      <c r="I1593" s="1">
        <v>46096</v>
      </c>
      <c r="J1593" t="s">
        <v>45</v>
      </c>
      <c r="K1593" t="s">
        <v>45</v>
      </c>
      <c r="L1593" t="s">
        <v>72</v>
      </c>
      <c r="N1593" t="s">
        <v>89</v>
      </c>
      <c r="O1593" t="s">
        <v>121</v>
      </c>
      <c r="P1593" t="s">
        <v>49</v>
      </c>
      <c r="Q1593" t="s">
        <v>10988</v>
      </c>
      <c r="R1593" t="s">
        <v>10989</v>
      </c>
      <c r="S1593">
        <v>8141</v>
      </c>
      <c r="T1593" t="s">
        <v>52</v>
      </c>
      <c r="U1593">
        <v>3</v>
      </c>
      <c r="V1593" t="s">
        <v>5589</v>
      </c>
      <c r="W1593" t="s">
        <v>54</v>
      </c>
      <c r="X1593" t="s">
        <v>76</v>
      </c>
      <c r="Y1593" t="s">
        <v>125</v>
      </c>
      <c r="Z1593">
        <v>1905</v>
      </c>
      <c r="AA1593">
        <v>89</v>
      </c>
      <c r="AB1593">
        <v>160</v>
      </c>
      <c r="AC1593" t="s">
        <v>5590</v>
      </c>
      <c r="AD1593" t="s">
        <v>5591</v>
      </c>
      <c r="AE1593" t="s">
        <v>5592</v>
      </c>
      <c r="AI1593" t="s">
        <v>5591</v>
      </c>
      <c r="AJ1593" s="2">
        <v>45748.665312500001</v>
      </c>
      <c r="AK1593" t="s">
        <v>800</v>
      </c>
      <c r="AL1593" t="s">
        <v>65</v>
      </c>
      <c r="AM1593" s="3">
        <v>1.2569444444444444</v>
      </c>
      <c r="AN1593" t="s">
        <v>66</v>
      </c>
      <c r="AO1593" t="s">
        <v>67</v>
      </c>
    </row>
    <row r="1594" spans="1:41" x14ac:dyDescent="0.2">
      <c r="A1594">
        <v>368910</v>
      </c>
      <c r="B1594" t="s">
        <v>10990</v>
      </c>
      <c r="C1594" t="s">
        <v>42</v>
      </c>
      <c r="D1594" t="s">
        <v>4380</v>
      </c>
      <c r="E1594">
        <v>33341484</v>
      </c>
      <c r="F1594">
        <v>291499</v>
      </c>
      <c r="G1594" s="1">
        <v>45609</v>
      </c>
      <c r="H1594" s="1">
        <v>45561</v>
      </c>
      <c r="I1594" s="1">
        <v>45931</v>
      </c>
      <c r="J1594" t="s">
        <v>45</v>
      </c>
      <c r="K1594" t="s">
        <v>45</v>
      </c>
      <c r="L1594" t="s">
        <v>72</v>
      </c>
      <c r="M1594" s="1">
        <v>43101</v>
      </c>
      <c r="N1594" t="s">
        <v>89</v>
      </c>
      <c r="O1594" t="s">
        <v>121</v>
      </c>
      <c r="P1594" t="s">
        <v>49</v>
      </c>
      <c r="Q1594" t="s">
        <v>10991</v>
      </c>
      <c r="R1594" t="s">
        <v>10992</v>
      </c>
      <c r="S1594">
        <v>7360</v>
      </c>
      <c r="T1594" t="s">
        <v>52</v>
      </c>
      <c r="U1594">
        <v>3</v>
      </c>
      <c r="V1594" t="s">
        <v>124</v>
      </c>
      <c r="W1594" t="s">
        <v>54</v>
      </c>
      <c r="X1594" t="s">
        <v>76</v>
      </c>
      <c r="Y1594" t="s">
        <v>125</v>
      </c>
      <c r="Z1594">
        <v>2369</v>
      </c>
      <c r="AA1594">
        <v>63</v>
      </c>
      <c r="AB1594">
        <v>160</v>
      </c>
      <c r="AC1594" t="s">
        <v>5590</v>
      </c>
      <c r="AD1594" t="s">
        <v>5591</v>
      </c>
      <c r="AE1594" t="s">
        <v>5592</v>
      </c>
      <c r="AF1594" t="s">
        <v>10993</v>
      </c>
      <c r="AG1594" t="s">
        <v>10994</v>
      </c>
      <c r="AH1594" t="s">
        <v>10995</v>
      </c>
      <c r="AJ1594" s="2">
        <v>45722.907187500001</v>
      </c>
      <c r="AK1594" t="s">
        <v>10996</v>
      </c>
      <c r="AL1594" t="s">
        <v>65</v>
      </c>
      <c r="AM1594" s="3">
        <v>1.5763888888888888</v>
      </c>
      <c r="AN1594" t="s">
        <v>66</v>
      </c>
      <c r="AO1594" t="s">
        <v>67</v>
      </c>
    </row>
    <row r="1595" spans="1:41" x14ac:dyDescent="0.2">
      <c r="A1595">
        <v>367355</v>
      </c>
      <c r="B1595" t="s">
        <v>10997</v>
      </c>
      <c r="C1595" t="s">
        <v>763</v>
      </c>
      <c r="D1595" t="s">
        <v>10998</v>
      </c>
      <c r="E1595" t="s">
        <v>10999</v>
      </c>
      <c r="F1595">
        <v>470603</v>
      </c>
      <c r="G1595" s="1">
        <v>38558</v>
      </c>
      <c r="H1595" s="1">
        <v>45443</v>
      </c>
      <c r="J1595" t="s">
        <v>45</v>
      </c>
      <c r="K1595" t="s">
        <v>45</v>
      </c>
      <c r="L1595" t="s">
        <v>72</v>
      </c>
      <c r="N1595" t="s">
        <v>47</v>
      </c>
      <c r="O1595" t="s">
        <v>48</v>
      </c>
      <c r="P1595" t="s">
        <v>49</v>
      </c>
      <c r="Q1595" t="s">
        <v>11000</v>
      </c>
      <c r="R1595" t="s">
        <v>11001</v>
      </c>
      <c r="S1595">
        <v>813</v>
      </c>
      <c r="T1595" t="s">
        <v>92</v>
      </c>
      <c r="U1595" t="s">
        <v>767</v>
      </c>
      <c r="V1595" t="s">
        <v>768</v>
      </c>
      <c r="W1595" t="s">
        <v>769</v>
      </c>
      <c r="X1595" t="s">
        <v>92</v>
      </c>
      <c r="Y1595" t="s">
        <v>770</v>
      </c>
      <c r="Z1595">
        <v>2637</v>
      </c>
      <c r="AA1595">
        <v>39</v>
      </c>
      <c r="AB1595">
        <v>146</v>
      </c>
      <c r="AC1595" t="s">
        <v>1717</v>
      </c>
      <c r="AD1595" t="s">
        <v>1718</v>
      </c>
      <c r="AE1595" t="s">
        <v>1719</v>
      </c>
      <c r="AF1595" t="s">
        <v>774</v>
      </c>
      <c r="AG1595" t="s">
        <v>775</v>
      </c>
      <c r="AH1595" t="s">
        <v>776</v>
      </c>
      <c r="AI1595" t="s">
        <v>1720</v>
      </c>
      <c r="AJ1595" s="2">
        <v>45672.722581018519</v>
      </c>
      <c r="AK1595" t="s">
        <v>6356</v>
      </c>
      <c r="AL1595" t="s">
        <v>65</v>
      </c>
      <c r="AM1595" s="4">
        <v>0.27083333333333331</v>
      </c>
      <c r="AN1595" t="s">
        <v>66</v>
      </c>
      <c r="AO1595" t="s">
        <v>67</v>
      </c>
    </row>
    <row r="1596" spans="1:41" x14ac:dyDescent="0.2">
      <c r="A1596">
        <v>371791</v>
      </c>
      <c r="B1596" t="s">
        <v>11002</v>
      </c>
      <c r="C1596" t="s">
        <v>118</v>
      </c>
      <c r="D1596" t="s">
        <v>1410</v>
      </c>
      <c r="E1596" t="s">
        <v>11003</v>
      </c>
      <c r="F1596">
        <v>20220</v>
      </c>
      <c r="G1596" s="1">
        <v>34474</v>
      </c>
      <c r="H1596" s="1">
        <v>45818</v>
      </c>
      <c r="I1596" s="1">
        <v>46127</v>
      </c>
      <c r="J1596" t="s">
        <v>45</v>
      </c>
      <c r="K1596" t="s">
        <v>45</v>
      </c>
      <c r="L1596" t="s">
        <v>72</v>
      </c>
      <c r="M1596" s="1">
        <v>45818</v>
      </c>
      <c r="N1596" t="s">
        <v>47</v>
      </c>
      <c r="O1596" t="s">
        <v>48</v>
      </c>
      <c r="P1596" t="s">
        <v>49</v>
      </c>
      <c r="Q1596" t="s">
        <v>11004</v>
      </c>
      <c r="R1596" t="s">
        <v>11005</v>
      </c>
      <c r="S1596">
        <v>8800</v>
      </c>
      <c r="T1596" t="s">
        <v>257</v>
      </c>
      <c r="U1596" t="s">
        <v>283</v>
      </c>
      <c r="V1596" t="s">
        <v>3401</v>
      </c>
      <c r="W1596" t="s">
        <v>260</v>
      </c>
      <c r="X1596" t="s">
        <v>257</v>
      </c>
      <c r="Y1596" t="s">
        <v>110</v>
      </c>
      <c r="Z1596">
        <v>503</v>
      </c>
      <c r="AA1596">
        <v>64</v>
      </c>
      <c r="AB1596">
        <v>34</v>
      </c>
      <c r="AC1596" t="s">
        <v>3402</v>
      </c>
      <c r="AD1596" t="s">
        <v>3403</v>
      </c>
      <c r="AE1596" t="s">
        <v>3404</v>
      </c>
      <c r="AI1596" t="s">
        <v>3403</v>
      </c>
      <c r="AJ1596" s="2">
        <v>45819.696863425925</v>
      </c>
      <c r="AK1596" t="s">
        <v>3402</v>
      </c>
      <c r="AL1596" t="s">
        <v>65</v>
      </c>
      <c r="AM1596" s="4">
        <v>0.34027777777777779</v>
      </c>
      <c r="AN1596" t="s">
        <v>66</v>
      </c>
      <c r="AO1596" t="s">
        <v>67</v>
      </c>
    </row>
    <row r="1597" spans="1:41" x14ac:dyDescent="0.2">
      <c r="A1597">
        <v>371163</v>
      </c>
      <c r="B1597" t="s">
        <v>11006</v>
      </c>
      <c r="C1597" t="s">
        <v>662</v>
      </c>
      <c r="D1597" t="s">
        <v>4537</v>
      </c>
      <c r="E1597" t="s">
        <v>11007</v>
      </c>
      <c r="F1597">
        <v>411102</v>
      </c>
      <c r="G1597" s="1">
        <v>37623</v>
      </c>
      <c r="H1597" s="1">
        <v>45551</v>
      </c>
      <c r="I1597" s="1">
        <v>46266</v>
      </c>
      <c r="J1597" t="s">
        <v>45</v>
      </c>
      <c r="K1597" t="s">
        <v>45</v>
      </c>
      <c r="L1597" t="s">
        <v>72</v>
      </c>
      <c r="M1597" s="1">
        <v>45694</v>
      </c>
      <c r="N1597" t="s">
        <v>47</v>
      </c>
      <c r="O1597" t="s">
        <v>48</v>
      </c>
      <c r="P1597" t="s">
        <v>49</v>
      </c>
      <c r="Q1597" t="s">
        <v>11008</v>
      </c>
      <c r="R1597" t="s">
        <v>11009</v>
      </c>
      <c r="S1597">
        <v>500</v>
      </c>
      <c r="T1597" t="s">
        <v>92</v>
      </c>
      <c r="U1597" t="s">
        <v>1197</v>
      </c>
      <c r="V1597" t="s">
        <v>1198</v>
      </c>
      <c r="W1597" t="s">
        <v>1199</v>
      </c>
      <c r="X1597" t="s">
        <v>52</v>
      </c>
      <c r="Y1597" t="s">
        <v>110</v>
      </c>
      <c r="Z1597">
        <v>2095</v>
      </c>
      <c r="AA1597">
        <v>39</v>
      </c>
      <c r="AB1597">
        <v>158</v>
      </c>
      <c r="AC1597" t="s">
        <v>1200</v>
      </c>
      <c r="AD1597" t="s">
        <v>1201</v>
      </c>
      <c r="AE1597" t="s">
        <v>1202</v>
      </c>
      <c r="AF1597" t="s">
        <v>1203</v>
      </c>
      <c r="AG1597" t="s">
        <v>1204</v>
      </c>
      <c r="AH1597" t="s">
        <v>1205</v>
      </c>
      <c r="AJ1597" s="2">
        <v>45797.813587962963</v>
      </c>
      <c r="AK1597" t="s">
        <v>660</v>
      </c>
      <c r="AL1597" t="s">
        <v>65</v>
      </c>
      <c r="AM1597" s="4">
        <v>0.2361111111111111</v>
      </c>
      <c r="AN1597" t="s">
        <v>66</v>
      </c>
      <c r="AO1597" t="s">
        <v>67</v>
      </c>
    </row>
    <row r="1598" spans="1:41" x14ac:dyDescent="0.2">
      <c r="A1598">
        <v>372802</v>
      </c>
      <c r="B1598" t="s">
        <v>11010</v>
      </c>
      <c r="C1598" t="s">
        <v>69</v>
      </c>
      <c r="D1598" t="s">
        <v>7458</v>
      </c>
      <c r="E1598" t="s">
        <v>11011</v>
      </c>
      <c r="F1598">
        <v>100424</v>
      </c>
      <c r="G1598" s="1">
        <v>35712</v>
      </c>
      <c r="H1598" s="1">
        <v>45853</v>
      </c>
      <c r="I1598" s="1">
        <v>46204</v>
      </c>
      <c r="J1598" t="s">
        <v>45</v>
      </c>
      <c r="K1598" t="s">
        <v>45</v>
      </c>
      <c r="L1598" t="s">
        <v>72</v>
      </c>
      <c r="M1598" s="1">
        <v>43984</v>
      </c>
      <c r="N1598" t="s">
        <v>47</v>
      </c>
      <c r="O1598" t="s">
        <v>48</v>
      </c>
      <c r="P1598" t="s">
        <v>49</v>
      </c>
      <c r="Q1598" t="s">
        <v>11012</v>
      </c>
      <c r="R1598" t="s">
        <v>11013</v>
      </c>
      <c r="S1598">
        <v>5140</v>
      </c>
      <c r="T1598" t="s">
        <v>52</v>
      </c>
      <c r="U1598">
        <v>1</v>
      </c>
      <c r="V1598" t="s">
        <v>3148</v>
      </c>
      <c r="W1598" t="s">
        <v>54</v>
      </c>
      <c r="X1598" t="s">
        <v>76</v>
      </c>
      <c r="Y1598" t="s">
        <v>56</v>
      </c>
      <c r="Z1598">
        <v>1214</v>
      </c>
      <c r="AA1598">
        <v>59</v>
      </c>
      <c r="AB1598">
        <v>146</v>
      </c>
      <c r="AC1598" t="s">
        <v>3149</v>
      </c>
      <c r="AD1598" t="s">
        <v>3150</v>
      </c>
      <c r="AE1598" t="s">
        <v>3151</v>
      </c>
      <c r="AI1598" t="s">
        <v>179</v>
      </c>
      <c r="AJ1598" s="2">
        <v>45854.158900462964</v>
      </c>
      <c r="AK1598" t="s">
        <v>568</v>
      </c>
      <c r="AL1598" t="s">
        <v>65</v>
      </c>
      <c r="AM1598" s="4">
        <v>0.36805555555555558</v>
      </c>
      <c r="AN1598" t="s">
        <v>66</v>
      </c>
      <c r="AO1598" t="s">
        <v>67</v>
      </c>
    </row>
    <row r="1599" spans="1:41" x14ac:dyDescent="0.2">
      <c r="A1599">
        <v>368807</v>
      </c>
      <c r="B1599" t="s">
        <v>11014</v>
      </c>
      <c r="C1599" t="s">
        <v>662</v>
      </c>
      <c r="D1599" t="s">
        <v>8484</v>
      </c>
      <c r="E1599" t="s">
        <v>11015</v>
      </c>
      <c r="F1599">
        <v>418605</v>
      </c>
      <c r="G1599" s="1">
        <v>37564</v>
      </c>
      <c r="H1599" s="1">
        <v>45715</v>
      </c>
      <c r="I1599" s="1">
        <v>46054</v>
      </c>
      <c r="J1599" t="s">
        <v>45</v>
      </c>
      <c r="K1599" t="s">
        <v>45</v>
      </c>
      <c r="L1599" t="s">
        <v>46</v>
      </c>
      <c r="M1599" s="1">
        <v>42383</v>
      </c>
      <c r="N1599" t="s">
        <v>47</v>
      </c>
      <c r="O1599" t="s">
        <v>48</v>
      </c>
      <c r="P1599" t="s">
        <v>49</v>
      </c>
      <c r="Q1599" t="s">
        <v>11016</v>
      </c>
      <c r="R1599" t="s">
        <v>11017</v>
      </c>
      <c r="S1599">
        <v>15</v>
      </c>
      <c r="T1599" t="s">
        <v>156</v>
      </c>
      <c r="U1599" t="s">
        <v>667</v>
      </c>
      <c r="V1599" t="s">
        <v>886</v>
      </c>
      <c r="W1599" t="s">
        <v>159</v>
      </c>
      <c r="X1599" t="s">
        <v>55</v>
      </c>
      <c r="Y1599" t="s">
        <v>56</v>
      </c>
      <c r="Z1599">
        <v>2246</v>
      </c>
      <c r="AA1599">
        <v>36</v>
      </c>
      <c r="AB1599">
        <v>158</v>
      </c>
      <c r="AC1599" t="s">
        <v>887</v>
      </c>
      <c r="AD1599" t="s">
        <v>11018</v>
      </c>
      <c r="AE1599" t="s">
        <v>889</v>
      </c>
      <c r="AF1599" t="s">
        <v>10612</v>
      </c>
      <c r="AG1599" t="s">
        <v>10613</v>
      </c>
      <c r="AH1599" t="s">
        <v>10614</v>
      </c>
      <c r="AI1599" t="s">
        <v>179</v>
      </c>
      <c r="AJ1599" s="2">
        <v>45722.622430555559</v>
      </c>
      <c r="AK1599" t="s">
        <v>307</v>
      </c>
      <c r="AL1599" t="s">
        <v>65</v>
      </c>
      <c r="AM1599" s="3">
        <v>1.9513888888888888</v>
      </c>
      <c r="AN1599" t="s">
        <v>66</v>
      </c>
      <c r="AO1599" t="s">
        <v>67</v>
      </c>
    </row>
    <row r="1600" spans="1:41" x14ac:dyDescent="0.2">
      <c r="A1600">
        <v>365933</v>
      </c>
      <c r="B1600" t="s">
        <v>11019</v>
      </c>
      <c r="C1600" t="s">
        <v>221</v>
      </c>
      <c r="E1600" t="s">
        <v>11020</v>
      </c>
      <c r="F1600">
        <v>10990</v>
      </c>
      <c r="G1600" s="1">
        <v>35459</v>
      </c>
      <c r="H1600" s="1">
        <v>45566</v>
      </c>
      <c r="I1600" s="1">
        <v>45931</v>
      </c>
      <c r="J1600" t="s">
        <v>45</v>
      </c>
      <c r="K1600" t="s">
        <v>45</v>
      </c>
      <c r="L1600" t="s">
        <v>72</v>
      </c>
      <c r="M1600" s="1">
        <v>44442</v>
      </c>
      <c r="N1600" t="s">
        <v>47</v>
      </c>
      <c r="O1600" t="s">
        <v>48</v>
      </c>
      <c r="P1600" t="s">
        <v>49</v>
      </c>
      <c r="Q1600" t="s">
        <v>11021</v>
      </c>
      <c r="R1600" t="s">
        <v>11022</v>
      </c>
      <c r="S1600">
        <v>1374</v>
      </c>
      <c r="T1600" t="s">
        <v>257</v>
      </c>
      <c r="U1600" t="s">
        <v>1691</v>
      </c>
      <c r="V1600" t="s">
        <v>11023</v>
      </c>
      <c r="W1600" t="s">
        <v>260</v>
      </c>
      <c r="X1600" t="s">
        <v>257</v>
      </c>
      <c r="Y1600" t="s">
        <v>110</v>
      </c>
      <c r="Z1600">
        <v>1216</v>
      </c>
      <c r="AA1600">
        <v>57</v>
      </c>
      <c r="AB1600">
        <v>189</v>
      </c>
      <c r="AC1600" t="s">
        <v>11024</v>
      </c>
      <c r="AD1600" t="s">
        <v>11025</v>
      </c>
      <c r="AE1600" t="s">
        <v>11026</v>
      </c>
      <c r="AJ1600" s="2">
        <v>45595.85800925926</v>
      </c>
      <c r="AK1600" t="s">
        <v>11024</v>
      </c>
      <c r="AL1600" t="s">
        <v>65</v>
      </c>
      <c r="AM1600" s="3">
        <v>1.3611111111111112</v>
      </c>
      <c r="AN1600" t="s">
        <v>66</v>
      </c>
      <c r="AO1600" t="s">
        <v>101</v>
      </c>
    </row>
    <row r="1601" spans="1:41" x14ac:dyDescent="0.2">
      <c r="A1601">
        <v>372841</v>
      </c>
      <c r="B1601" t="s">
        <v>11027</v>
      </c>
      <c r="C1601" t="s">
        <v>236</v>
      </c>
      <c r="D1601" t="s">
        <v>11028</v>
      </c>
      <c r="E1601">
        <v>83791508</v>
      </c>
      <c r="F1601">
        <v>214501</v>
      </c>
      <c r="G1601" s="1">
        <v>38397</v>
      </c>
      <c r="H1601" s="1">
        <v>45854</v>
      </c>
      <c r="I1601" s="1">
        <v>46143</v>
      </c>
      <c r="J1601" t="s">
        <v>45</v>
      </c>
      <c r="K1601" t="s">
        <v>45</v>
      </c>
      <c r="L1601" t="s">
        <v>72</v>
      </c>
      <c r="M1601" s="1">
        <v>43125</v>
      </c>
      <c r="N1601" t="s">
        <v>47</v>
      </c>
      <c r="O1601" t="s">
        <v>48</v>
      </c>
      <c r="P1601" t="s">
        <v>49</v>
      </c>
      <c r="Q1601" t="s">
        <v>11029</v>
      </c>
      <c r="R1601" t="s">
        <v>11030</v>
      </c>
      <c r="S1601">
        <v>1076</v>
      </c>
      <c r="T1601" t="s">
        <v>156</v>
      </c>
      <c r="U1601" t="s">
        <v>241</v>
      </c>
      <c r="V1601" t="s">
        <v>11031</v>
      </c>
      <c r="W1601" t="s">
        <v>159</v>
      </c>
      <c r="X1601" t="s">
        <v>156</v>
      </c>
      <c r="Y1601" t="s">
        <v>110</v>
      </c>
      <c r="Z1601">
        <v>2689</v>
      </c>
      <c r="AA1601">
        <v>33</v>
      </c>
      <c r="AB1601">
        <v>158</v>
      </c>
      <c r="AC1601" t="s">
        <v>11032</v>
      </c>
      <c r="AD1601" t="s">
        <v>11033</v>
      </c>
      <c r="AE1601" t="s">
        <v>11034</v>
      </c>
      <c r="AF1601" t="s">
        <v>11035</v>
      </c>
      <c r="AG1601" t="s">
        <v>11036</v>
      </c>
      <c r="AH1601" t="s">
        <v>11037</v>
      </c>
      <c r="AI1601" t="s">
        <v>249</v>
      </c>
      <c r="AJ1601" s="2">
        <v>45854.823969907404</v>
      </c>
      <c r="AK1601" t="s">
        <v>11032</v>
      </c>
      <c r="AL1601" t="s">
        <v>65</v>
      </c>
      <c r="AM1601" s="4">
        <v>0.46527777777777779</v>
      </c>
      <c r="AN1601" t="s">
        <v>66</v>
      </c>
      <c r="AO1601" t="s">
        <v>67</v>
      </c>
    </row>
    <row r="1602" spans="1:41" x14ac:dyDescent="0.2">
      <c r="A1602">
        <v>368731</v>
      </c>
      <c r="B1602" t="s">
        <v>11038</v>
      </c>
      <c r="C1602" t="s">
        <v>69</v>
      </c>
      <c r="D1602" t="s">
        <v>3054</v>
      </c>
      <c r="E1602" t="s">
        <v>11039</v>
      </c>
      <c r="F1602">
        <v>101710</v>
      </c>
      <c r="G1602" s="1">
        <v>34102</v>
      </c>
      <c r="H1602" s="1">
        <v>45485</v>
      </c>
      <c r="I1602" s="1">
        <v>46249</v>
      </c>
      <c r="J1602" t="s">
        <v>45</v>
      </c>
      <c r="K1602" t="s">
        <v>45</v>
      </c>
      <c r="L1602" t="s">
        <v>72</v>
      </c>
      <c r="M1602" s="1">
        <v>45212</v>
      </c>
      <c r="N1602" t="s">
        <v>47</v>
      </c>
      <c r="O1602" t="s">
        <v>48</v>
      </c>
      <c r="P1602" t="s">
        <v>49</v>
      </c>
      <c r="Q1602" t="s">
        <v>11040</v>
      </c>
      <c r="R1602" t="s">
        <v>11041</v>
      </c>
      <c r="S1602">
        <v>4560</v>
      </c>
      <c r="T1602" t="s">
        <v>52</v>
      </c>
      <c r="U1602">
        <v>4</v>
      </c>
      <c r="V1602" t="s">
        <v>2010</v>
      </c>
      <c r="W1602" t="s">
        <v>54</v>
      </c>
      <c r="X1602" t="s">
        <v>76</v>
      </c>
      <c r="Y1602" t="s">
        <v>56</v>
      </c>
      <c r="Z1602">
        <v>645</v>
      </c>
      <c r="AA1602">
        <v>57</v>
      </c>
      <c r="AB1602">
        <v>146</v>
      </c>
      <c r="AC1602" t="s">
        <v>11042</v>
      </c>
      <c r="AD1602" t="s">
        <v>11043</v>
      </c>
      <c r="AE1602" t="s">
        <v>11044</v>
      </c>
      <c r="AF1602" t="s">
        <v>2011</v>
      </c>
      <c r="AG1602" t="s">
        <v>2012</v>
      </c>
      <c r="AH1602" t="s">
        <v>2013</v>
      </c>
      <c r="AI1602" t="s">
        <v>11045</v>
      </c>
      <c r="AJ1602" s="2">
        <v>45720.84783564815</v>
      </c>
      <c r="AK1602" t="s">
        <v>2068</v>
      </c>
      <c r="AL1602" t="s">
        <v>65</v>
      </c>
      <c r="AM1602" s="4">
        <v>0.2638888888888889</v>
      </c>
      <c r="AN1602" t="s">
        <v>66</v>
      </c>
      <c r="AO1602" t="s">
        <v>67</v>
      </c>
    </row>
    <row r="1603" spans="1:41" x14ac:dyDescent="0.2">
      <c r="A1603">
        <v>365898</v>
      </c>
      <c r="B1603" t="s">
        <v>11046</v>
      </c>
      <c r="C1603" t="s">
        <v>735</v>
      </c>
      <c r="D1603" t="s">
        <v>2245</v>
      </c>
      <c r="E1603" t="s">
        <v>11047</v>
      </c>
      <c r="F1603">
        <v>245108</v>
      </c>
      <c r="G1603" s="1">
        <v>35640</v>
      </c>
      <c r="H1603" s="1">
        <v>45574</v>
      </c>
      <c r="I1603" s="1">
        <v>45931</v>
      </c>
      <c r="J1603" t="s">
        <v>45</v>
      </c>
      <c r="K1603" t="s">
        <v>45</v>
      </c>
      <c r="L1603" t="s">
        <v>72</v>
      </c>
      <c r="M1603" s="1">
        <v>37454</v>
      </c>
      <c r="N1603" t="s">
        <v>47</v>
      </c>
      <c r="O1603" t="s">
        <v>48</v>
      </c>
      <c r="P1603" t="s">
        <v>49</v>
      </c>
      <c r="Q1603" t="s">
        <v>11048</v>
      </c>
      <c r="R1603" t="s">
        <v>11049</v>
      </c>
      <c r="S1603">
        <v>3197</v>
      </c>
      <c r="T1603" t="s">
        <v>296</v>
      </c>
      <c r="U1603" t="s">
        <v>1487</v>
      </c>
      <c r="V1603" t="s">
        <v>2510</v>
      </c>
      <c r="W1603" t="s">
        <v>299</v>
      </c>
      <c r="X1603" t="s">
        <v>76</v>
      </c>
      <c r="Y1603" t="s">
        <v>56</v>
      </c>
      <c r="Z1603">
        <v>1318</v>
      </c>
      <c r="AA1603">
        <v>48</v>
      </c>
      <c r="AB1603">
        <v>144</v>
      </c>
      <c r="AC1603" t="s">
        <v>11050</v>
      </c>
      <c r="AD1603" t="s">
        <v>2512</v>
      </c>
      <c r="AE1603" t="s">
        <v>11051</v>
      </c>
      <c r="AF1603" t="s">
        <v>2514</v>
      </c>
      <c r="AG1603" t="s">
        <v>11052</v>
      </c>
      <c r="AH1603" t="s">
        <v>2516</v>
      </c>
      <c r="AI1603" t="s">
        <v>1494</v>
      </c>
      <c r="AJ1603" s="2">
        <v>45594.871678240743</v>
      </c>
      <c r="AK1603" t="s">
        <v>704</v>
      </c>
      <c r="AL1603" t="s">
        <v>65</v>
      </c>
      <c r="AM1603" s="3">
        <v>2.4930555555555554</v>
      </c>
      <c r="AN1603" t="s">
        <v>809</v>
      </c>
      <c r="AO1603" t="s">
        <v>67</v>
      </c>
    </row>
    <row r="1604" spans="1:41" x14ac:dyDescent="0.2">
      <c r="A1604">
        <v>371810</v>
      </c>
      <c r="B1604" t="s">
        <v>11053</v>
      </c>
      <c r="C1604" t="s">
        <v>323</v>
      </c>
      <c r="D1604" t="s">
        <v>372</v>
      </c>
      <c r="E1604" t="s">
        <v>11054</v>
      </c>
      <c r="F1604">
        <v>500424</v>
      </c>
      <c r="G1604" s="1">
        <v>37826</v>
      </c>
      <c r="H1604" s="1">
        <v>45777</v>
      </c>
      <c r="I1604" s="1">
        <v>46037</v>
      </c>
      <c r="J1604" t="s">
        <v>45</v>
      </c>
      <c r="K1604" t="s">
        <v>45</v>
      </c>
      <c r="L1604" t="s">
        <v>72</v>
      </c>
      <c r="M1604" s="1">
        <v>45105</v>
      </c>
      <c r="N1604" t="s">
        <v>47</v>
      </c>
      <c r="O1604" t="s">
        <v>48</v>
      </c>
      <c r="P1604" t="s">
        <v>49</v>
      </c>
      <c r="Q1604" t="s">
        <v>11055</v>
      </c>
      <c r="R1604" t="s">
        <v>11056</v>
      </c>
      <c r="S1604">
        <v>1300</v>
      </c>
      <c r="T1604" t="s">
        <v>156</v>
      </c>
      <c r="U1604" t="s">
        <v>460</v>
      </c>
      <c r="V1604" t="s">
        <v>330</v>
      </c>
      <c r="W1604" t="s">
        <v>159</v>
      </c>
      <c r="X1604" t="s">
        <v>76</v>
      </c>
      <c r="Y1604" t="s">
        <v>110</v>
      </c>
      <c r="Z1604">
        <v>467</v>
      </c>
      <c r="AA1604">
        <v>49</v>
      </c>
      <c r="AB1604">
        <v>158</v>
      </c>
      <c r="AC1604" t="s">
        <v>368</v>
      </c>
      <c r="AD1604" t="s">
        <v>369</v>
      </c>
      <c r="AE1604" t="s">
        <v>370</v>
      </c>
      <c r="AF1604" t="s">
        <v>463</v>
      </c>
      <c r="AG1604" t="s">
        <v>464</v>
      </c>
      <c r="AH1604" t="s">
        <v>465</v>
      </c>
      <c r="AI1604" t="s">
        <v>2048</v>
      </c>
      <c r="AJ1604" s="2">
        <v>45819.907488425924</v>
      </c>
      <c r="AK1604" t="s">
        <v>727</v>
      </c>
      <c r="AL1604" t="s">
        <v>65</v>
      </c>
      <c r="AM1604" s="4">
        <v>0.93055555555555558</v>
      </c>
      <c r="AN1604" t="s">
        <v>66</v>
      </c>
      <c r="AO1604" t="s">
        <v>67</v>
      </c>
    </row>
    <row r="1605" spans="1:41" x14ac:dyDescent="0.2">
      <c r="A1605">
        <v>371868</v>
      </c>
      <c r="B1605" t="s">
        <v>11057</v>
      </c>
      <c r="C1605" t="s">
        <v>735</v>
      </c>
      <c r="D1605" t="s">
        <v>7603</v>
      </c>
      <c r="E1605" t="s">
        <v>11058</v>
      </c>
      <c r="F1605">
        <v>240704</v>
      </c>
      <c r="G1605" s="1">
        <v>30790</v>
      </c>
      <c r="H1605" s="1">
        <v>45814</v>
      </c>
      <c r="I1605" s="1">
        <v>46174</v>
      </c>
      <c r="J1605" t="s">
        <v>45</v>
      </c>
      <c r="K1605" t="s">
        <v>45</v>
      </c>
      <c r="L1605" t="s">
        <v>429</v>
      </c>
      <c r="M1605" s="1">
        <v>44498</v>
      </c>
      <c r="N1605" t="s">
        <v>47</v>
      </c>
      <c r="O1605" t="s">
        <v>48</v>
      </c>
      <c r="P1605" t="s">
        <v>49</v>
      </c>
      <c r="Q1605" t="s">
        <v>11059</v>
      </c>
      <c r="R1605" t="s">
        <v>11060</v>
      </c>
      <c r="S1605">
        <v>3100</v>
      </c>
      <c r="T1605" t="s">
        <v>365</v>
      </c>
      <c r="U1605" t="s">
        <v>969</v>
      </c>
      <c r="V1605" t="s">
        <v>970</v>
      </c>
      <c r="W1605" t="s">
        <v>367</v>
      </c>
      <c r="X1605" t="s">
        <v>76</v>
      </c>
      <c r="Y1605" t="s">
        <v>434</v>
      </c>
      <c r="Z1605">
        <v>205</v>
      </c>
      <c r="AA1605">
        <v>59</v>
      </c>
      <c r="AB1605">
        <v>78</v>
      </c>
      <c r="AC1605" t="s">
        <v>971</v>
      </c>
      <c r="AD1605" t="s">
        <v>972</v>
      </c>
      <c r="AE1605" t="s">
        <v>973</v>
      </c>
      <c r="AF1605" t="s">
        <v>974</v>
      </c>
      <c r="AG1605" t="s">
        <v>975</v>
      </c>
      <c r="AH1605" t="s">
        <v>976</v>
      </c>
      <c r="AI1605" t="s">
        <v>3008</v>
      </c>
      <c r="AJ1605" s="2">
        <v>45821.609432870369</v>
      </c>
      <c r="AK1605" t="s">
        <v>568</v>
      </c>
      <c r="AL1605" t="s">
        <v>65</v>
      </c>
      <c r="AM1605" s="3">
        <v>1.3333333333333333</v>
      </c>
      <c r="AN1605" t="s">
        <v>66</v>
      </c>
      <c r="AO1605" t="s">
        <v>67</v>
      </c>
    </row>
    <row r="1606" spans="1:41" x14ac:dyDescent="0.2">
      <c r="A1606">
        <v>364308</v>
      </c>
      <c r="B1606" t="s">
        <v>11061</v>
      </c>
      <c r="C1606" t="s">
        <v>69</v>
      </c>
      <c r="D1606" t="s">
        <v>3131</v>
      </c>
      <c r="E1606">
        <v>32415440</v>
      </c>
      <c r="F1606">
        <v>101805</v>
      </c>
      <c r="G1606" s="1">
        <v>35593</v>
      </c>
      <c r="H1606" s="1">
        <v>45539</v>
      </c>
      <c r="I1606" s="1">
        <v>46235</v>
      </c>
      <c r="J1606" t="s">
        <v>45</v>
      </c>
      <c r="K1606" t="s">
        <v>45</v>
      </c>
      <c r="L1606" t="s">
        <v>72</v>
      </c>
      <c r="M1606" s="1">
        <v>40017</v>
      </c>
      <c r="N1606" t="s">
        <v>47</v>
      </c>
      <c r="O1606" t="s">
        <v>48</v>
      </c>
      <c r="P1606" t="s">
        <v>49</v>
      </c>
      <c r="Q1606" t="s">
        <v>11062</v>
      </c>
      <c r="R1606" t="s">
        <v>11063</v>
      </c>
      <c r="S1606">
        <v>4575</v>
      </c>
      <c r="T1606" t="s">
        <v>52</v>
      </c>
      <c r="U1606">
        <v>4</v>
      </c>
      <c r="V1606" t="s">
        <v>3135</v>
      </c>
      <c r="W1606" t="s">
        <v>54</v>
      </c>
      <c r="X1606" t="s">
        <v>76</v>
      </c>
      <c r="Y1606" t="s">
        <v>110</v>
      </c>
      <c r="Z1606">
        <v>651</v>
      </c>
      <c r="AA1606">
        <v>56</v>
      </c>
      <c r="AB1606">
        <v>204</v>
      </c>
      <c r="AC1606" t="s">
        <v>3136</v>
      </c>
      <c r="AD1606" t="s">
        <v>3137</v>
      </c>
      <c r="AE1606" t="s">
        <v>3138</v>
      </c>
      <c r="AF1606" t="s">
        <v>3139</v>
      </c>
      <c r="AG1606" t="s">
        <v>3140</v>
      </c>
      <c r="AH1606" t="s">
        <v>3141</v>
      </c>
      <c r="AI1606" t="s">
        <v>11064</v>
      </c>
      <c r="AJ1606" s="2">
        <v>45540.720046296294</v>
      </c>
      <c r="AK1606" t="s">
        <v>3136</v>
      </c>
      <c r="AL1606" t="s">
        <v>65</v>
      </c>
      <c r="AM1606" t="s">
        <v>9530</v>
      </c>
      <c r="AN1606" t="s">
        <v>66</v>
      </c>
      <c r="AO1606" t="s">
        <v>67</v>
      </c>
    </row>
    <row r="1607" spans="1:41" x14ac:dyDescent="0.2">
      <c r="A1607">
        <v>361912</v>
      </c>
      <c r="B1607" t="s">
        <v>11065</v>
      </c>
      <c r="C1607" t="s">
        <v>345</v>
      </c>
      <c r="D1607" t="s">
        <v>8156</v>
      </c>
      <c r="E1607" s="5">
        <v>326607000000</v>
      </c>
      <c r="F1607">
        <v>52410</v>
      </c>
      <c r="G1607" s="1">
        <v>35011</v>
      </c>
      <c r="H1607" s="1">
        <v>45461</v>
      </c>
      <c r="I1607" s="1">
        <v>46188</v>
      </c>
      <c r="J1607" t="s">
        <v>45</v>
      </c>
      <c r="K1607" t="s">
        <v>45</v>
      </c>
      <c r="L1607" t="s">
        <v>429</v>
      </c>
      <c r="M1607" s="1">
        <v>36235</v>
      </c>
      <c r="N1607" t="s">
        <v>47</v>
      </c>
      <c r="O1607" t="s">
        <v>48</v>
      </c>
      <c r="P1607" t="s">
        <v>49</v>
      </c>
      <c r="Q1607" t="s">
        <v>11066</v>
      </c>
      <c r="R1607" t="s">
        <v>11067</v>
      </c>
      <c r="S1607">
        <v>6796</v>
      </c>
      <c r="T1607" t="s">
        <v>365</v>
      </c>
      <c r="U1607" t="s">
        <v>432</v>
      </c>
      <c r="V1607" t="s">
        <v>6159</v>
      </c>
      <c r="W1607" t="s">
        <v>367</v>
      </c>
      <c r="X1607" t="s">
        <v>55</v>
      </c>
      <c r="Y1607" t="s">
        <v>434</v>
      </c>
      <c r="Z1607">
        <v>1133</v>
      </c>
      <c r="AA1607">
        <v>50</v>
      </c>
      <c r="AB1607">
        <v>138</v>
      </c>
      <c r="AC1607" t="s">
        <v>6160</v>
      </c>
      <c r="AD1607" t="s">
        <v>6161</v>
      </c>
      <c r="AE1607" t="s">
        <v>6162</v>
      </c>
      <c r="AF1607" t="s">
        <v>6163</v>
      </c>
      <c r="AG1607" t="s">
        <v>6066</v>
      </c>
      <c r="AH1607" t="s">
        <v>6164</v>
      </c>
      <c r="AI1607" t="s">
        <v>6165</v>
      </c>
      <c r="AJ1607" s="2">
        <v>45468.837824074071</v>
      </c>
      <c r="AK1607" t="s">
        <v>64</v>
      </c>
      <c r="AL1607" t="s">
        <v>65</v>
      </c>
      <c r="AM1607" s="3">
        <v>2.0694444444444446</v>
      </c>
      <c r="AN1607" t="s">
        <v>66</v>
      </c>
      <c r="AO1607" t="s">
        <v>67</v>
      </c>
    </row>
    <row r="1608" spans="1:41" x14ac:dyDescent="0.2">
      <c r="A1608">
        <v>366772</v>
      </c>
      <c r="B1608" t="s">
        <v>11068</v>
      </c>
      <c r="C1608" t="s">
        <v>236</v>
      </c>
      <c r="D1608" t="s">
        <v>11069</v>
      </c>
      <c r="E1608" t="s">
        <v>11070</v>
      </c>
      <c r="F1608">
        <v>213102</v>
      </c>
      <c r="G1608" s="1">
        <v>35065</v>
      </c>
      <c r="H1608" s="1">
        <v>45573</v>
      </c>
      <c r="J1608" t="s">
        <v>45</v>
      </c>
      <c r="K1608" t="s">
        <v>45</v>
      </c>
      <c r="L1608" t="s">
        <v>72</v>
      </c>
      <c r="M1608" s="1">
        <v>42233</v>
      </c>
      <c r="N1608" t="s">
        <v>47</v>
      </c>
      <c r="O1608" t="s">
        <v>48</v>
      </c>
      <c r="P1608" t="s">
        <v>49</v>
      </c>
      <c r="Q1608" t="s">
        <v>11071</v>
      </c>
      <c r="R1608" t="s">
        <v>11072</v>
      </c>
      <c r="S1608">
        <v>1150</v>
      </c>
      <c r="T1608" t="s">
        <v>92</v>
      </c>
      <c r="U1608" t="s">
        <v>1509</v>
      </c>
      <c r="V1608" t="s">
        <v>506</v>
      </c>
      <c r="W1608" t="s">
        <v>1510</v>
      </c>
      <c r="X1608" t="s">
        <v>52</v>
      </c>
      <c r="Y1608" t="s">
        <v>410</v>
      </c>
      <c r="Z1608">
        <v>1395</v>
      </c>
      <c r="AA1608">
        <v>48</v>
      </c>
      <c r="AB1608">
        <v>174</v>
      </c>
      <c r="AC1608" t="s">
        <v>1511</v>
      </c>
      <c r="AD1608" t="s">
        <v>1512</v>
      </c>
      <c r="AE1608" t="s">
        <v>1513</v>
      </c>
      <c r="AF1608" t="s">
        <v>11073</v>
      </c>
      <c r="AG1608" t="s">
        <v>11074</v>
      </c>
      <c r="AH1608" t="s">
        <v>11075</v>
      </c>
      <c r="AI1608" t="s">
        <v>11076</v>
      </c>
      <c r="AJ1608" s="2">
        <v>45791.806805555556</v>
      </c>
      <c r="AK1608" t="s">
        <v>100</v>
      </c>
      <c r="AL1608" t="s">
        <v>65</v>
      </c>
      <c r="AM1608" s="4">
        <v>0.3263888888888889</v>
      </c>
      <c r="AN1608" t="s">
        <v>66</v>
      </c>
      <c r="AO1608" t="s">
        <v>67</v>
      </c>
    </row>
    <row r="1609" spans="1:41" x14ac:dyDescent="0.2">
      <c r="A1609">
        <v>371536</v>
      </c>
      <c r="B1609" t="s">
        <v>11077</v>
      </c>
      <c r="C1609" t="s">
        <v>323</v>
      </c>
      <c r="D1609" t="s">
        <v>4275</v>
      </c>
      <c r="E1609" t="s">
        <v>11078</v>
      </c>
      <c r="F1609">
        <v>500975</v>
      </c>
      <c r="G1609" s="1">
        <v>39385</v>
      </c>
      <c r="H1609" s="1">
        <v>45813</v>
      </c>
      <c r="I1609" s="1">
        <v>46037</v>
      </c>
      <c r="J1609" t="s">
        <v>45</v>
      </c>
      <c r="K1609" t="s">
        <v>45</v>
      </c>
      <c r="L1609" t="s">
        <v>72</v>
      </c>
      <c r="N1609" t="s">
        <v>47</v>
      </c>
      <c r="O1609" t="s">
        <v>48</v>
      </c>
      <c r="P1609" t="s">
        <v>49</v>
      </c>
      <c r="Q1609" t="s">
        <v>11079</v>
      </c>
      <c r="R1609" t="s">
        <v>11080</v>
      </c>
      <c r="S1609">
        <v>939</v>
      </c>
      <c r="T1609" t="s">
        <v>92</v>
      </c>
      <c r="U1609" t="s">
        <v>329</v>
      </c>
      <c r="V1609" t="s">
        <v>722</v>
      </c>
      <c r="W1609" t="s">
        <v>723</v>
      </c>
      <c r="X1609" t="s">
        <v>257</v>
      </c>
      <c r="Y1609" t="s">
        <v>110</v>
      </c>
      <c r="Z1609">
        <v>2759</v>
      </c>
      <c r="AA1609">
        <v>39</v>
      </c>
      <c r="AB1609">
        <v>158</v>
      </c>
      <c r="AC1609" t="s">
        <v>368</v>
      </c>
      <c r="AD1609" t="s">
        <v>369</v>
      </c>
      <c r="AE1609" t="s">
        <v>370</v>
      </c>
      <c r="AF1609" t="s">
        <v>724</v>
      </c>
      <c r="AG1609" t="s">
        <v>725</v>
      </c>
      <c r="AH1609" t="s">
        <v>726</v>
      </c>
      <c r="AJ1609" s="2">
        <v>45814.686145833337</v>
      </c>
      <c r="AK1609" t="s">
        <v>331</v>
      </c>
      <c r="AL1609" t="s">
        <v>65</v>
      </c>
      <c r="AM1609" s="3">
        <v>2.3541666666666665</v>
      </c>
      <c r="AN1609" t="s">
        <v>66</v>
      </c>
      <c r="AO1609" t="s">
        <v>67</v>
      </c>
    </row>
    <row r="1610" spans="1:41" x14ac:dyDescent="0.2">
      <c r="A1610">
        <v>371299</v>
      </c>
      <c r="B1610" t="s">
        <v>11081</v>
      </c>
      <c r="C1610" t="s">
        <v>167</v>
      </c>
      <c r="D1610" t="s">
        <v>570</v>
      </c>
      <c r="E1610" t="s">
        <v>11082</v>
      </c>
      <c r="F1610">
        <v>353527</v>
      </c>
      <c r="G1610" s="1">
        <v>37784</v>
      </c>
      <c r="H1610" s="1">
        <v>45798</v>
      </c>
      <c r="I1610" s="1">
        <v>46157</v>
      </c>
      <c r="J1610" t="s">
        <v>45</v>
      </c>
      <c r="K1610" t="s">
        <v>45</v>
      </c>
      <c r="L1610" t="s">
        <v>429</v>
      </c>
      <c r="M1610" s="1">
        <v>44048</v>
      </c>
      <c r="N1610" t="s">
        <v>47</v>
      </c>
      <c r="O1610" t="s">
        <v>48</v>
      </c>
      <c r="P1610" t="s">
        <v>49</v>
      </c>
      <c r="Q1610" t="s">
        <v>11083</v>
      </c>
      <c r="R1610" t="s">
        <v>11084</v>
      </c>
      <c r="S1610">
        <v>5080</v>
      </c>
      <c r="T1610" t="s">
        <v>365</v>
      </c>
      <c r="U1610" t="s">
        <v>532</v>
      </c>
      <c r="V1610" t="s">
        <v>1611</v>
      </c>
      <c r="W1610" t="s">
        <v>367</v>
      </c>
      <c r="X1610" t="s">
        <v>76</v>
      </c>
      <c r="Y1610" t="s">
        <v>434</v>
      </c>
      <c r="Z1610">
        <v>2424</v>
      </c>
      <c r="AA1610">
        <v>49</v>
      </c>
      <c r="AB1610">
        <v>66</v>
      </c>
      <c r="AC1610" t="s">
        <v>575</v>
      </c>
      <c r="AD1610" t="s">
        <v>576</v>
      </c>
      <c r="AE1610" t="s">
        <v>577</v>
      </c>
      <c r="AF1610" t="s">
        <v>1612</v>
      </c>
      <c r="AG1610" t="s">
        <v>1613</v>
      </c>
      <c r="AI1610" t="s">
        <v>179</v>
      </c>
      <c r="AJ1610" s="2">
        <v>45804.698159722226</v>
      </c>
      <c r="AK1610" t="s">
        <v>568</v>
      </c>
      <c r="AL1610" t="s">
        <v>65</v>
      </c>
      <c r="AM1610" s="3">
        <v>2.375</v>
      </c>
      <c r="AN1610" t="s">
        <v>66</v>
      </c>
      <c r="AO1610" t="s">
        <v>67</v>
      </c>
    </row>
    <row r="1611" spans="1:41" x14ac:dyDescent="0.2">
      <c r="A1611">
        <v>369822</v>
      </c>
      <c r="B1611" t="s">
        <v>11085</v>
      </c>
      <c r="C1611" t="s">
        <v>134</v>
      </c>
      <c r="D1611" t="s">
        <v>2341</v>
      </c>
      <c r="E1611">
        <v>83745564</v>
      </c>
      <c r="F1611">
        <v>453416</v>
      </c>
      <c r="G1611" s="1">
        <v>37411</v>
      </c>
      <c r="H1611" s="1">
        <v>45744</v>
      </c>
      <c r="I1611" s="1">
        <v>46127</v>
      </c>
      <c r="J1611" t="s">
        <v>45</v>
      </c>
      <c r="K1611" t="s">
        <v>45</v>
      </c>
      <c r="L1611" t="s">
        <v>72</v>
      </c>
      <c r="M1611" s="1">
        <v>42981</v>
      </c>
      <c r="N1611" t="s">
        <v>47</v>
      </c>
      <c r="O1611" t="s">
        <v>48</v>
      </c>
      <c r="P1611" t="s">
        <v>49</v>
      </c>
      <c r="Q1611" t="s">
        <v>11086</v>
      </c>
      <c r="R1611" t="s">
        <v>11087</v>
      </c>
      <c r="S1611">
        <v>2045</v>
      </c>
      <c r="T1611" t="s">
        <v>156</v>
      </c>
      <c r="U1611" t="s">
        <v>4608</v>
      </c>
      <c r="V1611" t="s">
        <v>11088</v>
      </c>
      <c r="W1611" t="s">
        <v>159</v>
      </c>
      <c r="X1611" t="s">
        <v>156</v>
      </c>
      <c r="Y1611" t="s">
        <v>110</v>
      </c>
      <c r="Z1611">
        <v>2210</v>
      </c>
      <c r="AA1611">
        <v>41</v>
      </c>
      <c r="AB1611">
        <v>158</v>
      </c>
      <c r="AC1611" t="s">
        <v>4912</v>
      </c>
      <c r="AD1611" t="s">
        <v>4913</v>
      </c>
      <c r="AE1611" t="s">
        <v>4914</v>
      </c>
      <c r="AF1611" t="s">
        <v>4613</v>
      </c>
      <c r="AG1611" t="s">
        <v>4614</v>
      </c>
      <c r="AH1611" t="s">
        <v>4615</v>
      </c>
      <c r="AI1611" t="s">
        <v>4915</v>
      </c>
      <c r="AJ1611" s="2">
        <v>45754.939363425925</v>
      </c>
      <c r="AK1611" t="s">
        <v>4916</v>
      </c>
      <c r="AL1611" t="s">
        <v>65</v>
      </c>
      <c r="AM1611" s="3">
        <v>1.1944444444444444</v>
      </c>
      <c r="AN1611" t="s">
        <v>66</v>
      </c>
      <c r="AO1611" t="s">
        <v>67</v>
      </c>
    </row>
    <row r="1612" spans="1:41" x14ac:dyDescent="0.2">
      <c r="A1612">
        <v>372330</v>
      </c>
      <c r="B1612" t="s">
        <v>11089</v>
      </c>
      <c r="C1612" t="s">
        <v>735</v>
      </c>
      <c r="D1612" t="s">
        <v>2559</v>
      </c>
      <c r="E1612" t="s">
        <v>11090</v>
      </c>
      <c r="F1612">
        <v>242914</v>
      </c>
      <c r="G1612" s="1">
        <v>37175</v>
      </c>
      <c r="H1612" s="1">
        <v>45833</v>
      </c>
      <c r="I1612" s="1">
        <v>46204</v>
      </c>
      <c r="J1612" t="s">
        <v>45</v>
      </c>
      <c r="K1612" t="s">
        <v>45</v>
      </c>
      <c r="L1612" t="s">
        <v>3920</v>
      </c>
      <c r="M1612" s="1">
        <v>41213</v>
      </c>
      <c r="N1612" t="s">
        <v>47</v>
      </c>
      <c r="O1612" t="s">
        <v>48</v>
      </c>
      <c r="P1612" t="s">
        <v>49</v>
      </c>
      <c r="Q1612" t="s">
        <v>11091</v>
      </c>
      <c r="R1612" t="s">
        <v>11092</v>
      </c>
      <c r="S1612">
        <v>5507</v>
      </c>
      <c r="T1612" t="s">
        <v>52</v>
      </c>
      <c r="U1612">
        <v>1</v>
      </c>
      <c r="V1612" t="s">
        <v>2563</v>
      </c>
      <c r="W1612" t="s">
        <v>54</v>
      </c>
      <c r="X1612" t="s">
        <v>76</v>
      </c>
      <c r="Y1612" t="s">
        <v>56</v>
      </c>
      <c r="Z1612">
        <v>1981</v>
      </c>
      <c r="AA1612">
        <v>44</v>
      </c>
      <c r="AB1612">
        <v>152</v>
      </c>
      <c r="AC1612" t="s">
        <v>2564</v>
      </c>
      <c r="AD1612" t="s">
        <v>2565</v>
      </c>
      <c r="AE1612" t="s">
        <v>2566</v>
      </c>
      <c r="AF1612" t="s">
        <v>2574</v>
      </c>
      <c r="AG1612" t="s">
        <v>2575</v>
      </c>
      <c r="AH1612" t="s">
        <v>2576</v>
      </c>
      <c r="AI1612" t="s">
        <v>6132</v>
      </c>
      <c r="AJ1612" s="2">
        <v>45838.592511574076</v>
      </c>
      <c r="AK1612" t="s">
        <v>568</v>
      </c>
      <c r="AL1612" t="s">
        <v>65</v>
      </c>
      <c r="AM1612" s="4">
        <v>0.375</v>
      </c>
      <c r="AN1612" t="s">
        <v>66</v>
      </c>
      <c r="AO1612" t="s">
        <v>67</v>
      </c>
    </row>
    <row r="1613" spans="1:41" x14ac:dyDescent="0.2">
      <c r="A1613">
        <v>371870</v>
      </c>
      <c r="B1613" t="s">
        <v>11093</v>
      </c>
      <c r="C1613" t="s">
        <v>735</v>
      </c>
      <c r="D1613" t="s">
        <v>966</v>
      </c>
      <c r="E1613" t="s">
        <v>11094</v>
      </c>
      <c r="F1613">
        <v>242207</v>
      </c>
      <c r="G1613" s="1">
        <v>33534</v>
      </c>
      <c r="H1613" s="1">
        <v>45815</v>
      </c>
      <c r="I1613" s="1">
        <v>46174</v>
      </c>
      <c r="J1613" t="s">
        <v>45</v>
      </c>
      <c r="K1613" t="s">
        <v>45</v>
      </c>
      <c r="L1613" t="s">
        <v>429</v>
      </c>
      <c r="M1613" s="1">
        <v>42108</v>
      </c>
      <c r="N1613" t="s">
        <v>47</v>
      </c>
      <c r="O1613" t="s">
        <v>48</v>
      </c>
      <c r="P1613" t="s">
        <v>49</v>
      </c>
      <c r="Q1613" t="s">
        <v>11095</v>
      </c>
      <c r="R1613" t="s">
        <v>11096</v>
      </c>
      <c r="S1613">
        <v>4975</v>
      </c>
      <c r="T1613" t="s">
        <v>365</v>
      </c>
      <c r="U1613" t="s">
        <v>969</v>
      </c>
      <c r="V1613" t="s">
        <v>970</v>
      </c>
      <c r="W1613" t="s">
        <v>367</v>
      </c>
      <c r="X1613" t="s">
        <v>76</v>
      </c>
      <c r="Y1613" t="s">
        <v>434</v>
      </c>
      <c r="Z1613">
        <v>204</v>
      </c>
      <c r="AA1613">
        <v>66</v>
      </c>
      <c r="AB1613">
        <v>142</v>
      </c>
      <c r="AC1613" t="s">
        <v>971</v>
      </c>
      <c r="AD1613" t="s">
        <v>972</v>
      </c>
      <c r="AE1613" t="s">
        <v>973</v>
      </c>
      <c r="AF1613" t="s">
        <v>974</v>
      </c>
      <c r="AG1613" t="s">
        <v>975</v>
      </c>
      <c r="AH1613" t="s">
        <v>976</v>
      </c>
      <c r="AI1613" t="s">
        <v>3008</v>
      </c>
      <c r="AJ1613" s="2">
        <v>45821.612256944441</v>
      </c>
      <c r="AK1613" t="s">
        <v>568</v>
      </c>
      <c r="AL1613" t="s">
        <v>65</v>
      </c>
      <c r="AM1613" s="3">
        <v>1.7013888888888888</v>
      </c>
      <c r="AN1613" t="s">
        <v>66</v>
      </c>
      <c r="AO1613" t="s">
        <v>67</v>
      </c>
    </row>
    <row r="1614" spans="1:41" x14ac:dyDescent="0.2">
      <c r="A1614">
        <v>370140</v>
      </c>
      <c r="B1614" t="s">
        <v>11097</v>
      </c>
      <c r="C1614" t="s">
        <v>182</v>
      </c>
      <c r="D1614" t="s">
        <v>183</v>
      </c>
      <c r="E1614" t="s">
        <v>11098</v>
      </c>
      <c r="F1614">
        <v>45411</v>
      </c>
      <c r="G1614" s="1">
        <v>37498</v>
      </c>
      <c r="H1614" s="1">
        <v>45631</v>
      </c>
      <c r="I1614" s="1">
        <v>46143</v>
      </c>
      <c r="J1614" t="s">
        <v>45</v>
      </c>
      <c r="K1614" t="s">
        <v>326</v>
      </c>
      <c r="L1614" t="s">
        <v>429</v>
      </c>
      <c r="M1614" s="1">
        <v>41015</v>
      </c>
      <c r="N1614" t="s">
        <v>47</v>
      </c>
      <c r="O1614" t="s">
        <v>48</v>
      </c>
      <c r="P1614" t="s">
        <v>49</v>
      </c>
      <c r="Q1614" t="s">
        <v>11099</v>
      </c>
      <c r="R1614" t="s">
        <v>11100</v>
      </c>
      <c r="S1614">
        <v>1390</v>
      </c>
      <c r="T1614" t="s">
        <v>52</v>
      </c>
      <c r="U1614">
        <v>5</v>
      </c>
      <c r="V1614" t="s">
        <v>2432</v>
      </c>
      <c r="W1614" t="s">
        <v>54</v>
      </c>
      <c r="X1614" t="s">
        <v>493</v>
      </c>
      <c r="Y1614" t="s">
        <v>434</v>
      </c>
      <c r="Z1614">
        <v>2182</v>
      </c>
      <c r="AA1614">
        <v>50</v>
      </c>
      <c r="AB1614">
        <v>160</v>
      </c>
      <c r="AC1614" t="s">
        <v>5001</v>
      </c>
      <c r="AD1614" t="s">
        <v>2434</v>
      </c>
      <c r="AE1614" t="s">
        <v>2435</v>
      </c>
      <c r="AF1614" t="s">
        <v>11101</v>
      </c>
      <c r="AG1614" t="s">
        <v>5207</v>
      </c>
      <c r="AH1614" t="s">
        <v>5005</v>
      </c>
      <c r="AI1614" t="s">
        <v>500</v>
      </c>
      <c r="AJ1614" s="2">
        <v>45763.936689814815</v>
      </c>
      <c r="AK1614" t="s">
        <v>717</v>
      </c>
      <c r="AL1614" t="s">
        <v>65</v>
      </c>
      <c r="AM1614" s="3">
        <v>2.25</v>
      </c>
      <c r="AN1614" t="s">
        <v>66</v>
      </c>
      <c r="AO1614" t="s">
        <v>67</v>
      </c>
    </row>
    <row r="1615" spans="1:41" x14ac:dyDescent="0.2">
      <c r="A1615">
        <v>371375</v>
      </c>
      <c r="B1615" t="s">
        <v>11102</v>
      </c>
      <c r="C1615" t="s">
        <v>558</v>
      </c>
      <c r="D1615" t="s">
        <v>1743</v>
      </c>
      <c r="E1615" t="s">
        <v>11103</v>
      </c>
      <c r="F1615">
        <v>260116</v>
      </c>
      <c r="G1615" s="1">
        <v>37573</v>
      </c>
      <c r="H1615" s="1">
        <v>45806</v>
      </c>
      <c r="I1615" s="1">
        <v>46174</v>
      </c>
      <c r="J1615" t="s">
        <v>45</v>
      </c>
      <c r="K1615" t="s">
        <v>45</v>
      </c>
      <c r="L1615" t="s">
        <v>429</v>
      </c>
      <c r="M1615" s="1">
        <v>42431</v>
      </c>
      <c r="N1615" t="s">
        <v>47</v>
      </c>
      <c r="O1615" t="s">
        <v>48</v>
      </c>
      <c r="P1615" t="s">
        <v>49</v>
      </c>
      <c r="Q1615" t="s">
        <v>11104</v>
      </c>
      <c r="R1615" t="s">
        <v>11105</v>
      </c>
      <c r="S1615">
        <v>6310</v>
      </c>
      <c r="T1615" t="s">
        <v>365</v>
      </c>
      <c r="U1615" t="s">
        <v>532</v>
      </c>
      <c r="V1615" t="s">
        <v>2853</v>
      </c>
      <c r="W1615" t="s">
        <v>367</v>
      </c>
      <c r="X1615" t="s">
        <v>493</v>
      </c>
      <c r="Y1615" t="s">
        <v>434</v>
      </c>
      <c r="Z1615">
        <v>2323</v>
      </c>
      <c r="AA1615">
        <v>46</v>
      </c>
      <c r="AB1615">
        <v>166</v>
      </c>
      <c r="AC1615" t="s">
        <v>11106</v>
      </c>
      <c r="AD1615" t="s">
        <v>11107</v>
      </c>
      <c r="AE1615" t="s">
        <v>11108</v>
      </c>
      <c r="AF1615" t="s">
        <v>11106</v>
      </c>
      <c r="AH1615" t="s">
        <v>11109</v>
      </c>
      <c r="AI1615" t="s">
        <v>179</v>
      </c>
      <c r="AJ1615" s="2">
        <v>45806.878171296295</v>
      </c>
      <c r="AK1615" t="s">
        <v>1740</v>
      </c>
      <c r="AL1615" t="s">
        <v>65</v>
      </c>
      <c r="AM1615" s="3">
        <v>1.6041666666666667</v>
      </c>
      <c r="AN1615" t="s">
        <v>66</v>
      </c>
      <c r="AO1615" t="s">
        <v>67</v>
      </c>
    </row>
    <row r="1616" spans="1:41" x14ac:dyDescent="0.2">
      <c r="A1616">
        <v>366708</v>
      </c>
      <c r="B1616" t="s">
        <v>11110</v>
      </c>
      <c r="C1616" t="s">
        <v>236</v>
      </c>
      <c r="D1616" t="s">
        <v>11111</v>
      </c>
      <c r="E1616" t="s">
        <v>11112</v>
      </c>
      <c r="F1616">
        <v>210405</v>
      </c>
      <c r="G1616" s="1">
        <v>35674</v>
      </c>
      <c r="H1616" s="1">
        <v>45574</v>
      </c>
      <c r="J1616" t="s">
        <v>45</v>
      </c>
      <c r="K1616" t="s">
        <v>45</v>
      </c>
      <c r="L1616" t="s">
        <v>72</v>
      </c>
      <c r="M1616" s="1">
        <v>45076</v>
      </c>
      <c r="N1616" t="s">
        <v>47</v>
      </c>
      <c r="O1616" t="s">
        <v>48</v>
      </c>
      <c r="P1616" t="s">
        <v>49</v>
      </c>
      <c r="Q1616" t="s">
        <v>11113</v>
      </c>
      <c r="R1616" t="s">
        <v>11114</v>
      </c>
      <c r="S1616">
        <v>1131</v>
      </c>
      <c r="T1616" t="s">
        <v>92</v>
      </c>
      <c r="U1616" t="s">
        <v>1509</v>
      </c>
      <c r="V1616" t="s">
        <v>506</v>
      </c>
      <c r="W1616" t="s">
        <v>1510</v>
      </c>
      <c r="X1616" t="s">
        <v>52</v>
      </c>
      <c r="Y1616" t="s">
        <v>410</v>
      </c>
      <c r="Z1616">
        <v>1385</v>
      </c>
      <c r="AA1616">
        <v>49</v>
      </c>
      <c r="AB1616">
        <v>174</v>
      </c>
      <c r="AC1616" t="s">
        <v>1511</v>
      </c>
      <c r="AD1616" t="s">
        <v>1512</v>
      </c>
      <c r="AE1616" t="s">
        <v>1513</v>
      </c>
      <c r="AF1616" t="s">
        <v>11115</v>
      </c>
      <c r="AG1616" t="s">
        <v>11116</v>
      </c>
      <c r="AH1616" t="s">
        <v>11117</v>
      </c>
      <c r="AI1616" t="s">
        <v>11118</v>
      </c>
      <c r="AJ1616" s="2">
        <v>45791.806805555556</v>
      </c>
      <c r="AK1616" t="s">
        <v>100</v>
      </c>
      <c r="AL1616" t="s">
        <v>65</v>
      </c>
      <c r="AM1616" s="4">
        <v>0.33333333333333331</v>
      </c>
      <c r="AN1616" t="s">
        <v>66</v>
      </c>
      <c r="AO1616" t="s">
        <v>67</v>
      </c>
    </row>
    <row r="1617" spans="1:41" x14ac:dyDescent="0.2">
      <c r="A1617">
        <v>370686</v>
      </c>
      <c r="B1617" t="s">
        <v>11119</v>
      </c>
      <c r="C1617" t="s">
        <v>323</v>
      </c>
      <c r="E1617">
        <v>39623662</v>
      </c>
      <c r="G1617" s="1">
        <v>43251</v>
      </c>
      <c r="H1617" s="1">
        <v>45463</v>
      </c>
      <c r="J1617" t="s">
        <v>326</v>
      </c>
      <c r="K1617" t="s">
        <v>72</v>
      </c>
      <c r="L1617" t="s">
        <v>72</v>
      </c>
      <c r="N1617" t="s">
        <v>47</v>
      </c>
      <c r="O1617" t="s">
        <v>48</v>
      </c>
      <c r="P1617" t="s">
        <v>406</v>
      </c>
      <c r="Q1617" t="s">
        <v>11120</v>
      </c>
      <c r="R1617" t="s">
        <v>11121</v>
      </c>
      <c r="S1617">
        <v>12</v>
      </c>
      <c r="T1617" t="s">
        <v>257</v>
      </c>
      <c r="U1617" t="s">
        <v>329</v>
      </c>
      <c r="V1617" t="s">
        <v>3302</v>
      </c>
      <c r="W1617" t="s">
        <v>3303</v>
      </c>
      <c r="X1617" t="s">
        <v>257</v>
      </c>
      <c r="Y1617" t="s">
        <v>410</v>
      </c>
      <c r="Z1617">
        <v>8488</v>
      </c>
      <c r="AA1617">
        <v>13</v>
      </c>
      <c r="AB1617">
        <v>108</v>
      </c>
      <c r="AC1617" t="s">
        <v>3304</v>
      </c>
      <c r="AD1617" t="s">
        <v>3305</v>
      </c>
      <c r="AE1617" t="s">
        <v>5011</v>
      </c>
      <c r="AF1617" t="s">
        <v>3307</v>
      </c>
      <c r="AG1617" t="s">
        <v>3308</v>
      </c>
      <c r="AH1617" t="s">
        <v>3309</v>
      </c>
      <c r="AI1617" t="s">
        <v>5012</v>
      </c>
      <c r="AJ1617" s="2">
        <v>45782.983587962961</v>
      </c>
      <c r="AK1617" t="s">
        <v>3304</v>
      </c>
      <c r="AL1617" t="s">
        <v>1168</v>
      </c>
      <c r="AM1617" s="4">
        <v>0.99305555555555558</v>
      </c>
      <c r="AN1617" t="s">
        <v>66</v>
      </c>
      <c r="AO1617" t="s">
        <v>67</v>
      </c>
    </row>
    <row r="1618" spans="1:41" x14ac:dyDescent="0.2">
      <c r="A1618">
        <v>359715</v>
      </c>
      <c r="B1618" t="s">
        <v>11122</v>
      </c>
      <c r="C1618" t="s">
        <v>69</v>
      </c>
      <c r="D1618" t="s">
        <v>69</v>
      </c>
      <c r="E1618" t="s">
        <v>11123</v>
      </c>
      <c r="J1618" t="s">
        <v>45</v>
      </c>
      <c r="K1618" t="s">
        <v>45</v>
      </c>
      <c r="L1618" t="s">
        <v>72</v>
      </c>
      <c r="N1618" t="s">
        <v>89</v>
      </c>
      <c r="O1618" t="s">
        <v>121</v>
      </c>
      <c r="P1618" t="s">
        <v>49</v>
      </c>
      <c r="T1618" t="s">
        <v>52</v>
      </c>
      <c r="U1618">
        <v>1</v>
      </c>
      <c r="V1618" t="s">
        <v>4698</v>
      </c>
      <c r="W1618" t="s">
        <v>54</v>
      </c>
      <c r="X1618" t="s">
        <v>76</v>
      </c>
      <c r="Y1618" t="s">
        <v>125</v>
      </c>
      <c r="Z1618">
        <v>12232</v>
      </c>
      <c r="AA1618">
        <v>2</v>
      </c>
      <c r="AB1618">
        <v>44</v>
      </c>
      <c r="AC1618" t="s">
        <v>10133</v>
      </c>
      <c r="AD1618" t="s">
        <v>11124</v>
      </c>
      <c r="AE1618" t="s">
        <v>11125</v>
      </c>
      <c r="AF1618" t="s">
        <v>11126</v>
      </c>
      <c r="AG1618" t="s">
        <v>11127</v>
      </c>
      <c r="AH1618" t="s">
        <v>11128</v>
      </c>
      <c r="AJ1618" s="2">
        <v>45399.573530092595</v>
      </c>
      <c r="AK1618" t="s">
        <v>100</v>
      </c>
      <c r="AL1618" t="s">
        <v>65</v>
      </c>
      <c r="AM1618" s="3">
        <v>1.5451388888888888</v>
      </c>
      <c r="AN1618" t="s">
        <v>66</v>
      </c>
      <c r="AO1618" t="s">
        <v>67</v>
      </c>
    </row>
    <row r="1619" spans="1:41" x14ac:dyDescent="0.2">
      <c r="A1619">
        <v>372320</v>
      </c>
      <c r="B1619" t="s">
        <v>11129</v>
      </c>
      <c r="C1619" t="s">
        <v>323</v>
      </c>
      <c r="D1619" t="s">
        <v>372</v>
      </c>
      <c r="E1619" t="s">
        <v>11130</v>
      </c>
      <c r="F1619">
        <v>500745</v>
      </c>
      <c r="G1619" s="1">
        <v>38482</v>
      </c>
      <c r="H1619" s="1">
        <v>45785</v>
      </c>
      <c r="I1619" s="1">
        <v>46037</v>
      </c>
      <c r="J1619" t="s">
        <v>45</v>
      </c>
      <c r="K1619" t="s">
        <v>45</v>
      </c>
      <c r="L1619" t="s">
        <v>72</v>
      </c>
      <c r="N1619" t="s">
        <v>47</v>
      </c>
      <c r="O1619" t="s">
        <v>48</v>
      </c>
      <c r="P1619" t="s">
        <v>49</v>
      </c>
      <c r="Q1619" t="s">
        <v>11131</v>
      </c>
      <c r="R1619" t="s">
        <v>11132</v>
      </c>
      <c r="S1619">
        <v>450</v>
      </c>
      <c r="T1619" t="s">
        <v>365</v>
      </c>
      <c r="U1619" t="s">
        <v>366</v>
      </c>
      <c r="V1619" t="s">
        <v>330</v>
      </c>
      <c r="W1619" t="s">
        <v>367</v>
      </c>
      <c r="X1619" t="s">
        <v>76</v>
      </c>
      <c r="Y1619" t="s">
        <v>110</v>
      </c>
      <c r="Z1619">
        <v>1461</v>
      </c>
      <c r="AA1619">
        <v>31</v>
      </c>
      <c r="AB1619">
        <v>158</v>
      </c>
      <c r="AC1619" t="s">
        <v>368</v>
      </c>
      <c r="AD1619" t="s">
        <v>369</v>
      </c>
      <c r="AE1619" t="s">
        <v>370</v>
      </c>
      <c r="AF1619" t="s">
        <v>384</v>
      </c>
      <c r="AG1619" t="s">
        <v>385</v>
      </c>
      <c r="AH1619" t="s">
        <v>386</v>
      </c>
      <c r="AJ1619" s="2">
        <v>45838.501250000001</v>
      </c>
      <c r="AK1619" t="s">
        <v>132</v>
      </c>
      <c r="AL1619" t="s">
        <v>65</v>
      </c>
      <c r="AM1619" s="4">
        <v>0.79166666666666663</v>
      </c>
      <c r="AN1619" t="s">
        <v>66</v>
      </c>
      <c r="AO1619" t="s">
        <v>67</v>
      </c>
    </row>
    <row r="1620" spans="1:41" x14ac:dyDescent="0.2">
      <c r="A1620">
        <v>366532</v>
      </c>
      <c r="B1620" t="s">
        <v>11133</v>
      </c>
      <c r="C1620" t="s">
        <v>182</v>
      </c>
      <c r="D1620" t="s">
        <v>2295</v>
      </c>
      <c r="E1620" s="5">
        <v>32763500</v>
      </c>
      <c r="G1620" s="1">
        <v>45622</v>
      </c>
      <c r="H1620" s="1">
        <v>45622</v>
      </c>
      <c r="I1620" s="1">
        <v>45992</v>
      </c>
      <c r="J1620" t="s">
        <v>45</v>
      </c>
      <c r="K1620" t="s">
        <v>45</v>
      </c>
      <c r="L1620" t="s">
        <v>72</v>
      </c>
      <c r="M1620" s="1">
        <v>45433</v>
      </c>
      <c r="N1620" t="s">
        <v>89</v>
      </c>
      <c r="O1620" t="s">
        <v>121</v>
      </c>
      <c r="P1620" t="s">
        <v>49</v>
      </c>
      <c r="Q1620" t="s">
        <v>11134</v>
      </c>
      <c r="R1620" t="s">
        <v>11135</v>
      </c>
      <c r="S1620">
        <v>7011</v>
      </c>
      <c r="T1620" t="s">
        <v>52</v>
      </c>
      <c r="U1620">
        <v>5</v>
      </c>
      <c r="V1620" t="s">
        <v>2771</v>
      </c>
      <c r="W1620" t="s">
        <v>54</v>
      </c>
      <c r="X1620" t="s">
        <v>52</v>
      </c>
      <c r="Y1620" t="s">
        <v>125</v>
      </c>
      <c r="Z1620">
        <v>1854</v>
      </c>
      <c r="AA1620">
        <v>99</v>
      </c>
      <c r="AB1620">
        <v>28</v>
      </c>
      <c r="AC1620" t="s">
        <v>2775</v>
      </c>
      <c r="AD1620" t="s">
        <v>2776</v>
      </c>
      <c r="AE1620" t="s">
        <v>2777</v>
      </c>
      <c r="AF1620" t="s">
        <v>3044</v>
      </c>
      <c r="AG1620" t="s">
        <v>3045</v>
      </c>
      <c r="AH1620" t="s">
        <v>3046</v>
      </c>
      <c r="AI1620" t="s">
        <v>11136</v>
      </c>
      <c r="AJ1620" s="2">
        <v>45623.498344907406</v>
      </c>
      <c r="AK1620" t="s">
        <v>132</v>
      </c>
      <c r="AL1620" t="s">
        <v>65</v>
      </c>
      <c r="AM1620" s="3">
        <v>1.2708333333333333</v>
      </c>
      <c r="AN1620" t="s">
        <v>66</v>
      </c>
      <c r="AO1620" t="s">
        <v>67</v>
      </c>
    </row>
    <row r="1621" spans="1:41" x14ac:dyDescent="0.2">
      <c r="A1621">
        <v>371821</v>
      </c>
      <c r="B1621" t="s">
        <v>11137</v>
      </c>
      <c r="C1621" t="s">
        <v>182</v>
      </c>
      <c r="D1621" t="s">
        <v>4385</v>
      </c>
      <c r="E1621" t="s">
        <v>11138</v>
      </c>
      <c r="F1621">
        <v>40997</v>
      </c>
      <c r="G1621" s="1">
        <v>45398</v>
      </c>
      <c r="H1621" s="1">
        <v>45819</v>
      </c>
      <c r="I1621" s="1">
        <v>46143</v>
      </c>
      <c r="J1621" t="s">
        <v>45</v>
      </c>
      <c r="K1621" t="s">
        <v>45</v>
      </c>
      <c r="L1621" t="s">
        <v>72</v>
      </c>
      <c r="M1621" s="1">
        <v>45022</v>
      </c>
      <c r="N1621" t="s">
        <v>89</v>
      </c>
      <c r="O1621" t="s">
        <v>121</v>
      </c>
      <c r="P1621" t="s">
        <v>49</v>
      </c>
      <c r="Q1621" t="s">
        <v>11139</v>
      </c>
      <c r="R1621" t="s">
        <v>11140</v>
      </c>
      <c r="S1621">
        <v>2706</v>
      </c>
      <c r="T1621" t="s">
        <v>52</v>
      </c>
      <c r="U1621">
        <v>5</v>
      </c>
      <c r="V1621" t="s">
        <v>2771</v>
      </c>
      <c r="W1621" t="s">
        <v>54</v>
      </c>
      <c r="X1621" t="s">
        <v>52</v>
      </c>
      <c r="Y1621" t="s">
        <v>125</v>
      </c>
      <c r="Z1621">
        <v>703</v>
      </c>
      <c r="AA1621">
        <v>132</v>
      </c>
      <c r="AB1621">
        <v>144</v>
      </c>
      <c r="AC1621" t="s">
        <v>4951</v>
      </c>
      <c r="AD1621" t="s">
        <v>4952</v>
      </c>
      <c r="AE1621" t="s">
        <v>4953</v>
      </c>
      <c r="AF1621" t="s">
        <v>4954</v>
      </c>
      <c r="AG1621" t="s">
        <v>4955</v>
      </c>
      <c r="AH1621" t="s">
        <v>4956</v>
      </c>
      <c r="AI1621" t="s">
        <v>11141</v>
      </c>
      <c r="AJ1621" s="2">
        <v>45820.51221064815</v>
      </c>
      <c r="AK1621" t="s">
        <v>800</v>
      </c>
      <c r="AL1621" t="s">
        <v>65</v>
      </c>
      <c r="AM1621" s="3">
        <v>1.9583333333333333</v>
      </c>
      <c r="AN1621" t="s">
        <v>66</v>
      </c>
      <c r="AO1621" t="s">
        <v>67</v>
      </c>
    </row>
    <row r="1622" spans="1:41" x14ac:dyDescent="0.2">
      <c r="A1622">
        <v>372078</v>
      </c>
      <c r="B1622" t="s">
        <v>11142</v>
      </c>
      <c r="C1622" t="s">
        <v>182</v>
      </c>
      <c r="D1622" t="s">
        <v>2295</v>
      </c>
      <c r="E1622" t="s">
        <v>11143</v>
      </c>
      <c r="F1622">
        <v>40791</v>
      </c>
      <c r="G1622" s="1">
        <v>45824</v>
      </c>
      <c r="H1622" s="1">
        <v>45639</v>
      </c>
      <c r="I1622" s="1">
        <v>46006</v>
      </c>
      <c r="J1622" t="s">
        <v>45</v>
      </c>
      <c r="K1622" t="s">
        <v>45</v>
      </c>
      <c r="L1622" t="s">
        <v>72</v>
      </c>
      <c r="M1622" s="1">
        <v>42041</v>
      </c>
      <c r="N1622" t="s">
        <v>47</v>
      </c>
      <c r="O1622" t="s">
        <v>121</v>
      </c>
      <c r="P1622" t="s">
        <v>49</v>
      </c>
      <c r="Q1622" t="s">
        <v>11144</v>
      </c>
      <c r="R1622" t="s">
        <v>11145</v>
      </c>
      <c r="S1622">
        <v>4842</v>
      </c>
      <c r="T1622" t="s">
        <v>52</v>
      </c>
      <c r="U1622">
        <v>5</v>
      </c>
      <c r="V1622" t="s">
        <v>2771</v>
      </c>
      <c r="W1622" t="s">
        <v>54</v>
      </c>
      <c r="X1622" t="s">
        <v>52</v>
      </c>
      <c r="Y1622" t="s">
        <v>125</v>
      </c>
      <c r="Z1622">
        <v>701</v>
      </c>
      <c r="AA1622">
        <v>161</v>
      </c>
      <c r="AB1622">
        <v>28</v>
      </c>
      <c r="AC1622" t="s">
        <v>2775</v>
      </c>
      <c r="AD1622" t="s">
        <v>2776</v>
      </c>
      <c r="AE1622" t="s">
        <v>2777</v>
      </c>
      <c r="AF1622" t="s">
        <v>3044</v>
      </c>
      <c r="AG1622" t="s">
        <v>3045</v>
      </c>
      <c r="AH1622" t="s">
        <v>3046</v>
      </c>
      <c r="AI1622" t="s">
        <v>11136</v>
      </c>
      <c r="AJ1622" s="2">
        <v>45828.762083333335</v>
      </c>
      <c r="AK1622" t="s">
        <v>2775</v>
      </c>
      <c r="AL1622" t="s">
        <v>65</v>
      </c>
      <c r="AM1622" s="3">
        <v>1.4652777777777777</v>
      </c>
      <c r="AN1622" t="s">
        <v>66</v>
      </c>
      <c r="AO1622" t="s">
        <v>67</v>
      </c>
    </row>
    <row r="1623" spans="1:41" x14ac:dyDescent="0.2">
      <c r="A1623">
        <v>366820</v>
      </c>
      <c r="B1623" t="s">
        <v>11146</v>
      </c>
      <c r="C1623" t="s">
        <v>182</v>
      </c>
      <c r="D1623" t="s">
        <v>2295</v>
      </c>
      <c r="E1623" t="s">
        <v>11147</v>
      </c>
      <c r="F1623">
        <v>40792</v>
      </c>
      <c r="G1623" s="1">
        <v>45638</v>
      </c>
      <c r="H1623" s="1">
        <v>45639</v>
      </c>
      <c r="I1623" s="1">
        <v>46006</v>
      </c>
      <c r="J1623" t="s">
        <v>45</v>
      </c>
      <c r="K1623" t="s">
        <v>45</v>
      </c>
      <c r="L1623" t="s">
        <v>72</v>
      </c>
      <c r="M1623" s="1">
        <v>45463</v>
      </c>
      <c r="N1623" t="s">
        <v>89</v>
      </c>
      <c r="O1623" t="s">
        <v>121</v>
      </c>
      <c r="P1623" t="s">
        <v>49</v>
      </c>
      <c r="Q1623" t="s">
        <v>11148</v>
      </c>
      <c r="R1623" t="s">
        <v>11149</v>
      </c>
      <c r="S1623">
        <v>5845</v>
      </c>
      <c r="T1623" t="s">
        <v>52</v>
      </c>
      <c r="U1623">
        <v>5</v>
      </c>
      <c r="V1623" t="s">
        <v>2771</v>
      </c>
      <c r="W1623" t="s">
        <v>54</v>
      </c>
      <c r="X1623" t="s">
        <v>52</v>
      </c>
      <c r="Y1623" t="s">
        <v>125</v>
      </c>
      <c r="Z1623">
        <v>535</v>
      </c>
      <c r="AA1623">
        <v>153</v>
      </c>
      <c r="AB1623">
        <v>78</v>
      </c>
      <c r="AC1623" t="s">
        <v>2775</v>
      </c>
      <c r="AD1623" t="s">
        <v>2776</v>
      </c>
      <c r="AE1623" t="s">
        <v>2777</v>
      </c>
      <c r="AF1623" t="s">
        <v>3044</v>
      </c>
      <c r="AG1623" t="s">
        <v>3045</v>
      </c>
      <c r="AH1623" t="s">
        <v>3046</v>
      </c>
      <c r="AI1623" t="s">
        <v>11136</v>
      </c>
      <c r="AJ1623" s="2">
        <v>45639.501875000002</v>
      </c>
      <c r="AK1623" t="s">
        <v>132</v>
      </c>
      <c r="AL1623" t="s">
        <v>65</v>
      </c>
      <c r="AM1623" s="4">
        <v>0.58333333333333337</v>
      </c>
      <c r="AN1623" t="s">
        <v>66</v>
      </c>
      <c r="AO1623" t="s">
        <v>67</v>
      </c>
    </row>
    <row r="1624" spans="1:41" x14ac:dyDescent="0.2">
      <c r="A1624">
        <v>369547</v>
      </c>
      <c r="B1624" t="s">
        <v>11150</v>
      </c>
      <c r="C1624" t="s">
        <v>182</v>
      </c>
      <c r="D1624" t="s">
        <v>894</v>
      </c>
      <c r="E1624" t="s">
        <v>11151</v>
      </c>
      <c r="G1624" s="1">
        <v>45552</v>
      </c>
      <c r="H1624" s="1">
        <v>45700</v>
      </c>
      <c r="I1624" s="1">
        <v>45962</v>
      </c>
      <c r="J1624" t="s">
        <v>45</v>
      </c>
      <c r="K1624" t="s">
        <v>45</v>
      </c>
      <c r="L1624" t="s">
        <v>72</v>
      </c>
      <c r="M1624" s="1">
        <v>43237</v>
      </c>
      <c r="N1624" t="s">
        <v>47</v>
      </c>
      <c r="O1624" t="s">
        <v>121</v>
      </c>
      <c r="P1624" t="s">
        <v>49</v>
      </c>
      <c r="Q1624" t="s">
        <v>11152</v>
      </c>
      <c r="R1624" t="s">
        <v>11153</v>
      </c>
      <c r="S1624">
        <v>4853</v>
      </c>
      <c r="T1624" t="s">
        <v>52</v>
      </c>
      <c r="U1624">
        <v>5</v>
      </c>
      <c r="V1624" t="s">
        <v>2771</v>
      </c>
      <c r="W1624" t="s">
        <v>54</v>
      </c>
      <c r="X1624" t="s">
        <v>52</v>
      </c>
      <c r="Y1624" t="s">
        <v>125</v>
      </c>
      <c r="Z1624">
        <v>3095</v>
      </c>
      <c r="AA1624">
        <v>91</v>
      </c>
      <c r="AB1624">
        <v>38</v>
      </c>
      <c r="AC1624" t="s">
        <v>10644</v>
      </c>
      <c r="AD1624" t="s">
        <v>10645</v>
      </c>
      <c r="AE1624" t="s">
        <v>10646</v>
      </c>
      <c r="AF1624" t="s">
        <v>10647</v>
      </c>
      <c r="AG1624" t="s">
        <v>10648</v>
      </c>
      <c r="AH1624" t="s">
        <v>10649</v>
      </c>
      <c r="AI1624" t="s">
        <v>11141</v>
      </c>
      <c r="AJ1624" s="2">
        <v>45743.668958333335</v>
      </c>
      <c r="AK1624" t="s">
        <v>84</v>
      </c>
      <c r="AL1624" t="s">
        <v>65</v>
      </c>
      <c r="AM1624" s="3">
        <v>2.2152777777777777</v>
      </c>
      <c r="AN1624" t="s">
        <v>66</v>
      </c>
      <c r="AO1624" t="s">
        <v>67</v>
      </c>
    </row>
    <row r="1625" spans="1:41" x14ac:dyDescent="0.2">
      <c r="A1625">
        <v>371442</v>
      </c>
      <c r="B1625" t="s">
        <v>11154</v>
      </c>
      <c r="C1625" t="s">
        <v>182</v>
      </c>
      <c r="D1625" t="s">
        <v>2295</v>
      </c>
      <c r="E1625" t="s">
        <v>11155</v>
      </c>
      <c r="G1625" s="1">
        <v>45399</v>
      </c>
      <c r="H1625" s="1">
        <v>45806</v>
      </c>
      <c r="I1625" s="1">
        <v>46127</v>
      </c>
      <c r="J1625" t="s">
        <v>45</v>
      </c>
      <c r="K1625" t="s">
        <v>45</v>
      </c>
      <c r="L1625" t="s">
        <v>72</v>
      </c>
      <c r="M1625" s="1">
        <v>43237</v>
      </c>
      <c r="N1625" t="s">
        <v>89</v>
      </c>
      <c r="O1625" t="s">
        <v>121</v>
      </c>
      <c r="P1625" t="s">
        <v>49</v>
      </c>
      <c r="Q1625" t="s">
        <v>11156</v>
      </c>
      <c r="R1625" t="s">
        <v>11157</v>
      </c>
      <c r="S1625">
        <v>5511</v>
      </c>
      <c r="T1625" t="s">
        <v>52</v>
      </c>
      <c r="U1625">
        <v>5</v>
      </c>
      <c r="V1625" t="s">
        <v>2771</v>
      </c>
      <c r="W1625" t="s">
        <v>54</v>
      </c>
      <c r="X1625" t="s">
        <v>52</v>
      </c>
      <c r="Y1625" t="s">
        <v>125</v>
      </c>
      <c r="Z1625">
        <v>3646</v>
      </c>
      <c r="AA1625">
        <v>84</v>
      </c>
      <c r="AB1625">
        <v>30</v>
      </c>
      <c r="AC1625" t="s">
        <v>10644</v>
      </c>
      <c r="AD1625" t="s">
        <v>10645</v>
      </c>
      <c r="AE1625" t="s">
        <v>10646</v>
      </c>
      <c r="AF1625" t="s">
        <v>10647</v>
      </c>
      <c r="AG1625" t="s">
        <v>10648</v>
      </c>
      <c r="AH1625" t="s">
        <v>10649</v>
      </c>
      <c r="AI1625" t="s">
        <v>11141</v>
      </c>
      <c r="AJ1625" s="2">
        <v>45811.624976851854</v>
      </c>
      <c r="AK1625" t="s">
        <v>800</v>
      </c>
      <c r="AL1625" t="s">
        <v>65</v>
      </c>
      <c r="AM1625" s="4">
        <v>0.35416666666666669</v>
      </c>
      <c r="AN1625" t="s">
        <v>66</v>
      </c>
      <c r="AO1625" t="s">
        <v>67</v>
      </c>
    </row>
    <row r="1626" spans="1:41" x14ac:dyDescent="0.2">
      <c r="A1626">
        <v>370171</v>
      </c>
      <c r="B1626" t="s">
        <v>11158</v>
      </c>
      <c r="C1626" t="s">
        <v>182</v>
      </c>
      <c r="D1626" t="s">
        <v>4385</v>
      </c>
      <c r="E1626" t="s">
        <v>11159</v>
      </c>
      <c r="G1626" s="1">
        <v>45455</v>
      </c>
      <c r="H1626" s="1">
        <v>45764</v>
      </c>
      <c r="I1626" s="1">
        <v>46127</v>
      </c>
      <c r="J1626" t="s">
        <v>45</v>
      </c>
      <c r="K1626" t="s">
        <v>45</v>
      </c>
      <c r="L1626" t="s">
        <v>72</v>
      </c>
      <c r="M1626" s="1">
        <v>44424</v>
      </c>
      <c r="N1626" t="s">
        <v>89</v>
      </c>
      <c r="O1626" t="s">
        <v>121</v>
      </c>
      <c r="P1626" t="s">
        <v>49</v>
      </c>
      <c r="Q1626" t="s">
        <v>11160</v>
      </c>
      <c r="R1626" t="s">
        <v>11161</v>
      </c>
      <c r="S1626">
        <v>5114</v>
      </c>
      <c r="T1626" t="s">
        <v>52</v>
      </c>
      <c r="U1626">
        <v>5</v>
      </c>
      <c r="V1626" t="s">
        <v>2771</v>
      </c>
      <c r="W1626" t="s">
        <v>54</v>
      </c>
      <c r="X1626" t="s">
        <v>52</v>
      </c>
      <c r="Y1626" t="s">
        <v>125</v>
      </c>
      <c r="Z1626">
        <v>3806</v>
      </c>
      <c r="AA1626">
        <v>69</v>
      </c>
      <c r="AB1626">
        <v>30</v>
      </c>
      <c r="AC1626" t="s">
        <v>4951</v>
      </c>
      <c r="AD1626" t="s">
        <v>4952</v>
      </c>
      <c r="AE1626" t="s">
        <v>4953</v>
      </c>
      <c r="AF1626" t="s">
        <v>4954</v>
      </c>
      <c r="AG1626" t="s">
        <v>4955</v>
      </c>
      <c r="AH1626" t="s">
        <v>4956</v>
      </c>
      <c r="AI1626" t="s">
        <v>11141</v>
      </c>
      <c r="AJ1626" s="2">
        <v>45764.661099537036</v>
      </c>
      <c r="AK1626" t="s">
        <v>800</v>
      </c>
      <c r="AL1626" t="s">
        <v>65</v>
      </c>
      <c r="AM1626" s="4">
        <v>0.3888888888888889</v>
      </c>
      <c r="AN1626" t="s">
        <v>66</v>
      </c>
      <c r="AO1626" t="s">
        <v>67</v>
      </c>
    </row>
    <row r="1627" spans="1:41" x14ac:dyDescent="0.2">
      <c r="A1627">
        <v>369899</v>
      </c>
      <c r="B1627" t="s">
        <v>11162</v>
      </c>
      <c r="C1627" t="s">
        <v>182</v>
      </c>
      <c r="D1627" t="s">
        <v>3956</v>
      </c>
      <c r="E1627">
        <v>32934138</v>
      </c>
      <c r="F1627">
        <v>40919</v>
      </c>
      <c r="G1627" s="1">
        <v>45426</v>
      </c>
      <c r="H1627" s="1">
        <v>45757</v>
      </c>
      <c r="I1627" s="1">
        <v>46068</v>
      </c>
      <c r="J1627" t="s">
        <v>45</v>
      </c>
      <c r="K1627" t="s">
        <v>45</v>
      </c>
      <c r="L1627" t="s">
        <v>72</v>
      </c>
      <c r="M1627" s="1">
        <v>45077</v>
      </c>
      <c r="N1627" t="s">
        <v>89</v>
      </c>
      <c r="O1627" t="s">
        <v>121</v>
      </c>
      <c r="P1627" t="s">
        <v>49</v>
      </c>
      <c r="Q1627" t="s">
        <v>11163</v>
      </c>
      <c r="R1627" t="s">
        <v>11164</v>
      </c>
      <c r="S1627">
        <v>4880</v>
      </c>
      <c r="T1627" t="s">
        <v>257</v>
      </c>
      <c r="U1627" t="s">
        <v>640</v>
      </c>
      <c r="V1627" t="s">
        <v>11165</v>
      </c>
      <c r="W1627" t="s">
        <v>260</v>
      </c>
      <c r="X1627" t="s">
        <v>257</v>
      </c>
      <c r="Y1627" t="s">
        <v>125</v>
      </c>
      <c r="Z1627">
        <v>3024</v>
      </c>
      <c r="AA1627">
        <v>65</v>
      </c>
      <c r="AB1627">
        <v>146</v>
      </c>
      <c r="AC1627" t="s">
        <v>11166</v>
      </c>
      <c r="AD1627" t="s">
        <v>11167</v>
      </c>
      <c r="AE1627" t="s">
        <v>11168</v>
      </c>
      <c r="AF1627" t="s">
        <v>11169</v>
      </c>
      <c r="AG1627" t="s">
        <v>11170</v>
      </c>
      <c r="AH1627" t="s">
        <v>11171</v>
      </c>
      <c r="AI1627" t="s">
        <v>11172</v>
      </c>
      <c r="AJ1627" s="2">
        <v>45757.542523148149</v>
      </c>
      <c r="AK1627" t="s">
        <v>800</v>
      </c>
      <c r="AL1627" t="s">
        <v>65</v>
      </c>
      <c r="AM1627" s="4">
        <v>0.90277777777777779</v>
      </c>
      <c r="AN1627" t="s">
        <v>66</v>
      </c>
      <c r="AO1627" t="s">
        <v>67</v>
      </c>
    </row>
    <row r="1628" spans="1:41" x14ac:dyDescent="0.2">
      <c r="A1628">
        <v>372735</v>
      </c>
      <c r="B1628" t="s">
        <v>11173</v>
      </c>
      <c r="C1628" t="s">
        <v>542</v>
      </c>
      <c r="D1628" t="s">
        <v>4270</v>
      </c>
      <c r="E1628" t="s">
        <v>11174</v>
      </c>
      <c r="F1628">
        <v>361802</v>
      </c>
      <c r="G1628" s="1">
        <v>39426</v>
      </c>
      <c r="H1628" s="1">
        <v>45849</v>
      </c>
      <c r="I1628" s="1">
        <v>46204</v>
      </c>
      <c r="J1628" t="s">
        <v>45</v>
      </c>
      <c r="K1628" t="s">
        <v>45</v>
      </c>
      <c r="L1628" t="s">
        <v>72</v>
      </c>
      <c r="N1628" t="s">
        <v>47</v>
      </c>
      <c r="O1628" t="s">
        <v>48</v>
      </c>
      <c r="P1628" t="s">
        <v>49</v>
      </c>
      <c r="Q1628" t="s">
        <v>11175</v>
      </c>
      <c r="R1628" t="s">
        <v>11176</v>
      </c>
      <c r="S1628">
        <v>886</v>
      </c>
      <c r="T1628" t="s">
        <v>257</v>
      </c>
      <c r="U1628" t="s">
        <v>836</v>
      </c>
      <c r="V1628" t="s">
        <v>2914</v>
      </c>
      <c r="W1628" t="s">
        <v>260</v>
      </c>
      <c r="X1628" t="s">
        <v>257</v>
      </c>
      <c r="Y1628" t="s">
        <v>110</v>
      </c>
      <c r="Z1628">
        <v>2229</v>
      </c>
      <c r="AA1628">
        <v>43</v>
      </c>
      <c r="AB1628">
        <v>45</v>
      </c>
      <c r="AC1628" t="s">
        <v>2915</v>
      </c>
      <c r="AD1628" t="s">
        <v>2916</v>
      </c>
      <c r="AE1628" t="s">
        <v>2917</v>
      </c>
      <c r="AF1628" t="s">
        <v>2918</v>
      </c>
      <c r="AG1628" t="s">
        <v>2919</v>
      </c>
      <c r="AH1628" t="s">
        <v>2917</v>
      </c>
      <c r="AI1628" t="s">
        <v>2920</v>
      </c>
      <c r="AJ1628" s="2">
        <v>45852.71366898148</v>
      </c>
      <c r="AK1628" t="s">
        <v>2915</v>
      </c>
      <c r="AL1628" t="s">
        <v>65</v>
      </c>
      <c r="AM1628" s="3">
        <v>1.7569444444444444</v>
      </c>
      <c r="AN1628" t="s">
        <v>66</v>
      </c>
      <c r="AO1628" t="s">
        <v>101</v>
      </c>
    </row>
    <row r="1629" spans="1:41" x14ac:dyDescent="0.2">
      <c r="A1629">
        <v>371219</v>
      </c>
      <c r="B1629" t="s">
        <v>11177</v>
      </c>
      <c r="C1629" t="s">
        <v>103</v>
      </c>
      <c r="D1629" t="s">
        <v>1216</v>
      </c>
      <c r="E1629" t="s">
        <v>11178</v>
      </c>
      <c r="F1629">
        <v>315802</v>
      </c>
      <c r="G1629" s="1">
        <v>44028</v>
      </c>
      <c r="H1629" s="1">
        <v>45794</v>
      </c>
      <c r="I1629" s="1">
        <v>45936</v>
      </c>
      <c r="J1629" t="s">
        <v>45</v>
      </c>
      <c r="K1629" t="s">
        <v>45</v>
      </c>
      <c r="L1629" t="s">
        <v>46</v>
      </c>
      <c r="M1629" s="1">
        <v>44028</v>
      </c>
      <c r="N1629" t="s">
        <v>47</v>
      </c>
      <c r="O1629" t="s">
        <v>48</v>
      </c>
      <c r="P1629" t="s">
        <v>49</v>
      </c>
      <c r="Q1629" t="s">
        <v>11179</v>
      </c>
      <c r="R1629" t="s">
        <v>11180</v>
      </c>
      <c r="S1629">
        <v>3920</v>
      </c>
      <c r="T1629" t="s">
        <v>52</v>
      </c>
      <c r="U1629">
        <v>8</v>
      </c>
      <c r="V1629" t="s">
        <v>3759</v>
      </c>
      <c r="W1629" t="s">
        <v>54</v>
      </c>
      <c r="X1629" t="s">
        <v>76</v>
      </c>
      <c r="Y1629" t="s">
        <v>56</v>
      </c>
      <c r="Z1629">
        <v>1088</v>
      </c>
      <c r="AA1629">
        <v>38</v>
      </c>
      <c r="AB1629">
        <v>45</v>
      </c>
      <c r="AC1629" t="s">
        <v>4921</v>
      </c>
      <c r="AD1629" t="s">
        <v>3761</v>
      </c>
      <c r="AE1629" t="s">
        <v>8172</v>
      </c>
      <c r="AF1629" t="s">
        <v>11181</v>
      </c>
      <c r="AG1629" t="s">
        <v>11182</v>
      </c>
      <c r="AH1629" t="s">
        <v>11183</v>
      </c>
      <c r="AI1629" t="s">
        <v>3761</v>
      </c>
      <c r="AJ1629" s="2">
        <v>45798.908715277779</v>
      </c>
      <c r="AK1629" t="s">
        <v>717</v>
      </c>
      <c r="AL1629" t="s">
        <v>65</v>
      </c>
      <c r="AM1629" s="3">
        <v>2.1597222222222223</v>
      </c>
      <c r="AN1629" t="s">
        <v>66</v>
      </c>
      <c r="AO1629" t="s">
        <v>101</v>
      </c>
    </row>
    <row r="1630" spans="1:41" x14ac:dyDescent="0.2">
      <c r="A1630">
        <v>365059</v>
      </c>
      <c r="B1630" t="s">
        <v>11184</v>
      </c>
      <c r="C1630" t="s">
        <v>345</v>
      </c>
      <c r="D1630" t="s">
        <v>1628</v>
      </c>
      <c r="E1630" t="s">
        <v>11185</v>
      </c>
      <c r="F1630">
        <v>56501</v>
      </c>
      <c r="G1630" s="1">
        <v>39973</v>
      </c>
      <c r="H1630" s="1">
        <v>45561</v>
      </c>
      <c r="I1630" s="1">
        <v>46218</v>
      </c>
      <c r="J1630" t="s">
        <v>45</v>
      </c>
      <c r="K1630" t="s">
        <v>45</v>
      </c>
      <c r="L1630" t="s">
        <v>46</v>
      </c>
      <c r="N1630" t="s">
        <v>47</v>
      </c>
      <c r="O1630" t="s">
        <v>48</v>
      </c>
      <c r="P1630" t="s">
        <v>49</v>
      </c>
      <c r="Q1630" t="s">
        <v>11186</v>
      </c>
      <c r="R1630" t="s">
        <v>11187</v>
      </c>
      <c r="S1630">
        <v>9688</v>
      </c>
      <c r="T1630" t="s">
        <v>52</v>
      </c>
      <c r="U1630">
        <v>2</v>
      </c>
      <c r="V1630" t="s">
        <v>1522</v>
      </c>
      <c r="W1630" t="s">
        <v>54</v>
      </c>
      <c r="X1630" t="s">
        <v>55</v>
      </c>
      <c r="Y1630" t="s">
        <v>56</v>
      </c>
      <c r="Z1630">
        <v>3027</v>
      </c>
      <c r="AA1630">
        <v>39</v>
      </c>
      <c r="AB1630">
        <v>80</v>
      </c>
      <c r="AC1630" t="s">
        <v>1931</v>
      </c>
      <c r="AD1630" t="s">
        <v>1932</v>
      </c>
      <c r="AE1630" t="s">
        <v>1933</v>
      </c>
      <c r="AF1630" t="s">
        <v>1934</v>
      </c>
      <c r="AG1630" t="s">
        <v>1935</v>
      </c>
      <c r="AH1630" t="s">
        <v>1936</v>
      </c>
      <c r="AI1630" t="s">
        <v>11188</v>
      </c>
      <c r="AJ1630" s="2">
        <v>45567.728298611109</v>
      </c>
      <c r="AK1630" t="s">
        <v>609</v>
      </c>
      <c r="AL1630" t="s">
        <v>65</v>
      </c>
      <c r="AM1630" s="4">
        <v>0.3611111111111111</v>
      </c>
      <c r="AN1630" t="s">
        <v>66</v>
      </c>
      <c r="AO1630" t="s">
        <v>67</v>
      </c>
    </row>
    <row r="1631" spans="1:41" x14ac:dyDescent="0.2">
      <c r="A1631">
        <v>371455</v>
      </c>
      <c r="B1631" t="s">
        <v>11189</v>
      </c>
      <c r="C1631" t="s">
        <v>69</v>
      </c>
      <c r="D1631" t="s">
        <v>69</v>
      </c>
      <c r="E1631" s="5" t="s">
        <v>11190</v>
      </c>
      <c r="F1631">
        <v>101044</v>
      </c>
      <c r="G1631" s="1">
        <v>34851</v>
      </c>
      <c r="H1631" s="1">
        <v>45811</v>
      </c>
      <c r="I1631" s="1">
        <v>46174</v>
      </c>
      <c r="J1631" t="s">
        <v>45</v>
      </c>
      <c r="K1631" t="s">
        <v>45</v>
      </c>
      <c r="L1631" t="s">
        <v>72</v>
      </c>
      <c r="M1631" s="1">
        <v>44693</v>
      </c>
      <c r="N1631" t="s">
        <v>47</v>
      </c>
      <c r="O1631" t="s">
        <v>48</v>
      </c>
      <c r="P1631" t="s">
        <v>49</v>
      </c>
      <c r="Q1631" t="s">
        <v>11191</v>
      </c>
      <c r="R1631" t="s">
        <v>11192</v>
      </c>
      <c r="S1631">
        <v>5814</v>
      </c>
      <c r="T1631" t="s">
        <v>52</v>
      </c>
      <c r="U1631">
        <v>4</v>
      </c>
      <c r="V1631" t="s">
        <v>10138</v>
      </c>
      <c r="W1631" t="s">
        <v>54</v>
      </c>
      <c r="X1631" t="s">
        <v>76</v>
      </c>
      <c r="Y1631" t="s">
        <v>110</v>
      </c>
      <c r="Z1631">
        <v>663</v>
      </c>
      <c r="AA1631">
        <v>66</v>
      </c>
      <c r="AB1631">
        <v>142</v>
      </c>
      <c r="AC1631" t="s">
        <v>10139</v>
      </c>
      <c r="AD1631" t="s">
        <v>10140</v>
      </c>
      <c r="AE1631" t="s">
        <v>10141</v>
      </c>
      <c r="AF1631" t="s">
        <v>10142</v>
      </c>
      <c r="AG1631" t="s">
        <v>10143</v>
      </c>
      <c r="AH1631" t="s">
        <v>10144</v>
      </c>
      <c r="AI1631" t="s">
        <v>10145</v>
      </c>
      <c r="AJ1631" s="2">
        <v>45811.79414351852</v>
      </c>
      <c r="AK1631" t="s">
        <v>11193</v>
      </c>
      <c r="AL1631" t="s">
        <v>65</v>
      </c>
      <c r="AM1631" s="3">
        <v>1.6944444444444444</v>
      </c>
      <c r="AN1631" t="s">
        <v>66</v>
      </c>
      <c r="AO1631" t="s">
        <v>67</v>
      </c>
    </row>
    <row r="1632" spans="1:41" x14ac:dyDescent="0.2">
      <c r="A1632">
        <v>363494</v>
      </c>
      <c r="B1632" t="s">
        <v>11194</v>
      </c>
      <c r="C1632" t="s">
        <v>345</v>
      </c>
      <c r="D1632" t="s">
        <v>4103</v>
      </c>
      <c r="E1632" t="s">
        <v>11195</v>
      </c>
      <c r="F1632">
        <v>50104</v>
      </c>
      <c r="G1632" s="1">
        <v>32520</v>
      </c>
      <c r="H1632" s="1">
        <v>45481</v>
      </c>
      <c r="I1632" s="1">
        <v>46235</v>
      </c>
      <c r="J1632" t="s">
        <v>45</v>
      </c>
      <c r="K1632" t="s">
        <v>45</v>
      </c>
      <c r="L1632" t="s">
        <v>72</v>
      </c>
      <c r="M1632" s="1">
        <v>38125</v>
      </c>
      <c r="N1632" t="s">
        <v>47</v>
      </c>
      <c r="O1632" t="s">
        <v>48</v>
      </c>
      <c r="P1632" t="s">
        <v>49</v>
      </c>
      <c r="Q1632" t="s">
        <v>11196</v>
      </c>
      <c r="R1632" t="s">
        <v>11197</v>
      </c>
      <c r="S1632">
        <v>5940</v>
      </c>
      <c r="T1632" t="s">
        <v>365</v>
      </c>
      <c r="U1632" t="s">
        <v>432</v>
      </c>
      <c r="V1632" t="s">
        <v>4107</v>
      </c>
      <c r="W1632" t="s">
        <v>367</v>
      </c>
      <c r="X1632" t="s">
        <v>55</v>
      </c>
      <c r="Y1632" t="s">
        <v>434</v>
      </c>
      <c r="Z1632">
        <v>116</v>
      </c>
      <c r="AA1632">
        <v>53</v>
      </c>
      <c r="AB1632">
        <v>158</v>
      </c>
      <c r="AC1632" t="s">
        <v>5835</v>
      </c>
      <c r="AD1632" t="s">
        <v>4112</v>
      </c>
      <c r="AE1632" t="s">
        <v>4113</v>
      </c>
      <c r="AI1632" t="s">
        <v>179</v>
      </c>
      <c r="AJ1632" s="2">
        <v>45513.891782407409</v>
      </c>
      <c r="AK1632" t="s">
        <v>609</v>
      </c>
      <c r="AL1632" t="s">
        <v>65</v>
      </c>
      <c r="AM1632" s="4">
        <v>0.97222222222222221</v>
      </c>
      <c r="AN1632" t="s">
        <v>66</v>
      </c>
      <c r="AO1632" t="s">
        <v>67</v>
      </c>
    </row>
    <row r="1633" spans="1:41" x14ac:dyDescent="0.2">
      <c r="A1633">
        <v>357440</v>
      </c>
      <c r="B1633" t="s">
        <v>11198</v>
      </c>
      <c r="C1633" t="s">
        <v>4770</v>
      </c>
      <c r="D1633" t="s">
        <v>11199</v>
      </c>
      <c r="E1633" t="s">
        <v>11200</v>
      </c>
      <c r="G1633" s="1">
        <v>38968</v>
      </c>
      <c r="H1633" s="1">
        <v>44939</v>
      </c>
      <c r="I1633" s="1">
        <v>46037</v>
      </c>
      <c r="J1633" t="s">
        <v>45</v>
      </c>
      <c r="K1633" t="s">
        <v>326</v>
      </c>
      <c r="L1633" t="s">
        <v>72</v>
      </c>
      <c r="N1633" t="s">
        <v>47</v>
      </c>
      <c r="O1633" t="s">
        <v>48</v>
      </c>
      <c r="P1633" t="s">
        <v>7488</v>
      </c>
      <c r="Q1633" t="s">
        <v>11201</v>
      </c>
      <c r="R1633" t="s">
        <v>11202</v>
      </c>
      <c r="S1633">
        <v>1260</v>
      </c>
      <c r="T1633" t="s">
        <v>92</v>
      </c>
      <c r="U1633" t="s">
        <v>11203</v>
      </c>
      <c r="V1633" t="s">
        <v>768</v>
      </c>
      <c r="W1633" t="s">
        <v>11204</v>
      </c>
      <c r="X1633" t="s">
        <v>92</v>
      </c>
      <c r="Y1633" t="s">
        <v>110</v>
      </c>
      <c r="Z1633">
        <v>2529</v>
      </c>
      <c r="AA1633">
        <v>24</v>
      </c>
      <c r="AB1633">
        <v>144</v>
      </c>
      <c r="AC1633" t="s">
        <v>11205</v>
      </c>
      <c r="AD1633" t="s">
        <v>11206</v>
      </c>
      <c r="AE1633" t="s">
        <v>11207</v>
      </c>
      <c r="AJ1633" s="2">
        <v>45330.699895833335</v>
      </c>
      <c r="AK1633" t="s">
        <v>149</v>
      </c>
      <c r="AL1633" t="s">
        <v>475</v>
      </c>
      <c r="AM1633" s="4">
        <v>0.47222222222222221</v>
      </c>
      <c r="AN1633" t="s">
        <v>66</v>
      </c>
      <c r="AO1633" t="s">
        <v>67</v>
      </c>
    </row>
    <row r="1634" spans="1:41" x14ac:dyDescent="0.2">
      <c r="A1634">
        <v>366152</v>
      </c>
      <c r="B1634" t="s">
        <v>11208</v>
      </c>
      <c r="C1634" t="s">
        <v>4770</v>
      </c>
      <c r="D1634" t="s">
        <v>3919</v>
      </c>
      <c r="E1634" t="s">
        <v>11209</v>
      </c>
      <c r="F1634">
        <v>135502</v>
      </c>
      <c r="G1634" s="1">
        <v>37942</v>
      </c>
      <c r="H1634" s="1">
        <v>45603</v>
      </c>
      <c r="I1634" s="1">
        <v>45976</v>
      </c>
      <c r="J1634" t="s">
        <v>45</v>
      </c>
      <c r="K1634" t="s">
        <v>45</v>
      </c>
      <c r="L1634" t="s">
        <v>72</v>
      </c>
      <c r="M1634" s="1">
        <v>38453</v>
      </c>
      <c r="N1634" t="s">
        <v>47</v>
      </c>
      <c r="O1634" t="s">
        <v>48</v>
      </c>
      <c r="P1634" t="s">
        <v>49</v>
      </c>
      <c r="Q1634" t="s">
        <v>11210</v>
      </c>
      <c r="R1634" t="s">
        <v>11211</v>
      </c>
      <c r="S1634">
        <v>1070</v>
      </c>
      <c r="T1634" t="s">
        <v>92</v>
      </c>
      <c r="U1634" t="s">
        <v>11203</v>
      </c>
      <c r="V1634" t="s">
        <v>768</v>
      </c>
      <c r="W1634" t="s">
        <v>11204</v>
      </c>
      <c r="X1634" t="s">
        <v>92</v>
      </c>
      <c r="Y1634" t="s">
        <v>110</v>
      </c>
      <c r="Z1634">
        <v>2531</v>
      </c>
      <c r="AA1634">
        <v>43</v>
      </c>
      <c r="AB1634">
        <v>144</v>
      </c>
      <c r="AC1634" t="s">
        <v>11212</v>
      </c>
      <c r="AD1634" t="s">
        <v>11213</v>
      </c>
      <c r="AE1634" t="s">
        <v>11214</v>
      </c>
      <c r="AF1634" t="s">
        <v>11215</v>
      </c>
      <c r="AG1634" t="s">
        <v>11216</v>
      </c>
      <c r="AI1634" t="s">
        <v>11217</v>
      </c>
      <c r="AJ1634" s="2">
        <v>45604.671342592592</v>
      </c>
      <c r="AK1634" t="s">
        <v>11212</v>
      </c>
      <c r="AL1634" t="s">
        <v>65</v>
      </c>
      <c r="AM1634" s="4">
        <v>0.4861111111111111</v>
      </c>
      <c r="AN1634" t="s">
        <v>66</v>
      </c>
      <c r="AO1634" t="s">
        <v>67</v>
      </c>
    </row>
    <row r="1635" spans="1:41" x14ac:dyDescent="0.2">
      <c r="A1635">
        <v>363675</v>
      </c>
      <c r="B1635" t="s">
        <v>11218</v>
      </c>
      <c r="C1635" t="s">
        <v>4770</v>
      </c>
      <c r="D1635" t="s">
        <v>11219</v>
      </c>
      <c r="E1635" t="s">
        <v>11220</v>
      </c>
      <c r="F1635">
        <v>132207</v>
      </c>
      <c r="G1635" s="1">
        <v>37927</v>
      </c>
      <c r="H1635" s="1">
        <v>45519</v>
      </c>
      <c r="I1635" s="1">
        <v>45915</v>
      </c>
      <c r="J1635" t="s">
        <v>45</v>
      </c>
      <c r="K1635" t="s">
        <v>326</v>
      </c>
      <c r="L1635" t="s">
        <v>72</v>
      </c>
      <c r="M1635" s="1">
        <v>44677</v>
      </c>
      <c r="N1635" t="s">
        <v>47</v>
      </c>
      <c r="O1635" t="s">
        <v>48</v>
      </c>
      <c r="P1635" t="s">
        <v>7488</v>
      </c>
      <c r="Q1635" t="s">
        <v>11221</v>
      </c>
      <c r="R1635" t="s">
        <v>11222</v>
      </c>
      <c r="S1635">
        <v>1170</v>
      </c>
      <c r="T1635" t="s">
        <v>92</v>
      </c>
      <c r="U1635" t="s">
        <v>11203</v>
      </c>
      <c r="V1635" t="s">
        <v>768</v>
      </c>
      <c r="W1635" t="s">
        <v>11204</v>
      </c>
      <c r="X1635" t="s">
        <v>92</v>
      </c>
      <c r="Y1635" t="s">
        <v>110</v>
      </c>
      <c r="Z1635">
        <v>2530</v>
      </c>
      <c r="AA1635">
        <v>36</v>
      </c>
      <c r="AB1635">
        <v>144</v>
      </c>
      <c r="AC1635" t="s">
        <v>11223</v>
      </c>
      <c r="AD1635" t="s">
        <v>11224</v>
      </c>
      <c r="AE1635" t="s">
        <v>11225</v>
      </c>
      <c r="AF1635" t="s">
        <v>11226</v>
      </c>
      <c r="AG1635" t="s">
        <v>11227</v>
      </c>
      <c r="AH1635" t="s">
        <v>11225</v>
      </c>
      <c r="AI1635" t="s">
        <v>11217</v>
      </c>
      <c r="AJ1635" s="2">
        <v>45519.664618055554</v>
      </c>
      <c r="AK1635" t="s">
        <v>11226</v>
      </c>
      <c r="AL1635" t="s">
        <v>475</v>
      </c>
      <c r="AM1635" s="4">
        <v>0.47916666666666669</v>
      </c>
      <c r="AN1635" t="s">
        <v>66</v>
      </c>
      <c r="AO1635" t="s">
        <v>67</v>
      </c>
    </row>
    <row r="1636" spans="1:41" x14ac:dyDescent="0.2">
      <c r="A1636">
        <v>366294</v>
      </c>
      <c r="B1636" t="s">
        <v>11228</v>
      </c>
      <c r="C1636" t="s">
        <v>345</v>
      </c>
      <c r="D1636" t="s">
        <v>2321</v>
      </c>
      <c r="E1636" t="s">
        <v>11229</v>
      </c>
      <c r="F1636">
        <v>55808</v>
      </c>
      <c r="G1636" s="1">
        <v>39602</v>
      </c>
      <c r="H1636" s="1">
        <v>45485</v>
      </c>
      <c r="I1636" s="1">
        <v>46218</v>
      </c>
      <c r="J1636" t="s">
        <v>45</v>
      </c>
      <c r="K1636" t="s">
        <v>45</v>
      </c>
      <c r="L1636" t="s">
        <v>72</v>
      </c>
      <c r="N1636" t="s">
        <v>47</v>
      </c>
      <c r="O1636" t="s">
        <v>48</v>
      </c>
      <c r="P1636" t="s">
        <v>49</v>
      </c>
      <c r="Q1636" t="s">
        <v>11230</v>
      </c>
      <c r="R1636" t="s">
        <v>11231</v>
      </c>
      <c r="S1636">
        <v>8254</v>
      </c>
      <c r="T1636" t="s">
        <v>52</v>
      </c>
      <c r="U1636">
        <v>2</v>
      </c>
      <c r="V1636" t="s">
        <v>2325</v>
      </c>
      <c r="W1636" t="s">
        <v>54</v>
      </c>
      <c r="X1636" t="s">
        <v>55</v>
      </c>
      <c r="Y1636" t="s">
        <v>56</v>
      </c>
      <c r="Z1636">
        <v>2914</v>
      </c>
      <c r="AA1636">
        <v>33</v>
      </c>
      <c r="AB1636">
        <v>160</v>
      </c>
      <c r="AC1636" t="s">
        <v>2326</v>
      </c>
      <c r="AD1636" t="s">
        <v>2327</v>
      </c>
      <c r="AE1636" t="s">
        <v>2328</v>
      </c>
      <c r="AF1636" t="s">
        <v>2329</v>
      </c>
      <c r="AG1636" t="s">
        <v>2330</v>
      </c>
      <c r="AH1636" t="s">
        <v>2331</v>
      </c>
      <c r="AI1636" t="s">
        <v>2332</v>
      </c>
      <c r="AJ1636" s="2">
        <v>45611.737766203703</v>
      </c>
      <c r="AK1636" t="s">
        <v>2326</v>
      </c>
      <c r="AL1636" t="s">
        <v>65</v>
      </c>
      <c r="AM1636" s="3">
        <v>2.4236111111111112</v>
      </c>
      <c r="AN1636" t="s">
        <v>66</v>
      </c>
      <c r="AO1636" t="s">
        <v>67</v>
      </c>
    </row>
    <row r="1637" spans="1:41" x14ac:dyDescent="0.2">
      <c r="A1637">
        <v>372784</v>
      </c>
      <c r="B1637" t="s">
        <v>11232</v>
      </c>
      <c r="C1637" t="s">
        <v>167</v>
      </c>
      <c r="D1637" t="s">
        <v>11233</v>
      </c>
      <c r="E1637" t="s">
        <v>11234</v>
      </c>
      <c r="F1637">
        <v>350604</v>
      </c>
      <c r="G1637" s="1">
        <v>36681</v>
      </c>
      <c r="H1637" s="1">
        <v>45826</v>
      </c>
      <c r="I1637" s="1">
        <v>46174</v>
      </c>
      <c r="J1637" t="s">
        <v>45</v>
      </c>
      <c r="K1637" t="s">
        <v>45</v>
      </c>
      <c r="L1637" t="s">
        <v>429</v>
      </c>
      <c r="M1637" s="1">
        <v>45073</v>
      </c>
      <c r="N1637" t="s">
        <v>47</v>
      </c>
      <c r="O1637" t="s">
        <v>48</v>
      </c>
      <c r="P1637" t="s">
        <v>49</v>
      </c>
      <c r="Q1637" t="s">
        <v>11235</v>
      </c>
      <c r="R1637" t="s">
        <v>11236</v>
      </c>
      <c r="S1637">
        <v>2854</v>
      </c>
      <c r="T1637" t="s">
        <v>52</v>
      </c>
      <c r="U1637">
        <v>6</v>
      </c>
      <c r="V1637" t="s">
        <v>11237</v>
      </c>
      <c r="W1637" t="s">
        <v>54</v>
      </c>
      <c r="X1637" t="s">
        <v>76</v>
      </c>
      <c r="Y1637" t="s">
        <v>56</v>
      </c>
      <c r="Z1637">
        <v>788</v>
      </c>
      <c r="AA1637">
        <v>53</v>
      </c>
      <c r="AB1637">
        <v>160</v>
      </c>
      <c r="AC1637" t="s">
        <v>3548</v>
      </c>
      <c r="AD1637" t="s">
        <v>3549</v>
      </c>
      <c r="AE1637" t="s">
        <v>3550</v>
      </c>
      <c r="AF1637" t="s">
        <v>4330</v>
      </c>
      <c r="AG1637" t="s">
        <v>3552</v>
      </c>
      <c r="AH1637" t="s">
        <v>3553</v>
      </c>
      <c r="AI1637" t="s">
        <v>179</v>
      </c>
      <c r="AJ1637" s="2">
        <v>45853.759988425925</v>
      </c>
      <c r="AK1637" t="s">
        <v>3554</v>
      </c>
      <c r="AL1637" t="s">
        <v>65</v>
      </c>
      <c r="AM1637" s="4">
        <v>0.28472222222222221</v>
      </c>
      <c r="AN1637" t="s">
        <v>66</v>
      </c>
      <c r="AO1637" t="s">
        <v>67</v>
      </c>
    </row>
    <row r="1638" spans="1:41" x14ac:dyDescent="0.2">
      <c r="A1638">
        <v>366970</v>
      </c>
      <c r="B1638" t="s">
        <v>11238</v>
      </c>
      <c r="C1638" t="s">
        <v>1244</v>
      </c>
      <c r="D1638" t="s">
        <v>3174</v>
      </c>
      <c r="E1638" t="s">
        <v>11239</v>
      </c>
      <c r="F1638">
        <v>464601</v>
      </c>
      <c r="G1638" s="1">
        <v>37971</v>
      </c>
      <c r="H1638" s="1">
        <v>45631</v>
      </c>
      <c r="J1638" t="s">
        <v>45</v>
      </c>
      <c r="K1638" t="s">
        <v>45</v>
      </c>
      <c r="L1638" t="s">
        <v>72</v>
      </c>
      <c r="M1638" s="1">
        <v>42298</v>
      </c>
      <c r="N1638" t="s">
        <v>47</v>
      </c>
      <c r="O1638" t="s">
        <v>48</v>
      </c>
      <c r="P1638" t="s">
        <v>49</v>
      </c>
      <c r="Q1638" t="s">
        <v>11240</v>
      </c>
      <c r="R1638" t="s">
        <v>11241</v>
      </c>
      <c r="S1638">
        <v>1650</v>
      </c>
      <c r="T1638" t="s">
        <v>92</v>
      </c>
      <c r="U1638" t="s">
        <v>1249</v>
      </c>
      <c r="V1638" t="s">
        <v>1250</v>
      </c>
      <c r="W1638" t="s">
        <v>1251</v>
      </c>
      <c r="X1638" t="s">
        <v>92</v>
      </c>
      <c r="Y1638" t="s">
        <v>770</v>
      </c>
      <c r="Z1638">
        <v>2519</v>
      </c>
      <c r="AA1638">
        <v>35</v>
      </c>
      <c r="AB1638">
        <v>144</v>
      </c>
      <c r="AC1638" t="s">
        <v>1252</v>
      </c>
      <c r="AD1638" t="s">
        <v>1253</v>
      </c>
      <c r="AE1638" t="s">
        <v>1254</v>
      </c>
      <c r="AF1638" t="s">
        <v>1255</v>
      </c>
      <c r="AG1638" t="s">
        <v>1256</v>
      </c>
      <c r="AH1638" t="s">
        <v>1257</v>
      </c>
      <c r="AI1638" t="s">
        <v>1256</v>
      </c>
      <c r="AJ1638" s="2">
        <v>45649.662164351852</v>
      </c>
      <c r="AK1638" t="s">
        <v>1255</v>
      </c>
      <c r="AL1638" t="s">
        <v>65</v>
      </c>
      <c r="AM1638" s="4">
        <v>0.61111111111111116</v>
      </c>
      <c r="AN1638" t="s">
        <v>66</v>
      </c>
      <c r="AO1638" t="s">
        <v>67</v>
      </c>
    </row>
    <row r="1639" spans="1:41" x14ac:dyDescent="0.2">
      <c r="A1639">
        <v>370861</v>
      </c>
      <c r="B1639" t="s">
        <v>11242</v>
      </c>
      <c r="C1639" t="s">
        <v>735</v>
      </c>
      <c r="D1639" t="s">
        <v>2939</v>
      </c>
      <c r="E1639" s="5" t="s">
        <v>11243</v>
      </c>
      <c r="G1639" s="1">
        <v>45757</v>
      </c>
      <c r="H1639" s="1">
        <v>45678</v>
      </c>
      <c r="I1639" s="1">
        <v>46023</v>
      </c>
      <c r="J1639" t="s">
        <v>45</v>
      </c>
      <c r="K1639" t="s">
        <v>45</v>
      </c>
      <c r="L1639" t="s">
        <v>72</v>
      </c>
      <c r="M1639" s="1">
        <v>42199</v>
      </c>
      <c r="N1639" t="s">
        <v>89</v>
      </c>
      <c r="O1639" t="s">
        <v>121</v>
      </c>
      <c r="P1639" t="s">
        <v>49</v>
      </c>
      <c r="Q1639" t="s">
        <v>11244</v>
      </c>
      <c r="R1639" t="s">
        <v>11245</v>
      </c>
      <c r="S1639">
        <v>4800</v>
      </c>
      <c r="T1639" t="s">
        <v>52</v>
      </c>
      <c r="U1639">
        <v>1</v>
      </c>
      <c r="V1639" t="s">
        <v>2926</v>
      </c>
      <c r="W1639" t="s">
        <v>54</v>
      </c>
      <c r="X1639" t="s">
        <v>76</v>
      </c>
      <c r="Y1639" t="s">
        <v>125</v>
      </c>
      <c r="Z1639">
        <v>1496</v>
      </c>
      <c r="AA1639">
        <v>94</v>
      </c>
      <c r="AB1639">
        <v>174</v>
      </c>
      <c r="AC1639" t="s">
        <v>2927</v>
      </c>
      <c r="AD1639" t="s">
        <v>2928</v>
      </c>
      <c r="AE1639" t="s">
        <v>2929</v>
      </c>
      <c r="AF1639" t="s">
        <v>11246</v>
      </c>
      <c r="AG1639" t="s">
        <v>11247</v>
      </c>
      <c r="AH1639" t="s">
        <v>11248</v>
      </c>
      <c r="AI1639" t="s">
        <v>11249</v>
      </c>
      <c r="AJ1639" s="2">
        <v>45786.663101851853</v>
      </c>
      <c r="AK1639" t="s">
        <v>276</v>
      </c>
      <c r="AL1639" t="s">
        <v>65</v>
      </c>
      <c r="AM1639" s="4">
        <v>0.50694444444444442</v>
      </c>
      <c r="AN1639" t="s">
        <v>66</v>
      </c>
      <c r="AO1639" t="s">
        <v>67</v>
      </c>
    </row>
    <row r="1640" spans="1:41" x14ac:dyDescent="0.2">
      <c r="A1640">
        <v>369141</v>
      </c>
      <c r="B1640" t="s">
        <v>11250</v>
      </c>
      <c r="C1640" t="s">
        <v>735</v>
      </c>
      <c r="D1640" t="s">
        <v>2922</v>
      </c>
      <c r="E1640" t="s">
        <v>11251</v>
      </c>
      <c r="G1640" s="1">
        <v>45727</v>
      </c>
      <c r="H1640" s="1">
        <v>45699</v>
      </c>
      <c r="I1640" s="1">
        <v>46082</v>
      </c>
      <c r="J1640" t="s">
        <v>45</v>
      </c>
      <c r="K1640" t="s">
        <v>45</v>
      </c>
      <c r="L1640" t="s">
        <v>72</v>
      </c>
      <c r="N1640" t="s">
        <v>47</v>
      </c>
      <c r="O1640" t="s">
        <v>121</v>
      </c>
      <c r="P1640" t="s">
        <v>49</v>
      </c>
      <c r="Q1640" t="s">
        <v>11252</v>
      </c>
      <c r="R1640" t="s">
        <v>11253</v>
      </c>
      <c r="S1640">
        <v>4747</v>
      </c>
      <c r="T1640" t="s">
        <v>52</v>
      </c>
      <c r="U1640">
        <v>1</v>
      </c>
      <c r="V1640" t="s">
        <v>2926</v>
      </c>
      <c r="W1640" t="s">
        <v>54</v>
      </c>
      <c r="X1640" t="s">
        <v>76</v>
      </c>
      <c r="Y1640" t="s">
        <v>125</v>
      </c>
      <c r="Z1640">
        <v>12249</v>
      </c>
      <c r="AA1640">
        <v>11</v>
      </c>
      <c r="AB1640">
        <v>44</v>
      </c>
      <c r="AC1640" t="s">
        <v>2927</v>
      </c>
      <c r="AD1640" t="s">
        <v>2928</v>
      </c>
      <c r="AE1640" t="s">
        <v>11254</v>
      </c>
      <c r="AF1640" t="s">
        <v>11255</v>
      </c>
      <c r="AG1640" t="s">
        <v>11256</v>
      </c>
      <c r="AH1640" t="s">
        <v>11254</v>
      </c>
      <c r="AJ1640" s="2">
        <v>45727.823287037034</v>
      </c>
      <c r="AK1640" t="s">
        <v>800</v>
      </c>
      <c r="AL1640" t="s">
        <v>65</v>
      </c>
      <c r="AM1640" s="3">
        <v>1.6493055555555556</v>
      </c>
      <c r="AN1640" t="s">
        <v>66</v>
      </c>
      <c r="AO1640" t="s">
        <v>67</v>
      </c>
    </row>
    <row r="1641" spans="1:41" x14ac:dyDescent="0.2">
      <c r="A1641">
        <v>371488</v>
      </c>
      <c r="B1641" t="s">
        <v>11257</v>
      </c>
      <c r="C1641" t="s">
        <v>735</v>
      </c>
      <c r="D1641" t="s">
        <v>2939</v>
      </c>
      <c r="E1641" t="s">
        <v>11258</v>
      </c>
      <c r="G1641" s="1">
        <v>45812</v>
      </c>
      <c r="H1641" s="1">
        <v>45678</v>
      </c>
      <c r="I1641" s="1">
        <v>46023</v>
      </c>
      <c r="J1641" t="s">
        <v>45</v>
      </c>
      <c r="K1641" t="s">
        <v>45</v>
      </c>
      <c r="L1641" t="s">
        <v>72</v>
      </c>
      <c r="M1641" s="1">
        <v>44317</v>
      </c>
      <c r="N1641" t="s">
        <v>47</v>
      </c>
      <c r="O1641" t="s">
        <v>121</v>
      </c>
      <c r="P1641" t="s">
        <v>49</v>
      </c>
      <c r="Q1641" t="s">
        <v>11259</v>
      </c>
      <c r="R1641" t="s">
        <v>11260</v>
      </c>
      <c r="S1641">
        <v>4303</v>
      </c>
      <c r="T1641" t="s">
        <v>52</v>
      </c>
      <c r="U1641">
        <v>1</v>
      </c>
      <c r="V1641" t="s">
        <v>2926</v>
      </c>
      <c r="W1641" t="s">
        <v>54</v>
      </c>
      <c r="X1641" t="s">
        <v>76</v>
      </c>
      <c r="Y1641" t="s">
        <v>125</v>
      </c>
      <c r="Z1641">
        <v>1601</v>
      </c>
      <c r="AA1641">
        <v>118</v>
      </c>
      <c r="AB1641">
        <v>28</v>
      </c>
      <c r="AC1641" t="s">
        <v>2927</v>
      </c>
      <c r="AD1641" t="s">
        <v>2928</v>
      </c>
      <c r="AE1641" t="s">
        <v>2929</v>
      </c>
      <c r="AF1641" t="s">
        <v>11261</v>
      </c>
      <c r="AG1641" t="s">
        <v>11256</v>
      </c>
      <c r="AH1641" t="s">
        <v>11254</v>
      </c>
      <c r="AI1641" t="s">
        <v>11262</v>
      </c>
      <c r="AJ1641" s="2">
        <v>45812.810231481482</v>
      </c>
      <c r="AK1641" t="s">
        <v>650</v>
      </c>
      <c r="AL1641" t="s">
        <v>65</v>
      </c>
      <c r="AM1641" s="4">
        <v>0.3611111111111111</v>
      </c>
      <c r="AN1641" t="s">
        <v>66</v>
      </c>
      <c r="AO1641" t="s">
        <v>67</v>
      </c>
    </row>
    <row r="1642" spans="1:41" x14ac:dyDescent="0.2">
      <c r="A1642">
        <v>369713</v>
      </c>
      <c r="B1642" t="s">
        <v>11263</v>
      </c>
      <c r="C1642" t="s">
        <v>735</v>
      </c>
      <c r="D1642" t="s">
        <v>2939</v>
      </c>
      <c r="E1642">
        <v>34500494</v>
      </c>
      <c r="G1642" s="1">
        <v>45679</v>
      </c>
      <c r="H1642" s="1">
        <v>45680</v>
      </c>
      <c r="I1642" s="1">
        <v>46023</v>
      </c>
      <c r="J1642" t="s">
        <v>45</v>
      </c>
      <c r="K1642" t="s">
        <v>45</v>
      </c>
      <c r="L1642" t="s">
        <v>72</v>
      </c>
      <c r="M1642" s="1">
        <v>44317</v>
      </c>
      <c r="N1642" t="s">
        <v>47</v>
      </c>
      <c r="O1642" t="s">
        <v>121</v>
      </c>
      <c r="P1642" t="s">
        <v>49</v>
      </c>
      <c r="Q1642" t="s">
        <v>11264</v>
      </c>
      <c r="R1642" t="s">
        <v>11265</v>
      </c>
      <c r="S1642">
        <v>3742</v>
      </c>
      <c r="T1642" t="s">
        <v>52</v>
      </c>
      <c r="U1642">
        <v>1</v>
      </c>
      <c r="V1642" t="s">
        <v>2926</v>
      </c>
      <c r="W1642" t="s">
        <v>54</v>
      </c>
      <c r="X1642" t="s">
        <v>76</v>
      </c>
      <c r="Y1642" t="s">
        <v>125</v>
      </c>
      <c r="Z1642">
        <v>3146</v>
      </c>
      <c r="AA1642">
        <v>82</v>
      </c>
      <c r="AB1642">
        <v>52</v>
      </c>
      <c r="AC1642" t="s">
        <v>2927</v>
      </c>
      <c r="AD1642" t="s">
        <v>2928</v>
      </c>
      <c r="AE1642" t="s">
        <v>2929</v>
      </c>
      <c r="AF1642" t="s">
        <v>11266</v>
      </c>
      <c r="AG1642" t="s">
        <v>11267</v>
      </c>
      <c r="AH1642" t="s">
        <v>11268</v>
      </c>
      <c r="AJ1642" s="2">
        <v>45749.761678240742</v>
      </c>
      <c r="AK1642" t="s">
        <v>1167</v>
      </c>
      <c r="AL1642" t="s">
        <v>65</v>
      </c>
      <c r="AM1642" s="3">
        <v>2.3472222222222223</v>
      </c>
      <c r="AN1642" t="s">
        <v>66</v>
      </c>
      <c r="AO1642" t="s">
        <v>67</v>
      </c>
    </row>
    <row r="1643" spans="1:41" x14ac:dyDescent="0.2">
      <c r="A1643">
        <v>371471</v>
      </c>
      <c r="B1643" t="s">
        <v>11269</v>
      </c>
      <c r="C1643" t="s">
        <v>735</v>
      </c>
      <c r="D1643" t="s">
        <v>2922</v>
      </c>
      <c r="E1643" t="s">
        <v>11270</v>
      </c>
      <c r="G1643" s="1">
        <v>45812</v>
      </c>
      <c r="H1643" s="1">
        <v>45681</v>
      </c>
      <c r="I1643" s="1">
        <v>46023</v>
      </c>
      <c r="J1643" t="s">
        <v>45</v>
      </c>
      <c r="K1643" t="s">
        <v>45</v>
      </c>
      <c r="L1643" t="s">
        <v>72</v>
      </c>
      <c r="M1643" s="1">
        <v>44317</v>
      </c>
      <c r="N1643" t="s">
        <v>47</v>
      </c>
      <c r="O1643" t="s">
        <v>121</v>
      </c>
      <c r="P1643" t="s">
        <v>49</v>
      </c>
      <c r="Q1643" t="s">
        <v>11271</v>
      </c>
      <c r="R1643" t="s">
        <v>11272</v>
      </c>
      <c r="S1643">
        <v>4121</v>
      </c>
      <c r="T1643" t="s">
        <v>52</v>
      </c>
      <c r="U1643">
        <v>1</v>
      </c>
      <c r="V1643" t="s">
        <v>2926</v>
      </c>
      <c r="W1643" t="s">
        <v>54</v>
      </c>
      <c r="X1643" t="s">
        <v>76</v>
      </c>
      <c r="Y1643" t="s">
        <v>125</v>
      </c>
      <c r="Z1643">
        <v>6546</v>
      </c>
      <c r="AA1643">
        <v>58</v>
      </c>
      <c r="AB1643">
        <v>160</v>
      </c>
      <c r="AC1643" t="s">
        <v>2927</v>
      </c>
      <c r="AD1643" t="s">
        <v>2928</v>
      </c>
      <c r="AE1643" t="s">
        <v>2929</v>
      </c>
      <c r="AF1643" t="s">
        <v>11273</v>
      </c>
      <c r="AG1643" t="s">
        <v>11274</v>
      </c>
      <c r="AH1643" t="s">
        <v>11275</v>
      </c>
      <c r="AJ1643" s="2">
        <v>45812.632395833331</v>
      </c>
      <c r="AK1643" t="s">
        <v>650</v>
      </c>
      <c r="AL1643" t="s">
        <v>65</v>
      </c>
      <c r="AM1643" s="3">
        <v>1.5625</v>
      </c>
      <c r="AN1643" t="s">
        <v>66</v>
      </c>
      <c r="AO1643" t="s">
        <v>67</v>
      </c>
    </row>
    <row r="1644" spans="1:41" x14ac:dyDescent="0.2">
      <c r="A1644">
        <v>371368</v>
      </c>
      <c r="B1644" t="s">
        <v>11276</v>
      </c>
      <c r="C1644" t="s">
        <v>735</v>
      </c>
      <c r="D1644" t="s">
        <v>2922</v>
      </c>
      <c r="E1644" t="s">
        <v>11277</v>
      </c>
      <c r="G1644" s="1">
        <v>45768</v>
      </c>
      <c r="H1644" s="1">
        <v>45684</v>
      </c>
      <c r="I1644" s="1">
        <v>46023</v>
      </c>
      <c r="J1644" t="s">
        <v>45</v>
      </c>
      <c r="K1644" t="s">
        <v>45</v>
      </c>
      <c r="L1644" t="s">
        <v>72</v>
      </c>
      <c r="M1644" s="1">
        <v>44317</v>
      </c>
      <c r="N1644" t="s">
        <v>47</v>
      </c>
      <c r="O1644" t="s">
        <v>121</v>
      </c>
      <c r="P1644" t="s">
        <v>49</v>
      </c>
      <c r="Q1644" t="s">
        <v>11278</v>
      </c>
      <c r="R1644" t="s">
        <v>11279</v>
      </c>
      <c r="S1644">
        <v>6720</v>
      </c>
      <c r="T1644" t="s">
        <v>52</v>
      </c>
      <c r="U1644">
        <v>1</v>
      </c>
      <c r="V1644" t="s">
        <v>2926</v>
      </c>
      <c r="W1644" t="s">
        <v>54</v>
      </c>
      <c r="X1644" t="s">
        <v>76</v>
      </c>
      <c r="Y1644" t="s">
        <v>125</v>
      </c>
      <c r="Z1644">
        <v>8066</v>
      </c>
      <c r="AA1644">
        <v>63</v>
      </c>
      <c r="AB1644">
        <v>78</v>
      </c>
      <c r="AC1644" t="s">
        <v>2927</v>
      </c>
      <c r="AD1644" t="s">
        <v>2928</v>
      </c>
      <c r="AE1644" t="s">
        <v>2929</v>
      </c>
      <c r="AF1644" t="s">
        <v>11280</v>
      </c>
      <c r="AG1644" t="s">
        <v>11281</v>
      </c>
      <c r="AH1644" t="s">
        <v>2932</v>
      </c>
      <c r="AI1644" t="s">
        <v>11282</v>
      </c>
      <c r="AJ1644" s="2">
        <v>45806.815694444442</v>
      </c>
      <c r="AK1644" t="s">
        <v>556</v>
      </c>
      <c r="AL1644" t="s">
        <v>65</v>
      </c>
      <c r="AM1644" s="4">
        <v>0.70833333333333337</v>
      </c>
      <c r="AN1644" t="s">
        <v>66</v>
      </c>
      <c r="AO1644" t="s">
        <v>67</v>
      </c>
    </row>
    <row r="1645" spans="1:41" x14ac:dyDescent="0.2">
      <c r="A1645">
        <v>371224</v>
      </c>
      <c r="B1645" t="s">
        <v>11283</v>
      </c>
      <c r="C1645" t="s">
        <v>735</v>
      </c>
      <c r="D1645" t="s">
        <v>2939</v>
      </c>
      <c r="E1645" t="s">
        <v>11284</v>
      </c>
      <c r="G1645" s="1">
        <v>45799</v>
      </c>
      <c r="H1645" s="1">
        <v>45684</v>
      </c>
      <c r="I1645" s="1">
        <v>46023</v>
      </c>
      <c r="J1645" t="s">
        <v>45</v>
      </c>
      <c r="K1645" t="s">
        <v>45</v>
      </c>
      <c r="L1645" t="s">
        <v>72</v>
      </c>
      <c r="N1645" t="s">
        <v>47</v>
      </c>
      <c r="O1645" t="s">
        <v>121</v>
      </c>
      <c r="P1645" t="s">
        <v>49</v>
      </c>
      <c r="Q1645" t="s">
        <v>11285</v>
      </c>
      <c r="R1645" t="s">
        <v>11286</v>
      </c>
      <c r="S1645">
        <v>4510</v>
      </c>
      <c r="T1645" t="s">
        <v>52</v>
      </c>
      <c r="U1645">
        <v>1</v>
      </c>
      <c r="V1645" t="s">
        <v>2926</v>
      </c>
      <c r="W1645" t="s">
        <v>54</v>
      </c>
      <c r="X1645" t="s">
        <v>52</v>
      </c>
      <c r="Y1645" t="s">
        <v>125</v>
      </c>
      <c r="Z1645">
        <v>12096</v>
      </c>
      <c r="AA1645">
        <v>32</v>
      </c>
      <c r="AB1645">
        <v>210</v>
      </c>
      <c r="AC1645" t="s">
        <v>2927</v>
      </c>
      <c r="AD1645" t="s">
        <v>2928</v>
      </c>
      <c r="AE1645" t="s">
        <v>2929</v>
      </c>
      <c r="AF1645" t="s">
        <v>11287</v>
      </c>
      <c r="AG1645" t="s">
        <v>11247</v>
      </c>
      <c r="AH1645" t="s">
        <v>11248</v>
      </c>
      <c r="AJ1645" s="2">
        <v>45799.645416666666</v>
      </c>
      <c r="AK1645" t="s">
        <v>132</v>
      </c>
      <c r="AL1645" t="s">
        <v>65</v>
      </c>
      <c r="AM1645" s="4">
        <v>0.55555555555555558</v>
      </c>
      <c r="AN1645" t="s">
        <v>66</v>
      </c>
      <c r="AO1645" t="s">
        <v>67</v>
      </c>
    </row>
    <row r="1646" spans="1:41" x14ac:dyDescent="0.2">
      <c r="A1646">
        <v>367951</v>
      </c>
      <c r="B1646" t="s">
        <v>11288</v>
      </c>
      <c r="C1646" t="s">
        <v>735</v>
      </c>
      <c r="D1646" t="s">
        <v>2922</v>
      </c>
      <c r="E1646" t="s">
        <v>11289</v>
      </c>
      <c r="G1646" s="1">
        <v>45338</v>
      </c>
      <c r="H1646" s="1">
        <v>45694</v>
      </c>
      <c r="I1646" s="1">
        <v>46082</v>
      </c>
      <c r="J1646" t="s">
        <v>45</v>
      </c>
      <c r="K1646" t="s">
        <v>45</v>
      </c>
      <c r="L1646" t="s">
        <v>72</v>
      </c>
      <c r="M1646" s="1">
        <v>45018</v>
      </c>
      <c r="N1646" t="s">
        <v>89</v>
      </c>
      <c r="O1646" t="s">
        <v>121</v>
      </c>
      <c r="P1646" t="s">
        <v>49</v>
      </c>
      <c r="Q1646" t="s">
        <v>11290</v>
      </c>
      <c r="R1646" t="s">
        <v>11291</v>
      </c>
      <c r="S1646">
        <v>5378</v>
      </c>
      <c r="T1646" t="s">
        <v>52</v>
      </c>
      <c r="U1646">
        <v>1</v>
      </c>
      <c r="V1646" t="s">
        <v>2926</v>
      </c>
      <c r="W1646" t="s">
        <v>54</v>
      </c>
      <c r="X1646" t="s">
        <v>76</v>
      </c>
      <c r="Y1646" t="s">
        <v>125</v>
      </c>
      <c r="Z1646">
        <v>12143</v>
      </c>
      <c r="AA1646">
        <v>19</v>
      </c>
      <c r="AB1646">
        <v>210</v>
      </c>
      <c r="AC1646" t="s">
        <v>2927</v>
      </c>
      <c r="AD1646" t="s">
        <v>2928</v>
      </c>
      <c r="AE1646" t="s">
        <v>2929</v>
      </c>
      <c r="AF1646" t="s">
        <v>11273</v>
      </c>
      <c r="AG1646" t="s">
        <v>11274</v>
      </c>
      <c r="AH1646" t="s">
        <v>11275</v>
      </c>
      <c r="AJ1646" s="2">
        <v>45694.522743055553</v>
      </c>
      <c r="AK1646" t="s">
        <v>800</v>
      </c>
      <c r="AL1646" t="s">
        <v>65</v>
      </c>
      <c r="AM1646" s="4">
        <v>0.14930555555555555</v>
      </c>
      <c r="AN1646" t="s">
        <v>66</v>
      </c>
      <c r="AO1646" t="s">
        <v>67</v>
      </c>
    </row>
    <row r="1647" spans="1:41" x14ac:dyDescent="0.2">
      <c r="A1647">
        <v>368011</v>
      </c>
      <c r="B1647" t="s">
        <v>11292</v>
      </c>
      <c r="C1647" t="s">
        <v>735</v>
      </c>
      <c r="D1647" t="s">
        <v>2922</v>
      </c>
      <c r="E1647" t="s">
        <v>11293</v>
      </c>
      <c r="F1647">
        <v>45499</v>
      </c>
      <c r="G1647" s="1">
        <v>45338</v>
      </c>
      <c r="H1647" s="1">
        <v>45698</v>
      </c>
      <c r="I1647" s="1">
        <v>46082</v>
      </c>
      <c r="J1647" t="s">
        <v>45</v>
      </c>
      <c r="K1647" t="s">
        <v>45</v>
      </c>
      <c r="L1647" t="s">
        <v>72</v>
      </c>
      <c r="N1647" t="s">
        <v>89</v>
      </c>
      <c r="O1647" t="s">
        <v>121</v>
      </c>
      <c r="P1647" t="s">
        <v>49</v>
      </c>
      <c r="Q1647" t="s">
        <v>11294</v>
      </c>
      <c r="R1647" t="s">
        <v>11295</v>
      </c>
      <c r="S1647">
        <v>4378</v>
      </c>
      <c r="T1647" t="s">
        <v>52</v>
      </c>
      <c r="U1647">
        <v>1</v>
      </c>
      <c r="V1647" t="s">
        <v>2926</v>
      </c>
      <c r="W1647" t="s">
        <v>54</v>
      </c>
      <c r="X1647" t="s">
        <v>76</v>
      </c>
      <c r="Y1647" t="s">
        <v>125</v>
      </c>
      <c r="Z1647">
        <v>12171</v>
      </c>
      <c r="AA1647">
        <v>22</v>
      </c>
      <c r="AB1647">
        <v>160</v>
      </c>
      <c r="AC1647" t="s">
        <v>2927</v>
      </c>
      <c r="AD1647" t="s">
        <v>2928</v>
      </c>
      <c r="AE1647" t="s">
        <v>2929</v>
      </c>
      <c r="AF1647" t="s">
        <v>11266</v>
      </c>
      <c r="AG1647" t="s">
        <v>11267</v>
      </c>
      <c r="AH1647" t="s">
        <v>11268</v>
      </c>
      <c r="AJ1647" s="2">
        <v>45698.516273148147</v>
      </c>
      <c r="AK1647" t="s">
        <v>800</v>
      </c>
      <c r="AL1647" t="s">
        <v>65</v>
      </c>
      <c r="AM1647" s="3">
        <v>1.4861111111111112</v>
      </c>
      <c r="AN1647" t="s">
        <v>66</v>
      </c>
      <c r="AO1647" t="s">
        <v>67</v>
      </c>
    </row>
    <row r="1648" spans="1:41" x14ac:dyDescent="0.2">
      <c r="A1648">
        <v>370274</v>
      </c>
      <c r="B1648" t="s">
        <v>11296</v>
      </c>
      <c r="C1648" t="s">
        <v>735</v>
      </c>
      <c r="D1648" t="s">
        <v>2922</v>
      </c>
      <c r="E1648" t="s">
        <v>11297</v>
      </c>
      <c r="F1648">
        <v>45497</v>
      </c>
      <c r="G1648" s="1">
        <v>45757</v>
      </c>
      <c r="H1648" s="1">
        <v>45707</v>
      </c>
      <c r="I1648" s="1">
        <v>46082</v>
      </c>
      <c r="J1648" t="s">
        <v>45</v>
      </c>
      <c r="K1648" t="s">
        <v>45</v>
      </c>
      <c r="L1648" t="s">
        <v>72</v>
      </c>
      <c r="N1648" t="s">
        <v>89</v>
      </c>
      <c r="O1648" t="s">
        <v>121</v>
      </c>
      <c r="P1648" t="s">
        <v>49</v>
      </c>
      <c r="Q1648" t="s">
        <v>11298</v>
      </c>
      <c r="R1648" t="s">
        <v>11299</v>
      </c>
      <c r="S1648">
        <v>4660</v>
      </c>
      <c r="T1648" t="s">
        <v>52</v>
      </c>
      <c r="U1648">
        <v>1</v>
      </c>
      <c r="V1648" t="s">
        <v>2926</v>
      </c>
      <c r="W1648" t="s">
        <v>54</v>
      </c>
      <c r="X1648" t="s">
        <v>76</v>
      </c>
      <c r="Y1648" t="s">
        <v>125</v>
      </c>
      <c r="Z1648">
        <v>12172</v>
      </c>
      <c r="AA1648">
        <v>26</v>
      </c>
      <c r="AB1648">
        <v>160</v>
      </c>
      <c r="AC1648" t="s">
        <v>2927</v>
      </c>
      <c r="AD1648" t="s">
        <v>2928</v>
      </c>
      <c r="AE1648" t="s">
        <v>2929</v>
      </c>
      <c r="AF1648" t="s">
        <v>11280</v>
      </c>
      <c r="AG1648" t="s">
        <v>11300</v>
      </c>
      <c r="AH1648" t="s">
        <v>2932</v>
      </c>
      <c r="AJ1648" s="2">
        <v>45769.703043981484</v>
      </c>
      <c r="AK1648" t="s">
        <v>84</v>
      </c>
      <c r="AL1648" t="s">
        <v>65</v>
      </c>
      <c r="AM1648" s="3">
        <v>1.4930555555555556</v>
      </c>
      <c r="AN1648" t="s">
        <v>66</v>
      </c>
      <c r="AO1648" t="s">
        <v>67</v>
      </c>
    </row>
    <row r="1649" spans="1:41" x14ac:dyDescent="0.2">
      <c r="A1649">
        <v>370687</v>
      </c>
      <c r="B1649" t="s">
        <v>11301</v>
      </c>
      <c r="C1649" t="s">
        <v>323</v>
      </c>
      <c r="E1649" t="s">
        <v>11302</v>
      </c>
      <c r="G1649" s="1">
        <v>43215</v>
      </c>
      <c r="H1649" s="1">
        <v>45400</v>
      </c>
      <c r="J1649" t="s">
        <v>72</v>
      </c>
      <c r="K1649" t="s">
        <v>45</v>
      </c>
      <c r="L1649" t="s">
        <v>72</v>
      </c>
      <c r="N1649" t="s">
        <v>47</v>
      </c>
      <c r="O1649" t="s">
        <v>48</v>
      </c>
      <c r="P1649" t="s">
        <v>406</v>
      </c>
      <c r="Q1649" t="s">
        <v>11303</v>
      </c>
      <c r="R1649" t="s">
        <v>11304</v>
      </c>
      <c r="S1649">
        <v>85</v>
      </c>
      <c r="T1649" t="s">
        <v>257</v>
      </c>
      <c r="U1649" t="s">
        <v>329</v>
      </c>
      <c r="V1649" t="s">
        <v>3302</v>
      </c>
      <c r="W1649" t="s">
        <v>260</v>
      </c>
      <c r="X1649" t="s">
        <v>257</v>
      </c>
      <c r="Y1649" t="s">
        <v>642</v>
      </c>
      <c r="Z1649">
        <v>9546</v>
      </c>
      <c r="AA1649">
        <v>19</v>
      </c>
      <c r="AB1649">
        <v>108</v>
      </c>
      <c r="AC1649" t="s">
        <v>3304</v>
      </c>
      <c r="AD1649" t="s">
        <v>3305</v>
      </c>
      <c r="AE1649" t="s">
        <v>5011</v>
      </c>
      <c r="AF1649" t="s">
        <v>3307</v>
      </c>
      <c r="AG1649" t="s">
        <v>3308</v>
      </c>
      <c r="AH1649" t="s">
        <v>3309</v>
      </c>
      <c r="AI1649" t="s">
        <v>5012</v>
      </c>
      <c r="AJ1649" s="2">
        <v>45782.986076388886</v>
      </c>
      <c r="AK1649" t="s">
        <v>3304</v>
      </c>
      <c r="AL1649" t="s">
        <v>1168</v>
      </c>
      <c r="AM1649" s="3">
        <v>1.1527777777777777</v>
      </c>
      <c r="AN1649" t="s">
        <v>66</v>
      </c>
      <c r="AO1649" t="s">
        <v>67</v>
      </c>
    </row>
    <row r="1650" spans="1:41" x14ac:dyDescent="0.2">
      <c r="A1650">
        <v>367898</v>
      </c>
      <c r="B1650" t="s">
        <v>11305</v>
      </c>
      <c r="C1650" t="s">
        <v>151</v>
      </c>
      <c r="D1650" t="s">
        <v>11306</v>
      </c>
      <c r="E1650" t="s">
        <v>11307</v>
      </c>
      <c r="F1650">
        <v>382301</v>
      </c>
      <c r="G1650" s="1">
        <v>34954</v>
      </c>
      <c r="H1650" s="1">
        <v>45693</v>
      </c>
      <c r="I1650" s="1">
        <v>46082</v>
      </c>
      <c r="J1650" t="s">
        <v>45</v>
      </c>
      <c r="K1650" t="s">
        <v>45</v>
      </c>
      <c r="L1650" t="s">
        <v>72</v>
      </c>
      <c r="M1650" s="1">
        <v>42795</v>
      </c>
      <c r="N1650" t="s">
        <v>47</v>
      </c>
      <c r="O1650" t="s">
        <v>48</v>
      </c>
      <c r="P1650" t="s">
        <v>49</v>
      </c>
      <c r="Q1650" t="s">
        <v>11308</v>
      </c>
      <c r="R1650" t="s">
        <v>11309</v>
      </c>
      <c r="S1650">
        <v>383</v>
      </c>
      <c r="T1650" t="s">
        <v>52</v>
      </c>
      <c r="U1650">
        <v>8</v>
      </c>
      <c r="V1650" t="s">
        <v>710</v>
      </c>
      <c r="W1650" t="s">
        <v>54</v>
      </c>
      <c r="X1650" t="s">
        <v>76</v>
      </c>
      <c r="Y1650" t="s">
        <v>56</v>
      </c>
      <c r="Z1650">
        <v>1129</v>
      </c>
      <c r="AA1650">
        <v>38</v>
      </c>
      <c r="AB1650">
        <v>45</v>
      </c>
      <c r="AC1650" t="s">
        <v>11310</v>
      </c>
      <c r="AD1650" t="s">
        <v>11311</v>
      </c>
      <c r="AE1650" t="s">
        <v>11312</v>
      </c>
      <c r="AJ1650" s="2">
        <v>45693.749537037038</v>
      </c>
      <c r="AK1650" t="s">
        <v>132</v>
      </c>
      <c r="AL1650" t="s">
        <v>65</v>
      </c>
      <c r="AM1650" s="3">
        <v>2.2638888888888888</v>
      </c>
      <c r="AN1650" t="s">
        <v>66</v>
      </c>
      <c r="AO1650" t="s">
        <v>101</v>
      </c>
    </row>
    <row r="1651" spans="1:41" x14ac:dyDescent="0.2">
      <c r="A1651">
        <v>372753</v>
      </c>
      <c r="B1651" t="s">
        <v>11313</v>
      </c>
      <c r="C1651" t="s">
        <v>151</v>
      </c>
      <c r="D1651" t="s">
        <v>11306</v>
      </c>
      <c r="E1651" t="s">
        <v>11314</v>
      </c>
      <c r="G1651" s="1">
        <v>45414</v>
      </c>
      <c r="H1651" s="1">
        <v>45852</v>
      </c>
      <c r="I1651" s="1">
        <v>46006</v>
      </c>
      <c r="J1651" t="s">
        <v>45</v>
      </c>
      <c r="K1651" t="s">
        <v>45</v>
      </c>
      <c r="L1651" t="s">
        <v>72</v>
      </c>
      <c r="M1651" s="1">
        <v>44956</v>
      </c>
      <c r="N1651" t="s">
        <v>89</v>
      </c>
      <c r="O1651" t="s">
        <v>121</v>
      </c>
      <c r="P1651" t="s">
        <v>49</v>
      </c>
      <c r="Q1651" t="s">
        <v>11315</v>
      </c>
      <c r="R1651" t="s">
        <v>11316</v>
      </c>
      <c r="S1651">
        <v>430</v>
      </c>
      <c r="T1651" t="s">
        <v>52</v>
      </c>
      <c r="U1651">
        <v>8</v>
      </c>
      <c r="V1651" t="s">
        <v>710</v>
      </c>
      <c r="W1651" t="s">
        <v>54</v>
      </c>
      <c r="X1651" t="s">
        <v>76</v>
      </c>
      <c r="Y1651" t="s">
        <v>125</v>
      </c>
      <c r="Z1651">
        <v>10486</v>
      </c>
      <c r="AA1651">
        <v>26</v>
      </c>
      <c r="AB1651">
        <v>45</v>
      </c>
      <c r="AC1651" t="s">
        <v>11317</v>
      </c>
      <c r="AD1651" t="s">
        <v>11311</v>
      </c>
      <c r="AE1651" t="s">
        <v>11318</v>
      </c>
      <c r="AF1651" t="s">
        <v>11319</v>
      </c>
      <c r="AG1651" t="s">
        <v>11320</v>
      </c>
      <c r="AH1651" t="s">
        <v>11321</v>
      </c>
      <c r="AJ1651" s="2">
        <v>45853.522280092591</v>
      </c>
      <c r="AK1651" t="s">
        <v>800</v>
      </c>
      <c r="AL1651" t="s">
        <v>65</v>
      </c>
      <c r="AM1651" s="3">
        <v>2.0833333333333335</v>
      </c>
      <c r="AN1651" t="s">
        <v>66</v>
      </c>
      <c r="AO1651" t="s">
        <v>101</v>
      </c>
    </row>
    <row r="1652" spans="1:41" x14ac:dyDescent="0.2">
      <c r="A1652">
        <v>372998</v>
      </c>
      <c r="B1652" t="s">
        <v>11322</v>
      </c>
      <c r="C1652" t="s">
        <v>558</v>
      </c>
      <c r="D1652" t="s">
        <v>746</v>
      </c>
      <c r="E1652" t="s">
        <v>11323</v>
      </c>
      <c r="F1652">
        <v>260305</v>
      </c>
      <c r="G1652" s="1">
        <v>31673</v>
      </c>
      <c r="H1652" s="1">
        <v>45855</v>
      </c>
      <c r="I1652" s="1">
        <v>46188</v>
      </c>
      <c r="J1652" t="s">
        <v>45</v>
      </c>
      <c r="K1652" t="s">
        <v>45</v>
      </c>
      <c r="L1652" t="s">
        <v>429</v>
      </c>
      <c r="M1652" s="1">
        <v>44474</v>
      </c>
      <c r="N1652" t="s">
        <v>47</v>
      </c>
      <c r="O1652" t="s">
        <v>48</v>
      </c>
      <c r="P1652" t="s">
        <v>49</v>
      </c>
      <c r="Q1652" t="s">
        <v>11324</v>
      </c>
      <c r="R1652" t="s">
        <v>11325</v>
      </c>
      <c r="S1652">
        <v>5820</v>
      </c>
      <c r="T1652" t="s">
        <v>365</v>
      </c>
      <c r="U1652" t="s">
        <v>562</v>
      </c>
      <c r="V1652" t="s">
        <v>749</v>
      </c>
      <c r="W1652" t="s">
        <v>367</v>
      </c>
      <c r="X1652" t="s">
        <v>76</v>
      </c>
      <c r="Y1652" t="s">
        <v>434</v>
      </c>
      <c r="Z1652">
        <v>257</v>
      </c>
      <c r="AA1652">
        <v>56</v>
      </c>
      <c r="AB1652">
        <v>166</v>
      </c>
      <c r="AC1652" t="s">
        <v>750</v>
      </c>
      <c r="AD1652" t="s">
        <v>751</v>
      </c>
      <c r="AE1652" t="s">
        <v>752</v>
      </c>
      <c r="AI1652" t="s">
        <v>500</v>
      </c>
      <c r="AJ1652" s="2">
        <v>45855.992407407408</v>
      </c>
      <c r="AK1652" t="s">
        <v>375</v>
      </c>
      <c r="AL1652" t="s">
        <v>65</v>
      </c>
      <c r="AM1652" s="3">
        <v>1.7638888888888888</v>
      </c>
      <c r="AN1652" t="s">
        <v>66</v>
      </c>
      <c r="AO1652" t="s">
        <v>67</v>
      </c>
    </row>
    <row r="1653" spans="1:41" x14ac:dyDescent="0.2">
      <c r="A1653">
        <v>372066</v>
      </c>
      <c r="B1653" t="s">
        <v>11326</v>
      </c>
      <c r="C1653" t="s">
        <v>1013</v>
      </c>
      <c r="D1653" t="s">
        <v>11327</v>
      </c>
      <c r="E1653" t="s">
        <v>11328</v>
      </c>
      <c r="F1653">
        <v>322901</v>
      </c>
      <c r="G1653" s="1">
        <v>39142</v>
      </c>
      <c r="H1653" s="1">
        <v>45557</v>
      </c>
      <c r="J1653" t="s">
        <v>45</v>
      </c>
      <c r="K1653" t="s">
        <v>45</v>
      </c>
      <c r="L1653" t="s">
        <v>72</v>
      </c>
      <c r="M1653" s="1">
        <v>44796</v>
      </c>
      <c r="N1653" t="s">
        <v>47</v>
      </c>
      <c r="O1653" t="s">
        <v>48</v>
      </c>
      <c r="P1653" t="s">
        <v>49</v>
      </c>
      <c r="Q1653" t="s">
        <v>11329</v>
      </c>
      <c r="R1653" t="s">
        <v>11330</v>
      </c>
      <c r="S1653">
        <v>1835</v>
      </c>
      <c r="T1653" t="s">
        <v>156</v>
      </c>
      <c r="U1653" t="s">
        <v>1018</v>
      </c>
      <c r="V1653" t="s">
        <v>11326</v>
      </c>
      <c r="W1653" t="s">
        <v>159</v>
      </c>
      <c r="X1653" t="s">
        <v>156</v>
      </c>
      <c r="Y1653" t="s">
        <v>450</v>
      </c>
      <c r="Z1653">
        <v>2872</v>
      </c>
      <c r="AA1653">
        <v>32</v>
      </c>
      <c r="AB1653">
        <v>166</v>
      </c>
      <c r="AC1653" t="s">
        <v>1020</v>
      </c>
      <c r="AD1653" t="s">
        <v>8535</v>
      </c>
      <c r="AE1653" t="s">
        <v>1022</v>
      </c>
      <c r="AF1653" t="s">
        <v>9690</v>
      </c>
      <c r="AG1653" t="s">
        <v>5887</v>
      </c>
      <c r="AH1653" t="s">
        <v>8537</v>
      </c>
      <c r="AI1653" t="s">
        <v>11331</v>
      </c>
      <c r="AJ1653" s="2">
        <v>45828.624374999999</v>
      </c>
      <c r="AK1653" t="s">
        <v>1024</v>
      </c>
      <c r="AL1653" t="s">
        <v>65</v>
      </c>
      <c r="AM1653" s="3">
        <v>1.9722222222222223</v>
      </c>
      <c r="AN1653" t="s">
        <v>66</v>
      </c>
      <c r="AO1653" t="s">
        <v>67</v>
      </c>
    </row>
    <row r="1654" spans="1:41" x14ac:dyDescent="0.2">
      <c r="A1654">
        <v>369739</v>
      </c>
      <c r="B1654" t="s">
        <v>11332</v>
      </c>
      <c r="C1654" t="s">
        <v>167</v>
      </c>
      <c r="D1654" t="s">
        <v>1603</v>
      </c>
      <c r="E1654">
        <v>60006788</v>
      </c>
      <c r="F1654">
        <v>352819</v>
      </c>
      <c r="G1654" s="1">
        <v>38432</v>
      </c>
      <c r="H1654" s="1">
        <v>45740</v>
      </c>
      <c r="I1654" s="1">
        <v>46127</v>
      </c>
      <c r="J1654" t="s">
        <v>45</v>
      </c>
      <c r="K1654" t="s">
        <v>45</v>
      </c>
      <c r="L1654" t="s">
        <v>72</v>
      </c>
      <c r="M1654" s="1">
        <v>43857</v>
      </c>
      <c r="N1654" t="s">
        <v>47</v>
      </c>
      <c r="O1654" t="s">
        <v>48</v>
      </c>
      <c r="P1654" t="s">
        <v>49</v>
      </c>
      <c r="Q1654" t="s">
        <v>10367</v>
      </c>
      <c r="R1654" t="s">
        <v>11333</v>
      </c>
      <c r="S1654">
        <v>1093</v>
      </c>
      <c r="T1654" t="s">
        <v>92</v>
      </c>
      <c r="U1654" t="s">
        <v>3030</v>
      </c>
      <c r="V1654" t="s">
        <v>3031</v>
      </c>
      <c r="W1654" t="s">
        <v>3032</v>
      </c>
      <c r="X1654" t="s">
        <v>52</v>
      </c>
      <c r="Y1654" t="s">
        <v>110</v>
      </c>
      <c r="Z1654">
        <v>1565</v>
      </c>
      <c r="AA1654">
        <v>40</v>
      </c>
      <c r="AB1654">
        <v>176</v>
      </c>
      <c r="AC1654" t="s">
        <v>4847</v>
      </c>
      <c r="AD1654" t="s">
        <v>4848</v>
      </c>
      <c r="AE1654" t="s">
        <v>11334</v>
      </c>
      <c r="AF1654" t="s">
        <v>4850</v>
      </c>
      <c r="AG1654" t="s">
        <v>4851</v>
      </c>
      <c r="AH1654" t="s">
        <v>4852</v>
      </c>
      <c r="AJ1654" s="2">
        <v>45750.694895833331</v>
      </c>
      <c r="AK1654" t="s">
        <v>4847</v>
      </c>
      <c r="AL1654" t="s">
        <v>65</v>
      </c>
      <c r="AM1654" s="4">
        <v>0.56944444444444442</v>
      </c>
      <c r="AN1654" t="s">
        <v>66</v>
      </c>
      <c r="AO1654" t="s">
        <v>67</v>
      </c>
    </row>
    <row r="1655" spans="1:41" x14ac:dyDescent="0.2">
      <c r="A1655">
        <v>372685</v>
      </c>
      <c r="B1655" t="s">
        <v>11335</v>
      </c>
      <c r="C1655" t="s">
        <v>345</v>
      </c>
      <c r="D1655" t="s">
        <v>1050</v>
      </c>
      <c r="E1655" t="s">
        <v>11336</v>
      </c>
      <c r="F1655">
        <v>52003</v>
      </c>
      <c r="G1655" s="1">
        <v>39848</v>
      </c>
      <c r="H1655" s="1">
        <v>45594</v>
      </c>
      <c r="I1655" s="1">
        <v>46218</v>
      </c>
      <c r="J1655" t="s">
        <v>45</v>
      </c>
      <c r="K1655" t="s">
        <v>45</v>
      </c>
      <c r="L1655" t="s">
        <v>72</v>
      </c>
      <c r="N1655" t="s">
        <v>47</v>
      </c>
      <c r="O1655" t="s">
        <v>48</v>
      </c>
      <c r="P1655" t="s">
        <v>49</v>
      </c>
      <c r="Q1655" t="s">
        <v>11337</v>
      </c>
      <c r="R1655" t="s">
        <v>11338</v>
      </c>
      <c r="S1655">
        <v>7504</v>
      </c>
      <c r="T1655" t="s">
        <v>92</v>
      </c>
      <c r="U1655" t="s">
        <v>350</v>
      </c>
      <c r="V1655" t="s">
        <v>351</v>
      </c>
      <c r="W1655" t="s">
        <v>6732</v>
      </c>
      <c r="X1655" t="s">
        <v>449</v>
      </c>
      <c r="Y1655" t="s">
        <v>110</v>
      </c>
      <c r="Z1655">
        <v>3032</v>
      </c>
      <c r="AA1655">
        <v>42</v>
      </c>
      <c r="AB1655">
        <v>80</v>
      </c>
      <c r="AC1655" t="s">
        <v>353</v>
      </c>
      <c r="AD1655" t="s">
        <v>354</v>
      </c>
      <c r="AE1655" t="s">
        <v>355</v>
      </c>
      <c r="AF1655" t="s">
        <v>356</v>
      </c>
      <c r="AG1655" t="s">
        <v>357</v>
      </c>
      <c r="AH1655" t="s">
        <v>358</v>
      </c>
      <c r="AJ1655" s="2">
        <v>45849.899618055555</v>
      </c>
      <c r="AK1655" t="s">
        <v>100</v>
      </c>
      <c r="AL1655" t="s">
        <v>65</v>
      </c>
      <c r="AM1655" s="4">
        <v>0.44444444444444442</v>
      </c>
      <c r="AN1655" t="s">
        <v>66</v>
      </c>
      <c r="AO1655" t="s">
        <v>67</v>
      </c>
    </row>
    <row r="1656" spans="1:41" x14ac:dyDescent="0.2">
      <c r="A1656">
        <v>372507</v>
      </c>
      <c r="B1656" t="s">
        <v>11339</v>
      </c>
      <c r="C1656" t="s">
        <v>182</v>
      </c>
      <c r="D1656" t="s">
        <v>3934</v>
      </c>
      <c r="E1656" t="s">
        <v>11340</v>
      </c>
      <c r="F1656">
        <v>43912</v>
      </c>
      <c r="G1656" s="1">
        <v>35819</v>
      </c>
      <c r="H1656" s="1">
        <v>45783</v>
      </c>
      <c r="J1656" t="s">
        <v>45</v>
      </c>
      <c r="K1656" t="s">
        <v>72</v>
      </c>
      <c r="L1656" t="s">
        <v>72</v>
      </c>
      <c r="M1656" s="1">
        <v>39207</v>
      </c>
      <c r="N1656" t="s">
        <v>47</v>
      </c>
      <c r="O1656" t="s">
        <v>48</v>
      </c>
      <c r="P1656" t="s">
        <v>49</v>
      </c>
      <c r="Q1656" t="s">
        <v>11341</v>
      </c>
      <c r="R1656" t="s">
        <v>11342</v>
      </c>
      <c r="S1656">
        <v>539</v>
      </c>
      <c r="T1656" t="s">
        <v>92</v>
      </c>
      <c r="U1656" t="s">
        <v>187</v>
      </c>
      <c r="V1656" t="s">
        <v>4009</v>
      </c>
      <c r="W1656" t="s">
        <v>448</v>
      </c>
      <c r="X1656" t="s">
        <v>449</v>
      </c>
      <c r="Y1656" t="s">
        <v>450</v>
      </c>
      <c r="Z1656">
        <v>1410</v>
      </c>
      <c r="AA1656">
        <v>30</v>
      </c>
      <c r="AB1656">
        <v>108</v>
      </c>
      <c r="AC1656" t="s">
        <v>11343</v>
      </c>
      <c r="AD1656" t="s">
        <v>11344</v>
      </c>
      <c r="AE1656" t="s">
        <v>11345</v>
      </c>
      <c r="AI1656" t="s">
        <v>11344</v>
      </c>
      <c r="AJ1656" s="2">
        <v>45841.647222222222</v>
      </c>
      <c r="AK1656" t="s">
        <v>100</v>
      </c>
      <c r="AL1656" t="s">
        <v>65</v>
      </c>
      <c r="AM1656" s="4">
        <v>0.41666666666666669</v>
      </c>
      <c r="AN1656" t="s">
        <v>809</v>
      </c>
      <c r="AO1656" t="s">
        <v>67</v>
      </c>
    </row>
    <row r="1657" spans="1:41" x14ac:dyDescent="0.2">
      <c r="A1657">
        <v>368540</v>
      </c>
      <c r="B1657" t="s">
        <v>11346</v>
      </c>
      <c r="C1657" t="s">
        <v>182</v>
      </c>
      <c r="D1657" t="s">
        <v>11347</v>
      </c>
      <c r="E1657" t="s">
        <v>11348</v>
      </c>
      <c r="F1657">
        <v>44003</v>
      </c>
      <c r="G1657" s="1">
        <v>33037</v>
      </c>
      <c r="H1657" s="1">
        <v>45712</v>
      </c>
      <c r="J1657" t="s">
        <v>45</v>
      </c>
      <c r="K1657" t="s">
        <v>45</v>
      </c>
      <c r="L1657" t="s">
        <v>72</v>
      </c>
      <c r="M1657" s="1">
        <v>36766</v>
      </c>
      <c r="N1657" t="s">
        <v>47</v>
      </c>
      <c r="O1657" t="s">
        <v>48</v>
      </c>
      <c r="P1657" t="s">
        <v>49</v>
      </c>
      <c r="Q1657" t="s">
        <v>11349</v>
      </c>
      <c r="R1657" t="s">
        <v>11350</v>
      </c>
      <c r="S1657">
        <v>323</v>
      </c>
      <c r="T1657" t="s">
        <v>92</v>
      </c>
      <c r="U1657" t="s">
        <v>187</v>
      </c>
      <c r="V1657" t="s">
        <v>447</v>
      </c>
      <c r="W1657" t="s">
        <v>448</v>
      </c>
      <c r="X1657" t="s">
        <v>92</v>
      </c>
      <c r="Y1657" t="s">
        <v>450</v>
      </c>
      <c r="Z1657">
        <v>1257</v>
      </c>
      <c r="AA1657">
        <v>44</v>
      </c>
      <c r="AB1657">
        <v>152</v>
      </c>
      <c r="AC1657" t="s">
        <v>451</v>
      </c>
      <c r="AD1657" t="s">
        <v>452</v>
      </c>
      <c r="AE1657" t="s">
        <v>453</v>
      </c>
      <c r="AF1657" t="s">
        <v>454</v>
      </c>
      <c r="AG1657" t="s">
        <v>473</v>
      </c>
      <c r="AH1657" t="s">
        <v>474</v>
      </c>
      <c r="AJ1657" s="2">
        <v>45714.774421296293</v>
      </c>
      <c r="AK1657" t="s">
        <v>526</v>
      </c>
      <c r="AL1657" t="s">
        <v>65</v>
      </c>
      <c r="AM1657" s="4">
        <v>9.0277777777777776E-2</v>
      </c>
      <c r="AN1657" t="s">
        <v>66</v>
      </c>
      <c r="AO1657" t="s">
        <v>67</v>
      </c>
    </row>
    <row r="1658" spans="1:41" x14ac:dyDescent="0.2">
      <c r="A1658">
        <v>371042</v>
      </c>
      <c r="B1658" t="s">
        <v>11351</v>
      </c>
      <c r="C1658" t="s">
        <v>182</v>
      </c>
      <c r="D1658" t="s">
        <v>3934</v>
      </c>
      <c r="E1658" t="s">
        <v>11352</v>
      </c>
      <c r="F1658">
        <v>43913</v>
      </c>
      <c r="G1658" s="1">
        <v>35716</v>
      </c>
      <c r="H1658" s="1">
        <v>45783</v>
      </c>
      <c r="J1658" t="s">
        <v>45</v>
      </c>
      <c r="K1658" t="s">
        <v>72</v>
      </c>
      <c r="L1658" t="s">
        <v>72</v>
      </c>
      <c r="N1658" t="s">
        <v>47</v>
      </c>
      <c r="O1658" t="s">
        <v>48</v>
      </c>
      <c r="P1658" t="s">
        <v>49</v>
      </c>
      <c r="Q1658" t="s">
        <v>11353</v>
      </c>
      <c r="R1658" t="s">
        <v>11354</v>
      </c>
      <c r="S1658">
        <v>1842</v>
      </c>
      <c r="T1658" t="s">
        <v>92</v>
      </c>
      <c r="U1658" t="s">
        <v>187</v>
      </c>
      <c r="V1658" t="s">
        <v>4009</v>
      </c>
      <c r="W1658" t="s">
        <v>448</v>
      </c>
      <c r="X1658" t="s">
        <v>449</v>
      </c>
      <c r="Y1658" t="s">
        <v>450</v>
      </c>
      <c r="Z1658">
        <v>1308</v>
      </c>
      <c r="AA1658">
        <v>32</v>
      </c>
      <c r="AB1658">
        <v>210</v>
      </c>
      <c r="AC1658" t="s">
        <v>11355</v>
      </c>
      <c r="AD1658" t="s">
        <v>11344</v>
      </c>
      <c r="AE1658" t="s">
        <v>11345</v>
      </c>
      <c r="AI1658" t="s">
        <v>11344</v>
      </c>
      <c r="AJ1658" s="2">
        <v>45793.628912037035</v>
      </c>
      <c r="AK1658" t="s">
        <v>100</v>
      </c>
      <c r="AL1658" t="s">
        <v>65</v>
      </c>
      <c r="AM1658" s="3">
        <v>1.3541666666666667</v>
      </c>
      <c r="AN1658" t="s">
        <v>66</v>
      </c>
      <c r="AO1658" t="s">
        <v>67</v>
      </c>
    </row>
    <row r="1659" spans="1:41" x14ac:dyDescent="0.2">
      <c r="A1659">
        <v>369425</v>
      </c>
      <c r="B1659" t="s">
        <v>11356</v>
      </c>
      <c r="C1659" t="s">
        <v>182</v>
      </c>
      <c r="D1659" t="s">
        <v>4421</v>
      </c>
      <c r="E1659" t="s">
        <v>11357</v>
      </c>
      <c r="F1659">
        <v>45203</v>
      </c>
      <c r="G1659" s="1">
        <v>35733</v>
      </c>
      <c r="H1659" s="1">
        <v>45734</v>
      </c>
      <c r="I1659" s="1">
        <v>46113</v>
      </c>
      <c r="J1659" t="s">
        <v>45</v>
      </c>
      <c r="K1659" t="s">
        <v>45</v>
      </c>
      <c r="L1659" t="s">
        <v>429</v>
      </c>
      <c r="M1659" s="1">
        <v>41431</v>
      </c>
      <c r="N1659" t="s">
        <v>47</v>
      </c>
      <c r="O1659" t="s">
        <v>48</v>
      </c>
      <c r="P1659" t="s">
        <v>49</v>
      </c>
      <c r="Q1659" t="s">
        <v>11358</v>
      </c>
      <c r="R1659" t="s">
        <v>11359</v>
      </c>
      <c r="S1659">
        <v>982</v>
      </c>
      <c r="T1659" t="s">
        <v>52</v>
      </c>
      <c r="U1659">
        <v>5</v>
      </c>
      <c r="V1659" t="s">
        <v>1030</v>
      </c>
      <c r="W1659" t="s">
        <v>54</v>
      </c>
      <c r="X1659" t="s">
        <v>493</v>
      </c>
      <c r="Y1659" t="s">
        <v>434</v>
      </c>
      <c r="Z1659">
        <v>835</v>
      </c>
      <c r="AA1659">
        <v>59</v>
      </c>
      <c r="AB1659">
        <v>28</v>
      </c>
      <c r="AC1659" t="s">
        <v>11360</v>
      </c>
      <c r="AD1659" t="s">
        <v>11361</v>
      </c>
      <c r="AE1659" t="s">
        <v>11362</v>
      </c>
      <c r="AF1659" t="s">
        <v>11363</v>
      </c>
      <c r="AG1659" t="s">
        <v>1035</v>
      </c>
      <c r="AH1659" t="s">
        <v>1036</v>
      </c>
      <c r="AI1659" t="s">
        <v>4396</v>
      </c>
      <c r="AJ1659" s="2">
        <v>45740.735393518517</v>
      </c>
      <c r="AK1659" t="s">
        <v>2668</v>
      </c>
      <c r="AL1659" t="s">
        <v>65</v>
      </c>
      <c r="AM1659" s="3">
        <v>1.4930555555555556</v>
      </c>
      <c r="AN1659" t="s">
        <v>66</v>
      </c>
      <c r="AO1659" t="s">
        <v>67</v>
      </c>
    </row>
    <row r="1660" spans="1:41" x14ac:dyDescent="0.2">
      <c r="A1660">
        <v>361500</v>
      </c>
      <c r="B1660" t="s">
        <v>11364</v>
      </c>
      <c r="C1660" t="s">
        <v>182</v>
      </c>
      <c r="D1660" t="s">
        <v>2636</v>
      </c>
      <c r="E1660" t="s">
        <v>11365</v>
      </c>
      <c r="F1660">
        <v>43013</v>
      </c>
      <c r="G1660" s="1">
        <v>37865</v>
      </c>
      <c r="H1660" s="1">
        <v>45330</v>
      </c>
      <c r="J1660" t="s">
        <v>45</v>
      </c>
      <c r="K1660" t="s">
        <v>72</v>
      </c>
      <c r="L1660" t="s">
        <v>72</v>
      </c>
      <c r="M1660" s="1">
        <v>45330</v>
      </c>
      <c r="N1660" t="s">
        <v>47</v>
      </c>
      <c r="O1660" t="s">
        <v>48</v>
      </c>
      <c r="P1660" t="s">
        <v>49</v>
      </c>
      <c r="Q1660" t="s">
        <v>11366</v>
      </c>
      <c r="R1660" t="s">
        <v>11367</v>
      </c>
      <c r="S1660">
        <v>1100</v>
      </c>
      <c r="T1660" t="s">
        <v>92</v>
      </c>
      <c r="U1660" t="s">
        <v>187</v>
      </c>
      <c r="V1660" t="s">
        <v>11368</v>
      </c>
      <c r="W1660" t="s">
        <v>448</v>
      </c>
      <c r="X1660" t="s">
        <v>449</v>
      </c>
      <c r="Y1660" t="s">
        <v>770</v>
      </c>
      <c r="Z1660">
        <v>2534</v>
      </c>
      <c r="AA1660">
        <v>20</v>
      </c>
      <c r="AB1660">
        <v>38</v>
      </c>
      <c r="AC1660" t="s">
        <v>11369</v>
      </c>
      <c r="AD1660" t="s">
        <v>11370</v>
      </c>
      <c r="AE1660" t="s">
        <v>11371</v>
      </c>
      <c r="AF1660" t="s">
        <v>11372</v>
      </c>
      <c r="AH1660" t="s">
        <v>11373</v>
      </c>
      <c r="AI1660" t="s">
        <v>11370</v>
      </c>
      <c r="AJ1660" s="2">
        <v>45455.776585648149</v>
      </c>
      <c r="AK1660" t="s">
        <v>149</v>
      </c>
      <c r="AL1660" t="s">
        <v>65</v>
      </c>
      <c r="AM1660" s="3">
        <v>1.875</v>
      </c>
      <c r="AN1660" t="s">
        <v>66</v>
      </c>
      <c r="AO1660" t="s">
        <v>67</v>
      </c>
    </row>
    <row r="1661" spans="1:41" x14ac:dyDescent="0.2">
      <c r="A1661">
        <v>372401</v>
      </c>
      <c r="B1661" t="s">
        <v>11374</v>
      </c>
      <c r="C1661" t="s">
        <v>278</v>
      </c>
      <c r="D1661" t="s">
        <v>7478</v>
      </c>
      <c r="E1661" t="s">
        <v>11375</v>
      </c>
      <c r="F1661">
        <v>421905</v>
      </c>
      <c r="G1661" s="1">
        <v>33122</v>
      </c>
      <c r="H1661" s="1">
        <v>45834</v>
      </c>
      <c r="I1661" s="1">
        <v>46096</v>
      </c>
      <c r="J1661" t="s">
        <v>45</v>
      </c>
      <c r="K1661" t="s">
        <v>45</v>
      </c>
      <c r="L1661" t="s">
        <v>429</v>
      </c>
      <c r="M1661" s="1">
        <v>42109</v>
      </c>
      <c r="N1661" t="s">
        <v>47</v>
      </c>
      <c r="O1661" t="s">
        <v>48</v>
      </c>
      <c r="P1661" t="s">
        <v>49</v>
      </c>
      <c r="Q1661" t="s">
        <v>11376</v>
      </c>
      <c r="R1661" t="s">
        <v>11377</v>
      </c>
      <c r="S1661">
        <v>7490</v>
      </c>
      <c r="T1661" t="s">
        <v>365</v>
      </c>
      <c r="U1661" t="s">
        <v>432</v>
      </c>
      <c r="V1661" t="s">
        <v>5393</v>
      </c>
      <c r="W1661" t="s">
        <v>367</v>
      </c>
      <c r="X1661" t="s">
        <v>55</v>
      </c>
      <c r="Y1661" t="s">
        <v>434</v>
      </c>
      <c r="Z1661">
        <v>351</v>
      </c>
      <c r="AA1661">
        <v>53</v>
      </c>
      <c r="AB1661">
        <v>166</v>
      </c>
      <c r="AC1661" t="s">
        <v>8768</v>
      </c>
      <c r="AD1661" t="s">
        <v>8769</v>
      </c>
      <c r="AE1661" t="s">
        <v>8770</v>
      </c>
      <c r="AI1661" t="s">
        <v>179</v>
      </c>
      <c r="AJ1661" s="2">
        <v>45838.882118055553</v>
      </c>
      <c r="AK1661" t="s">
        <v>307</v>
      </c>
      <c r="AL1661" t="s">
        <v>65</v>
      </c>
      <c r="AM1661" s="3">
        <v>1.5416666666666667</v>
      </c>
      <c r="AN1661" t="s">
        <v>66</v>
      </c>
      <c r="AO1661" t="s">
        <v>67</v>
      </c>
    </row>
    <row r="1662" spans="1:41" x14ac:dyDescent="0.2">
      <c r="A1662">
        <v>371553</v>
      </c>
      <c r="B1662" t="s">
        <v>11374</v>
      </c>
      <c r="C1662" t="s">
        <v>323</v>
      </c>
      <c r="D1662" t="s">
        <v>372</v>
      </c>
      <c r="E1662">
        <v>12603368</v>
      </c>
      <c r="F1662">
        <v>500425</v>
      </c>
      <c r="G1662" s="1">
        <v>37827</v>
      </c>
      <c r="H1662" s="1">
        <v>45785</v>
      </c>
      <c r="I1662" s="1">
        <v>46037</v>
      </c>
      <c r="J1662" t="s">
        <v>45</v>
      </c>
      <c r="K1662" t="s">
        <v>45</v>
      </c>
      <c r="L1662" t="s">
        <v>72</v>
      </c>
      <c r="M1662" s="1">
        <v>45063</v>
      </c>
      <c r="N1662" t="s">
        <v>47</v>
      </c>
      <c r="O1662" t="s">
        <v>48</v>
      </c>
      <c r="P1662" t="s">
        <v>49</v>
      </c>
      <c r="Q1662" t="s">
        <v>11378</v>
      </c>
      <c r="R1662" t="s">
        <v>11379</v>
      </c>
      <c r="S1662">
        <v>700</v>
      </c>
      <c r="T1662" t="s">
        <v>156</v>
      </c>
      <c r="U1662" t="s">
        <v>460</v>
      </c>
      <c r="V1662" t="s">
        <v>330</v>
      </c>
      <c r="W1662" t="s">
        <v>159</v>
      </c>
      <c r="X1662" t="s">
        <v>76</v>
      </c>
      <c r="Y1662" t="s">
        <v>110</v>
      </c>
      <c r="Z1662">
        <v>459</v>
      </c>
      <c r="AA1662">
        <v>45</v>
      </c>
      <c r="AB1662">
        <v>158</v>
      </c>
      <c r="AC1662" t="s">
        <v>368</v>
      </c>
      <c r="AD1662" t="s">
        <v>369</v>
      </c>
      <c r="AE1662" t="s">
        <v>370</v>
      </c>
      <c r="AF1662" t="s">
        <v>463</v>
      </c>
      <c r="AG1662" t="s">
        <v>464</v>
      </c>
      <c r="AH1662" t="s">
        <v>465</v>
      </c>
      <c r="AI1662" t="s">
        <v>466</v>
      </c>
      <c r="AJ1662" s="2">
        <v>45814.872939814813</v>
      </c>
      <c r="AK1662" t="s">
        <v>727</v>
      </c>
      <c r="AL1662" t="s">
        <v>65</v>
      </c>
      <c r="AM1662" s="4">
        <v>0.90277777777777779</v>
      </c>
      <c r="AN1662" t="s">
        <v>66</v>
      </c>
      <c r="AO1662" t="s">
        <v>67</v>
      </c>
    </row>
    <row r="1663" spans="1:41" x14ac:dyDescent="0.2">
      <c r="A1663">
        <v>350513</v>
      </c>
      <c r="B1663" t="s">
        <v>11380</v>
      </c>
      <c r="C1663" t="s">
        <v>182</v>
      </c>
      <c r="D1663" t="s">
        <v>779</v>
      </c>
      <c r="E1663" t="s">
        <v>11381</v>
      </c>
      <c r="F1663">
        <v>45614</v>
      </c>
      <c r="G1663" s="1">
        <v>33501</v>
      </c>
      <c r="H1663" s="1">
        <v>45130</v>
      </c>
      <c r="I1663" s="1">
        <v>46174</v>
      </c>
      <c r="J1663" t="s">
        <v>45</v>
      </c>
      <c r="K1663" t="s">
        <v>72</v>
      </c>
      <c r="L1663" t="s">
        <v>72</v>
      </c>
      <c r="M1663" s="1">
        <v>36315</v>
      </c>
      <c r="N1663" t="s">
        <v>47</v>
      </c>
      <c r="O1663" t="s">
        <v>48</v>
      </c>
      <c r="P1663" t="s">
        <v>49</v>
      </c>
      <c r="Q1663" t="s">
        <v>11382</v>
      </c>
      <c r="R1663" t="s">
        <v>11383</v>
      </c>
      <c r="S1663">
        <v>4133</v>
      </c>
      <c r="T1663" t="s">
        <v>257</v>
      </c>
      <c r="U1663" t="s">
        <v>640</v>
      </c>
      <c r="V1663" t="s">
        <v>11384</v>
      </c>
      <c r="W1663" t="s">
        <v>260</v>
      </c>
      <c r="X1663" t="s">
        <v>257</v>
      </c>
      <c r="Y1663" t="s">
        <v>110</v>
      </c>
      <c r="Z1663">
        <v>482</v>
      </c>
      <c r="AA1663">
        <v>47</v>
      </c>
      <c r="AB1663">
        <v>34</v>
      </c>
      <c r="AC1663" t="s">
        <v>817</v>
      </c>
      <c r="AD1663" t="s">
        <v>818</v>
      </c>
      <c r="AE1663" t="s">
        <v>819</v>
      </c>
      <c r="AF1663" t="s">
        <v>2951</v>
      </c>
      <c r="AG1663" t="s">
        <v>2951</v>
      </c>
      <c r="AJ1663" s="2">
        <v>45131.19730324074</v>
      </c>
      <c r="AK1663" t="s">
        <v>817</v>
      </c>
      <c r="AL1663" t="s">
        <v>65</v>
      </c>
      <c r="AM1663" s="4">
        <v>3.4722222222222224E-2</v>
      </c>
      <c r="AN1663" t="s">
        <v>66</v>
      </c>
      <c r="AO1663" t="s">
        <v>67</v>
      </c>
    </row>
    <row r="1664" spans="1:41" x14ac:dyDescent="0.2">
      <c r="A1664">
        <v>371682</v>
      </c>
      <c r="B1664" t="s">
        <v>11385</v>
      </c>
      <c r="C1664" t="s">
        <v>134</v>
      </c>
      <c r="D1664" t="s">
        <v>214</v>
      </c>
      <c r="E1664" t="s">
        <v>11386</v>
      </c>
      <c r="F1664">
        <v>452029</v>
      </c>
      <c r="G1664" s="1">
        <v>35347</v>
      </c>
      <c r="H1664" s="1">
        <v>45812</v>
      </c>
      <c r="I1664" s="1">
        <v>46174</v>
      </c>
      <c r="J1664" t="s">
        <v>45</v>
      </c>
      <c r="K1664" t="s">
        <v>45</v>
      </c>
      <c r="L1664" t="s">
        <v>429</v>
      </c>
      <c r="N1664" t="s">
        <v>47</v>
      </c>
      <c r="O1664" t="s">
        <v>48</v>
      </c>
      <c r="P1664" t="s">
        <v>49</v>
      </c>
      <c r="Q1664" t="s">
        <v>11387</v>
      </c>
      <c r="R1664" t="s">
        <v>11388</v>
      </c>
      <c r="S1664">
        <v>3876</v>
      </c>
      <c r="T1664" t="s">
        <v>52</v>
      </c>
      <c r="U1664">
        <v>6</v>
      </c>
      <c r="V1664" t="s">
        <v>3463</v>
      </c>
      <c r="W1664" t="s">
        <v>54</v>
      </c>
      <c r="X1664" t="s">
        <v>76</v>
      </c>
      <c r="Y1664" t="s">
        <v>434</v>
      </c>
      <c r="Z1664">
        <v>804</v>
      </c>
      <c r="AA1664">
        <v>71</v>
      </c>
      <c r="AB1664">
        <v>34</v>
      </c>
      <c r="AC1664" t="s">
        <v>11389</v>
      </c>
      <c r="AD1664" t="s">
        <v>11390</v>
      </c>
      <c r="AE1664" t="s">
        <v>11391</v>
      </c>
      <c r="AF1664" t="s">
        <v>11392</v>
      </c>
      <c r="AG1664" t="s">
        <v>11393</v>
      </c>
      <c r="AH1664" t="s">
        <v>11394</v>
      </c>
      <c r="AI1664" t="s">
        <v>11395</v>
      </c>
      <c r="AJ1664" s="2">
        <v>45817.932997685188</v>
      </c>
      <c r="AK1664" t="s">
        <v>717</v>
      </c>
      <c r="AL1664" t="s">
        <v>65</v>
      </c>
      <c r="AM1664" s="3">
        <v>1.5347222222222223</v>
      </c>
      <c r="AN1664" t="s">
        <v>66</v>
      </c>
      <c r="AO1664" t="s">
        <v>67</v>
      </c>
    </row>
    <row r="1665" spans="1:41" x14ac:dyDescent="0.2">
      <c r="A1665">
        <v>371570</v>
      </c>
      <c r="B1665" t="s">
        <v>11396</v>
      </c>
      <c r="C1665" t="s">
        <v>662</v>
      </c>
      <c r="D1665" t="s">
        <v>11397</v>
      </c>
      <c r="E1665" t="s">
        <v>11398</v>
      </c>
      <c r="F1665">
        <v>417802</v>
      </c>
      <c r="G1665" s="1">
        <v>40885</v>
      </c>
      <c r="H1665" s="1">
        <v>45796</v>
      </c>
      <c r="I1665" s="1">
        <v>46127</v>
      </c>
      <c r="J1665" t="s">
        <v>45</v>
      </c>
      <c r="K1665" t="s">
        <v>326</v>
      </c>
      <c r="L1665" t="s">
        <v>72</v>
      </c>
      <c r="M1665" s="1">
        <v>44369</v>
      </c>
      <c r="N1665" t="s">
        <v>47</v>
      </c>
      <c r="O1665" t="s">
        <v>48</v>
      </c>
      <c r="P1665" t="s">
        <v>49</v>
      </c>
      <c r="Q1665" t="s">
        <v>11399</v>
      </c>
      <c r="R1665" t="s">
        <v>11400</v>
      </c>
      <c r="S1665">
        <v>2220</v>
      </c>
      <c r="T1665" t="s">
        <v>92</v>
      </c>
      <c r="U1665" t="s">
        <v>1197</v>
      </c>
      <c r="V1665" t="s">
        <v>1198</v>
      </c>
      <c r="W1665" t="s">
        <v>1199</v>
      </c>
      <c r="X1665" t="s">
        <v>92</v>
      </c>
      <c r="Y1665" t="s">
        <v>110</v>
      </c>
      <c r="Z1665">
        <v>4528</v>
      </c>
      <c r="AA1665">
        <v>28</v>
      </c>
      <c r="AB1665">
        <v>210</v>
      </c>
      <c r="AC1665" t="s">
        <v>6845</v>
      </c>
      <c r="AD1665" t="s">
        <v>1201</v>
      </c>
      <c r="AE1665" t="s">
        <v>1202</v>
      </c>
      <c r="AF1665" t="s">
        <v>1786</v>
      </c>
      <c r="AG1665" t="s">
        <v>1787</v>
      </c>
      <c r="AH1665" t="s">
        <v>1788</v>
      </c>
      <c r="AJ1665" s="2">
        <v>45816.841793981483</v>
      </c>
      <c r="AK1665" t="s">
        <v>132</v>
      </c>
      <c r="AL1665" t="s">
        <v>65</v>
      </c>
      <c r="AM1665" s="3">
        <v>1.9375</v>
      </c>
      <c r="AN1665" t="s">
        <v>66</v>
      </c>
      <c r="AO1665" t="s">
        <v>67</v>
      </c>
    </row>
    <row r="1666" spans="1:41" x14ac:dyDescent="0.2">
      <c r="A1666">
        <v>364746</v>
      </c>
      <c r="B1666" t="s">
        <v>11401</v>
      </c>
      <c r="C1666" t="s">
        <v>345</v>
      </c>
      <c r="D1666" t="s">
        <v>3845</v>
      </c>
      <c r="E1666" t="s">
        <v>11402</v>
      </c>
      <c r="F1666">
        <v>53006</v>
      </c>
      <c r="G1666" s="1">
        <v>39972</v>
      </c>
      <c r="H1666" s="1">
        <v>45553</v>
      </c>
      <c r="I1666" s="1">
        <v>45931</v>
      </c>
      <c r="J1666" t="s">
        <v>45</v>
      </c>
      <c r="K1666" t="s">
        <v>45</v>
      </c>
      <c r="L1666" t="s">
        <v>72</v>
      </c>
      <c r="M1666" s="1">
        <v>43406</v>
      </c>
      <c r="N1666" t="s">
        <v>47</v>
      </c>
      <c r="O1666" t="s">
        <v>48</v>
      </c>
      <c r="P1666" t="s">
        <v>49</v>
      </c>
      <c r="Q1666" t="s">
        <v>11403</v>
      </c>
      <c r="R1666" t="s">
        <v>11404</v>
      </c>
      <c r="S1666">
        <v>10656</v>
      </c>
      <c r="T1666" t="s">
        <v>52</v>
      </c>
      <c r="U1666">
        <v>2</v>
      </c>
      <c r="V1666" t="s">
        <v>1522</v>
      </c>
      <c r="W1666" t="s">
        <v>54</v>
      </c>
      <c r="X1666" t="s">
        <v>55</v>
      </c>
      <c r="Y1666" t="s">
        <v>56</v>
      </c>
      <c r="Z1666">
        <v>3026</v>
      </c>
      <c r="AA1666">
        <v>31</v>
      </c>
      <c r="AB1666">
        <v>80</v>
      </c>
      <c r="AC1666" t="s">
        <v>9858</v>
      </c>
      <c r="AD1666" t="s">
        <v>9859</v>
      </c>
      <c r="AE1666" t="s">
        <v>9860</v>
      </c>
      <c r="AF1666" t="s">
        <v>10167</v>
      </c>
      <c r="AG1666" t="s">
        <v>9862</v>
      </c>
      <c r="AH1666" t="s">
        <v>9863</v>
      </c>
      <c r="AI1666" t="s">
        <v>10707</v>
      </c>
      <c r="AJ1666" s="2">
        <v>45558.874606481484</v>
      </c>
      <c r="AK1666" t="s">
        <v>540</v>
      </c>
      <c r="AL1666" t="s">
        <v>65</v>
      </c>
      <c r="AM1666" s="4">
        <v>0.35416666666666669</v>
      </c>
      <c r="AN1666" t="s">
        <v>66</v>
      </c>
      <c r="AO1666" t="s">
        <v>67</v>
      </c>
    </row>
    <row r="1667" spans="1:41" x14ac:dyDescent="0.2">
      <c r="A1667">
        <v>372067</v>
      </c>
      <c r="B1667" t="s">
        <v>11405</v>
      </c>
      <c r="C1667" t="s">
        <v>1013</v>
      </c>
      <c r="D1667" t="s">
        <v>11406</v>
      </c>
      <c r="E1667">
        <v>83757172</v>
      </c>
      <c r="F1667">
        <v>320220</v>
      </c>
      <c r="G1667" s="1">
        <v>37475</v>
      </c>
      <c r="H1667" s="1">
        <v>45554</v>
      </c>
      <c r="J1667" t="s">
        <v>45</v>
      </c>
      <c r="K1667" t="s">
        <v>45</v>
      </c>
      <c r="L1667" t="s">
        <v>72</v>
      </c>
      <c r="M1667" s="1">
        <v>41002</v>
      </c>
      <c r="N1667" t="s">
        <v>47</v>
      </c>
      <c r="O1667" t="s">
        <v>48</v>
      </c>
      <c r="P1667" t="s">
        <v>49</v>
      </c>
      <c r="Q1667" t="s">
        <v>11407</v>
      </c>
      <c r="R1667" t="s">
        <v>11408</v>
      </c>
      <c r="S1667">
        <v>2270</v>
      </c>
      <c r="T1667" t="s">
        <v>156</v>
      </c>
      <c r="U1667" t="s">
        <v>1018</v>
      </c>
      <c r="V1667" t="s">
        <v>5885</v>
      </c>
      <c r="W1667" t="s">
        <v>159</v>
      </c>
      <c r="X1667" t="s">
        <v>156</v>
      </c>
      <c r="Y1667" t="s">
        <v>450</v>
      </c>
      <c r="Z1667">
        <v>1550</v>
      </c>
      <c r="AA1667">
        <v>38</v>
      </c>
      <c r="AB1667">
        <v>52</v>
      </c>
      <c r="AC1667" t="s">
        <v>5886</v>
      </c>
      <c r="AD1667" t="s">
        <v>5887</v>
      </c>
      <c r="AE1667" t="s">
        <v>5888</v>
      </c>
      <c r="AF1667" t="s">
        <v>1020</v>
      </c>
      <c r="AG1667" t="s">
        <v>1021</v>
      </c>
      <c r="AH1667" t="s">
        <v>1022</v>
      </c>
      <c r="AI1667" t="s">
        <v>5889</v>
      </c>
      <c r="AJ1667" s="2">
        <v>45828.625034722223</v>
      </c>
      <c r="AK1667" t="s">
        <v>1024</v>
      </c>
      <c r="AL1667" t="s">
        <v>65</v>
      </c>
      <c r="AM1667" s="3">
        <v>2.3819444444444446</v>
      </c>
      <c r="AN1667" t="s">
        <v>66</v>
      </c>
      <c r="AO1667" t="s">
        <v>67</v>
      </c>
    </row>
    <row r="1668" spans="1:41" x14ac:dyDescent="0.2">
      <c r="A1668">
        <v>368062</v>
      </c>
      <c r="B1668" t="s">
        <v>11409</v>
      </c>
      <c r="C1668" t="s">
        <v>197</v>
      </c>
      <c r="D1668" t="s">
        <v>1050</v>
      </c>
      <c r="E1668" t="s">
        <v>11410</v>
      </c>
      <c r="F1668">
        <v>94501</v>
      </c>
      <c r="G1668" s="1">
        <v>37715</v>
      </c>
      <c r="H1668" s="1">
        <v>45561</v>
      </c>
      <c r="I1668" s="1">
        <v>45945</v>
      </c>
      <c r="J1668" t="s">
        <v>45</v>
      </c>
      <c r="K1668" t="s">
        <v>45</v>
      </c>
      <c r="L1668" t="s">
        <v>72</v>
      </c>
      <c r="N1668" t="s">
        <v>47</v>
      </c>
      <c r="O1668" t="s">
        <v>48</v>
      </c>
      <c r="P1668" t="s">
        <v>49</v>
      </c>
      <c r="Q1668" t="s">
        <v>11411</v>
      </c>
      <c r="R1668" t="s">
        <v>11412</v>
      </c>
      <c r="S1668">
        <v>311</v>
      </c>
      <c r="T1668" t="s">
        <v>92</v>
      </c>
      <c r="U1668" t="s">
        <v>202</v>
      </c>
      <c r="V1668" t="s">
        <v>203</v>
      </c>
      <c r="W1668" t="s">
        <v>204</v>
      </c>
      <c r="X1668" t="s">
        <v>52</v>
      </c>
      <c r="Y1668" t="s">
        <v>110</v>
      </c>
      <c r="Z1668">
        <v>2144</v>
      </c>
      <c r="AA1668">
        <v>38</v>
      </c>
      <c r="AB1668">
        <v>144</v>
      </c>
      <c r="AC1668" t="s">
        <v>205</v>
      </c>
      <c r="AD1668" t="s">
        <v>206</v>
      </c>
      <c r="AE1668" t="s">
        <v>1547</v>
      </c>
      <c r="AF1668" t="s">
        <v>3373</v>
      </c>
      <c r="AG1668" t="s">
        <v>11413</v>
      </c>
      <c r="AH1668" t="s">
        <v>3375</v>
      </c>
      <c r="AI1668" t="s">
        <v>211</v>
      </c>
      <c r="AJ1668" s="2">
        <v>45699.774965277778</v>
      </c>
      <c r="AK1668" t="s">
        <v>149</v>
      </c>
      <c r="AL1668" t="s">
        <v>65</v>
      </c>
      <c r="AM1668" s="4">
        <v>0.13194444444444445</v>
      </c>
      <c r="AN1668" t="s">
        <v>66</v>
      </c>
      <c r="AO1668" t="s">
        <v>67</v>
      </c>
    </row>
    <row r="1669" spans="1:41" x14ac:dyDescent="0.2">
      <c r="A1669">
        <v>370832</v>
      </c>
      <c r="B1669" t="s">
        <v>11414</v>
      </c>
      <c r="C1669" t="s">
        <v>309</v>
      </c>
      <c r="D1669" t="s">
        <v>309</v>
      </c>
      <c r="E1669" t="s">
        <v>11415</v>
      </c>
      <c r="F1669">
        <v>496034</v>
      </c>
      <c r="G1669" s="1">
        <v>40961</v>
      </c>
      <c r="H1669" s="1">
        <v>45671</v>
      </c>
      <c r="J1669" t="s">
        <v>45</v>
      </c>
      <c r="K1669" t="s">
        <v>45</v>
      </c>
      <c r="L1669" t="s">
        <v>72</v>
      </c>
      <c r="M1669" s="1">
        <v>45671</v>
      </c>
      <c r="N1669" t="s">
        <v>47</v>
      </c>
      <c r="O1669" t="s">
        <v>48</v>
      </c>
      <c r="P1669" t="s">
        <v>406</v>
      </c>
      <c r="Q1669" t="s">
        <v>11416</v>
      </c>
      <c r="R1669" t="s">
        <v>11417</v>
      </c>
      <c r="S1669">
        <v>3129</v>
      </c>
      <c r="T1669" t="s">
        <v>257</v>
      </c>
      <c r="U1669" t="s">
        <v>640</v>
      </c>
      <c r="V1669" t="s">
        <v>9952</v>
      </c>
      <c r="W1669" t="s">
        <v>260</v>
      </c>
      <c r="X1669" t="s">
        <v>257</v>
      </c>
      <c r="Y1669" t="s">
        <v>642</v>
      </c>
      <c r="Z1669">
        <v>5368</v>
      </c>
      <c r="AA1669">
        <v>22</v>
      </c>
      <c r="AB1669">
        <v>34</v>
      </c>
      <c r="AC1669" t="s">
        <v>643</v>
      </c>
      <c r="AD1669" t="s">
        <v>644</v>
      </c>
      <c r="AE1669" t="s">
        <v>645</v>
      </c>
      <c r="AF1669" t="s">
        <v>646</v>
      </c>
      <c r="AG1669" t="s">
        <v>647</v>
      </c>
      <c r="AH1669" t="s">
        <v>648</v>
      </c>
      <c r="AI1669" t="s">
        <v>11418</v>
      </c>
      <c r="AJ1669" s="2">
        <v>45785.572337962964</v>
      </c>
      <c r="AK1669" t="s">
        <v>650</v>
      </c>
      <c r="AL1669" t="s">
        <v>651</v>
      </c>
      <c r="AM1669" s="4">
        <v>0.95833333333333337</v>
      </c>
      <c r="AN1669" t="s">
        <v>66</v>
      </c>
      <c r="AO1669" t="s">
        <v>67</v>
      </c>
    </row>
    <row r="1670" spans="1:41" x14ac:dyDescent="0.2">
      <c r="A1670">
        <v>370629</v>
      </c>
      <c r="B1670" t="s">
        <v>11419</v>
      </c>
      <c r="C1670" t="s">
        <v>182</v>
      </c>
      <c r="D1670" t="s">
        <v>1948</v>
      </c>
      <c r="E1670">
        <v>83747388</v>
      </c>
      <c r="F1670">
        <v>40310</v>
      </c>
      <c r="G1670" s="1">
        <v>37425</v>
      </c>
      <c r="H1670" s="1">
        <v>45567</v>
      </c>
      <c r="I1670" s="1">
        <v>46266</v>
      </c>
      <c r="J1670" t="s">
        <v>45</v>
      </c>
      <c r="K1670" t="s">
        <v>45</v>
      </c>
      <c r="L1670" t="s">
        <v>72</v>
      </c>
      <c r="N1670" t="s">
        <v>47</v>
      </c>
      <c r="O1670" t="s">
        <v>48</v>
      </c>
      <c r="P1670" t="s">
        <v>49</v>
      </c>
      <c r="Q1670" t="s">
        <v>11420</v>
      </c>
      <c r="R1670" t="s">
        <v>11421</v>
      </c>
      <c r="S1670">
        <v>4098</v>
      </c>
      <c r="T1670" t="s">
        <v>156</v>
      </c>
      <c r="U1670" t="s">
        <v>1079</v>
      </c>
      <c r="V1670" t="s">
        <v>11422</v>
      </c>
      <c r="W1670" t="s">
        <v>159</v>
      </c>
      <c r="X1670" t="s">
        <v>156</v>
      </c>
      <c r="Y1670" t="s">
        <v>110</v>
      </c>
      <c r="Z1670">
        <v>1533</v>
      </c>
      <c r="AA1670">
        <v>31</v>
      </c>
      <c r="AB1670">
        <v>158</v>
      </c>
      <c r="AC1670" t="s">
        <v>11423</v>
      </c>
      <c r="AD1670" t="s">
        <v>10360</v>
      </c>
      <c r="AE1670" t="s">
        <v>10361</v>
      </c>
      <c r="AF1670" t="s">
        <v>10362</v>
      </c>
      <c r="AG1670" t="s">
        <v>10363</v>
      </c>
      <c r="AH1670" t="s">
        <v>10364</v>
      </c>
      <c r="AI1670" t="s">
        <v>11424</v>
      </c>
      <c r="AJ1670" s="2">
        <v>45782.663761574076</v>
      </c>
      <c r="AK1670" t="s">
        <v>10362</v>
      </c>
      <c r="AL1670" t="s">
        <v>65</v>
      </c>
      <c r="AM1670" s="3">
        <v>1.3541666666666667</v>
      </c>
      <c r="AN1670" t="s">
        <v>66</v>
      </c>
      <c r="AO1670" t="s">
        <v>67</v>
      </c>
    </row>
    <row r="1671" spans="1:41" x14ac:dyDescent="0.2">
      <c r="A1671">
        <v>367913</v>
      </c>
      <c r="B1671" t="s">
        <v>11425</v>
      </c>
      <c r="C1671" t="s">
        <v>788</v>
      </c>
      <c r="E1671" t="s">
        <v>11426</v>
      </c>
      <c r="F1671">
        <v>83001</v>
      </c>
      <c r="G1671" s="1">
        <v>37596</v>
      </c>
      <c r="H1671" s="1">
        <v>45691</v>
      </c>
      <c r="J1671" t="s">
        <v>45</v>
      </c>
      <c r="K1671" t="s">
        <v>72</v>
      </c>
      <c r="L1671" t="s">
        <v>72</v>
      </c>
      <c r="N1671" t="s">
        <v>47</v>
      </c>
      <c r="O1671" t="s">
        <v>48</v>
      </c>
      <c r="P1671" t="s">
        <v>49</v>
      </c>
      <c r="Q1671" t="s">
        <v>11427</v>
      </c>
      <c r="R1671" t="s">
        <v>11428</v>
      </c>
      <c r="S1671">
        <v>15</v>
      </c>
      <c r="T1671" t="s">
        <v>156</v>
      </c>
      <c r="U1671" t="s">
        <v>157</v>
      </c>
      <c r="V1671" t="s">
        <v>11429</v>
      </c>
      <c r="W1671" t="s">
        <v>159</v>
      </c>
      <c r="X1671" t="s">
        <v>156</v>
      </c>
      <c r="Y1671" t="s">
        <v>450</v>
      </c>
      <c r="Z1671">
        <v>2276</v>
      </c>
      <c r="AA1671">
        <v>29</v>
      </c>
      <c r="AB1671">
        <v>158</v>
      </c>
      <c r="AC1671" t="s">
        <v>11430</v>
      </c>
      <c r="AD1671" t="s">
        <v>11431</v>
      </c>
      <c r="AE1671" t="s">
        <v>11432</v>
      </c>
      <c r="AI1671" t="s">
        <v>11431</v>
      </c>
      <c r="AJ1671" s="2">
        <v>45693.801527777781</v>
      </c>
      <c r="AK1671" t="s">
        <v>526</v>
      </c>
      <c r="AL1671" t="s">
        <v>65</v>
      </c>
      <c r="AM1671" s="3">
        <v>1.9861111111111112</v>
      </c>
      <c r="AN1671" t="s">
        <v>66</v>
      </c>
      <c r="AO1671" t="s">
        <v>67</v>
      </c>
    </row>
    <row r="1672" spans="1:41" x14ac:dyDescent="0.2">
      <c r="A1672">
        <v>364091</v>
      </c>
      <c r="B1672" t="s">
        <v>11433</v>
      </c>
      <c r="C1672" t="s">
        <v>412</v>
      </c>
      <c r="D1672" t="s">
        <v>4891</v>
      </c>
      <c r="E1672" t="s">
        <v>11434</v>
      </c>
      <c r="F1672">
        <v>300491</v>
      </c>
      <c r="G1672" s="1">
        <v>40115</v>
      </c>
      <c r="H1672" s="1">
        <v>45485</v>
      </c>
      <c r="J1672" t="s">
        <v>45</v>
      </c>
      <c r="K1672" t="s">
        <v>72</v>
      </c>
      <c r="L1672" t="s">
        <v>72</v>
      </c>
      <c r="M1672" s="1">
        <v>44798</v>
      </c>
      <c r="N1672" t="s">
        <v>47</v>
      </c>
      <c r="O1672" t="s">
        <v>48</v>
      </c>
      <c r="P1672" t="s">
        <v>49</v>
      </c>
      <c r="Q1672" t="s">
        <v>11435</v>
      </c>
      <c r="R1672" t="s">
        <v>11436</v>
      </c>
      <c r="S1672">
        <v>740</v>
      </c>
      <c r="T1672" t="s">
        <v>92</v>
      </c>
      <c r="U1672" t="s">
        <v>417</v>
      </c>
      <c r="V1672" t="s">
        <v>418</v>
      </c>
      <c r="W1672" t="s">
        <v>419</v>
      </c>
      <c r="X1672" t="s">
        <v>92</v>
      </c>
      <c r="Y1672" t="s">
        <v>410</v>
      </c>
      <c r="Z1672">
        <v>2667</v>
      </c>
      <c r="AA1672">
        <v>34</v>
      </c>
      <c r="AB1672">
        <v>176</v>
      </c>
      <c r="AC1672" t="s">
        <v>420</v>
      </c>
      <c r="AD1672" t="s">
        <v>421</v>
      </c>
      <c r="AE1672" t="s">
        <v>422</v>
      </c>
      <c r="AF1672" t="s">
        <v>11437</v>
      </c>
      <c r="AG1672" t="s">
        <v>11438</v>
      </c>
      <c r="AH1672" t="s">
        <v>11439</v>
      </c>
      <c r="AJ1672" s="2">
        <v>45848.64607638889</v>
      </c>
      <c r="AK1672" t="s">
        <v>100</v>
      </c>
      <c r="AL1672" t="s">
        <v>65</v>
      </c>
      <c r="AM1672" s="4">
        <v>0.47916666666666669</v>
      </c>
      <c r="AN1672" t="s">
        <v>66</v>
      </c>
      <c r="AO1672" t="s">
        <v>67</v>
      </c>
    </row>
    <row r="1673" spans="1:41" x14ac:dyDescent="0.2">
      <c r="A1673">
        <v>368545</v>
      </c>
      <c r="B1673" t="s">
        <v>11440</v>
      </c>
      <c r="C1673" t="s">
        <v>788</v>
      </c>
      <c r="E1673" t="s">
        <v>11441</v>
      </c>
      <c r="F1673">
        <v>86001</v>
      </c>
      <c r="G1673" s="1">
        <v>38742</v>
      </c>
      <c r="H1673" s="1">
        <v>45693</v>
      </c>
      <c r="J1673" t="s">
        <v>45</v>
      </c>
      <c r="K1673" t="s">
        <v>72</v>
      </c>
      <c r="L1673" t="s">
        <v>72</v>
      </c>
      <c r="N1673" t="s">
        <v>47</v>
      </c>
      <c r="O1673" t="s">
        <v>48</v>
      </c>
      <c r="P1673" t="s">
        <v>49</v>
      </c>
      <c r="Q1673" t="s">
        <v>11442</v>
      </c>
      <c r="R1673" t="s">
        <v>11443</v>
      </c>
      <c r="S1673">
        <v>17</v>
      </c>
      <c r="T1673" t="s">
        <v>156</v>
      </c>
      <c r="U1673" t="s">
        <v>157</v>
      </c>
      <c r="V1673" t="s">
        <v>11440</v>
      </c>
      <c r="W1673" t="s">
        <v>159</v>
      </c>
      <c r="X1673" t="s">
        <v>156</v>
      </c>
      <c r="Y1673" t="s">
        <v>450</v>
      </c>
      <c r="Z1673">
        <v>2042</v>
      </c>
      <c r="AA1673">
        <v>28</v>
      </c>
      <c r="AB1673">
        <v>158</v>
      </c>
      <c r="AC1673" t="s">
        <v>11444</v>
      </c>
      <c r="AD1673" t="s">
        <v>6398</v>
      </c>
      <c r="AE1673" t="s">
        <v>11445</v>
      </c>
      <c r="AI1673" t="s">
        <v>6398</v>
      </c>
      <c r="AJ1673" s="2">
        <v>45714.789560185185</v>
      </c>
      <c r="AK1673" t="s">
        <v>526</v>
      </c>
      <c r="AL1673" t="s">
        <v>65</v>
      </c>
      <c r="AM1673" s="3">
        <v>1.3680555555555556</v>
      </c>
      <c r="AN1673" t="s">
        <v>66</v>
      </c>
      <c r="AO1673" t="s">
        <v>67</v>
      </c>
    </row>
    <row r="1674" spans="1:41" x14ac:dyDescent="0.2">
      <c r="A1674">
        <v>370588</v>
      </c>
      <c r="B1674" t="s">
        <v>11446</v>
      </c>
      <c r="C1674" t="s">
        <v>182</v>
      </c>
      <c r="D1674" t="s">
        <v>1026</v>
      </c>
      <c r="E1674" t="s">
        <v>11447</v>
      </c>
      <c r="G1674" s="1">
        <v>45778</v>
      </c>
      <c r="H1674" s="1">
        <v>45764</v>
      </c>
      <c r="I1674" s="1">
        <v>46113</v>
      </c>
      <c r="J1674" t="s">
        <v>45</v>
      </c>
      <c r="K1674" t="s">
        <v>45</v>
      </c>
      <c r="L1674" t="s">
        <v>72</v>
      </c>
      <c r="M1674" s="1">
        <v>44338</v>
      </c>
      <c r="N1674" t="s">
        <v>47</v>
      </c>
      <c r="O1674" t="s">
        <v>121</v>
      </c>
      <c r="P1674" t="s">
        <v>49</v>
      </c>
      <c r="Q1674" t="s">
        <v>11448</v>
      </c>
      <c r="R1674" t="s">
        <v>11449</v>
      </c>
      <c r="S1674">
        <v>5044</v>
      </c>
      <c r="T1674" t="s">
        <v>52</v>
      </c>
      <c r="U1674">
        <v>5</v>
      </c>
      <c r="V1674" t="s">
        <v>1030</v>
      </c>
      <c r="W1674" t="s">
        <v>54</v>
      </c>
      <c r="X1674" t="s">
        <v>52</v>
      </c>
      <c r="Y1674" t="s">
        <v>125</v>
      </c>
      <c r="Z1674">
        <v>7626</v>
      </c>
      <c r="AA1674">
        <v>29</v>
      </c>
      <c r="AB1674">
        <v>28</v>
      </c>
      <c r="AC1674" t="s">
        <v>1031</v>
      </c>
      <c r="AD1674" t="s">
        <v>1032</v>
      </c>
      <c r="AE1674" t="s">
        <v>1033</v>
      </c>
      <c r="AF1674" t="s">
        <v>1034</v>
      </c>
      <c r="AG1674" t="s">
        <v>1035</v>
      </c>
      <c r="AH1674" t="s">
        <v>1036</v>
      </c>
      <c r="AI1674" t="s">
        <v>4396</v>
      </c>
      <c r="AJ1674" s="2">
        <v>45778.829351851855</v>
      </c>
      <c r="AK1674" t="s">
        <v>800</v>
      </c>
      <c r="AL1674" t="s">
        <v>65</v>
      </c>
      <c r="AM1674" s="3">
        <v>1.9166666666666667</v>
      </c>
      <c r="AN1674" t="s">
        <v>66</v>
      </c>
      <c r="AO1674" t="s">
        <v>67</v>
      </c>
    </row>
    <row r="1675" spans="1:41" x14ac:dyDescent="0.2">
      <c r="A1675">
        <v>372253</v>
      </c>
      <c r="B1675" t="s">
        <v>11450</v>
      </c>
      <c r="C1675" t="s">
        <v>182</v>
      </c>
      <c r="E1675">
        <v>32724648</v>
      </c>
      <c r="G1675" s="1">
        <v>45313</v>
      </c>
      <c r="H1675" s="1">
        <v>45835</v>
      </c>
      <c r="I1675" s="1">
        <v>46023</v>
      </c>
      <c r="J1675" t="s">
        <v>45</v>
      </c>
      <c r="K1675" t="s">
        <v>45</v>
      </c>
      <c r="L1675" t="s">
        <v>72</v>
      </c>
      <c r="N1675" t="s">
        <v>89</v>
      </c>
      <c r="O1675" t="s">
        <v>121</v>
      </c>
      <c r="P1675" t="s">
        <v>49</v>
      </c>
      <c r="Q1675" t="s">
        <v>11451</v>
      </c>
      <c r="R1675" t="s">
        <v>11452</v>
      </c>
      <c r="S1675">
        <v>372</v>
      </c>
      <c r="T1675" t="s">
        <v>52</v>
      </c>
      <c r="U1675">
        <v>5</v>
      </c>
      <c r="V1675" t="s">
        <v>1030</v>
      </c>
      <c r="W1675" t="s">
        <v>54</v>
      </c>
      <c r="X1675" t="s">
        <v>52</v>
      </c>
      <c r="Y1675" t="s">
        <v>125</v>
      </c>
      <c r="Z1675">
        <v>1159</v>
      </c>
      <c r="AA1675">
        <v>56</v>
      </c>
      <c r="AB1675">
        <v>78</v>
      </c>
      <c r="AC1675" t="s">
        <v>11453</v>
      </c>
      <c r="AD1675" t="s">
        <v>11454</v>
      </c>
      <c r="AE1675" t="s">
        <v>11455</v>
      </c>
      <c r="AF1675" t="s">
        <v>7663</v>
      </c>
      <c r="AG1675" t="s">
        <v>11456</v>
      </c>
      <c r="AH1675" t="s">
        <v>11457</v>
      </c>
      <c r="AI1675" t="s">
        <v>4396</v>
      </c>
      <c r="AJ1675" s="2">
        <v>45835.457916666666</v>
      </c>
      <c r="AK1675" t="s">
        <v>800</v>
      </c>
      <c r="AL1675" t="s">
        <v>65</v>
      </c>
      <c r="AM1675" s="3">
        <v>1.2916666666666667</v>
      </c>
      <c r="AN1675" t="s">
        <v>66</v>
      </c>
      <c r="AO1675" t="s">
        <v>67</v>
      </c>
    </row>
    <row r="1676" spans="1:41" x14ac:dyDescent="0.2">
      <c r="A1676">
        <v>363621</v>
      </c>
      <c r="B1676" t="s">
        <v>11458</v>
      </c>
      <c r="C1676" t="s">
        <v>182</v>
      </c>
      <c r="D1676" t="s">
        <v>4421</v>
      </c>
      <c r="E1676">
        <v>32764372</v>
      </c>
      <c r="G1676" s="1">
        <v>45451</v>
      </c>
      <c r="H1676" s="1">
        <v>45446</v>
      </c>
      <c r="I1676" s="1">
        <v>46082</v>
      </c>
      <c r="J1676" t="s">
        <v>45</v>
      </c>
      <c r="K1676" t="s">
        <v>45</v>
      </c>
      <c r="L1676" t="s">
        <v>72</v>
      </c>
      <c r="M1676" s="1">
        <v>42263</v>
      </c>
      <c r="N1676" t="s">
        <v>47</v>
      </c>
      <c r="O1676" t="s">
        <v>121</v>
      </c>
      <c r="P1676" t="s">
        <v>49</v>
      </c>
      <c r="Q1676" t="s">
        <v>11459</v>
      </c>
      <c r="R1676" t="s">
        <v>11460</v>
      </c>
      <c r="S1676">
        <v>1156</v>
      </c>
      <c r="T1676" t="s">
        <v>52</v>
      </c>
      <c r="U1676">
        <v>5</v>
      </c>
      <c r="V1676" t="s">
        <v>1030</v>
      </c>
      <c r="W1676" t="s">
        <v>54</v>
      </c>
      <c r="X1676" t="s">
        <v>52</v>
      </c>
      <c r="Y1676" t="s">
        <v>125</v>
      </c>
      <c r="Z1676">
        <v>1160</v>
      </c>
      <c r="AA1676">
        <v>91</v>
      </c>
      <c r="AB1676">
        <v>28</v>
      </c>
      <c r="AC1676" t="s">
        <v>1034</v>
      </c>
      <c r="AD1676" t="s">
        <v>1035</v>
      </c>
      <c r="AE1676" t="s">
        <v>1036</v>
      </c>
      <c r="AF1676" t="s">
        <v>11461</v>
      </c>
      <c r="AG1676" t="s">
        <v>11462</v>
      </c>
      <c r="AH1676" t="s">
        <v>11463</v>
      </c>
      <c r="AI1676" t="s">
        <v>4396</v>
      </c>
      <c r="AJ1676" s="2">
        <v>45518.636458333334</v>
      </c>
      <c r="AK1676" t="s">
        <v>1034</v>
      </c>
      <c r="AL1676" t="s">
        <v>65</v>
      </c>
      <c r="AM1676" s="3">
        <v>1.3819444444444444</v>
      </c>
      <c r="AN1676" t="s">
        <v>66</v>
      </c>
      <c r="AO1676" t="s">
        <v>67</v>
      </c>
    </row>
    <row r="1677" spans="1:41" x14ac:dyDescent="0.2">
      <c r="A1677">
        <v>361384</v>
      </c>
      <c r="B1677" t="s">
        <v>11464</v>
      </c>
      <c r="C1677" t="s">
        <v>182</v>
      </c>
      <c r="D1677" t="s">
        <v>4517</v>
      </c>
      <c r="E1677" t="s">
        <v>11465</v>
      </c>
      <c r="G1677" s="1">
        <v>42426</v>
      </c>
      <c r="H1677" s="1">
        <v>45454</v>
      </c>
      <c r="I1677" s="1">
        <v>46204</v>
      </c>
      <c r="J1677" t="s">
        <v>45</v>
      </c>
      <c r="K1677" t="s">
        <v>45</v>
      </c>
      <c r="L1677" t="s">
        <v>72</v>
      </c>
      <c r="M1677" s="1">
        <v>42335</v>
      </c>
      <c r="N1677" t="s">
        <v>89</v>
      </c>
      <c r="O1677" t="s">
        <v>121</v>
      </c>
      <c r="P1677" t="s">
        <v>49</v>
      </c>
      <c r="Q1677" t="s">
        <v>11466</v>
      </c>
      <c r="R1677" t="s">
        <v>11467</v>
      </c>
      <c r="S1677">
        <v>7743</v>
      </c>
      <c r="T1677" t="s">
        <v>52</v>
      </c>
      <c r="U1677">
        <v>5</v>
      </c>
      <c r="V1677" t="s">
        <v>1030</v>
      </c>
      <c r="W1677" t="s">
        <v>54</v>
      </c>
      <c r="X1677" t="s">
        <v>52</v>
      </c>
      <c r="Y1677" t="s">
        <v>125</v>
      </c>
      <c r="Z1677">
        <v>1690</v>
      </c>
      <c r="AA1677">
        <v>62</v>
      </c>
      <c r="AB1677">
        <v>78</v>
      </c>
      <c r="AC1677" t="s">
        <v>11468</v>
      </c>
      <c r="AD1677" t="s">
        <v>4521</v>
      </c>
      <c r="AE1677" t="s">
        <v>4522</v>
      </c>
      <c r="AF1677" t="s">
        <v>7663</v>
      </c>
      <c r="AG1677" t="s">
        <v>11456</v>
      </c>
      <c r="AH1677" t="s">
        <v>11457</v>
      </c>
      <c r="AI1677" t="s">
        <v>4396</v>
      </c>
      <c r="AJ1677" s="2">
        <v>45454.499467592592</v>
      </c>
      <c r="AK1677" t="s">
        <v>132</v>
      </c>
      <c r="AL1677" t="s">
        <v>65</v>
      </c>
      <c r="AM1677" s="4">
        <v>0.88194444444444442</v>
      </c>
      <c r="AN1677" t="s">
        <v>66</v>
      </c>
      <c r="AO1677" t="s">
        <v>67</v>
      </c>
    </row>
    <row r="1678" spans="1:41" x14ac:dyDescent="0.2">
      <c r="A1678">
        <v>365260</v>
      </c>
      <c r="B1678" t="s">
        <v>11469</v>
      </c>
      <c r="C1678" t="s">
        <v>182</v>
      </c>
      <c r="D1678" t="s">
        <v>4517</v>
      </c>
      <c r="E1678" t="s">
        <v>11470</v>
      </c>
      <c r="G1678" s="1">
        <v>45574</v>
      </c>
      <c r="H1678" s="1">
        <v>45560</v>
      </c>
      <c r="I1678" s="1">
        <v>45945</v>
      </c>
      <c r="J1678" t="s">
        <v>45</v>
      </c>
      <c r="K1678" t="s">
        <v>45</v>
      </c>
      <c r="L1678" t="s">
        <v>72</v>
      </c>
      <c r="M1678" s="1">
        <v>43666</v>
      </c>
      <c r="N1678" t="s">
        <v>47</v>
      </c>
      <c r="O1678" t="s">
        <v>121</v>
      </c>
      <c r="P1678" t="s">
        <v>49</v>
      </c>
      <c r="Q1678" t="s">
        <v>11471</v>
      </c>
      <c r="R1678" t="s">
        <v>11472</v>
      </c>
      <c r="S1678">
        <v>7690</v>
      </c>
      <c r="T1678" t="s">
        <v>52</v>
      </c>
      <c r="U1678">
        <v>5</v>
      </c>
      <c r="V1678" t="s">
        <v>1030</v>
      </c>
      <c r="W1678" t="s">
        <v>54</v>
      </c>
      <c r="X1678" t="s">
        <v>52</v>
      </c>
      <c r="Y1678" t="s">
        <v>125</v>
      </c>
      <c r="Z1678">
        <v>7627</v>
      </c>
      <c r="AA1678">
        <v>38</v>
      </c>
      <c r="AB1678">
        <v>28</v>
      </c>
      <c r="AC1678" t="s">
        <v>11473</v>
      </c>
      <c r="AD1678" t="s">
        <v>11474</v>
      </c>
      <c r="AE1678" t="s">
        <v>11475</v>
      </c>
      <c r="AI1678" t="s">
        <v>4396</v>
      </c>
      <c r="AJ1678" s="2">
        <v>45574.76767361111</v>
      </c>
      <c r="AK1678" t="s">
        <v>132</v>
      </c>
      <c r="AL1678" t="s">
        <v>65</v>
      </c>
      <c r="AM1678" s="3">
        <v>1.9236111111111112</v>
      </c>
      <c r="AN1678" t="s">
        <v>66</v>
      </c>
      <c r="AO1678" t="s">
        <v>67</v>
      </c>
    </row>
    <row r="1679" spans="1:41" x14ac:dyDescent="0.2">
      <c r="A1679">
        <v>368605</v>
      </c>
      <c r="B1679" t="s">
        <v>11476</v>
      </c>
      <c r="C1679" t="s">
        <v>182</v>
      </c>
      <c r="D1679" t="s">
        <v>4421</v>
      </c>
      <c r="E1679" t="s">
        <v>11477</v>
      </c>
      <c r="G1679" s="1">
        <v>45715</v>
      </c>
      <c r="H1679" s="1">
        <v>45716</v>
      </c>
      <c r="I1679" s="1">
        <v>46082</v>
      </c>
      <c r="J1679" t="s">
        <v>45</v>
      </c>
      <c r="K1679" t="s">
        <v>45</v>
      </c>
      <c r="L1679" t="s">
        <v>72</v>
      </c>
      <c r="N1679" t="s">
        <v>89</v>
      </c>
      <c r="O1679" t="s">
        <v>121</v>
      </c>
      <c r="P1679" t="s">
        <v>49</v>
      </c>
      <c r="Q1679" t="s">
        <v>11478</v>
      </c>
      <c r="R1679" t="s">
        <v>11479</v>
      </c>
      <c r="S1679">
        <v>4341</v>
      </c>
      <c r="T1679" t="s">
        <v>52</v>
      </c>
      <c r="U1679">
        <v>5</v>
      </c>
      <c r="V1679" t="s">
        <v>1030</v>
      </c>
      <c r="W1679" t="s">
        <v>54</v>
      </c>
      <c r="X1679" t="s">
        <v>52</v>
      </c>
      <c r="Y1679" t="s">
        <v>125</v>
      </c>
      <c r="Z1679">
        <v>11226</v>
      </c>
      <c r="AA1679">
        <v>16</v>
      </c>
      <c r="AB1679">
        <v>146</v>
      </c>
      <c r="AC1679" t="s">
        <v>1034</v>
      </c>
      <c r="AD1679" t="s">
        <v>1035</v>
      </c>
      <c r="AE1679" t="s">
        <v>1036</v>
      </c>
      <c r="AF1679" t="s">
        <v>11461</v>
      </c>
      <c r="AG1679" t="s">
        <v>11480</v>
      </c>
      <c r="AH1679" t="s">
        <v>11463</v>
      </c>
      <c r="AI1679" t="s">
        <v>4396</v>
      </c>
      <c r="AJ1679" s="2">
        <v>45716.495682870373</v>
      </c>
      <c r="AK1679" t="s">
        <v>132</v>
      </c>
      <c r="AL1679" t="s">
        <v>65</v>
      </c>
      <c r="AM1679" s="4">
        <v>0.375</v>
      </c>
      <c r="AN1679" t="s">
        <v>66</v>
      </c>
      <c r="AO1679" t="s">
        <v>67</v>
      </c>
    </row>
    <row r="1680" spans="1:41" x14ac:dyDescent="0.2">
      <c r="A1680">
        <v>368560</v>
      </c>
      <c r="B1680" t="s">
        <v>11481</v>
      </c>
      <c r="C1680" t="s">
        <v>182</v>
      </c>
      <c r="D1680" t="s">
        <v>1026</v>
      </c>
      <c r="E1680" t="s">
        <v>11482</v>
      </c>
      <c r="G1680" s="1">
        <v>45714</v>
      </c>
      <c r="H1680" s="1">
        <v>45715</v>
      </c>
      <c r="I1680" s="1">
        <v>46068</v>
      </c>
      <c r="J1680" t="s">
        <v>45</v>
      </c>
      <c r="K1680" t="s">
        <v>45</v>
      </c>
      <c r="L1680" t="s">
        <v>72</v>
      </c>
      <c r="N1680" t="s">
        <v>89</v>
      </c>
      <c r="O1680" t="s">
        <v>121</v>
      </c>
      <c r="P1680" t="s">
        <v>49</v>
      </c>
      <c r="Q1680" t="s">
        <v>11483</v>
      </c>
      <c r="R1680" t="s">
        <v>11484</v>
      </c>
      <c r="S1680">
        <v>947</v>
      </c>
      <c r="T1680" t="s">
        <v>52</v>
      </c>
      <c r="U1680">
        <v>5</v>
      </c>
      <c r="V1680" t="s">
        <v>1030</v>
      </c>
      <c r="W1680" t="s">
        <v>54</v>
      </c>
      <c r="X1680" t="s">
        <v>76</v>
      </c>
      <c r="Y1680" t="s">
        <v>125</v>
      </c>
      <c r="Z1680">
        <v>1867</v>
      </c>
      <c r="AA1680">
        <v>68</v>
      </c>
      <c r="AB1680">
        <v>28</v>
      </c>
      <c r="AC1680" t="s">
        <v>7663</v>
      </c>
      <c r="AD1680" t="s">
        <v>7664</v>
      </c>
      <c r="AE1680" t="s">
        <v>7665</v>
      </c>
      <c r="AF1680" t="s">
        <v>7666</v>
      </c>
      <c r="AG1680" t="s">
        <v>7667</v>
      </c>
      <c r="AH1680" t="s">
        <v>7665</v>
      </c>
      <c r="AI1680" t="s">
        <v>4396</v>
      </c>
      <c r="AJ1680" s="2">
        <v>45715.501689814817</v>
      </c>
      <c r="AK1680" t="s">
        <v>132</v>
      </c>
      <c r="AL1680" t="s">
        <v>65</v>
      </c>
      <c r="AM1680" s="3">
        <v>1.0555555555555556</v>
      </c>
      <c r="AN1680" t="s">
        <v>66</v>
      </c>
      <c r="AO1680" t="s">
        <v>67</v>
      </c>
    </row>
    <row r="1681" spans="1:41" x14ac:dyDescent="0.2">
      <c r="A1681">
        <v>356570</v>
      </c>
      <c r="B1681" t="s">
        <v>11485</v>
      </c>
      <c r="C1681" t="s">
        <v>118</v>
      </c>
      <c r="D1681" t="s">
        <v>1363</v>
      </c>
      <c r="E1681" t="s">
        <v>11486</v>
      </c>
      <c r="J1681" t="s">
        <v>326</v>
      </c>
      <c r="K1681" t="s">
        <v>326</v>
      </c>
      <c r="L1681" t="s">
        <v>72</v>
      </c>
      <c r="N1681" t="s">
        <v>89</v>
      </c>
      <c r="O1681" t="s">
        <v>121</v>
      </c>
      <c r="P1681" t="s">
        <v>406</v>
      </c>
      <c r="Q1681" t="s">
        <v>11487</v>
      </c>
      <c r="R1681" t="s">
        <v>11488</v>
      </c>
      <c r="T1681" t="s">
        <v>365</v>
      </c>
      <c r="U1681" t="s">
        <v>815</v>
      </c>
      <c r="V1681" t="s">
        <v>11489</v>
      </c>
      <c r="W1681" t="s">
        <v>409</v>
      </c>
      <c r="X1681" t="s">
        <v>76</v>
      </c>
      <c r="Y1681" t="s">
        <v>642</v>
      </c>
      <c r="Z1681">
        <v>9806</v>
      </c>
      <c r="AA1681">
        <v>3</v>
      </c>
      <c r="AB1681">
        <v>78</v>
      </c>
      <c r="AC1681" t="s">
        <v>11490</v>
      </c>
      <c r="AD1681" t="s">
        <v>11491</v>
      </c>
      <c r="AE1681" t="s">
        <v>11492</v>
      </c>
      <c r="AF1681" t="s">
        <v>11493</v>
      </c>
      <c r="AG1681" t="s">
        <v>11494</v>
      </c>
      <c r="AH1681" t="s">
        <v>11495</v>
      </c>
      <c r="AJ1681" s="2">
        <v>45313.642106481479</v>
      </c>
      <c r="AK1681" t="s">
        <v>149</v>
      </c>
      <c r="AL1681" t="s">
        <v>11496</v>
      </c>
      <c r="AM1681" s="3">
        <v>1.6388888888888888</v>
      </c>
      <c r="AN1681" t="s">
        <v>66</v>
      </c>
      <c r="AO1681" t="s">
        <v>67</v>
      </c>
    </row>
    <row r="1682" spans="1:41" x14ac:dyDescent="0.2">
      <c r="A1682">
        <v>356497</v>
      </c>
      <c r="B1682" t="s">
        <v>11497</v>
      </c>
      <c r="C1682" t="s">
        <v>118</v>
      </c>
      <c r="D1682" t="s">
        <v>1363</v>
      </c>
      <c r="E1682" t="s">
        <v>11498</v>
      </c>
      <c r="J1682" t="s">
        <v>326</v>
      </c>
      <c r="K1682" t="s">
        <v>326</v>
      </c>
      <c r="L1682" t="s">
        <v>72</v>
      </c>
      <c r="N1682" t="s">
        <v>89</v>
      </c>
      <c r="O1682" t="s">
        <v>121</v>
      </c>
      <c r="P1682" t="s">
        <v>406</v>
      </c>
      <c r="T1682" t="s">
        <v>365</v>
      </c>
      <c r="U1682" t="s">
        <v>815</v>
      </c>
      <c r="V1682" t="s">
        <v>11489</v>
      </c>
      <c r="W1682" t="s">
        <v>409</v>
      </c>
      <c r="X1682" t="s">
        <v>76</v>
      </c>
      <c r="Y1682" t="s">
        <v>642</v>
      </c>
      <c r="Z1682">
        <v>9815</v>
      </c>
      <c r="AA1682">
        <v>3</v>
      </c>
      <c r="AB1682">
        <v>78</v>
      </c>
      <c r="AC1682" t="s">
        <v>11490</v>
      </c>
      <c r="AD1682" t="s">
        <v>11499</v>
      </c>
      <c r="AE1682" t="s">
        <v>11500</v>
      </c>
      <c r="AF1682" t="s">
        <v>11501</v>
      </c>
      <c r="AG1682" t="s">
        <v>11494</v>
      </c>
      <c r="AH1682" t="s">
        <v>11495</v>
      </c>
      <c r="AJ1682" s="2">
        <v>45313.609548611108</v>
      </c>
      <c r="AK1682" t="s">
        <v>149</v>
      </c>
      <c r="AL1682" t="s">
        <v>11496</v>
      </c>
      <c r="AM1682" s="3">
        <v>1.7013888888888888</v>
      </c>
      <c r="AN1682" t="s">
        <v>66</v>
      </c>
      <c r="AO1682" t="s">
        <v>67</v>
      </c>
    </row>
    <row r="1683" spans="1:41" x14ac:dyDescent="0.2">
      <c r="A1683">
        <v>356498</v>
      </c>
      <c r="B1683" t="s">
        <v>11502</v>
      </c>
      <c r="C1683" t="s">
        <v>118</v>
      </c>
      <c r="D1683" t="s">
        <v>1363</v>
      </c>
      <c r="E1683" t="s">
        <v>11503</v>
      </c>
      <c r="J1683" t="s">
        <v>326</v>
      </c>
      <c r="K1683" t="s">
        <v>326</v>
      </c>
      <c r="L1683" t="s">
        <v>72</v>
      </c>
      <c r="N1683" t="s">
        <v>89</v>
      </c>
      <c r="O1683" t="s">
        <v>121</v>
      </c>
      <c r="P1683" t="s">
        <v>406</v>
      </c>
      <c r="T1683" t="s">
        <v>365</v>
      </c>
      <c r="U1683" t="s">
        <v>815</v>
      </c>
      <c r="V1683" t="s">
        <v>11489</v>
      </c>
      <c r="W1683" t="s">
        <v>409</v>
      </c>
      <c r="X1683" t="s">
        <v>76</v>
      </c>
      <c r="Y1683" t="s">
        <v>642</v>
      </c>
      <c r="Z1683">
        <v>9807</v>
      </c>
      <c r="AA1683">
        <v>3</v>
      </c>
      <c r="AB1683">
        <v>78</v>
      </c>
      <c r="AC1683" t="s">
        <v>11490</v>
      </c>
      <c r="AD1683" t="s">
        <v>11499</v>
      </c>
      <c r="AE1683" t="s">
        <v>11500</v>
      </c>
      <c r="AF1683" t="s">
        <v>11501</v>
      </c>
      <c r="AG1683" t="s">
        <v>11494</v>
      </c>
      <c r="AH1683" t="s">
        <v>11495</v>
      </c>
      <c r="AJ1683" s="2">
        <v>45313.61</v>
      </c>
      <c r="AK1683" t="s">
        <v>149</v>
      </c>
      <c r="AL1683" t="s">
        <v>11496</v>
      </c>
      <c r="AM1683" s="3">
        <v>1.6458333333333333</v>
      </c>
      <c r="AN1683" t="s">
        <v>66</v>
      </c>
      <c r="AO1683" t="s">
        <v>67</v>
      </c>
    </row>
    <row r="1684" spans="1:41" x14ac:dyDescent="0.2">
      <c r="A1684">
        <v>356499</v>
      </c>
      <c r="B1684" t="s">
        <v>11504</v>
      </c>
      <c r="C1684" t="s">
        <v>118</v>
      </c>
      <c r="D1684" t="s">
        <v>1363</v>
      </c>
      <c r="E1684" t="s">
        <v>11505</v>
      </c>
      <c r="J1684" t="s">
        <v>326</v>
      </c>
      <c r="K1684" t="s">
        <v>326</v>
      </c>
      <c r="L1684" t="s">
        <v>72</v>
      </c>
      <c r="N1684" t="s">
        <v>89</v>
      </c>
      <c r="O1684" t="s">
        <v>121</v>
      </c>
      <c r="P1684" t="s">
        <v>406</v>
      </c>
      <c r="T1684" t="s">
        <v>365</v>
      </c>
      <c r="U1684" t="s">
        <v>815</v>
      </c>
      <c r="V1684" t="s">
        <v>11489</v>
      </c>
      <c r="W1684" t="s">
        <v>409</v>
      </c>
      <c r="X1684" t="s">
        <v>76</v>
      </c>
      <c r="Y1684" t="s">
        <v>642</v>
      </c>
      <c r="Z1684">
        <v>9808</v>
      </c>
      <c r="AA1684">
        <v>3</v>
      </c>
      <c r="AB1684">
        <v>78</v>
      </c>
      <c r="AC1684" t="s">
        <v>11490</v>
      </c>
      <c r="AD1684" t="s">
        <v>11499</v>
      </c>
      <c r="AE1684" t="s">
        <v>11500</v>
      </c>
      <c r="AF1684" t="s">
        <v>11501</v>
      </c>
      <c r="AG1684" t="s">
        <v>11494</v>
      </c>
      <c r="AH1684" t="s">
        <v>11495</v>
      </c>
      <c r="AJ1684" s="2">
        <v>45313.610451388886</v>
      </c>
      <c r="AK1684" t="s">
        <v>149</v>
      </c>
      <c r="AL1684" t="s">
        <v>11496</v>
      </c>
      <c r="AM1684" s="3">
        <v>1.6527777777777777</v>
      </c>
      <c r="AN1684" t="s">
        <v>66</v>
      </c>
      <c r="AO1684" t="s">
        <v>67</v>
      </c>
    </row>
    <row r="1685" spans="1:41" x14ac:dyDescent="0.2">
      <c r="A1685">
        <v>356500</v>
      </c>
      <c r="B1685" t="s">
        <v>11506</v>
      </c>
      <c r="C1685" t="s">
        <v>118</v>
      </c>
      <c r="D1685" t="s">
        <v>1363</v>
      </c>
      <c r="E1685" t="s">
        <v>11507</v>
      </c>
      <c r="J1685" t="s">
        <v>326</v>
      </c>
      <c r="K1685" t="s">
        <v>326</v>
      </c>
      <c r="L1685" t="s">
        <v>72</v>
      </c>
      <c r="N1685" t="s">
        <v>89</v>
      </c>
      <c r="O1685" t="s">
        <v>121</v>
      </c>
      <c r="P1685" t="s">
        <v>406</v>
      </c>
      <c r="T1685" t="s">
        <v>365</v>
      </c>
      <c r="U1685" t="s">
        <v>815</v>
      </c>
      <c r="V1685" t="s">
        <v>11489</v>
      </c>
      <c r="W1685" t="s">
        <v>409</v>
      </c>
      <c r="X1685" t="s">
        <v>76</v>
      </c>
      <c r="Y1685" t="s">
        <v>642</v>
      </c>
      <c r="Z1685">
        <v>9809</v>
      </c>
      <c r="AA1685">
        <v>3</v>
      </c>
      <c r="AB1685">
        <v>78</v>
      </c>
      <c r="AC1685" t="s">
        <v>11490</v>
      </c>
      <c r="AD1685" t="s">
        <v>11499</v>
      </c>
      <c r="AE1685" t="s">
        <v>11500</v>
      </c>
      <c r="AF1685" t="s">
        <v>11501</v>
      </c>
      <c r="AG1685" t="s">
        <v>11494</v>
      </c>
      <c r="AH1685" t="s">
        <v>11495</v>
      </c>
      <c r="AJ1685" s="2">
        <v>45313.610891203702</v>
      </c>
      <c r="AK1685" t="s">
        <v>149</v>
      </c>
      <c r="AL1685" t="s">
        <v>11496</v>
      </c>
      <c r="AM1685" s="3">
        <v>1.6597222222222223</v>
      </c>
      <c r="AN1685" t="s">
        <v>66</v>
      </c>
      <c r="AO1685" t="s">
        <v>67</v>
      </c>
    </row>
    <row r="1686" spans="1:41" x14ac:dyDescent="0.2">
      <c r="A1686">
        <v>356501</v>
      </c>
      <c r="B1686" t="s">
        <v>11508</v>
      </c>
      <c r="C1686" t="s">
        <v>118</v>
      </c>
      <c r="D1686" t="s">
        <v>1363</v>
      </c>
      <c r="E1686" t="s">
        <v>11509</v>
      </c>
      <c r="J1686" t="s">
        <v>326</v>
      </c>
      <c r="K1686" t="s">
        <v>326</v>
      </c>
      <c r="L1686" t="s">
        <v>72</v>
      </c>
      <c r="N1686" t="s">
        <v>89</v>
      </c>
      <c r="O1686" t="s">
        <v>121</v>
      </c>
      <c r="P1686" t="s">
        <v>406</v>
      </c>
      <c r="T1686" t="s">
        <v>365</v>
      </c>
      <c r="U1686" t="s">
        <v>815</v>
      </c>
      <c r="V1686" t="s">
        <v>11489</v>
      </c>
      <c r="W1686" t="s">
        <v>409</v>
      </c>
      <c r="X1686" t="s">
        <v>76</v>
      </c>
      <c r="Y1686" t="s">
        <v>642</v>
      </c>
      <c r="Z1686">
        <v>9810</v>
      </c>
      <c r="AA1686">
        <v>3</v>
      </c>
      <c r="AB1686">
        <v>78</v>
      </c>
      <c r="AC1686" t="s">
        <v>11490</v>
      </c>
      <c r="AD1686" t="s">
        <v>11499</v>
      </c>
      <c r="AE1686" t="s">
        <v>11500</v>
      </c>
      <c r="AF1686" t="s">
        <v>11501</v>
      </c>
      <c r="AG1686" t="s">
        <v>11494</v>
      </c>
      <c r="AH1686" t="s">
        <v>11495</v>
      </c>
      <c r="AJ1686" s="2">
        <v>45313.611284722225</v>
      </c>
      <c r="AK1686" t="s">
        <v>149</v>
      </c>
      <c r="AL1686" t="s">
        <v>11496</v>
      </c>
      <c r="AM1686" s="3">
        <v>1.6666666666666667</v>
      </c>
      <c r="AN1686" t="s">
        <v>66</v>
      </c>
      <c r="AO1686" t="s">
        <v>67</v>
      </c>
    </row>
    <row r="1687" spans="1:41" x14ac:dyDescent="0.2">
      <c r="A1687">
        <v>356502</v>
      </c>
      <c r="B1687" t="s">
        <v>11510</v>
      </c>
      <c r="C1687" t="s">
        <v>118</v>
      </c>
      <c r="D1687" t="s">
        <v>1363</v>
      </c>
      <c r="E1687" t="s">
        <v>11511</v>
      </c>
      <c r="J1687" t="s">
        <v>326</v>
      </c>
      <c r="K1687" t="s">
        <v>326</v>
      </c>
      <c r="L1687" t="s">
        <v>72</v>
      </c>
      <c r="N1687" t="s">
        <v>89</v>
      </c>
      <c r="O1687" t="s">
        <v>121</v>
      </c>
      <c r="P1687" t="s">
        <v>406</v>
      </c>
      <c r="T1687" t="s">
        <v>365</v>
      </c>
      <c r="U1687" t="s">
        <v>815</v>
      </c>
      <c r="V1687" t="s">
        <v>11489</v>
      </c>
      <c r="W1687" t="s">
        <v>409</v>
      </c>
      <c r="X1687" t="s">
        <v>76</v>
      </c>
      <c r="Y1687" t="s">
        <v>642</v>
      </c>
      <c r="Z1687">
        <v>9811</v>
      </c>
      <c r="AA1687">
        <v>3</v>
      </c>
      <c r="AB1687">
        <v>78</v>
      </c>
      <c r="AC1687" t="s">
        <v>11490</v>
      </c>
      <c r="AD1687" t="s">
        <v>11499</v>
      </c>
      <c r="AE1687" t="s">
        <v>11500</v>
      </c>
      <c r="AF1687" t="s">
        <v>11501</v>
      </c>
      <c r="AG1687" t="s">
        <v>11494</v>
      </c>
      <c r="AH1687" t="s">
        <v>11495</v>
      </c>
      <c r="AJ1687" s="2">
        <v>45313.61173611111</v>
      </c>
      <c r="AK1687" t="s">
        <v>149</v>
      </c>
      <c r="AL1687" t="s">
        <v>11496</v>
      </c>
      <c r="AM1687" s="3">
        <v>1.6736111111111112</v>
      </c>
      <c r="AN1687" t="s">
        <v>66</v>
      </c>
      <c r="AO1687" t="s">
        <v>67</v>
      </c>
    </row>
    <row r="1688" spans="1:41" x14ac:dyDescent="0.2">
      <c r="A1688">
        <v>356503</v>
      </c>
      <c r="B1688" t="s">
        <v>11512</v>
      </c>
      <c r="C1688" t="s">
        <v>118</v>
      </c>
      <c r="D1688" t="s">
        <v>1363</v>
      </c>
      <c r="E1688" t="s">
        <v>11513</v>
      </c>
      <c r="J1688" t="s">
        <v>326</v>
      </c>
      <c r="K1688" t="s">
        <v>326</v>
      </c>
      <c r="L1688" t="s">
        <v>72</v>
      </c>
      <c r="N1688" t="s">
        <v>89</v>
      </c>
      <c r="O1688" t="s">
        <v>121</v>
      </c>
      <c r="P1688" t="s">
        <v>406</v>
      </c>
      <c r="T1688" t="s">
        <v>365</v>
      </c>
      <c r="U1688" t="s">
        <v>815</v>
      </c>
      <c r="V1688" t="s">
        <v>11489</v>
      </c>
      <c r="W1688" t="s">
        <v>409</v>
      </c>
      <c r="X1688" t="s">
        <v>76</v>
      </c>
      <c r="Y1688" t="s">
        <v>642</v>
      </c>
      <c r="Z1688">
        <v>9812</v>
      </c>
      <c r="AA1688">
        <v>3</v>
      </c>
      <c r="AB1688">
        <v>78</v>
      </c>
      <c r="AC1688" t="s">
        <v>11490</v>
      </c>
      <c r="AD1688" t="s">
        <v>11499</v>
      </c>
      <c r="AE1688" t="s">
        <v>11500</v>
      </c>
      <c r="AF1688" t="s">
        <v>11501</v>
      </c>
      <c r="AG1688" t="s">
        <v>11494</v>
      </c>
      <c r="AH1688" t="s">
        <v>11495</v>
      </c>
      <c r="AJ1688" s="2">
        <v>45313.61215277778</v>
      </c>
      <c r="AK1688" t="s">
        <v>149</v>
      </c>
      <c r="AL1688" t="s">
        <v>11496</v>
      </c>
      <c r="AM1688" s="3">
        <v>1.6805555555555556</v>
      </c>
      <c r="AN1688" t="s">
        <v>66</v>
      </c>
      <c r="AO1688" t="s">
        <v>67</v>
      </c>
    </row>
    <row r="1689" spans="1:41" x14ac:dyDescent="0.2">
      <c r="A1689">
        <v>356504</v>
      </c>
      <c r="B1689" t="s">
        <v>11514</v>
      </c>
      <c r="C1689" t="s">
        <v>118</v>
      </c>
      <c r="D1689" t="s">
        <v>1363</v>
      </c>
      <c r="E1689" t="s">
        <v>11515</v>
      </c>
      <c r="J1689" t="s">
        <v>326</v>
      </c>
      <c r="K1689" t="s">
        <v>326</v>
      </c>
      <c r="L1689" t="s">
        <v>72</v>
      </c>
      <c r="N1689" t="s">
        <v>89</v>
      </c>
      <c r="O1689" t="s">
        <v>121</v>
      </c>
      <c r="P1689" t="s">
        <v>406</v>
      </c>
      <c r="T1689" t="s">
        <v>365</v>
      </c>
      <c r="U1689" t="s">
        <v>815</v>
      </c>
      <c r="V1689" t="s">
        <v>11489</v>
      </c>
      <c r="W1689" t="s">
        <v>409</v>
      </c>
      <c r="X1689" t="s">
        <v>76</v>
      </c>
      <c r="Y1689" t="s">
        <v>642</v>
      </c>
      <c r="Z1689">
        <v>9813</v>
      </c>
      <c r="AA1689">
        <v>3</v>
      </c>
      <c r="AB1689">
        <v>78</v>
      </c>
      <c r="AC1689" t="s">
        <v>11490</v>
      </c>
      <c r="AD1689" t="s">
        <v>11499</v>
      </c>
      <c r="AE1689" t="s">
        <v>11500</v>
      </c>
      <c r="AF1689" t="s">
        <v>11501</v>
      </c>
      <c r="AG1689" t="s">
        <v>11494</v>
      </c>
      <c r="AH1689" t="s">
        <v>11495</v>
      </c>
      <c r="AJ1689" s="2">
        <v>45313.612557870372</v>
      </c>
      <c r="AK1689" t="s">
        <v>149</v>
      </c>
      <c r="AL1689" t="s">
        <v>11496</v>
      </c>
      <c r="AM1689" s="3">
        <v>1.6875</v>
      </c>
      <c r="AN1689" t="s">
        <v>66</v>
      </c>
      <c r="AO1689" t="s">
        <v>67</v>
      </c>
    </row>
    <row r="1690" spans="1:41" x14ac:dyDescent="0.2">
      <c r="A1690">
        <v>356505</v>
      </c>
      <c r="B1690" t="s">
        <v>11516</v>
      </c>
      <c r="C1690" t="s">
        <v>118</v>
      </c>
      <c r="D1690" t="s">
        <v>1363</v>
      </c>
      <c r="E1690" t="s">
        <v>11517</v>
      </c>
      <c r="J1690" t="s">
        <v>326</v>
      </c>
      <c r="K1690" t="s">
        <v>326</v>
      </c>
      <c r="L1690" t="s">
        <v>72</v>
      </c>
      <c r="N1690" t="s">
        <v>89</v>
      </c>
      <c r="O1690" t="s">
        <v>121</v>
      </c>
      <c r="P1690" t="s">
        <v>406</v>
      </c>
      <c r="T1690" t="s">
        <v>365</v>
      </c>
      <c r="U1690" t="s">
        <v>815</v>
      </c>
      <c r="V1690" t="s">
        <v>11489</v>
      </c>
      <c r="W1690" t="s">
        <v>409</v>
      </c>
      <c r="X1690" t="s">
        <v>76</v>
      </c>
      <c r="Y1690" t="s">
        <v>642</v>
      </c>
      <c r="Z1690">
        <v>9814</v>
      </c>
      <c r="AA1690">
        <v>3</v>
      </c>
      <c r="AB1690">
        <v>78</v>
      </c>
      <c r="AC1690" t="s">
        <v>11490</v>
      </c>
      <c r="AD1690" t="s">
        <v>11499</v>
      </c>
      <c r="AE1690" t="s">
        <v>11500</v>
      </c>
      <c r="AF1690" t="s">
        <v>11501</v>
      </c>
      <c r="AG1690" t="s">
        <v>11494</v>
      </c>
      <c r="AH1690" t="s">
        <v>11495</v>
      </c>
      <c r="AJ1690" s="2">
        <v>45313.612997685188</v>
      </c>
      <c r="AK1690" t="s">
        <v>149</v>
      </c>
      <c r="AL1690" t="s">
        <v>11496</v>
      </c>
      <c r="AM1690" s="3">
        <v>1.6944444444444444</v>
      </c>
      <c r="AN1690" t="s">
        <v>66</v>
      </c>
      <c r="AO1690" t="s">
        <v>67</v>
      </c>
    </row>
    <row r="1691" spans="1:41" x14ac:dyDescent="0.2">
      <c r="A1691">
        <v>370026</v>
      </c>
      <c r="B1691" t="s">
        <v>11518</v>
      </c>
      <c r="C1691" t="s">
        <v>662</v>
      </c>
      <c r="D1691" t="s">
        <v>11519</v>
      </c>
      <c r="E1691">
        <v>88423718</v>
      </c>
      <c r="F1691">
        <v>413509</v>
      </c>
      <c r="G1691" s="1">
        <v>38188</v>
      </c>
      <c r="H1691" s="1">
        <v>45579</v>
      </c>
      <c r="I1691" s="1">
        <v>45915</v>
      </c>
      <c r="J1691" t="s">
        <v>45</v>
      </c>
      <c r="K1691" t="s">
        <v>45</v>
      </c>
      <c r="L1691" t="s">
        <v>72</v>
      </c>
      <c r="M1691" s="1">
        <v>45484</v>
      </c>
      <c r="N1691" t="s">
        <v>47</v>
      </c>
      <c r="O1691" t="s">
        <v>48</v>
      </c>
      <c r="P1691" t="s">
        <v>49</v>
      </c>
      <c r="Q1691" t="s">
        <v>11520</v>
      </c>
      <c r="R1691" t="s">
        <v>11521</v>
      </c>
      <c r="S1691">
        <v>158</v>
      </c>
      <c r="T1691" t="s">
        <v>92</v>
      </c>
      <c r="U1691" t="s">
        <v>1197</v>
      </c>
      <c r="V1691" t="s">
        <v>1198</v>
      </c>
      <c r="W1691" t="s">
        <v>1199</v>
      </c>
      <c r="X1691" t="s">
        <v>52</v>
      </c>
      <c r="Y1691" t="s">
        <v>110</v>
      </c>
      <c r="Z1691">
        <v>2593</v>
      </c>
      <c r="AA1691">
        <v>45</v>
      </c>
      <c r="AB1691">
        <v>176</v>
      </c>
      <c r="AC1691" t="s">
        <v>1200</v>
      </c>
      <c r="AD1691" t="s">
        <v>1201</v>
      </c>
      <c r="AE1691" t="s">
        <v>1202</v>
      </c>
      <c r="AF1691" t="s">
        <v>1203</v>
      </c>
      <c r="AG1691" t="s">
        <v>1204</v>
      </c>
      <c r="AH1691" t="s">
        <v>1205</v>
      </c>
      <c r="AJ1691" s="2">
        <v>45761.890636574077</v>
      </c>
      <c r="AK1691" t="s">
        <v>132</v>
      </c>
      <c r="AL1691" t="s">
        <v>65</v>
      </c>
      <c r="AM1691" s="4">
        <v>0.1388888888888889</v>
      </c>
      <c r="AN1691" t="s">
        <v>66</v>
      </c>
      <c r="AO1691" t="s">
        <v>67</v>
      </c>
    </row>
    <row r="1692" spans="1:41" x14ac:dyDescent="0.2">
      <c r="A1692">
        <v>373075</v>
      </c>
      <c r="B1692" t="s">
        <v>11522</v>
      </c>
      <c r="C1692" t="s">
        <v>345</v>
      </c>
      <c r="D1692" t="s">
        <v>8405</v>
      </c>
      <c r="E1692" t="s">
        <v>11523</v>
      </c>
      <c r="F1692">
        <v>54702</v>
      </c>
      <c r="G1692" s="1">
        <v>34590</v>
      </c>
      <c r="H1692" s="1">
        <v>45856</v>
      </c>
      <c r="I1692" s="1">
        <v>46218</v>
      </c>
      <c r="J1692" t="s">
        <v>45</v>
      </c>
      <c r="K1692" t="s">
        <v>45</v>
      </c>
      <c r="L1692" t="s">
        <v>429</v>
      </c>
      <c r="N1692" t="s">
        <v>47</v>
      </c>
      <c r="O1692" t="s">
        <v>48</v>
      </c>
      <c r="P1692" t="s">
        <v>49</v>
      </c>
      <c r="Q1692" t="s">
        <v>11524</v>
      </c>
      <c r="R1692" t="s">
        <v>11525</v>
      </c>
      <c r="S1692">
        <v>11078</v>
      </c>
      <c r="T1692" t="s">
        <v>52</v>
      </c>
      <c r="U1692">
        <v>2</v>
      </c>
      <c r="V1692" t="s">
        <v>8005</v>
      </c>
      <c r="W1692" t="s">
        <v>54</v>
      </c>
      <c r="X1692" t="s">
        <v>55</v>
      </c>
      <c r="Y1692" t="s">
        <v>56</v>
      </c>
      <c r="Z1692">
        <v>568</v>
      </c>
      <c r="AA1692">
        <v>54</v>
      </c>
      <c r="AB1692">
        <v>158</v>
      </c>
      <c r="AC1692" t="s">
        <v>8412</v>
      </c>
      <c r="AD1692" t="s">
        <v>8413</v>
      </c>
      <c r="AE1692" t="s">
        <v>11526</v>
      </c>
      <c r="AF1692" t="s">
        <v>8409</v>
      </c>
      <c r="AG1692" t="s">
        <v>8410</v>
      </c>
      <c r="AH1692" t="s">
        <v>8411</v>
      </c>
      <c r="AI1692" t="s">
        <v>11527</v>
      </c>
      <c r="AJ1692" s="2">
        <v>45856.754895833335</v>
      </c>
      <c r="AK1692" t="s">
        <v>375</v>
      </c>
      <c r="AL1692" t="s">
        <v>65</v>
      </c>
      <c r="AM1692" s="3">
        <v>2.4097222222222223</v>
      </c>
      <c r="AN1692" t="s">
        <v>66</v>
      </c>
      <c r="AO1692" t="s">
        <v>67</v>
      </c>
    </row>
    <row r="1693" spans="1:41" x14ac:dyDescent="0.2">
      <c r="A1693">
        <v>371572</v>
      </c>
      <c r="B1693" t="s">
        <v>11528</v>
      </c>
      <c r="C1693" t="s">
        <v>662</v>
      </c>
      <c r="D1693" t="s">
        <v>11529</v>
      </c>
      <c r="E1693" t="s">
        <v>11530</v>
      </c>
      <c r="F1693">
        <v>412801</v>
      </c>
      <c r="G1693" s="1">
        <v>40890</v>
      </c>
      <c r="H1693" s="1">
        <v>45565</v>
      </c>
      <c r="I1693" s="1">
        <v>45915</v>
      </c>
      <c r="J1693" t="s">
        <v>45</v>
      </c>
      <c r="K1693" t="s">
        <v>326</v>
      </c>
      <c r="L1693" t="s">
        <v>72</v>
      </c>
      <c r="M1693" s="1">
        <v>45506</v>
      </c>
      <c r="N1693" t="s">
        <v>47</v>
      </c>
      <c r="O1693" t="s">
        <v>48</v>
      </c>
      <c r="P1693" t="s">
        <v>49</v>
      </c>
      <c r="Q1693" t="s">
        <v>11531</v>
      </c>
      <c r="R1693" t="s">
        <v>11532</v>
      </c>
      <c r="S1693">
        <v>412</v>
      </c>
      <c r="T1693" t="s">
        <v>92</v>
      </c>
      <c r="U1693" t="s">
        <v>1197</v>
      </c>
      <c r="V1693" t="s">
        <v>1198</v>
      </c>
      <c r="W1693" t="s">
        <v>1199</v>
      </c>
      <c r="X1693" t="s">
        <v>92</v>
      </c>
      <c r="Y1693" t="s">
        <v>110</v>
      </c>
      <c r="Z1693">
        <v>4530</v>
      </c>
      <c r="AA1693">
        <v>37</v>
      </c>
      <c r="AB1693">
        <v>210</v>
      </c>
      <c r="AC1693" t="s">
        <v>6845</v>
      </c>
      <c r="AD1693" t="s">
        <v>1201</v>
      </c>
      <c r="AE1693" t="s">
        <v>1202</v>
      </c>
      <c r="AF1693" t="s">
        <v>1203</v>
      </c>
      <c r="AG1693" t="s">
        <v>1204</v>
      </c>
      <c r="AH1693" t="s">
        <v>1205</v>
      </c>
      <c r="AJ1693" s="2">
        <v>45816.843969907408</v>
      </c>
      <c r="AK1693" t="s">
        <v>132</v>
      </c>
      <c r="AL1693" t="s">
        <v>65</v>
      </c>
      <c r="AM1693" s="3">
        <v>1.9513888888888888</v>
      </c>
      <c r="AN1693" t="s">
        <v>66</v>
      </c>
      <c r="AO1693" t="s">
        <v>67</v>
      </c>
    </row>
    <row r="1694" spans="1:41" x14ac:dyDescent="0.2">
      <c r="A1694">
        <v>357277</v>
      </c>
      <c r="B1694" t="s">
        <v>11533</v>
      </c>
      <c r="C1694" t="s">
        <v>103</v>
      </c>
      <c r="D1694" t="s">
        <v>11534</v>
      </c>
      <c r="E1694" t="s">
        <v>11535</v>
      </c>
      <c r="F1694">
        <v>319201</v>
      </c>
      <c r="G1694" s="1">
        <v>41582</v>
      </c>
      <c r="H1694" s="1">
        <v>45324</v>
      </c>
      <c r="I1694" s="1">
        <v>46327</v>
      </c>
      <c r="J1694" t="s">
        <v>45</v>
      </c>
      <c r="K1694" t="s">
        <v>72</v>
      </c>
      <c r="L1694" t="s">
        <v>72</v>
      </c>
      <c r="M1694" s="1">
        <v>43532</v>
      </c>
      <c r="N1694" t="s">
        <v>47</v>
      </c>
      <c r="O1694" t="s">
        <v>48</v>
      </c>
      <c r="P1694" t="s">
        <v>49</v>
      </c>
      <c r="Q1694" t="s">
        <v>11536</v>
      </c>
      <c r="R1694" t="s">
        <v>11537</v>
      </c>
      <c r="S1694">
        <v>120</v>
      </c>
      <c r="T1694" t="s">
        <v>92</v>
      </c>
      <c r="U1694" t="s">
        <v>107</v>
      </c>
      <c r="V1694" t="s">
        <v>108</v>
      </c>
      <c r="W1694" t="s">
        <v>109</v>
      </c>
      <c r="X1694" t="s">
        <v>92</v>
      </c>
      <c r="Y1694" t="s">
        <v>110</v>
      </c>
      <c r="Z1694">
        <v>6526</v>
      </c>
      <c r="AA1694">
        <v>26</v>
      </c>
      <c r="AB1694">
        <v>78</v>
      </c>
      <c r="AC1694" t="s">
        <v>7404</v>
      </c>
      <c r="AD1694" t="s">
        <v>7405</v>
      </c>
      <c r="AE1694" t="s">
        <v>7406</v>
      </c>
      <c r="AF1694" t="s">
        <v>7621</v>
      </c>
      <c r="AG1694" t="s">
        <v>7622</v>
      </c>
      <c r="AH1694" t="s">
        <v>7406</v>
      </c>
      <c r="AI1694" t="s">
        <v>7623</v>
      </c>
      <c r="AJ1694" s="2">
        <v>45818.719537037039</v>
      </c>
      <c r="AK1694" t="s">
        <v>100</v>
      </c>
      <c r="AL1694" t="s">
        <v>65</v>
      </c>
      <c r="AM1694" s="4">
        <v>0.61111111111111116</v>
      </c>
      <c r="AN1694" t="s">
        <v>66</v>
      </c>
      <c r="AO1694" t="s">
        <v>67</v>
      </c>
    </row>
    <row r="1695" spans="1:41" x14ac:dyDescent="0.2">
      <c r="A1695">
        <v>370041</v>
      </c>
      <c r="B1695" t="s">
        <v>11538</v>
      </c>
      <c r="C1695" t="s">
        <v>42</v>
      </c>
      <c r="D1695" t="s">
        <v>2050</v>
      </c>
      <c r="E1695" t="s">
        <v>11539</v>
      </c>
      <c r="F1695">
        <v>292004</v>
      </c>
      <c r="G1695" s="1">
        <v>40485</v>
      </c>
      <c r="H1695" s="1">
        <v>45755</v>
      </c>
      <c r="I1695" s="1">
        <v>46127</v>
      </c>
      <c r="J1695" t="s">
        <v>45</v>
      </c>
      <c r="K1695" t="s">
        <v>45</v>
      </c>
      <c r="L1695" t="s">
        <v>46</v>
      </c>
      <c r="M1695" s="1">
        <v>43494</v>
      </c>
      <c r="N1695" t="s">
        <v>47</v>
      </c>
      <c r="O1695" t="s">
        <v>48</v>
      </c>
      <c r="P1695" t="s">
        <v>49</v>
      </c>
      <c r="Q1695" t="s">
        <v>11540</v>
      </c>
      <c r="R1695" t="s">
        <v>11541</v>
      </c>
      <c r="S1695">
        <v>7088</v>
      </c>
      <c r="T1695" t="s">
        <v>52</v>
      </c>
      <c r="U1695">
        <v>3</v>
      </c>
      <c r="V1695" t="s">
        <v>2054</v>
      </c>
      <c r="W1695" t="s">
        <v>54</v>
      </c>
      <c r="X1695" t="s">
        <v>55</v>
      </c>
      <c r="Y1695" t="s">
        <v>56</v>
      </c>
      <c r="Z1695">
        <v>3546</v>
      </c>
      <c r="AA1695">
        <v>32</v>
      </c>
      <c r="AB1695">
        <v>30</v>
      </c>
      <c r="AC1695" t="s">
        <v>2058</v>
      </c>
      <c r="AD1695" t="s">
        <v>2059</v>
      </c>
      <c r="AE1695" t="s">
        <v>3753</v>
      </c>
      <c r="AI1695" t="s">
        <v>1809</v>
      </c>
      <c r="AJ1695" s="2">
        <v>45762.649606481478</v>
      </c>
      <c r="AK1695" t="s">
        <v>609</v>
      </c>
      <c r="AL1695" t="s">
        <v>65</v>
      </c>
      <c r="AM1695" s="4">
        <v>0.2986111111111111</v>
      </c>
      <c r="AN1695" t="s">
        <v>66</v>
      </c>
      <c r="AO1695" t="s">
        <v>67</v>
      </c>
    </row>
    <row r="1696" spans="1:41" x14ac:dyDescent="0.2">
      <c r="A1696">
        <v>368956</v>
      </c>
      <c r="B1696" t="s">
        <v>11542</v>
      </c>
      <c r="C1696" t="s">
        <v>182</v>
      </c>
      <c r="D1696" t="s">
        <v>2179</v>
      </c>
      <c r="E1696" t="s">
        <v>11543</v>
      </c>
      <c r="F1696">
        <v>43712</v>
      </c>
      <c r="G1696" s="1">
        <v>43073</v>
      </c>
      <c r="H1696" s="1">
        <v>45530</v>
      </c>
      <c r="I1696" s="1">
        <v>45992</v>
      </c>
      <c r="J1696" t="s">
        <v>45</v>
      </c>
      <c r="K1696" t="s">
        <v>45</v>
      </c>
      <c r="L1696" t="s">
        <v>429</v>
      </c>
      <c r="N1696" t="s">
        <v>47</v>
      </c>
      <c r="O1696" t="s">
        <v>48</v>
      </c>
      <c r="P1696" t="s">
        <v>49</v>
      </c>
      <c r="Q1696" t="s">
        <v>11544</v>
      </c>
      <c r="R1696" t="s">
        <v>11545</v>
      </c>
      <c r="S1696">
        <v>7032</v>
      </c>
      <c r="T1696" t="s">
        <v>365</v>
      </c>
      <c r="U1696" t="s">
        <v>562</v>
      </c>
      <c r="V1696" t="s">
        <v>1980</v>
      </c>
      <c r="W1696" t="s">
        <v>367</v>
      </c>
      <c r="X1696" t="s">
        <v>493</v>
      </c>
      <c r="Y1696" t="s">
        <v>434</v>
      </c>
      <c r="Z1696">
        <v>8686</v>
      </c>
      <c r="AA1696">
        <v>28</v>
      </c>
      <c r="AB1696">
        <v>78</v>
      </c>
      <c r="AC1696" t="s">
        <v>1981</v>
      </c>
      <c r="AD1696" t="s">
        <v>1982</v>
      </c>
      <c r="AE1696" t="s">
        <v>4452</v>
      </c>
      <c r="AF1696" t="s">
        <v>11546</v>
      </c>
      <c r="AG1696" t="s">
        <v>2184</v>
      </c>
      <c r="AH1696" t="s">
        <v>11547</v>
      </c>
      <c r="AI1696" t="s">
        <v>11548</v>
      </c>
      <c r="AJ1696" s="2">
        <v>45722.923935185187</v>
      </c>
      <c r="AK1696" t="s">
        <v>1472</v>
      </c>
      <c r="AL1696" t="s">
        <v>65</v>
      </c>
      <c r="AM1696" s="4">
        <v>0.95833333333333337</v>
      </c>
      <c r="AN1696" t="s">
        <v>66</v>
      </c>
      <c r="AO1696" t="s">
        <v>67</v>
      </c>
    </row>
    <row r="1697" spans="1:41" x14ac:dyDescent="0.2">
      <c r="A1697">
        <v>356363</v>
      </c>
      <c r="B1697" t="s">
        <v>11549</v>
      </c>
      <c r="C1697" t="s">
        <v>182</v>
      </c>
      <c r="D1697" t="s">
        <v>2901</v>
      </c>
      <c r="E1697" t="s">
        <v>11550</v>
      </c>
      <c r="F1697">
        <v>49939</v>
      </c>
      <c r="G1697" s="1">
        <v>39092</v>
      </c>
      <c r="H1697" s="1">
        <v>45201</v>
      </c>
      <c r="J1697" t="s">
        <v>45</v>
      </c>
      <c r="K1697" t="s">
        <v>45</v>
      </c>
      <c r="L1697" t="s">
        <v>72</v>
      </c>
      <c r="N1697" t="s">
        <v>89</v>
      </c>
      <c r="O1697" t="s">
        <v>48</v>
      </c>
      <c r="P1697" t="s">
        <v>49</v>
      </c>
      <c r="Q1697" t="s">
        <v>11551</v>
      </c>
      <c r="R1697" t="s">
        <v>11552</v>
      </c>
      <c r="S1697">
        <v>3141</v>
      </c>
      <c r="T1697" t="s">
        <v>92</v>
      </c>
      <c r="U1697" t="s">
        <v>187</v>
      </c>
      <c r="V1697" t="s">
        <v>8218</v>
      </c>
      <c r="W1697" t="s">
        <v>448</v>
      </c>
      <c r="X1697" t="s">
        <v>92</v>
      </c>
      <c r="Y1697" t="s">
        <v>770</v>
      </c>
      <c r="Z1697">
        <v>2896</v>
      </c>
      <c r="AA1697">
        <v>28</v>
      </c>
      <c r="AB1697">
        <v>166</v>
      </c>
      <c r="AC1697" t="s">
        <v>10515</v>
      </c>
      <c r="AD1697" t="s">
        <v>8220</v>
      </c>
      <c r="AE1697" t="s">
        <v>8221</v>
      </c>
      <c r="AJ1697" s="2">
        <v>45308.802766203706</v>
      </c>
      <c r="AK1697" t="s">
        <v>660</v>
      </c>
      <c r="AL1697" t="s">
        <v>65</v>
      </c>
      <c r="AM1697" s="4">
        <v>0.77083333333333337</v>
      </c>
      <c r="AN1697" t="s">
        <v>66</v>
      </c>
      <c r="AO1697" t="s">
        <v>67</v>
      </c>
    </row>
    <row r="1698" spans="1:41" x14ac:dyDescent="0.2">
      <c r="A1698">
        <v>371766</v>
      </c>
      <c r="B1698" t="s">
        <v>11553</v>
      </c>
      <c r="C1698" t="s">
        <v>323</v>
      </c>
      <c r="D1698" t="s">
        <v>324</v>
      </c>
      <c r="E1698" t="s">
        <v>11554</v>
      </c>
      <c r="F1698">
        <v>500761</v>
      </c>
      <c r="G1698" s="1">
        <v>42893</v>
      </c>
      <c r="H1698" s="1">
        <v>45800</v>
      </c>
      <c r="I1698" s="1">
        <v>46037</v>
      </c>
      <c r="J1698" t="s">
        <v>45</v>
      </c>
      <c r="K1698" t="s">
        <v>45</v>
      </c>
      <c r="L1698" t="s">
        <v>72</v>
      </c>
      <c r="M1698" s="1">
        <v>45076</v>
      </c>
      <c r="N1698" t="s">
        <v>47</v>
      </c>
      <c r="O1698" t="s">
        <v>48</v>
      </c>
      <c r="P1698" t="s">
        <v>49</v>
      </c>
      <c r="Q1698" t="s">
        <v>11555</v>
      </c>
      <c r="R1698" t="s">
        <v>11556</v>
      </c>
      <c r="S1698">
        <v>2134</v>
      </c>
      <c r="T1698" t="s">
        <v>1328</v>
      </c>
      <c r="U1698" t="s">
        <v>3114</v>
      </c>
      <c r="V1698" t="s">
        <v>3115</v>
      </c>
      <c r="W1698" t="s">
        <v>3116</v>
      </c>
      <c r="X1698" t="s">
        <v>1328</v>
      </c>
      <c r="Y1698" t="s">
        <v>110</v>
      </c>
      <c r="Z1698">
        <v>8827</v>
      </c>
      <c r="AA1698">
        <v>15</v>
      </c>
      <c r="AB1698">
        <v>78</v>
      </c>
      <c r="AC1698" t="s">
        <v>2833</v>
      </c>
      <c r="AD1698" t="s">
        <v>2834</v>
      </c>
      <c r="AE1698" t="s">
        <v>2835</v>
      </c>
      <c r="AF1698" t="s">
        <v>368</v>
      </c>
      <c r="AG1698" t="s">
        <v>369</v>
      </c>
      <c r="AH1698" t="s">
        <v>370</v>
      </c>
      <c r="AJ1698" s="2">
        <v>45818.904328703706</v>
      </c>
      <c r="AK1698" t="s">
        <v>727</v>
      </c>
      <c r="AL1698" t="s">
        <v>65</v>
      </c>
      <c r="AM1698" s="4">
        <v>0.40277777777777779</v>
      </c>
      <c r="AN1698" t="s">
        <v>66</v>
      </c>
      <c r="AO1698" t="s">
        <v>67</v>
      </c>
    </row>
    <row r="1699" spans="1:41" x14ac:dyDescent="0.2">
      <c r="A1699">
        <v>371830</v>
      </c>
      <c r="B1699" t="s">
        <v>11557</v>
      </c>
      <c r="C1699" t="s">
        <v>182</v>
      </c>
      <c r="D1699" t="s">
        <v>3180</v>
      </c>
      <c r="E1699">
        <v>32781766</v>
      </c>
      <c r="F1699">
        <v>41408</v>
      </c>
      <c r="G1699" s="1">
        <v>32211</v>
      </c>
      <c r="H1699" s="1">
        <v>45819</v>
      </c>
      <c r="I1699" s="1">
        <v>46082</v>
      </c>
      <c r="J1699" t="s">
        <v>45</v>
      </c>
      <c r="K1699" t="s">
        <v>45</v>
      </c>
      <c r="L1699" t="s">
        <v>429</v>
      </c>
      <c r="M1699" s="1">
        <v>43887</v>
      </c>
      <c r="N1699" t="s">
        <v>47</v>
      </c>
      <c r="O1699" t="s">
        <v>48</v>
      </c>
      <c r="P1699" t="s">
        <v>49</v>
      </c>
      <c r="Q1699" t="s">
        <v>11558</v>
      </c>
      <c r="R1699" t="s">
        <v>11559</v>
      </c>
      <c r="S1699">
        <v>3355</v>
      </c>
      <c r="T1699" t="s">
        <v>365</v>
      </c>
      <c r="U1699" t="s">
        <v>562</v>
      </c>
      <c r="V1699" t="s">
        <v>5248</v>
      </c>
      <c r="W1699" t="s">
        <v>367</v>
      </c>
      <c r="X1699" t="s">
        <v>493</v>
      </c>
      <c r="Y1699" t="s">
        <v>434</v>
      </c>
      <c r="Z1699">
        <v>109</v>
      </c>
      <c r="AA1699">
        <v>79</v>
      </c>
      <c r="AB1699">
        <v>152</v>
      </c>
      <c r="AC1699" t="s">
        <v>5683</v>
      </c>
      <c r="AD1699" t="s">
        <v>5250</v>
      </c>
      <c r="AE1699" t="s">
        <v>5251</v>
      </c>
      <c r="AF1699" t="s">
        <v>10442</v>
      </c>
      <c r="AG1699" t="s">
        <v>5685</v>
      </c>
      <c r="AH1699" t="s">
        <v>5686</v>
      </c>
      <c r="AI1699" t="s">
        <v>500</v>
      </c>
      <c r="AJ1699" s="2">
        <v>45820.634988425925</v>
      </c>
      <c r="AK1699" t="s">
        <v>501</v>
      </c>
      <c r="AL1699" t="s">
        <v>65</v>
      </c>
      <c r="AM1699" s="4">
        <v>7.6388888888888895E-2</v>
      </c>
      <c r="AN1699" t="s">
        <v>66</v>
      </c>
      <c r="AO1699" t="s">
        <v>67</v>
      </c>
    </row>
    <row r="1700" spans="1:41" x14ac:dyDescent="0.2">
      <c r="A1700">
        <v>368872</v>
      </c>
      <c r="B1700" t="s">
        <v>11560</v>
      </c>
      <c r="C1700" t="s">
        <v>182</v>
      </c>
      <c r="D1700" t="s">
        <v>811</v>
      </c>
      <c r="E1700" s="5" t="s">
        <v>11561</v>
      </c>
      <c r="F1700">
        <v>45108</v>
      </c>
      <c r="G1700" s="1">
        <v>37306</v>
      </c>
      <c r="H1700" s="1">
        <v>45714</v>
      </c>
      <c r="I1700" s="1">
        <v>46037</v>
      </c>
      <c r="J1700" t="s">
        <v>45</v>
      </c>
      <c r="K1700" t="s">
        <v>45</v>
      </c>
      <c r="L1700" t="s">
        <v>429</v>
      </c>
      <c r="M1700" s="1">
        <v>41073</v>
      </c>
      <c r="N1700" t="s">
        <v>47</v>
      </c>
      <c r="O1700" t="s">
        <v>48</v>
      </c>
      <c r="P1700" t="s">
        <v>49</v>
      </c>
      <c r="Q1700" t="s">
        <v>11562</v>
      </c>
      <c r="R1700" t="s">
        <v>11563</v>
      </c>
      <c r="S1700">
        <v>2792</v>
      </c>
      <c r="T1700" t="s">
        <v>52</v>
      </c>
      <c r="U1700">
        <v>5</v>
      </c>
      <c r="V1700" t="s">
        <v>1665</v>
      </c>
      <c r="W1700" t="s">
        <v>54</v>
      </c>
      <c r="X1700" t="s">
        <v>493</v>
      </c>
      <c r="Y1700" t="s">
        <v>434</v>
      </c>
      <c r="Z1700">
        <v>1892</v>
      </c>
      <c r="AA1700">
        <v>45</v>
      </c>
      <c r="AB1700">
        <v>28</v>
      </c>
      <c r="AC1700" t="s">
        <v>1666</v>
      </c>
      <c r="AD1700" t="s">
        <v>1667</v>
      </c>
      <c r="AE1700" t="s">
        <v>1668</v>
      </c>
      <c r="AF1700" t="s">
        <v>1669</v>
      </c>
      <c r="AG1700" t="s">
        <v>1670</v>
      </c>
      <c r="AH1700" t="s">
        <v>11564</v>
      </c>
      <c r="AI1700" t="s">
        <v>11565</v>
      </c>
      <c r="AJ1700" s="2">
        <v>45722.885127314818</v>
      </c>
      <c r="AK1700" t="s">
        <v>1472</v>
      </c>
      <c r="AL1700" t="s">
        <v>65</v>
      </c>
      <c r="AM1700" s="4">
        <v>0.64583333333333337</v>
      </c>
      <c r="AN1700" t="s">
        <v>66</v>
      </c>
      <c r="AO1700" t="s">
        <v>67</v>
      </c>
    </row>
    <row r="1701" spans="1:41" x14ac:dyDescent="0.2">
      <c r="A1701">
        <v>366484</v>
      </c>
      <c r="B1701" t="s">
        <v>11566</v>
      </c>
      <c r="C1701" t="s">
        <v>197</v>
      </c>
      <c r="D1701" t="s">
        <v>11567</v>
      </c>
      <c r="G1701" s="1">
        <v>41537</v>
      </c>
      <c r="J1701" t="s">
        <v>72</v>
      </c>
      <c r="K1701" t="s">
        <v>45</v>
      </c>
      <c r="L1701" t="s">
        <v>72</v>
      </c>
      <c r="N1701" t="s">
        <v>89</v>
      </c>
      <c r="O1701" t="s">
        <v>48</v>
      </c>
      <c r="P1701" t="s">
        <v>49</v>
      </c>
      <c r="Q1701" t="s">
        <v>11568</v>
      </c>
      <c r="R1701" t="s">
        <v>11569</v>
      </c>
      <c r="S1701">
        <v>352</v>
      </c>
      <c r="T1701" t="s">
        <v>92</v>
      </c>
      <c r="U1701" t="s">
        <v>202</v>
      </c>
      <c r="V1701" t="s">
        <v>203</v>
      </c>
      <c r="W1701" t="s">
        <v>11570</v>
      </c>
      <c r="X1701" t="s">
        <v>92</v>
      </c>
      <c r="Y1701" t="s">
        <v>410</v>
      </c>
      <c r="Z1701">
        <v>6586</v>
      </c>
      <c r="AA1701">
        <v>2</v>
      </c>
      <c r="AC1701" t="s">
        <v>212</v>
      </c>
      <c r="AD1701" t="s">
        <v>206</v>
      </c>
      <c r="AE1701" t="s">
        <v>632</v>
      </c>
      <c r="AI1701" t="s">
        <v>206</v>
      </c>
      <c r="AJ1701" s="2">
        <v>45622.830092592594</v>
      </c>
      <c r="AK1701" t="s">
        <v>149</v>
      </c>
      <c r="AL1701" t="s">
        <v>65</v>
      </c>
      <c r="AM1701" s="4">
        <v>0</v>
      </c>
      <c r="AN1701" t="s">
        <v>2857</v>
      </c>
      <c r="AO1701" t="s">
        <v>67</v>
      </c>
    </row>
    <row r="1702" spans="1:41" x14ac:dyDescent="0.2">
      <c r="A1702">
        <v>371002</v>
      </c>
      <c r="B1702" t="s">
        <v>11571</v>
      </c>
      <c r="C1702" t="s">
        <v>182</v>
      </c>
      <c r="D1702" t="s">
        <v>1467</v>
      </c>
      <c r="E1702" t="s">
        <v>11572</v>
      </c>
      <c r="F1702">
        <v>40507</v>
      </c>
      <c r="G1702" s="1">
        <v>43902</v>
      </c>
      <c r="H1702" s="1">
        <v>45789</v>
      </c>
      <c r="I1702" s="1">
        <v>46113</v>
      </c>
      <c r="J1702" t="s">
        <v>45</v>
      </c>
      <c r="K1702" t="s">
        <v>45</v>
      </c>
      <c r="L1702" t="s">
        <v>429</v>
      </c>
      <c r="M1702" s="1">
        <v>44340</v>
      </c>
      <c r="N1702" t="s">
        <v>47</v>
      </c>
      <c r="O1702" t="s">
        <v>48</v>
      </c>
      <c r="P1702" t="s">
        <v>49</v>
      </c>
      <c r="Q1702" t="s">
        <v>11573</v>
      </c>
      <c r="R1702" t="s">
        <v>11574</v>
      </c>
      <c r="S1702">
        <v>2873</v>
      </c>
      <c r="T1702" t="s">
        <v>52</v>
      </c>
      <c r="U1702">
        <v>5</v>
      </c>
      <c r="V1702" t="s">
        <v>3513</v>
      </c>
      <c r="W1702" t="s">
        <v>54</v>
      </c>
      <c r="X1702" t="s">
        <v>493</v>
      </c>
      <c r="Y1702" t="s">
        <v>434</v>
      </c>
      <c r="Z1702">
        <v>1479</v>
      </c>
      <c r="AA1702">
        <v>64</v>
      </c>
      <c r="AB1702">
        <v>158</v>
      </c>
      <c r="AC1702" t="s">
        <v>11575</v>
      </c>
      <c r="AD1702" t="s">
        <v>11576</v>
      </c>
      <c r="AE1702" t="s">
        <v>11577</v>
      </c>
      <c r="AF1702" t="s">
        <v>3517</v>
      </c>
      <c r="AG1702" t="s">
        <v>3518</v>
      </c>
      <c r="AH1702" t="s">
        <v>3519</v>
      </c>
      <c r="AI1702" t="s">
        <v>500</v>
      </c>
      <c r="AJ1702" s="2">
        <v>45792.731527777774</v>
      </c>
      <c r="AK1702" t="s">
        <v>1472</v>
      </c>
      <c r="AL1702" t="s">
        <v>65</v>
      </c>
      <c r="AM1702" s="3">
        <v>2.2222222222222223</v>
      </c>
      <c r="AN1702" t="s">
        <v>66</v>
      </c>
      <c r="AO1702" t="s">
        <v>67</v>
      </c>
    </row>
    <row r="1703" spans="1:41" x14ac:dyDescent="0.2">
      <c r="A1703">
        <v>370426</v>
      </c>
      <c r="B1703" t="s">
        <v>11578</v>
      </c>
      <c r="C1703" t="s">
        <v>42</v>
      </c>
      <c r="D1703" t="s">
        <v>3219</v>
      </c>
      <c r="E1703">
        <v>32336182</v>
      </c>
      <c r="F1703">
        <v>292104</v>
      </c>
      <c r="G1703" s="1">
        <v>36651</v>
      </c>
      <c r="H1703" s="1">
        <v>45770</v>
      </c>
      <c r="I1703" s="1">
        <v>46127</v>
      </c>
      <c r="J1703" t="s">
        <v>45</v>
      </c>
      <c r="K1703" t="s">
        <v>45</v>
      </c>
      <c r="L1703" t="s">
        <v>429</v>
      </c>
      <c r="M1703" s="1">
        <v>40899</v>
      </c>
      <c r="N1703" t="s">
        <v>47</v>
      </c>
      <c r="O1703" t="s">
        <v>48</v>
      </c>
      <c r="P1703" t="s">
        <v>49</v>
      </c>
      <c r="Q1703" t="s">
        <v>11579</v>
      </c>
      <c r="R1703" t="s">
        <v>11580</v>
      </c>
      <c r="S1703">
        <v>8500</v>
      </c>
      <c r="T1703" t="s">
        <v>52</v>
      </c>
      <c r="U1703">
        <v>3</v>
      </c>
      <c r="V1703" t="s">
        <v>53</v>
      </c>
      <c r="W1703" t="s">
        <v>54</v>
      </c>
      <c r="X1703" t="s">
        <v>55</v>
      </c>
      <c r="Y1703" t="s">
        <v>56</v>
      </c>
      <c r="Z1703">
        <v>607</v>
      </c>
      <c r="AA1703">
        <v>52</v>
      </c>
      <c r="AB1703">
        <v>176</v>
      </c>
      <c r="AC1703" t="s">
        <v>57</v>
      </c>
      <c r="AD1703" t="s">
        <v>58</v>
      </c>
      <c r="AE1703" t="s">
        <v>4968</v>
      </c>
      <c r="AF1703" t="s">
        <v>11581</v>
      </c>
      <c r="AG1703" t="s">
        <v>61</v>
      </c>
      <c r="AH1703" t="s">
        <v>62</v>
      </c>
      <c r="AI1703" t="s">
        <v>1809</v>
      </c>
      <c r="AJ1703" s="2">
        <v>45775.745023148149</v>
      </c>
      <c r="AK1703" t="s">
        <v>64</v>
      </c>
      <c r="AL1703" t="s">
        <v>65</v>
      </c>
      <c r="AM1703" s="4">
        <v>0.15972222222222221</v>
      </c>
      <c r="AN1703" t="s">
        <v>66</v>
      </c>
      <c r="AO1703" t="s">
        <v>67</v>
      </c>
    </row>
    <row r="1704" spans="1:41" x14ac:dyDescent="0.2">
      <c r="A1704">
        <v>372801</v>
      </c>
      <c r="B1704" t="s">
        <v>11582</v>
      </c>
      <c r="C1704" t="s">
        <v>69</v>
      </c>
      <c r="D1704" t="s">
        <v>7458</v>
      </c>
      <c r="E1704" t="s">
        <v>11583</v>
      </c>
      <c r="F1704">
        <v>100425</v>
      </c>
      <c r="G1704" s="1">
        <v>34455</v>
      </c>
      <c r="H1704" s="1">
        <v>45852</v>
      </c>
      <c r="I1704" s="1">
        <v>46204</v>
      </c>
      <c r="J1704" t="s">
        <v>45</v>
      </c>
      <c r="K1704" t="s">
        <v>45</v>
      </c>
      <c r="L1704" t="s">
        <v>72</v>
      </c>
      <c r="M1704" s="1">
        <v>42683</v>
      </c>
      <c r="N1704" t="s">
        <v>47</v>
      </c>
      <c r="O1704" t="s">
        <v>48</v>
      </c>
      <c r="P1704" t="s">
        <v>49</v>
      </c>
      <c r="Q1704" t="s">
        <v>11584</v>
      </c>
      <c r="R1704" t="s">
        <v>11585</v>
      </c>
      <c r="S1704">
        <v>4720</v>
      </c>
      <c r="T1704" t="s">
        <v>52</v>
      </c>
      <c r="U1704">
        <v>1</v>
      </c>
      <c r="V1704" t="s">
        <v>3148</v>
      </c>
      <c r="W1704" t="s">
        <v>54</v>
      </c>
      <c r="X1704" t="s">
        <v>76</v>
      </c>
      <c r="Y1704" t="s">
        <v>56</v>
      </c>
      <c r="Z1704">
        <v>1013</v>
      </c>
      <c r="AA1704">
        <v>57</v>
      </c>
      <c r="AB1704">
        <v>146</v>
      </c>
      <c r="AC1704" t="s">
        <v>3149</v>
      </c>
      <c r="AD1704" t="s">
        <v>4665</v>
      </c>
      <c r="AE1704" t="s">
        <v>3151</v>
      </c>
      <c r="AI1704" t="s">
        <v>179</v>
      </c>
      <c r="AJ1704" s="2">
        <v>45854.155127314814</v>
      </c>
      <c r="AK1704" t="s">
        <v>568</v>
      </c>
      <c r="AL1704" t="s">
        <v>65</v>
      </c>
      <c r="AM1704" s="4">
        <v>0.38194444444444442</v>
      </c>
      <c r="AN1704" t="s">
        <v>66</v>
      </c>
      <c r="AO1704" t="s">
        <v>67</v>
      </c>
    </row>
    <row r="1705" spans="1:41" x14ac:dyDescent="0.2">
      <c r="A1705">
        <v>373039</v>
      </c>
      <c r="B1705" t="s">
        <v>11586</v>
      </c>
      <c r="C1705" t="s">
        <v>1565</v>
      </c>
      <c r="D1705" t="s">
        <v>11587</v>
      </c>
      <c r="E1705" t="s">
        <v>11588</v>
      </c>
      <c r="F1705">
        <v>395601</v>
      </c>
      <c r="G1705" s="1">
        <v>31351</v>
      </c>
      <c r="H1705" s="1">
        <v>45520</v>
      </c>
      <c r="I1705" s="1">
        <v>46266</v>
      </c>
      <c r="J1705" t="s">
        <v>45</v>
      </c>
      <c r="K1705" t="s">
        <v>45</v>
      </c>
      <c r="L1705" t="s">
        <v>429</v>
      </c>
      <c r="M1705" s="1">
        <v>33836</v>
      </c>
      <c r="N1705" t="s">
        <v>47</v>
      </c>
      <c r="O1705" t="s">
        <v>48</v>
      </c>
      <c r="P1705" t="s">
        <v>49</v>
      </c>
      <c r="Q1705" t="s">
        <v>11589</v>
      </c>
      <c r="R1705" t="s">
        <v>11590</v>
      </c>
      <c r="S1705">
        <v>2840</v>
      </c>
      <c r="T1705" t="s">
        <v>296</v>
      </c>
      <c r="U1705" t="s">
        <v>1941</v>
      </c>
      <c r="V1705" t="s">
        <v>11591</v>
      </c>
      <c r="W1705" t="s">
        <v>299</v>
      </c>
      <c r="X1705" t="s">
        <v>76</v>
      </c>
      <c r="Y1705" t="s">
        <v>56</v>
      </c>
      <c r="Z1705">
        <v>20</v>
      </c>
      <c r="AA1705">
        <v>52</v>
      </c>
      <c r="AB1705">
        <v>28</v>
      </c>
      <c r="AC1705" t="s">
        <v>11592</v>
      </c>
      <c r="AD1705" t="s">
        <v>11593</v>
      </c>
      <c r="AE1705" t="s">
        <v>11594</v>
      </c>
      <c r="AI1705" t="s">
        <v>1946</v>
      </c>
      <c r="AJ1705" s="2">
        <v>45856.049432870372</v>
      </c>
      <c r="AK1705" t="s">
        <v>556</v>
      </c>
      <c r="AL1705" t="s">
        <v>65</v>
      </c>
      <c r="AM1705" s="3">
        <v>1.1805555555555556</v>
      </c>
      <c r="AN1705" t="s">
        <v>66</v>
      </c>
      <c r="AO1705" t="s">
        <v>67</v>
      </c>
    </row>
    <row r="1706" spans="1:41" x14ac:dyDescent="0.2">
      <c r="A1706">
        <v>369208</v>
      </c>
      <c r="B1706" t="s">
        <v>11595</v>
      </c>
      <c r="C1706" t="s">
        <v>735</v>
      </c>
      <c r="D1706" t="s">
        <v>6215</v>
      </c>
      <c r="E1706" t="s">
        <v>11596</v>
      </c>
      <c r="F1706">
        <v>244705</v>
      </c>
      <c r="G1706" s="1">
        <v>36676</v>
      </c>
      <c r="H1706" s="1">
        <v>45511</v>
      </c>
      <c r="I1706" s="1">
        <v>46235</v>
      </c>
      <c r="J1706" t="s">
        <v>45</v>
      </c>
      <c r="K1706" t="s">
        <v>45</v>
      </c>
      <c r="L1706" t="s">
        <v>429</v>
      </c>
      <c r="M1706" s="1">
        <v>45728</v>
      </c>
      <c r="N1706" t="s">
        <v>47</v>
      </c>
      <c r="O1706" t="s">
        <v>48</v>
      </c>
      <c r="P1706" t="s">
        <v>49</v>
      </c>
      <c r="Q1706" t="s">
        <v>11597</v>
      </c>
      <c r="R1706" t="s">
        <v>11598</v>
      </c>
      <c r="S1706">
        <v>5405</v>
      </c>
      <c r="T1706" t="s">
        <v>52</v>
      </c>
      <c r="U1706">
        <v>1</v>
      </c>
      <c r="V1706" t="s">
        <v>1122</v>
      </c>
      <c r="W1706" t="s">
        <v>54</v>
      </c>
      <c r="X1706" t="s">
        <v>76</v>
      </c>
      <c r="Y1706" t="s">
        <v>56</v>
      </c>
      <c r="Z1706">
        <v>961</v>
      </c>
      <c r="AA1706">
        <v>45</v>
      </c>
      <c r="AB1706">
        <v>30</v>
      </c>
      <c r="AC1706" t="s">
        <v>5818</v>
      </c>
      <c r="AD1706" t="s">
        <v>5819</v>
      </c>
      <c r="AE1706" t="s">
        <v>5820</v>
      </c>
      <c r="AF1706" t="s">
        <v>1832</v>
      </c>
      <c r="AG1706" t="s">
        <v>1833</v>
      </c>
      <c r="AH1706" t="s">
        <v>5821</v>
      </c>
      <c r="AI1706" t="s">
        <v>5822</v>
      </c>
      <c r="AJ1706" s="2">
        <v>45729.604247685187</v>
      </c>
      <c r="AK1706" t="s">
        <v>5818</v>
      </c>
      <c r="AL1706" t="s">
        <v>65</v>
      </c>
      <c r="AM1706" s="3">
        <v>1.6597222222222223</v>
      </c>
      <c r="AN1706" t="s">
        <v>66</v>
      </c>
      <c r="AO1706" t="s">
        <v>67</v>
      </c>
    </row>
    <row r="1707" spans="1:41" x14ac:dyDescent="0.2">
      <c r="A1707">
        <v>366133</v>
      </c>
      <c r="B1707" t="s">
        <v>11599</v>
      </c>
      <c r="C1707" t="s">
        <v>558</v>
      </c>
      <c r="D1707" t="s">
        <v>468</v>
      </c>
      <c r="E1707" t="s">
        <v>11600</v>
      </c>
      <c r="F1707">
        <v>260208</v>
      </c>
      <c r="G1707" s="1">
        <v>35962</v>
      </c>
      <c r="H1707" s="1">
        <v>45600</v>
      </c>
      <c r="I1707" s="1">
        <v>45931</v>
      </c>
      <c r="J1707" t="s">
        <v>45</v>
      </c>
      <c r="K1707" t="s">
        <v>45</v>
      </c>
      <c r="L1707" t="s">
        <v>429</v>
      </c>
      <c r="M1707" s="1">
        <v>36699</v>
      </c>
      <c r="N1707" t="s">
        <v>47</v>
      </c>
      <c r="O1707" t="s">
        <v>48</v>
      </c>
      <c r="P1707" t="s">
        <v>49</v>
      </c>
      <c r="Q1707" t="s">
        <v>11601</v>
      </c>
      <c r="R1707" t="s">
        <v>11602</v>
      </c>
      <c r="S1707">
        <v>5293</v>
      </c>
      <c r="T1707" t="s">
        <v>365</v>
      </c>
      <c r="U1707" t="s">
        <v>562</v>
      </c>
      <c r="V1707" t="s">
        <v>2987</v>
      </c>
      <c r="W1707" t="s">
        <v>367</v>
      </c>
      <c r="X1707" t="s">
        <v>493</v>
      </c>
      <c r="Y1707" t="s">
        <v>434</v>
      </c>
      <c r="Z1707">
        <v>147</v>
      </c>
      <c r="AA1707">
        <v>74</v>
      </c>
      <c r="AB1707">
        <v>38</v>
      </c>
      <c r="AC1707" t="s">
        <v>1882</v>
      </c>
      <c r="AD1707" t="s">
        <v>1883</v>
      </c>
      <c r="AE1707" t="s">
        <v>2988</v>
      </c>
      <c r="AF1707" t="s">
        <v>2989</v>
      </c>
      <c r="AG1707" t="s">
        <v>2990</v>
      </c>
      <c r="AH1707" t="s">
        <v>2991</v>
      </c>
      <c r="AI1707" t="s">
        <v>2992</v>
      </c>
      <c r="AJ1707" s="2">
        <v>45603.920104166667</v>
      </c>
      <c r="AK1707" t="s">
        <v>501</v>
      </c>
      <c r="AL1707" t="s">
        <v>65</v>
      </c>
      <c r="AM1707" s="3">
        <v>1.9722222222222223</v>
      </c>
      <c r="AN1707" t="s">
        <v>66</v>
      </c>
      <c r="AO1707" t="s">
        <v>67</v>
      </c>
    </row>
    <row r="1708" spans="1:41" x14ac:dyDescent="0.2">
      <c r="A1708">
        <v>364540</v>
      </c>
      <c r="B1708" t="s">
        <v>11603</v>
      </c>
      <c r="C1708" t="s">
        <v>309</v>
      </c>
      <c r="D1708" t="s">
        <v>8539</v>
      </c>
      <c r="E1708" t="s">
        <v>11604</v>
      </c>
      <c r="F1708">
        <v>495005</v>
      </c>
      <c r="G1708" s="1">
        <v>34313</v>
      </c>
      <c r="H1708" s="1">
        <v>45548</v>
      </c>
      <c r="I1708" s="1">
        <v>46204</v>
      </c>
      <c r="J1708" t="s">
        <v>45</v>
      </c>
      <c r="K1708" t="s">
        <v>45</v>
      </c>
      <c r="L1708" t="s">
        <v>72</v>
      </c>
      <c r="N1708" t="s">
        <v>47</v>
      </c>
      <c r="O1708" t="s">
        <v>48</v>
      </c>
      <c r="P1708" t="s">
        <v>49</v>
      </c>
      <c r="Q1708" t="s">
        <v>11605</v>
      </c>
      <c r="R1708" t="s">
        <v>11606</v>
      </c>
      <c r="S1708">
        <v>1800</v>
      </c>
      <c r="T1708" t="s">
        <v>92</v>
      </c>
      <c r="U1708" t="s">
        <v>313</v>
      </c>
      <c r="V1708" t="s">
        <v>314</v>
      </c>
      <c r="W1708" t="s">
        <v>315</v>
      </c>
      <c r="X1708" t="s">
        <v>52</v>
      </c>
      <c r="Y1708" t="s">
        <v>110</v>
      </c>
      <c r="Z1708">
        <v>999</v>
      </c>
      <c r="AA1708">
        <v>46</v>
      </c>
      <c r="AB1708">
        <v>152</v>
      </c>
      <c r="AC1708" t="s">
        <v>316</v>
      </c>
      <c r="AD1708" t="s">
        <v>317</v>
      </c>
      <c r="AE1708" t="s">
        <v>318</v>
      </c>
      <c r="AF1708" t="s">
        <v>10022</v>
      </c>
      <c r="AG1708" t="s">
        <v>10023</v>
      </c>
      <c r="AH1708" t="s">
        <v>10024</v>
      </c>
      <c r="AI1708" t="s">
        <v>317</v>
      </c>
      <c r="AJ1708" s="2">
        <v>45551.743715277778</v>
      </c>
      <c r="AK1708" t="s">
        <v>10022</v>
      </c>
      <c r="AL1708" t="s">
        <v>65</v>
      </c>
      <c r="AM1708" s="4">
        <v>0.47916666666666669</v>
      </c>
      <c r="AN1708" t="s">
        <v>66</v>
      </c>
      <c r="AO1708" t="s">
        <v>67</v>
      </c>
    </row>
    <row r="1709" spans="1:41" x14ac:dyDescent="0.2">
      <c r="A1709">
        <v>364752</v>
      </c>
      <c r="B1709" t="s">
        <v>11607</v>
      </c>
      <c r="C1709" t="s">
        <v>309</v>
      </c>
      <c r="D1709" t="s">
        <v>11608</v>
      </c>
      <c r="E1709" t="s">
        <v>11609</v>
      </c>
      <c r="F1709">
        <v>494001</v>
      </c>
      <c r="G1709" s="1">
        <v>34051</v>
      </c>
      <c r="H1709" s="1">
        <v>45558</v>
      </c>
      <c r="I1709" s="1">
        <v>46266</v>
      </c>
      <c r="J1709" t="s">
        <v>45</v>
      </c>
      <c r="K1709" t="s">
        <v>45</v>
      </c>
      <c r="L1709" t="s">
        <v>72</v>
      </c>
      <c r="M1709" s="1">
        <v>45558</v>
      </c>
      <c r="N1709" t="s">
        <v>47</v>
      </c>
      <c r="O1709" t="s">
        <v>48</v>
      </c>
      <c r="P1709" t="s">
        <v>49</v>
      </c>
      <c r="Q1709" t="s">
        <v>11610</v>
      </c>
      <c r="R1709" t="s">
        <v>11611</v>
      </c>
      <c r="S1709">
        <v>75</v>
      </c>
      <c r="T1709" t="s">
        <v>257</v>
      </c>
      <c r="U1709" t="s">
        <v>640</v>
      </c>
      <c r="V1709" t="s">
        <v>11612</v>
      </c>
      <c r="W1709" t="s">
        <v>260</v>
      </c>
      <c r="X1709" t="s">
        <v>257</v>
      </c>
      <c r="Y1709" t="s">
        <v>110</v>
      </c>
      <c r="Z1709">
        <v>517</v>
      </c>
      <c r="AA1709">
        <v>70</v>
      </c>
      <c r="AB1709">
        <v>78</v>
      </c>
      <c r="AC1709" t="s">
        <v>11613</v>
      </c>
      <c r="AD1709" t="s">
        <v>11614</v>
      </c>
      <c r="AE1709" t="s">
        <v>11615</v>
      </c>
      <c r="AF1709" t="s">
        <v>11616</v>
      </c>
      <c r="AG1709" t="s">
        <v>11617</v>
      </c>
      <c r="AH1709" t="s">
        <v>11618</v>
      </c>
      <c r="AI1709" t="s">
        <v>647</v>
      </c>
      <c r="AJ1709" s="2">
        <v>45558.889027777775</v>
      </c>
      <c r="AK1709" t="s">
        <v>11616</v>
      </c>
      <c r="AL1709" t="s">
        <v>65</v>
      </c>
      <c r="AM1709" s="4">
        <v>0.65277777777777779</v>
      </c>
      <c r="AN1709" t="s">
        <v>66</v>
      </c>
      <c r="AO1709" t="s">
        <v>67</v>
      </c>
    </row>
    <row r="1710" spans="1:41" x14ac:dyDescent="0.2">
      <c r="A1710">
        <v>365861</v>
      </c>
      <c r="B1710" t="s">
        <v>11619</v>
      </c>
      <c r="C1710" t="s">
        <v>309</v>
      </c>
      <c r="D1710" t="s">
        <v>6367</v>
      </c>
      <c r="E1710" t="s">
        <v>11620</v>
      </c>
      <c r="F1710">
        <v>490301</v>
      </c>
      <c r="G1710" s="1">
        <v>36354</v>
      </c>
      <c r="H1710" s="1">
        <v>45280</v>
      </c>
      <c r="I1710" s="1">
        <v>46235</v>
      </c>
      <c r="J1710" t="s">
        <v>45</v>
      </c>
      <c r="K1710" t="s">
        <v>45</v>
      </c>
      <c r="L1710" t="s">
        <v>72</v>
      </c>
      <c r="M1710" s="1">
        <v>45553</v>
      </c>
      <c r="N1710" t="s">
        <v>47</v>
      </c>
      <c r="O1710" t="s">
        <v>48</v>
      </c>
      <c r="P1710" t="s">
        <v>49</v>
      </c>
      <c r="Q1710" t="s">
        <v>11621</v>
      </c>
      <c r="R1710" t="s">
        <v>11622</v>
      </c>
      <c r="S1710">
        <v>20</v>
      </c>
      <c r="T1710" t="s">
        <v>1328</v>
      </c>
      <c r="U1710" t="s">
        <v>3114</v>
      </c>
      <c r="V1710" t="s">
        <v>6371</v>
      </c>
      <c r="W1710" t="s">
        <v>3116</v>
      </c>
      <c r="X1710" t="s">
        <v>1328</v>
      </c>
      <c r="Y1710" t="s">
        <v>110</v>
      </c>
      <c r="Z1710">
        <v>1641</v>
      </c>
      <c r="AA1710">
        <v>41</v>
      </c>
      <c r="AB1710">
        <v>76</v>
      </c>
      <c r="AC1710" t="s">
        <v>6372</v>
      </c>
      <c r="AD1710" t="s">
        <v>6373</v>
      </c>
      <c r="AE1710" t="s">
        <v>6374</v>
      </c>
      <c r="AF1710" t="s">
        <v>2951</v>
      </c>
      <c r="AG1710" t="s">
        <v>2951</v>
      </c>
      <c r="AJ1710" s="2">
        <v>45594.726261574076</v>
      </c>
      <c r="AK1710" t="s">
        <v>2854</v>
      </c>
      <c r="AL1710" t="s">
        <v>65</v>
      </c>
      <c r="AM1710" s="3">
        <v>2.4236111111111112</v>
      </c>
      <c r="AN1710" t="s">
        <v>66</v>
      </c>
      <c r="AO1710" t="s">
        <v>67</v>
      </c>
    </row>
    <row r="1711" spans="1:41" x14ac:dyDescent="0.2">
      <c r="A1711">
        <v>365755</v>
      </c>
      <c r="B1711" t="s">
        <v>11623</v>
      </c>
      <c r="C1711" t="s">
        <v>309</v>
      </c>
      <c r="D1711" t="s">
        <v>6367</v>
      </c>
      <c r="E1711" t="s">
        <v>11624</v>
      </c>
      <c r="F1711">
        <v>490302</v>
      </c>
      <c r="G1711" s="1">
        <v>36358</v>
      </c>
      <c r="H1711" s="1">
        <v>45301</v>
      </c>
      <c r="I1711" s="1">
        <v>46235</v>
      </c>
      <c r="J1711" t="s">
        <v>45</v>
      </c>
      <c r="K1711" t="s">
        <v>45</v>
      </c>
      <c r="L1711" t="s">
        <v>72</v>
      </c>
      <c r="M1711" s="1">
        <v>43376</v>
      </c>
      <c r="N1711" t="s">
        <v>47</v>
      </c>
      <c r="O1711" t="s">
        <v>48</v>
      </c>
      <c r="P1711" t="s">
        <v>49</v>
      </c>
      <c r="Q1711" t="s">
        <v>11625</v>
      </c>
      <c r="R1711" t="s">
        <v>11626</v>
      </c>
      <c r="S1711">
        <v>1750</v>
      </c>
      <c r="T1711" t="s">
        <v>1328</v>
      </c>
      <c r="U1711" t="s">
        <v>3114</v>
      </c>
      <c r="V1711" t="s">
        <v>6371</v>
      </c>
      <c r="W1711" t="s">
        <v>3116</v>
      </c>
      <c r="X1711" t="s">
        <v>1328</v>
      </c>
      <c r="Y1711" t="s">
        <v>110</v>
      </c>
      <c r="Z1711">
        <v>1644</v>
      </c>
      <c r="AA1711">
        <v>34</v>
      </c>
      <c r="AB1711">
        <v>76</v>
      </c>
      <c r="AC1711" t="s">
        <v>6372</v>
      </c>
      <c r="AD1711" t="s">
        <v>6373</v>
      </c>
      <c r="AE1711" t="s">
        <v>6374</v>
      </c>
      <c r="AF1711" t="s">
        <v>6375</v>
      </c>
      <c r="AG1711" t="s">
        <v>6376</v>
      </c>
      <c r="AH1711" t="s">
        <v>6377</v>
      </c>
      <c r="AJ1711" s="2">
        <v>45591.574467592596</v>
      </c>
      <c r="AK1711" t="s">
        <v>132</v>
      </c>
      <c r="AL1711" t="s">
        <v>65</v>
      </c>
      <c r="AM1711" s="3">
        <v>2.4444444444444446</v>
      </c>
      <c r="AN1711" t="s">
        <v>66</v>
      </c>
      <c r="AO1711" t="s">
        <v>67</v>
      </c>
    </row>
    <row r="1712" spans="1:41" x14ac:dyDescent="0.2">
      <c r="A1712">
        <v>365756</v>
      </c>
      <c r="B1712" t="s">
        <v>11627</v>
      </c>
      <c r="C1712" t="s">
        <v>309</v>
      </c>
      <c r="D1712" t="s">
        <v>6367</v>
      </c>
      <c r="E1712" t="s">
        <v>11628</v>
      </c>
      <c r="F1712">
        <v>490303</v>
      </c>
      <c r="G1712" s="1">
        <v>36354</v>
      </c>
      <c r="H1712" s="1">
        <v>45335</v>
      </c>
      <c r="I1712" s="1">
        <v>46235</v>
      </c>
      <c r="J1712" t="s">
        <v>45</v>
      </c>
      <c r="K1712" t="s">
        <v>45</v>
      </c>
      <c r="L1712" t="s">
        <v>72</v>
      </c>
      <c r="M1712" s="1">
        <v>37006</v>
      </c>
      <c r="N1712" t="s">
        <v>89</v>
      </c>
      <c r="O1712" t="s">
        <v>48</v>
      </c>
      <c r="P1712" t="s">
        <v>49</v>
      </c>
      <c r="Q1712" t="s">
        <v>11629</v>
      </c>
      <c r="R1712" t="s">
        <v>11630</v>
      </c>
      <c r="S1712">
        <v>520</v>
      </c>
      <c r="T1712" t="s">
        <v>1328</v>
      </c>
      <c r="U1712" t="s">
        <v>3114</v>
      </c>
      <c r="V1712" t="s">
        <v>6371</v>
      </c>
      <c r="W1712" t="s">
        <v>3116</v>
      </c>
      <c r="X1712" t="s">
        <v>1328</v>
      </c>
      <c r="Y1712" t="s">
        <v>110</v>
      </c>
      <c r="Z1712">
        <v>1642</v>
      </c>
      <c r="AA1712">
        <v>30</v>
      </c>
      <c r="AB1712">
        <v>76</v>
      </c>
      <c r="AC1712" t="s">
        <v>6372</v>
      </c>
      <c r="AD1712" t="s">
        <v>6373</v>
      </c>
      <c r="AE1712" t="s">
        <v>6374</v>
      </c>
      <c r="AF1712" t="s">
        <v>6375</v>
      </c>
      <c r="AG1712" t="s">
        <v>6376</v>
      </c>
      <c r="AH1712" t="s">
        <v>6377</v>
      </c>
      <c r="AJ1712" s="2">
        <v>45591.574907407405</v>
      </c>
      <c r="AK1712" t="s">
        <v>132</v>
      </c>
      <c r="AL1712" t="s">
        <v>65</v>
      </c>
      <c r="AM1712" s="3">
        <v>2.4166666666666665</v>
      </c>
      <c r="AN1712" t="s">
        <v>66</v>
      </c>
      <c r="AO1712" t="s">
        <v>67</v>
      </c>
    </row>
    <row r="1713" spans="1:41" x14ac:dyDescent="0.2">
      <c r="A1713">
        <v>369795</v>
      </c>
      <c r="B1713" t="s">
        <v>11631</v>
      </c>
      <c r="C1713" t="s">
        <v>167</v>
      </c>
      <c r="D1713" t="s">
        <v>570</v>
      </c>
      <c r="E1713" t="s">
        <v>11632</v>
      </c>
      <c r="G1713" s="1">
        <v>45328</v>
      </c>
      <c r="H1713" s="1">
        <v>45754</v>
      </c>
      <c r="I1713" s="1">
        <v>46037</v>
      </c>
      <c r="J1713" t="s">
        <v>326</v>
      </c>
      <c r="K1713" t="s">
        <v>45</v>
      </c>
      <c r="L1713" t="s">
        <v>72</v>
      </c>
      <c r="M1713" s="1">
        <v>43479</v>
      </c>
      <c r="N1713" t="s">
        <v>89</v>
      </c>
      <c r="O1713" t="s">
        <v>121</v>
      </c>
      <c r="P1713" t="s">
        <v>1752</v>
      </c>
      <c r="Q1713" t="s">
        <v>11633</v>
      </c>
      <c r="R1713" t="s">
        <v>11634</v>
      </c>
      <c r="S1713">
        <v>4203</v>
      </c>
      <c r="T1713" t="s">
        <v>156</v>
      </c>
      <c r="U1713" t="s">
        <v>4608</v>
      </c>
      <c r="V1713" t="s">
        <v>11635</v>
      </c>
      <c r="W1713" t="s">
        <v>159</v>
      </c>
      <c r="X1713" t="s">
        <v>156</v>
      </c>
      <c r="Y1713" t="s">
        <v>125</v>
      </c>
      <c r="Z1713">
        <v>2915</v>
      </c>
      <c r="AA1713">
        <v>114</v>
      </c>
      <c r="AB1713">
        <v>166</v>
      </c>
      <c r="AC1713" t="s">
        <v>11636</v>
      </c>
      <c r="AD1713" t="s">
        <v>11637</v>
      </c>
      <c r="AE1713" t="s">
        <v>11638</v>
      </c>
      <c r="AF1713" t="s">
        <v>11639</v>
      </c>
      <c r="AG1713" t="s">
        <v>11640</v>
      </c>
      <c r="AH1713" t="s">
        <v>11641</v>
      </c>
      <c r="AI1713" t="s">
        <v>4614</v>
      </c>
      <c r="AJ1713" s="2">
        <v>45754.514861111114</v>
      </c>
      <c r="AK1713" t="s">
        <v>800</v>
      </c>
      <c r="AL1713" t="s">
        <v>65</v>
      </c>
      <c r="AM1713" s="3">
        <v>2.4236111111111112</v>
      </c>
      <c r="AN1713" t="s">
        <v>66</v>
      </c>
      <c r="AO1713" t="s">
        <v>67</v>
      </c>
    </row>
    <row r="1714" spans="1:41" x14ac:dyDescent="0.2">
      <c r="A1714">
        <v>372164</v>
      </c>
      <c r="B1714" t="s">
        <v>11642</v>
      </c>
      <c r="C1714" t="s">
        <v>167</v>
      </c>
      <c r="D1714" t="s">
        <v>3018</v>
      </c>
      <c r="E1714" t="s">
        <v>11643</v>
      </c>
      <c r="G1714" s="1">
        <v>45770</v>
      </c>
      <c r="H1714" s="1">
        <v>45740</v>
      </c>
      <c r="I1714" s="1">
        <v>46113</v>
      </c>
      <c r="J1714" t="s">
        <v>45</v>
      </c>
      <c r="K1714" t="s">
        <v>45</v>
      </c>
      <c r="L1714" t="s">
        <v>72</v>
      </c>
      <c r="N1714" t="s">
        <v>89</v>
      </c>
      <c r="O1714" t="s">
        <v>121</v>
      </c>
      <c r="P1714" t="s">
        <v>49</v>
      </c>
      <c r="Q1714" t="s">
        <v>11644</v>
      </c>
      <c r="R1714" t="s">
        <v>11645</v>
      </c>
      <c r="S1714">
        <v>5092</v>
      </c>
      <c r="T1714" t="s">
        <v>52</v>
      </c>
      <c r="U1714">
        <v>6</v>
      </c>
      <c r="V1714" t="s">
        <v>574</v>
      </c>
      <c r="W1714" t="s">
        <v>54</v>
      </c>
      <c r="X1714" t="s">
        <v>76</v>
      </c>
      <c r="Y1714" t="s">
        <v>125</v>
      </c>
      <c r="Z1714">
        <v>12152</v>
      </c>
      <c r="AA1714">
        <v>39</v>
      </c>
      <c r="AB1714">
        <v>44</v>
      </c>
      <c r="AC1714" t="s">
        <v>11646</v>
      </c>
      <c r="AD1714" t="s">
        <v>3023</v>
      </c>
      <c r="AE1714" t="s">
        <v>3024</v>
      </c>
      <c r="AF1714" t="s">
        <v>11647</v>
      </c>
      <c r="AG1714" t="s">
        <v>732</v>
      </c>
      <c r="AH1714" t="s">
        <v>11648</v>
      </c>
      <c r="AJ1714" s="2">
        <v>45832.857291666667</v>
      </c>
      <c r="AK1714" t="s">
        <v>132</v>
      </c>
      <c r="AL1714" t="s">
        <v>65</v>
      </c>
      <c r="AM1714" s="4">
        <v>0.89236111111111116</v>
      </c>
      <c r="AN1714" t="s">
        <v>66</v>
      </c>
      <c r="AO1714" t="s">
        <v>67</v>
      </c>
    </row>
    <row r="1715" spans="1:41" x14ac:dyDescent="0.2">
      <c r="A1715">
        <v>370842</v>
      </c>
      <c r="B1715" t="s">
        <v>11649</v>
      </c>
      <c r="C1715" t="s">
        <v>167</v>
      </c>
      <c r="D1715" t="s">
        <v>3018</v>
      </c>
      <c r="E1715" t="s">
        <v>11650</v>
      </c>
      <c r="G1715" s="1">
        <v>45785</v>
      </c>
      <c r="H1715" s="1">
        <v>45741</v>
      </c>
      <c r="I1715" s="1">
        <v>46113</v>
      </c>
      <c r="J1715" t="s">
        <v>45</v>
      </c>
      <c r="K1715" t="s">
        <v>45</v>
      </c>
      <c r="L1715" t="s">
        <v>72</v>
      </c>
      <c r="N1715" t="s">
        <v>47</v>
      </c>
      <c r="O1715" t="s">
        <v>121</v>
      </c>
      <c r="P1715" t="s">
        <v>49</v>
      </c>
      <c r="Q1715" t="s">
        <v>11651</v>
      </c>
      <c r="R1715" t="s">
        <v>11652</v>
      </c>
      <c r="S1715">
        <v>5445</v>
      </c>
      <c r="T1715" t="s">
        <v>52</v>
      </c>
      <c r="U1715">
        <v>6</v>
      </c>
      <c r="V1715" t="s">
        <v>574</v>
      </c>
      <c r="W1715" t="s">
        <v>54</v>
      </c>
      <c r="X1715" t="s">
        <v>76</v>
      </c>
      <c r="Y1715" t="s">
        <v>125</v>
      </c>
      <c r="Z1715">
        <v>12153</v>
      </c>
      <c r="AA1715">
        <v>31</v>
      </c>
      <c r="AB1715">
        <v>44</v>
      </c>
      <c r="AC1715" t="s">
        <v>11647</v>
      </c>
      <c r="AD1715" t="s">
        <v>732</v>
      </c>
      <c r="AE1715" t="s">
        <v>11648</v>
      </c>
      <c r="AF1715" t="s">
        <v>3022</v>
      </c>
      <c r="AG1715" t="s">
        <v>3023</v>
      </c>
      <c r="AH1715" t="s">
        <v>3024</v>
      </c>
      <c r="AJ1715" s="2">
        <v>45785.65834490741</v>
      </c>
      <c r="AK1715" t="s">
        <v>650</v>
      </c>
      <c r="AL1715" t="s">
        <v>65</v>
      </c>
      <c r="AM1715" s="4">
        <v>0.89930555555555558</v>
      </c>
      <c r="AN1715" t="s">
        <v>66</v>
      </c>
      <c r="AO1715" t="s">
        <v>67</v>
      </c>
    </row>
    <row r="1716" spans="1:41" x14ac:dyDescent="0.2">
      <c r="A1716">
        <v>370560</v>
      </c>
      <c r="B1716" t="s">
        <v>11653</v>
      </c>
      <c r="C1716" t="s">
        <v>182</v>
      </c>
      <c r="D1716" t="s">
        <v>183</v>
      </c>
      <c r="E1716" t="s">
        <v>11654</v>
      </c>
      <c r="F1716">
        <v>45452</v>
      </c>
      <c r="G1716" s="1">
        <v>38640</v>
      </c>
      <c r="H1716" s="1">
        <v>45771</v>
      </c>
      <c r="I1716" s="1">
        <v>46068</v>
      </c>
      <c r="J1716" t="s">
        <v>45</v>
      </c>
      <c r="K1716" t="s">
        <v>45</v>
      </c>
      <c r="L1716" t="s">
        <v>72</v>
      </c>
      <c r="M1716" s="1">
        <v>43200</v>
      </c>
      <c r="N1716" t="s">
        <v>47</v>
      </c>
      <c r="O1716" t="s">
        <v>48</v>
      </c>
      <c r="P1716" t="s">
        <v>49</v>
      </c>
      <c r="Q1716" t="s">
        <v>11655</v>
      </c>
      <c r="R1716" t="s">
        <v>11656</v>
      </c>
      <c r="S1716">
        <v>610</v>
      </c>
      <c r="T1716" t="s">
        <v>92</v>
      </c>
      <c r="U1716" t="s">
        <v>187</v>
      </c>
      <c r="V1716" t="s">
        <v>188</v>
      </c>
      <c r="W1716" t="s">
        <v>189</v>
      </c>
      <c r="X1716" t="s">
        <v>92</v>
      </c>
      <c r="Y1716" t="s">
        <v>110</v>
      </c>
      <c r="Z1716">
        <v>2776</v>
      </c>
      <c r="AA1716">
        <v>53</v>
      </c>
      <c r="AB1716">
        <v>38</v>
      </c>
      <c r="AC1716" t="s">
        <v>190</v>
      </c>
      <c r="AD1716" t="s">
        <v>191</v>
      </c>
      <c r="AE1716" t="s">
        <v>192</v>
      </c>
      <c r="AF1716" t="s">
        <v>4170</v>
      </c>
      <c r="AG1716" t="s">
        <v>4171</v>
      </c>
      <c r="AH1716" t="s">
        <v>4172</v>
      </c>
      <c r="AJ1716" s="2">
        <v>45777.868113425924</v>
      </c>
      <c r="AK1716" t="s">
        <v>190</v>
      </c>
      <c r="AL1716" t="s">
        <v>65</v>
      </c>
      <c r="AM1716" s="3">
        <v>2.3402777777777777</v>
      </c>
      <c r="AN1716" t="s">
        <v>66</v>
      </c>
      <c r="AO1716" t="s">
        <v>67</v>
      </c>
    </row>
    <row r="1717" spans="1:41" x14ac:dyDescent="0.2">
      <c r="A1717">
        <v>370559</v>
      </c>
      <c r="B1717" t="s">
        <v>11657</v>
      </c>
      <c r="C1717" t="s">
        <v>182</v>
      </c>
      <c r="D1717" t="s">
        <v>183</v>
      </c>
      <c r="E1717" t="s">
        <v>11658</v>
      </c>
      <c r="F1717">
        <v>45433</v>
      </c>
      <c r="G1717" s="1">
        <v>34516</v>
      </c>
      <c r="H1717" s="1">
        <v>45771</v>
      </c>
      <c r="I1717" s="1">
        <v>46068</v>
      </c>
      <c r="J1717" t="s">
        <v>45</v>
      </c>
      <c r="K1717" t="s">
        <v>45</v>
      </c>
      <c r="L1717" t="s">
        <v>72</v>
      </c>
      <c r="M1717" s="1">
        <v>42810</v>
      </c>
      <c r="N1717" t="s">
        <v>47</v>
      </c>
      <c r="O1717" t="s">
        <v>48</v>
      </c>
      <c r="P1717" t="s">
        <v>49</v>
      </c>
      <c r="Q1717" t="s">
        <v>11659</v>
      </c>
      <c r="R1717" t="s">
        <v>11660</v>
      </c>
      <c r="S1717">
        <v>1575</v>
      </c>
      <c r="T1717" t="s">
        <v>92</v>
      </c>
      <c r="U1717" t="s">
        <v>187</v>
      </c>
      <c r="V1717" t="s">
        <v>188</v>
      </c>
      <c r="W1717" t="s">
        <v>189</v>
      </c>
      <c r="X1717" t="s">
        <v>92</v>
      </c>
      <c r="Y1717" t="s">
        <v>110</v>
      </c>
      <c r="Z1717">
        <v>1303</v>
      </c>
      <c r="AA1717">
        <v>65</v>
      </c>
      <c r="AB1717">
        <v>38</v>
      </c>
      <c r="AC1717" t="s">
        <v>190</v>
      </c>
      <c r="AD1717" t="s">
        <v>191</v>
      </c>
      <c r="AE1717" t="s">
        <v>192</v>
      </c>
      <c r="AF1717" t="s">
        <v>4170</v>
      </c>
      <c r="AG1717" t="s">
        <v>4171</v>
      </c>
      <c r="AH1717" t="s">
        <v>4172</v>
      </c>
      <c r="AJ1717" s="2">
        <v>45777.866238425922</v>
      </c>
      <c r="AK1717" t="s">
        <v>190</v>
      </c>
      <c r="AL1717" t="s">
        <v>65</v>
      </c>
      <c r="AM1717" s="3">
        <v>2.3333333333333335</v>
      </c>
      <c r="AN1717" t="s">
        <v>66</v>
      </c>
      <c r="AO1717" t="s">
        <v>67</v>
      </c>
    </row>
    <row r="1718" spans="1:41" x14ac:dyDescent="0.2">
      <c r="A1718">
        <v>361499</v>
      </c>
      <c r="B1718" t="s">
        <v>11661</v>
      </c>
      <c r="C1718" t="s">
        <v>182</v>
      </c>
      <c r="D1718" t="s">
        <v>2636</v>
      </c>
      <c r="E1718" t="s">
        <v>11662</v>
      </c>
      <c r="F1718">
        <v>43011</v>
      </c>
      <c r="G1718" s="1">
        <v>36073</v>
      </c>
      <c r="H1718" s="1">
        <v>45342</v>
      </c>
      <c r="J1718" t="s">
        <v>45</v>
      </c>
      <c r="K1718" t="s">
        <v>326</v>
      </c>
      <c r="L1718" t="s">
        <v>72</v>
      </c>
      <c r="M1718" s="1">
        <v>45342</v>
      </c>
      <c r="N1718" t="s">
        <v>47</v>
      </c>
      <c r="O1718" t="s">
        <v>48</v>
      </c>
      <c r="P1718" t="s">
        <v>49</v>
      </c>
      <c r="Q1718" t="s">
        <v>11663</v>
      </c>
      <c r="R1718" t="s">
        <v>11664</v>
      </c>
      <c r="S1718">
        <v>1948</v>
      </c>
      <c r="T1718" t="s">
        <v>92</v>
      </c>
      <c r="U1718" t="s">
        <v>187</v>
      </c>
      <c r="V1718" t="s">
        <v>11368</v>
      </c>
      <c r="W1718" t="s">
        <v>448</v>
      </c>
      <c r="X1718" t="s">
        <v>449</v>
      </c>
      <c r="Y1718" t="s">
        <v>770</v>
      </c>
      <c r="Z1718">
        <v>1509</v>
      </c>
      <c r="AA1718">
        <v>27</v>
      </c>
      <c r="AB1718">
        <v>52</v>
      </c>
      <c r="AC1718" t="s">
        <v>11369</v>
      </c>
      <c r="AD1718" t="s">
        <v>11370</v>
      </c>
      <c r="AE1718" t="s">
        <v>11371</v>
      </c>
      <c r="AF1718" t="s">
        <v>11665</v>
      </c>
      <c r="AH1718" t="s">
        <v>11373</v>
      </c>
      <c r="AJ1718" s="2">
        <v>45455.776076388887</v>
      </c>
      <c r="AK1718" t="s">
        <v>149</v>
      </c>
      <c r="AL1718" t="s">
        <v>65</v>
      </c>
      <c r="AM1718" s="4">
        <v>9.0277777777777776E-2</v>
      </c>
      <c r="AN1718" t="s">
        <v>66</v>
      </c>
      <c r="AO1718" t="s">
        <v>67</v>
      </c>
    </row>
    <row r="1719" spans="1:41" x14ac:dyDescent="0.2">
      <c r="A1719">
        <v>371624</v>
      </c>
      <c r="B1719" t="s">
        <v>11666</v>
      </c>
      <c r="C1719" t="s">
        <v>42</v>
      </c>
      <c r="D1719" t="s">
        <v>3523</v>
      </c>
      <c r="E1719" t="s">
        <v>11667</v>
      </c>
      <c r="F1719">
        <v>293301</v>
      </c>
      <c r="G1719" s="1">
        <v>30845</v>
      </c>
      <c r="H1719" s="1">
        <v>45813</v>
      </c>
      <c r="I1719" s="1">
        <v>46174</v>
      </c>
      <c r="J1719" t="s">
        <v>45</v>
      </c>
      <c r="K1719" t="s">
        <v>45</v>
      </c>
      <c r="L1719" t="s">
        <v>429</v>
      </c>
      <c r="M1719" s="1">
        <v>44033</v>
      </c>
      <c r="N1719" t="s">
        <v>47</v>
      </c>
      <c r="O1719" t="s">
        <v>48</v>
      </c>
      <c r="P1719" t="s">
        <v>49</v>
      </c>
      <c r="Q1719" t="s">
        <v>11668</v>
      </c>
      <c r="R1719" t="s">
        <v>11669</v>
      </c>
      <c r="S1719">
        <v>7514</v>
      </c>
      <c r="T1719" t="s">
        <v>365</v>
      </c>
      <c r="U1719" t="s">
        <v>432</v>
      </c>
      <c r="V1719" t="s">
        <v>5915</v>
      </c>
      <c r="W1719" t="s">
        <v>367</v>
      </c>
      <c r="X1719" t="s">
        <v>55</v>
      </c>
      <c r="Y1719" t="s">
        <v>434</v>
      </c>
      <c r="Z1719">
        <v>224</v>
      </c>
      <c r="AA1719">
        <v>60</v>
      </c>
      <c r="AB1719">
        <v>34</v>
      </c>
      <c r="AC1719" t="s">
        <v>5916</v>
      </c>
      <c r="AD1719" t="s">
        <v>5917</v>
      </c>
      <c r="AE1719" t="s">
        <v>5918</v>
      </c>
      <c r="AF1719" t="s">
        <v>5115</v>
      </c>
      <c r="AG1719" t="s">
        <v>5116</v>
      </c>
      <c r="AH1719" t="s">
        <v>5117</v>
      </c>
      <c r="AI1719" t="s">
        <v>179</v>
      </c>
      <c r="AJ1719" s="2">
        <v>45817.723692129628</v>
      </c>
      <c r="AK1719" t="s">
        <v>64</v>
      </c>
      <c r="AL1719" t="s">
        <v>65</v>
      </c>
      <c r="AM1719" s="3">
        <v>1.0763888888888888</v>
      </c>
      <c r="AN1719" t="s">
        <v>66</v>
      </c>
      <c r="AO1719" t="s">
        <v>67</v>
      </c>
    </row>
    <row r="1720" spans="1:41" x14ac:dyDescent="0.2">
      <c r="A1720">
        <v>356463</v>
      </c>
      <c r="B1720" t="s">
        <v>11670</v>
      </c>
      <c r="C1720" t="s">
        <v>692</v>
      </c>
      <c r="D1720" t="s">
        <v>3845</v>
      </c>
      <c r="E1720">
        <v>32842174</v>
      </c>
      <c r="F1720">
        <v>480111</v>
      </c>
      <c r="G1720" s="1">
        <v>39962</v>
      </c>
      <c r="H1720" s="1">
        <v>44497</v>
      </c>
      <c r="J1720" t="s">
        <v>326</v>
      </c>
      <c r="K1720" t="s">
        <v>72</v>
      </c>
      <c r="L1720" t="s">
        <v>72</v>
      </c>
      <c r="M1720" s="1">
        <v>43320</v>
      </c>
      <c r="N1720" t="s">
        <v>47</v>
      </c>
      <c r="O1720" t="s">
        <v>48</v>
      </c>
      <c r="P1720" t="s">
        <v>49</v>
      </c>
      <c r="Q1720" t="s">
        <v>11671</v>
      </c>
      <c r="R1720" t="s">
        <v>11672</v>
      </c>
      <c r="S1720">
        <v>6300</v>
      </c>
      <c r="T1720" t="s">
        <v>257</v>
      </c>
      <c r="U1720" t="s">
        <v>283</v>
      </c>
      <c r="V1720" t="s">
        <v>2084</v>
      </c>
      <c r="W1720" t="s">
        <v>260</v>
      </c>
      <c r="X1720" t="s">
        <v>257</v>
      </c>
      <c r="Y1720" t="s">
        <v>642</v>
      </c>
      <c r="Z1720">
        <v>2995</v>
      </c>
      <c r="AA1720">
        <v>23</v>
      </c>
      <c r="AB1720">
        <v>138</v>
      </c>
      <c r="AC1720" t="s">
        <v>2085</v>
      </c>
      <c r="AD1720" t="s">
        <v>2086</v>
      </c>
      <c r="AE1720" t="s">
        <v>2087</v>
      </c>
      <c r="AI1720" t="s">
        <v>2086</v>
      </c>
      <c r="AJ1720" s="2">
        <v>45313.589814814812</v>
      </c>
      <c r="AK1720" t="s">
        <v>149</v>
      </c>
      <c r="AL1720" t="s">
        <v>862</v>
      </c>
      <c r="AM1720" s="3">
        <v>1.0486111111111112</v>
      </c>
      <c r="AN1720" t="s">
        <v>66</v>
      </c>
      <c r="AO1720" t="s">
        <v>67</v>
      </c>
    </row>
    <row r="1721" spans="1:41" x14ac:dyDescent="0.2">
      <c r="A1721">
        <v>372041</v>
      </c>
      <c r="B1721" t="s">
        <v>11673</v>
      </c>
      <c r="C1721" t="s">
        <v>309</v>
      </c>
      <c r="D1721" t="s">
        <v>8539</v>
      </c>
      <c r="E1721" t="s">
        <v>11674</v>
      </c>
      <c r="F1721">
        <v>495010</v>
      </c>
      <c r="G1721" s="1">
        <v>39877</v>
      </c>
      <c r="H1721" s="1">
        <v>45824</v>
      </c>
      <c r="I1721" s="1">
        <v>46204</v>
      </c>
      <c r="J1721" t="s">
        <v>45</v>
      </c>
      <c r="K1721" t="s">
        <v>72</v>
      </c>
      <c r="L1721" t="s">
        <v>72</v>
      </c>
      <c r="M1721" s="1">
        <v>44886</v>
      </c>
      <c r="N1721" t="s">
        <v>47</v>
      </c>
      <c r="O1721" t="s">
        <v>48</v>
      </c>
      <c r="P1721" t="s">
        <v>49</v>
      </c>
      <c r="Q1721" t="s">
        <v>11675</v>
      </c>
      <c r="R1721" t="s">
        <v>11676</v>
      </c>
      <c r="S1721">
        <v>86</v>
      </c>
      <c r="T1721" t="s">
        <v>92</v>
      </c>
      <c r="U1721" t="s">
        <v>313</v>
      </c>
      <c r="V1721" t="s">
        <v>314</v>
      </c>
      <c r="W1721" t="s">
        <v>315</v>
      </c>
      <c r="X1721" t="s">
        <v>92</v>
      </c>
      <c r="Y1721" t="s">
        <v>110</v>
      </c>
      <c r="Z1721">
        <v>3057</v>
      </c>
      <c r="AA1721">
        <v>24</v>
      </c>
      <c r="AB1721">
        <v>80</v>
      </c>
      <c r="AC1721" t="s">
        <v>316</v>
      </c>
      <c r="AD1721" t="s">
        <v>317</v>
      </c>
      <c r="AE1721" t="s">
        <v>318</v>
      </c>
      <c r="AF1721" t="s">
        <v>10022</v>
      </c>
      <c r="AG1721" t="s">
        <v>10023</v>
      </c>
      <c r="AH1721" t="s">
        <v>10024</v>
      </c>
      <c r="AI1721" t="s">
        <v>317</v>
      </c>
      <c r="AJ1721" s="2">
        <v>45827.998900462961</v>
      </c>
      <c r="AK1721" t="s">
        <v>316</v>
      </c>
      <c r="AL1721" t="s">
        <v>475</v>
      </c>
      <c r="AM1721" s="3">
        <v>1.4444444444444444</v>
      </c>
      <c r="AN1721" t="s">
        <v>66</v>
      </c>
      <c r="AO1721" t="s">
        <v>67</v>
      </c>
    </row>
    <row r="1722" spans="1:41" x14ac:dyDescent="0.2">
      <c r="A1722">
        <v>370401</v>
      </c>
      <c r="B1722" t="s">
        <v>11677</v>
      </c>
      <c r="C1722" t="s">
        <v>542</v>
      </c>
      <c r="D1722" t="s">
        <v>11678</v>
      </c>
      <c r="E1722" s="5" t="s">
        <v>11679</v>
      </c>
      <c r="F1722">
        <v>360432</v>
      </c>
      <c r="G1722" s="1">
        <v>41612</v>
      </c>
      <c r="H1722" s="1">
        <v>45636</v>
      </c>
      <c r="J1722" t="s">
        <v>45</v>
      </c>
      <c r="K1722" t="s">
        <v>45</v>
      </c>
      <c r="L1722" t="s">
        <v>72</v>
      </c>
      <c r="N1722" t="s">
        <v>47</v>
      </c>
      <c r="O1722" t="s">
        <v>48</v>
      </c>
      <c r="P1722" t="s">
        <v>586</v>
      </c>
      <c r="Q1722" t="s">
        <v>11680</v>
      </c>
      <c r="R1722" t="s">
        <v>11681</v>
      </c>
      <c r="S1722">
        <v>625</v>
      </c>
      <c r="T1722" t="s">
        <v>92</v>
      </c>
      <c r="U1722" t="s">
        <v>1133</v>
      </c>
      <c r="V1722" t="s">
        <v>1134</v>
      </c>
      <c r="W1722" t="s">
        <v>9366</v>
      </c>
      <c r="X1722" t="s">
        <v>92</v>
      </c>
      <c r="Y1722" t="s">
        <v>770</v>
      </c>
      <c r="Z1722">
        <v>6726</v>
      </c>
      <c r="AA1722">
        <v>21</v>
      </c>
      <c r="AB1722">
        <v>78</v>
      </c>
      <c r="AC1722" t="s">
        <v>9367</v>
      </c>
      <c r="AD1722" t="s">
        <v>9368</v>
      </c>
      <c r="AE1722" t="s">
        <v>9369</v>
      </c>
      <c r="AF1722" t="s">
        <v>9370</v>
      </c>
      <c r="AG1722" t="s">
        <v>9371</v>
      </c>
      <c r="AH1722" t="s">
        <v>11682</v>
      </c>
      <c r="AI1722" t="s">
        <v>9373</v>
      </c>
      <c r="AJ1722" s="2">
        <v>45775.54074074074</v>
      </c>
      <c r="AK1722" t="s">
        <v>9367</v>
      </c>
      <c r="AL1722" t="s">
        <v>65</v>
      </c>
      <c r="AM1722" s="4">
        <v>0.75694444444444442</v>
      </c>
      <c r="AN1722" t="s">
        <v>66</v>
      </c>
      <c r="AO1722" t="s">
        <v>67</v>
      </c>
    </row>
    <row r="1723" spans="1:41" x14ac:dyDescent="0.2">
      <c r="A1723">
        <v>372723</v>
      </c>
      <c r="B1723" t="s">
        <v>11683</v>
      </c>
      <c r="C1723" t="s">
        <v>345</v>
      </c>
      <c r="E1723" t="s">
        <v>11684</v>
      </c>
      <c r="F1723">
        <v>53501</v>
      </c>
      <c r="G1723" s="1">
        <v>38850</v>
      </c>
      <c r="H1723" s="1">
        <v>45551</v>
      </c>
      <c r="I1723" s="1">
        <v>46218</v>
      </c>
      <c r="J1723" t="s">
        <v>45</v>
      </c>
      <c r="K1723" t="s">
        <v>45</v>
      </c>
      <c r="L1723" t="s">
        <v>72</v>
      </c>
      <c r="M1723" s="1">
        <v>41186</v>
      </c>
      <c r="N1723" t="s">
        <v>47</v>
      </c>
      <c r="O1723" t="s">
        <v>48</v>
      </c>
      <c r="P1723" t="s">
        <v>49</v>
      </c>
      <c r="Q1723" t="s">
        <v>11685</v>
      </c>
      <c r="R1723" t="s">
        <v>11686</v>
      </c>
      <c r="S1723">
        <v>8489</v>
      </c>
      <c r="T1723" t="s">
        <v>52</v>
      </c>
      <c r="U1723">
        <v>2</v>
      </c>
      <c r="V1723" t="s">
        <v>1522</v>
      </c>
      <c r="W1723" t="s">
        <v>54</v>
      </c>
      <c r="X1723" t="s">
        <v>55</v>
      </c>
      <c r="Y1723" t="s">
        <v>56</v>
      </c>
      <c r="Z1723">
        <v>2248</v>
      </c>
      <c r="AA1723">
        <v>42</v>
      </c>
      <c r="AB1723">
        <v>158</v>
      </c>
      <c r="AC1723" t="s">
        <v>1526</v>
      </c>
      <c r="AD1723" t="s">
        <v>1527</v>
      </c>
      <c r="AE1723" t="s">
        <v>1528</v>
      </c>
      <c r="AF1723" t="s">
        <v>7766</v>
      </c>
      <c r="AG1723" t="s">
        <v>7767</v>
      </c>
      <c r="AH1723" t="s">
        <v>7768</v>
      </c>
      <c r="AI1723" t="s">
        <v>7769</v>
      </c>
      <c r="AJ1723" s="2">
        <v>45852.487245370372</v>
      </c>
      <c r="AK1723" t="s">
        <v>132</v>
      </c>
      <c r="AL1723" t="s">
        <v>65</v>
      </c>
      <c r="AM1723" s="3">
        <v>2.2708333333333335</v>
      </c>
      <c r="AN1723" t="s">
        <v>66</v>
      </c>
      <c r="AO1723" t="s">
        <v>67</v>
      </c>
    </row>
    <row r="1724" spans="1:41" x14ac:dyDescent="0.2">
      <c r="A1724">
        <v>371762</v>
      </c>
      <c r="B1724" t="s">
        <v>11687</v>
      </c>
      <c r="C1724" t="s">
        <v>323</v>
      </c>
      <c r="D1724" t="s">
        <v>324</v>
      </c>
      <c r="E1724" t="s">
        <v>11688</v>
      </c>
      <c r="F1724">
        <v>500753</v>
      </c>
      <c r="G1724" s="1">
        <v>38552</v>
      </c>
      <c r="H1724" s="1">
        <v>45800</v>
      </c>
      <c r="I1724" s="1">
        <v>46037</v>
      </c>
      <c r="J1724" t="s">
        <v>45</v>
      </c>
      <c r="K1724" t="s">
        <v>45</v>
      </c>
      <c r="L1724" t="s">
        <v>72</v>
      </c>
      <c r="M1724" s="1">
        <v>45076</v>
      </c>
      <c r="N1724" t="s">
        <v>47</v>
      </c>
      <c r="O1724" t="s">
        <v>48</v>
      </c>
      <c r="P1724" t="s">
        <v>1752</v>
      </c>
      <c r="Q1724" t="s">
        <v>11689</v>
      </c>
      <c r="R1724" t="s">
        <v>11690</v>
      </c>
      <c r="S1724">
        <v>674</v>
      </c>
      <c r="T1724" t="s">
        <v>1328</v>
      </c>
      <c r="U1724" t="s">
        <v>3114</v>
      </c>
      <c r="V1724" t="s">
        <v>3115</v>
      </c>
      <c r="W1724" t="s">
        <v>3116</v>
      </c>
      <c r="X1724" t="s">
        <v>1328</v>
      </c>
      <c r="Y1724" t="s">
        <v>110</v>
      </c>
      <c r="Z1724">
        <v>2748</v>
      </c>
      <c r="AA1724">
        <v>23</v>
      </c>
      <c r="AB1724">
        <v>152</v>
      </c>
      <c r="AC1724" t="s">
        <v>2833</v>
      </c>
      <c r="AD1724" t="s">
        <v>2834</v>
      </c>
      <c r="AE1724" t="s">
        <v>2835</v>
      </c>
      <c r="AF1724" t="s">
        <v>368</v>
      </c>
      <c r="AG1724" t="s">
        <v>369</v>
      </c>
      <c r="AH1724" t="s">
        <v>370</v>
      </c>
      <c r="AJ1724" s="2">
        <v>45818.884236111109</v>
      </c>
      <c r="AK1724" t="s">
        <v>727</v>
      </c>
      <c r="AL1724" t="s">
        <v>65</v>
      </c>
      <c r="AM1724" s="3">
        <v>1.0416666666666667</v>
      </c>
      <c r="AN1724" t="s">
        <v>66</v>
      </c>
      <c r="AO1724" t="s">
        <v>67</v>
      </c>
    </row>
    <row r="1725" spans="1:41" x14ac:dyDescent="0.2">
      <c r="A1725">
        <v>371866</v>
      </c>
      <c r="B1725" t="s">
        <v>11691</v>
      </c>
      <c r="C1725" t="s">
        <v>735</v>
      </c>
      <c r="D1725" t="s">
        <v>10316</v>
      </c>
      <c r="E1725" t="s">
        <v>11692</v>
      </c>
      <c r="F1725">
        <v>240809</v>
      </c>
      <c r="G1725" s="1">
        <v>35635</v>
      </c>
      <c r="H1725" s="1">
        <v>45814</v>
      </c>
      <c r="I1725" s="1">
        <v>46174</v>
      </c>
      <c r="J1725" t="s">
        <v>45</v>
      </c>
      <c r="K1725" t="s">
        <v>45</v>
      </c>
      <c r="L1725" t="s">
        <v>429</v>
      </c>
      <c r="M1725" s="1">
        <v>36096</v>
      </c>
      <c r="N1725" t="s">
        <v>47</v>
      </c>
      <c r="O1725" t="s">
        <v>48</v>
      </c>
      <c r="P1725" t="s">
        <v>49</v>
      </c>
      <c r="Q1725" t="s">
        <v>11693</v>
      </c>
      <c r="R1725" t="s">
        <v>11694</v>
      </c>
      <c r="S1725">
        <v>3080</v>
      </c>
      <c r="T1725" t="s">
        <v>365</v>
      </c>
      <c r="U1725" t="s">
        <v>969</v>
      </c>
      <c r="V1725" t="s">
        <v>970</v>
      </c>
      <c r="W1725" t="s">
        <v>367</v>
      </c>
      <c r="X1725" t="s">
        <v>76</v>
      </c>
      <c r="Y1725" t="s">
        <v>434</v>
      </c>
      <c r="Z1725">
        <v>1316</v>
      </c>
      <c r="AA1725">
        <v>58</v>
      </c>
      <c r="AB1725">
        <v>142</v>
      </c>
      <c r="AC1725" t="s">
        <v>971</v>
      </c>
      <c r="AD1725" t="s">
        <v>972</v>
      </c>
      <c r="AE1725" t="s">
        <v>973</v>
      </c>
      <c r="AF1725" t="s">
        <v>974</v>
      </c>
      <c r="AG1725" t="s">
        <v>975</v>
      </c>
      <c r="AH1725" t="s">
        <v>976</v>
      </c>
      <c r="AI1725" t="s">
        <v>3008</v>
      </c>
      <c r="AJ1725" s="2">
        <v>45821.607372685183</v>
      </c>
      <c r="AK1725" t="s">
        <v>568</v>
      </c>
      <c r="AL1725" t="s">
        <v>65</v>
      </c>
      <c r="AM1725" s="3">
        <v>1.7222222222222223</v>
      </c>
      <c r="AN1725" t="s">
        <v>66</v>
      </c>
      <c r="AO1725" t="s">
        <v>67</v>
      </c>
    </row>
    <row r="1726" spans="1:41" x14ac:dyDescent="0.2">
      <c r="A1726">
        <v>370354</v>
      </c>
      <c r="B1726" t="s">
        <v>11695</v>
      </c>
      <c r="C1726" t="s">
        <v>278</v>
      </c>
      <c r="D1726" t="s">
        <v>427</v>
      </c>
      <c r="E1726" t="s">
        <v>11696</v>
      </c>
      <c r="F1726">
        <v>101890</v>
      </c>
      <c r="G1726" s="1">
        <v>45413</v>
      </c>
      <c r="H1726" s="1">
        <v>45771</v>
      </c>
      <c r="I1726" s="1">
        <v>46127</v>
      </c>
      <c r="J1726" t="s">
        <v>45</v>
      </c>
      <c r="K1726" t="s">
        <v>45</v>
      </c>
      <c r="L1726" t="s">
        <v>72</v>
      </c>
      <c r="M1726" s="1">
        <v>42045</v>
      </c>
      <c r="N1726" t="s">
        <v>89</v>
      </c>
      <c r="O1726" t="s">
        <v>121</v>
      </c>
      <c r="P1726" t="s">
        <v>49</v>
      </c>
      <c r="Q1726" t="s">
        <v>11697</v>
      </c>
      <c r="R1726" t="s">
        <v>11698</v>
      </c>
      <c r="S1726">
        <v>7851</v>
      </c>
      <c r="T1726" t="s">
        <v>52</v>
      </c>
      <c r="U1726">
        <v>4</v>
      </c>
      <c r="V1726" t="s">
        <v>2102</v>
      </c>
      <c r="W1726" t="s">
        <v>54</v>
      </c>
      <c r="X1726" t="s">
        <v>52</v>
      </c>
      <c r="Y1726" t="s">
        <v>125</v>
      </c>
      <c r="Z1726">
        <v>1368</v>
      </c>
      <c r="AA1726">
        <v>117</v>
      </c>
      <c r="AB1726">
        <v>38</v>
      </c>
      <c r="AC1726" t="s">
        <v>2103</v>
      </c>
      <c r="AD1726" t="s">
        <v>2104</v>
      </c>
      <c r="AE1726" t="s">
        <v>2105</v>
      </c>
      <c r="AF1726" t="s">
        <v>11699</v>
      </c>
      <c r="AG1726" t="s">
        <v>11700</v>
      </c>
      <c r="AH1726" t="s">
        <v>11701</v>
      </c>
      <c r="AI1726" t="s">
        <v>4415</v>
      </c>
      <c r="AJ1726" s="2">
        <v>45771.503576388888</v>
      </c>
      <c r="AK1726" t="s">
        <v>800</v>
      </c>
      <c r="AL1726" t="s">
        <v>65</v>
      </c>
      <c r="AM1726" s="3">
        <v>1.2361111111111112</v>
      </c>
      <c r="AN1726" t="s">
        <v>66</v>
      </c>
      <c r="AO1726" t="s">
        <v>67</v>
      </c>
    </row>
    <row r="1727" spans="1:41" x14ac:dyDescent="0.2">
      <c r="A1727">
        <v>369883</v>
      </c>
      <c r="B1727" t="s">
        <v>11702</v>
      </c>
      <c r="C1727" t="s">
        <v>278</v>
      </c>
      <c r="D1727" t="s">
        <v>9825</v>
      </c>
      <c r="E1727" t="s">
        <v>11703</v>
      </c>
      <c r="F1727">
        <v>19914</v>
      </c>
      <c r="G1727" s="1">
        <v>45413</v>
      </c>
      <c r="H1727" s="1">
        <v>45741</v>
      </c>
      <c r="I1727" s="1">
        <v>46143</v>
      </c>
      <c r="J1727" t="s">
        <v>45</v>
      </c>
      <c r="K1727" t="s">
        <v>45</v>
      </c>
      <c r="L1727" t="s">
        <v>72</v>
      </c>
      <c r="M1727" s="1">
        <v>44406</v>
      </c>
      <c r="N1727" t="s">
        <v>47</v>
      </c>
      <c r="O1727" t="s">
        <v>121</v>
      </c>
      <c r="P1727" t="s">
        <v>49</v>
      </c>
      <c r="Q1727" t="s">
        <v>11704</v>
      </c>
      <c r="R1727" t="s">
        <v>11705</v>
      </c>
      <c r="S1727">
        <v>8552</v>
      </c>
      <c r="T1727" t="s">
        <v>52</v>
      </c>
      <c r="U1727">
        <v>4</v>
      </c>
      <c r="V1727" t="s">
        <v>2102</v>
      </c>
      <c r="W1727" t="s">
        <v>54</v>
      </c>
      <c r="X1727" t="s">
        <v>52</v>
      </c>
      <c r="Y1727" t="s">
        <v>125</v>
      </c>
      <c r="Z1727">
        <v>3096</v>
      </c>
      <c r="AA1727">
        <v>80</v>
      </c>
      <c r="AB1727">
        <v>38</v>
      </c>
      <c r="AC1727" t="s">
        <v>2103</v>
      </c>
      <c r="AD1727" t="s">
        <v>2104</v>
      </c>
      <c r="AE1727" t="s">
        <v>2105</v>
      </c>
      <c r="AF1727" t="s">
        <v>11706</v>
      </c>
      <c r="AG1727" t="s">
        <v>11700</v>
      </c>
      <c r="AH1727" t="s">
        <v>11707</v>
      </c>
      <c r="AJ1727" s="2">
        <v>45756.752939814818</v>
      </c>
      <c r="AK1727" t="s">
        <v>84</v>
      </c>
      <c r="AL1727" t="s">
        <v>65</v>
      </c>
      <c r="AM1727" s="3">
        <v>1.9791666666666667</v>
      </c>
      <c r="AN1727" t="s">
        <v>66</v>
      </c>
      <c r="AO1727" t="s">
        <v>67</v>
      </c>
    </row>
    <row r="1728" spans="1:41" x14ac:dyDescent="0.2">
      <c r="A1728">
        <v>370775</v>
      </c>
      <c r="B1728" t="s">
        <v>11708</v>
      </c>
      <c r="C1728" t="s">
        <v>278</v>
      </c>
      <c r="D1728" t="s">
        <v>427</v>
      </c>
      <c r="E1728" t="s">
        <v>11709</v>
      </c>
      <c r="G1728" s="1">
        <v>45784</v>
      </c>
      <c r="H1728" s="1">
        <v>45741</v>
      </c>
      <c r="I1728" s="1">
        <v>46127</v>
      </c>
      <c r="J1728" t="s">
        <v>45</v>
      </c>
      <c r="K1728" t="s">
        <v>45</v>
      </c>
      <c r="L1728" t="s">
        <v>72</v>
      </c>
      <c r="M1728" s="1">
        <v>43622</v>
      </c>
      <c r="N1728" t="s">
        <v>47</v>
      </c>
      <c r="O1728" t="s">
        <v>121</v>
      </c>
      <c r="P1728" t="s">
        <v>49</v>
      </c>
      <c r="Q1728" t="s">
        <v>11710</v>
      </c>
      <c r="R1728" t="s">
        <v>11711</v>
      </c>
      <c r="S1728">
        <v>7850</v>
      </c>
      <c r="T1728" t="s">
        <v>52</v>
      </c>
      <c r="U1728">
        <v>4</v>
      </c>
      <c r="V1728" t="s">
        <v>2102</v>
      </c>
      <c r="W1728" t="s">
        <v>54</v>
      </c>
      <c r="X1728" t="s">
        <v>52</v>
      </c>
      <c r="Y1728" t="s">
        <v>125</v>
      </c>
      <c r="Z1728">
        <v>5606</v>
      </c>
      <c r="AA1728">
        <v>80</v>
      </c>
      <c r="AB1728">
        <v>34</v>
      </c>
      <c r="AC1728" t="s">
        <v>2103</v>
      </c>
      <c r="AD1728" t="s">
        <v>2104</v>
      </c>
      <c r="AE1728" t="s">
        <v>2105</v>
      </c>
      <c r="AF1728" t="s">
        <v>11699</v>
      </c>
      <c r="AG1728" t="s">
        <v>11700</v>
      </c>
      <c r="AH1728" t="s">
        <v>11707</v>
      </c>
      <c r="AI1728" t="s">
        <v>4415</v>
      </c>
      <c r="AJ1728" s="2">
        <v>45784.638055555559</v>
      </c>
      <c r="AK1728" t="s">
        <v>2068</v>
      </c>
      <c r="AL1728" t="s">
        <v>65</v>
      </c>
      <c r="AM1728" s="3">
        <v>1.5138888888888888</v>
      </c>
      <c r="AN1728" t="s">
        <v>66</v>
      </c>
      <c r="AO1728" t="s">
        <v>67</v>
      </c>
    </row>
    <row r="1729" spans="1:41" x14ac:dyDescent="0.2">
      <c r="A1729">
        <v>372244</v>
      </c>
      <c r="B1729" t="s">
        <v>11712</v>
      </c>
      <c r="C1729" t="s">
        <v>182</v>
      </c>
      <c r="D1729" t="s">
        <v>894</v>
      </c>
      <c r="E1729" t="s">
        <v>11713</v>
      </c>
      <c r="F1729">
        <v>40609</v>
      </c>
      <c r="G1729" s="1">
        <v>35389</v>
      </c>
      <c r="H1729" s="1">
        <v>45832</v>
      </c>
      <c r="I1729" s="1">
        <v>46204</v>
      </c>
      <c r="J1729" t="s">
        <v>45</v>
      </c>
      <c r="K1729" t="s">
        <v>45</v>
      </c>
      <c r="L1729" t="s">
        <v>429</v>
      </c>
      <c r="M1729" s="1">
        <v>45103</v>
      </c>
      <c r="N1729" t="s">
        <v>47</v>
      </c>
      <c r="O1729" t="s">
        <v>48</v>
      </c>
      <c r="P1729" t="s">
        <v>49</v>
      </c>
      <c r="Q1729" t="s">
        <v>11714</v>
      </c>
      <c r="R1729" t="s">
        <v>11715</v>
      </c>
      <c r="S1729">
        <v>5732</v>
      </c>
      <c r="T1729" t="s">
        <v>52</v>
      </c>
      <c r="U1729">
        <v>5</v>
      </c>
      <c r="V1729" t="s">
        <v>2771</v>
      </c>
      <c r="W1729" t="s">
        <v>54</v>
      </c>
      <c r="X1729" t="s">
        <v>493</v>
      </c>
      <c r="Y1729" t="s">
        <v>434</v>
      </c>
      <c r="Z1729">
        <v>702</v>
      </c>
      <c r="AA1729">
        <v>88</v>
      </c>
      <c r="AB1729">
        <v>210</v>
      </c>
      <c r="AC1729" t="s">
        <v>10644</v>
      </c>
      <c r="AD1729" t="s">
        <v>10645</v>
      </c>
      <c r="AE1729" t="s">
        <v>10646</v>
      </c>
      <c r="AF1729" t="s">
        <v>10647</v>
      </c>
      <c r="AG1729" t="s">
        <v>10648</v>
      </c>
      <c r="AH1729" t="s">
        <v>10649</v>
      </c>
      <c r="AI1729" t="s">
        <v>4957</v>
      </c>
      <c r="AJ1729" s="2">
        <v>45834.921817129631</v>
      </c>
      <c r="AK1729" t="s">
        <v>501</v>
      </c>
      <c r="AL1729" t="s">
        <v>65</v>
      </c>
      <c r="AM1729" s="3">
        <v>2.1944444444444446</v>
      </c>
      <c r="AN1729" t="s">
        <v>66</v>
      </c>
      <c r="AO1729" t="s">
        <v>67</v>
      </c>
    </row>
    <row r="1730" spans="1:41" x14ac:dyDescent="0.2">
      <c r="A1730">
        <v>372458</v>
      </c>
      <c r="B1730" t="s">
        <v>11716</v>
      </c>
      <c r="C1730" t="s">
        <v>134</v>
      </c>
      <c r="D1730" t="s">
        <v>7411</v>
      </c>
      <c r="E1730" t="s">
        <v>11717</v>
      </c>
      <c r="F1730">
        <v>451504</v>
      </c>
      <c r="G1730" s="1">
        <v>37764</v>
      </c>
      <c r="H1730" s="1">
        <v>45839</v>
      </c>
      <c r="I1730" s="1">
        <v>46174</v>
      </c>
      <c r="J1730" t="s">
        <v>45</v>
      </c>
      <c r="K1730" t="s">
        <v>45</v>
      </c>
      <c r="L1730" t="s">
        <v>72</v>
      </c>
      <c r="M1730" s="1">
        <v>41983</v>
      </c>
      <c r="N1730" t="s">
        <v>47</v>
      </c>
      <c r="O1730" t="s">
        <v>48</v>
      </c>
      <c r="P1730" t="s">
        <v>49</v>
      </c>
      <c r="Q1730" t="s">
        <v>11718</v>
      </c>
      <c r="R1730" t="s">
        <v>11719</v>
      </c>
      <c r="S1730">
        <v>357</v>
      </c>
      <c r="T1730" t="s">
        <v>257</v>
      </c>
      <c r="U1730" t="s">
        <v>640</v>
      </c>
      <c r="V1730" t="s">
        <v>9126</v>
      </c>
      <c r="W1730" t="s">
        <v>260</v>
      </c>
      <c r="X1730" t="s">
        <v>257</v>
      </c>
      <c r="Y1730" t="s">
        <v>110</v>
      </c>
      <c r="Z1730">
        <v>2372</v>
      </c>
      <c r="AA1730">
        <v>37</v>
      </c>
      <c r="AB1730">
        <v>160</v>
      </c>
      <c r="AC1730" t="s">
        <v>9127</v>
      </c>
      <c r="AD1730" t="s">
        <v>9128</v>
      </c>
      <c r="AE1730" t="s">
        <v>9129</v>
      </c>
      <c r="AI1730" t="s">
        <v>9128</v>
      </c>
      <c r="AJ1730" s="2">
        <v>45840.478888888887</v>
      </c>
      <c r="AK1730" t="s">
        <v>132</v>
      </c>
      <c r="AL1730" t="s">
        <v>65</v>
      </c>
      <c r="AM1730" s="4">
        <v>0.50694444444444442</v>
      </c>
      <c r="AN1730" t="s">
        <v>66</v>
      </c>
      <c r="AO1730" t="s">
        <v>67</v>
      </c>
    </row>
    <row r="1731" spans="1:41" x14ac:dyDescent="0.2">
      <c r="A1731">
        <v>363627</v>
      </c>
      <c r="B1731" t="s">
        <v>11720</v>
      </c>
      <c r="C1731" t="s">
        <v>69</v>
      </c>
      <c r="D1731" t="s">
        <v>69</v>
      </c>
      <c r="E1731" t="s">
        <v>11721</v>
      </c>
      <c r="F1731">
        <v>100799</v>
      </c>
      <c r="G1731" s="1">
        <v>41576</v>
      </c>
      <c r="H1731" s="1">
        <v>45496</v>
      </c>
      <c r="I1731" s="1">
        <v>46204</v>
      </c>
      <c r="J1731" t="s">
        <v>45</v>
      </c>
      <c r="K1731" t="s">
        <v>45</v>
      </c>
      <c r="L1731" t="s">
        <v>46</v>
      </c>
      <c r="M1731" s="1">
        <v>44465</v>
      </c>
      <c r="N1731" t="s">
        <v>47</v>
      </c>
      <c r="O1731" t="s">
        <v>48</v>
      </c>
      <c r="P1731" t="s">
        <v>49</v>
      </c>
      <c r="Q1731" t="s">
        <v>11722</v>
      </c>
      <c r="R1731" t="s">
        <v>11723</v>
      </c>
      <c r="S1731">
        <v>3410</v>
      </c>
      <c r="T1731" t="s">
        <v>52</v>
      </c>
      <c r="U1731">
        <v>1</v>
      </c>
      <c r="V1731" t="s">
        <v>4698</v>
      </c>
      <c r="W1731" t="s">
        <v>54</v>
      </c>
      <c r="X1731" t="s">
        <v>76</v>
      </c>
      <c r="Y1731" t="s">
        <v>56</v>
      </c>
      <c r="Z1731">
        <v>546</v>
      </c>
      <c r="AA1731">
        <v>87</v>
      </c>
      <c r="AB1731">
        <v>38</v>
      </c>
      <c r="AC1731" t="s">
        <v>11724</v>
      </c>
      <c r="AD1731" t="s">
        <v>11725</v>
      </c>
      <c r="AE1731" t="s">
        <v>11726</v>
      </c>
      <c r="AF1731" t="s">
        <v>4702</v>
      </c>
      <c r="AG1731" t="s">
        <v>4703</v>
      </c>
      <c r="AH1731" t="s">
        <v>6200</v>
      </c>
      <c r="AI1731" t="s">
        <v>6201</v>
      </c>
      <c r="AJ1731" s="2">
        <v>45518.675810185188</v>
      </c>
      <c r="AK1731" t="s">
        <v>10133</v>
      </c>
      <c r="AL1731" t="s">
        <v>65</v>
      </c>
      <c r="AM1731" s="3">
        <v>1.9513888888888888</v>
      </c>
      <c r="AN1731" t="s">
        <v>66</v>
      </c>
      <c r="AO1731" t="s">
        <v>67</v>
      </c>
    </row>
    <row r="1732" spans="1:41" x14ac:dyDescent="0.2">
      <c r="A1732">
        <v>372991</v>
      </c>
      <c r="B1732" t="s">
        <v>11727</v>
      </c>
      <c r="C1732" t="s">
        <v>979</v>
      </c>
      <c r="D1732" t="s">
        <v>6391</v>
      </c>
      <c r="E1732" t="s">
        <v>11728</v>
      </c>
      <c r="F1732">
        <v>34503</v>
      </c>
      <c r="G1732" s="1">
        <v>39484</v>
      </c>
      <c r="H1732" s="1">
        <v>45672</v>
      </c>
      <c r="I1732" s="1">
        <v>46037</v>
      </c>
      <c r="J1732" t="s">
        <v>45</v>
      </c>
      <c r="K1732" t="s">
        <v>45</v>
      </c>
      <c r="L1732" t="s">
        <v>46</v>
      </c>
      <c r="M1732" s="1">
        <v>45261</v>
      </c>
      <c r="N1732" t="s">
        <v>47</v>
      </c>
      <c r="O1732" t="s">
        <v>48</v>
      </c>
      <c r="P1732" t="s">
        <v>49</v>
      </c>
      <c r="Q1732" t="s">
        <v>11729</v>
      </c>
      <c r="R1732" t="s">
        <v>11730</v>
      </c>
      <c r="S1732">
        <v>253</v>
      </c>
      <c r="T1732" t="s">
        <v>52</v>
      </c>
      <c r="U1732">
        <v>8</v>
      </c>
      <c r="V1732" t="s">
        <v>984</v>
      </c>
      <c r="W1732" t="s">
        <v>54</v>
      </c>
      <c r="X1732" t="s">
        <v>76</v>
      </c>
      <c r="Y1732" t="s">
        <v>56</v>
      </c>
      <c r="Z1732">
        <v>2945</v>
      </c>
      <c r="AA1732">
        <v>40</v>
      </c>
      <c r="AB1732">
        <v>142</v>
      </c>
      <c r="AC1732" t="s">
        <v>985</v>
      </c>
      <c r="AD1732" t="s">
        <v>986</v>
      </c>
      <c r="AE1732" t="s">
        <v>987</v>
      </c>
      <c r="AI1732" t="s">
        <v>988</v>
      </c>
      <c r="AJ1732" s="2">
        <v>45855.984861111108</v>
      </c>
      <c r="AK1732" t="s">
        <v>556</v>
      </c>
      <c r="AL1732" t="s">
        <v>65</v>
      </c>
      <c r="AM1732" s="3">
        <v>1.6458333333333333</v>
      </c>
      <c r="AN1732" t="s">
        <v>66</v>
      </c>
      <c r="AO1732" t="s">
        <v>67</v>
      </c>
    </row>
    <row r="1733" spans="1:41" x14ac:dyDescent="0.2">
      <c r="A1733">
        <v>369687</v>
      </c>
      <c r="B1733" t="s">
        <v>11731</v>
      </c>
      <c r="C1733" t="s">
        <v>3878</v>
      </c>
      <c r="D1733" t="s">
        <v>11732</v>
      </c>
      <c r="E1733" t="s">
        <v>11733</v>
      </c>
      <c r="F1733">
        <v>514801</v>
      </c>
      <c r="G1733" s="1">
        <v>38515</v>
      </c>
      <c r="H1733" s="1">
        <v>45616</v>
      </c>
      <c r="I1733" s="1">
        <v>45992</v>
      </c>
      <c r="J1733" t="s">
        <v>45</v>
      </c>
      <c r="K1733" t="s">
        <v>45</v>
      </c>
      <c r="L1733" t="s">
        <v>46</v>
      </c>
      <c r="M1733" s="1">
        <v>43446</v>
      </c>
      <c r="N1733" t="s">
        <v>47</v>
      </c>
      <c r="O1733" t="s">
        <v>48</v>
      </c>
      <c r="P1733" t="s">
        <v>49</v>
      </c>
      <c r="Q1733" t="s">
        <v>11734</v>
      </c>
      <c r="R1733" t="s">
        <v>11735</v>
      </c>
      <c r="S1733">
        <v>1618</v>
      </c>
      <c r="T1733" t="s">
        <v>52</v>
      </c>
      <c r="U1733">
        <v>8</v>
      </c>
      <c r="V1733" t="s">
        <v>4254</v>
      </c>
      <c r="W1733" t="s">
        <v>54</v>
      </c>
      <c r="X1733" t="s">
        <v>76</v>
      </c>
      <c r="Y1733" t="s">
        <v>56</v>
      </c>
      <c r="Z1733">
        <v>1016</v>
      </c>
      <c r="AA1733">
        <v>64</v>
      </c>
      <c r="AB1733">
        <v>45</v>
      </c>
      <c r="AC1733" t="s">
        <v>4255</v>
      </c>
      <c r="AD1733" t="s">
        <v>4256</v>
      </c>
      <c r="AE1733" t="s">
        <v>4257</v>
      </c>
      <c r="AF1733" t="s">
        <v>11736</v>
      </c>
      <c r="AG1733" t="s">
        <v>8374</v>
      </c>
      <c r="AH1733" t="s">
        <v>8375</v>
      </c>
      <c r="AI1733" t="s">
        <v>179</v>
      </c>
      <c r="AJ1733" s="2">
        <v>45749.53597222222</v>
      </c>
      <c r="AK1733" t="s">
        <v>4255</v>
      </c>
      <c r="AL1733" t="s">
        <v>65</v>
      </c>
      <c r="AM1733" s="3">
        <v>1.9097222222222223</v>
      </c>
      <c r="AN1733" t="s">
        <v>66</v>
      </c>
      <c r="AO1733" t="s">
        <v>101</v>
      </c>
    </row>
    <row r="1734" spans="1:41" x14ac:dyDescent="0.2">
      <c r="A1734">
        <v>368747</v>
      </c>
      <c r="B1734" t="s">
        <v>11737</v>
      </c>
      <c r="C1734" t="s">
        <v>2298</v>
      </c>
      <c r="D1734" t="s">
        <v>3250</v>
      </c>
      <c r="E1734" t="s">
        <v>11738</v>
      </c>
      <c r="F1734">
        <v>227202</v>
      </c>
      <c r="G1734" s="1">
        <v>37582</v>
      </c>
      <c r="H1734" s="1">
        <v>45706</v>
      </c>
      <c r="J1734" t="s">
        <v>45</v>
      </c>
      <c r="K1734" t="s">
        <v>45</v>
      </c>
      <c r="L1734" t="s">
        <v>72</v>
      </c>
      <c r="N1734" t="s">
        <v>47</v>
      </c>
      <c r="O1734" t="s">
        <v>48</v>
      </c>
      <c r="P1734" t="s">
        <v>49</v>
      </c>
      <c r="Q1734" t="s">
        <v>11739</v>
      </c>
      <c r="R1734" t="s">
        <v>11740</v>
      </c>
      <c r="S1734">
        <v>380</v>
      </c>
      <c r="T1734" t="s">
        <v>92</v>
      </c>
      <c r="U1734" t="s">
        <v>5509</v>
      </c>
      <c r="V1734" t="s">
        <v>5510</v>
      </c>
      <c r="W1734" t="s">
        <v>5511</v>
      </c>
      <c r="X1734" t="s">
        <v>52</v>
      </c>
      <c r="Y1734" t="s">
        <v>770</v>
      </c>
      <c r="Z1734">
        <v>2293</v>
      </c>
      <c r="AA1734">
        <v>37</v>
      </c>
      <c r="AB1734">
        <v>144</v>
      </c>
      <c r="AC1734" t="s">
        <v>5512</v>
      </c>
      <c r="AD1734" t="s">
        <v>5513</v>
      </c>
      <c r="AE1734" t="s">
        <v>5514</v>
      </c>
      <c r="AF1734" t="s">
        <v>5515</v>
      </c>
      <c r="AG1734" t="s">
        <v>5516</v>
      </c>
      <c r="AH1734" t="s">
        <v>5517</v>
      </c>
      <c r="AI1734" t="s">
        <v>5518</v>
      </c>
      <c r="AJ1734" s="2">
        <v>45824.58525462963</v>
      </c>
      <c r="AK1734" t="s">
        <v>5519</v>
      </c>
      <c r="AL1734" t="s">
        <v>65</v>
      </c>
      <c r="AM1734" s="4">
        <v>0.38194444444444442</v>
      </c>
      <c r="AN1734" t="s">
        <v>66</v>
      </c>
      <c r="AO1734" t="s">
        <v>67</v>
      </c>
    </row>
    <row r="1735" spans="1:41" x14ac:dyDescent="0.2">
      <c r="A1735">
        <v>365920</v>
      </c>
      <c r="B1735" t="s">
        <v>11741</v>
      </c>
      <c r="C1735" t="s">
        <v>151</v>
      </c>
      <c r="D1735" t="s">
        <v>3250</v>
      </c>
      <c r="E1735" t="s">
        <v>11742</v>
      </c>
      <c r="F1735">
        <v>382901</v>
      </c>
      <c r="G1735" s="1">
        <v>41592</v>
      </c>
      <c r="H1735" s="1">
        <v>45568</v>
      </c>
      <c r="I1735" s="1">
        <v>45945</v>
      </c>
      <c r="J1735" t="s">
        <v>45</v>
      </c>
      <c r="K1735" t="s">
        <v>45</v>
      </c>
      <c r="L1735" t="s">
        <v>72</v>
      </c>
      <c r="M1735" s="1">
        <v>44067</v>
      </c>
      <c r="N1735" t="s">
        <v>47</v>
      </c>
      <c r="O1735" t="s">
        <v>48</v>
      </c>
      <c r="P1735" t="s">
        <v>49</v>
      </c>
      <c r="Q1735" t="s">
        <v>11743</v>
      </c>
      <c r="R1735" t="s">
        <v>11744</v>
      </c>
      <c r="S1735">
        <v>93</v>
      </c>
      <c r="T1735" t="s">
        <v>92</v>
      </c>
      <c r="U1735" t="s">
        <v>6005</v>
      </c>
      <c r="V1735" t="s">
        <v>5510</v>
      </c>
      <c r="W1735" t="s">
        <v>6006</v>
      </c>
      <c r="X1735" t="s">
        <v>52</v>
      </c>
      <c r="Y1735" t="s">
        <v>110</v>
      </c>
      <c r="Z1735">
        <v>2286</v>
      </c>
      <c r="AA1735">
        <v>30</v>
      </c>
      <c r="AB1735">
        <v>45</v>
      </c>
      <c r="AC1735" t="s">
        <v>6007</v>
      </c>
      <c r="AD1735" t="s">
        <v>6008</v>
      </c>
      <c r="AE1735" t="s">
        <v>9028</v>
      </c>
      <c r="AF1735" t="s">
        <v>6010</v>
      </c>
      <c r="AG1735" t="s">
        <v>6011</v>
      </c>
      <c r="AH1735" t="s">
        <v>11745</v>
      </c>
      <c r="AI1735" t="s">
        <v>6008</v>
      </c>
      <c r="AJ1735" s="2">
        <v>45595.768240740741</v>
      </c>
      <c r="AK1735" t="s">
        <v>6007</v>
      </c>
      <c r="AL1735" t="s">
        <v>65</v>
      </c>
      <c r="AM1735" s="3">
        <v>1.8055555555555556</v>
      </c>
      <c r="AN1735" t="s">
        <v>66</v>
      </c>
      <c r="AO1735" t="s">
        <v>101</v>
      </c>
    </row>
    <row r="1736" spans="1:41" x14ac:dyDescent="0.2">
      <c r="A1736">
        <v>369536</v>
      </c>
      <c r="B1736" t="s">
        <v>11746</v>
      </c>
      <c r="C1736" t="s">
        <v>182</v>
      </c>
      <c r="D1736" t="s">
        <v>4083</v>
      </c>
      <c r="E1736" t="s">
        <v>11747</v>
      </c>
      <c r="F1736">
        <v>44106</v>
      </c>
      <c r="G1736" s="1">
        <v>32509</v>
      </c>
      <c r="H1736" s="1">
        <v>45737</v>
      </c>
      <c r="J1736" t="s">
        <v>45</v>
      </c>
      <c r="K1736" t="s">
        <v>45</v>
      </c>
      <c r="L1736" t="s">
        <v>72</v>
      </c>
      <c r="N1736" t="s">
        <v>47</v>
      </c>
      <c r="O1736" t="s">
        <v>48</v>
      </c>
      <c r="P1736" t="s">
        <v>49</v>
      </c>
      <c r="Q1736" t="s">
        <v>11748</v>
      </c>
      <c r="R1736" t="s">
        <v>11749</v>
      </c>
      <c r="S1736">
        <v>2231</v>
      </c>
      <c r="T1736" t="s">
        <v>92</v>
      </c>
      <c r="U1736" t="s">
        <v>187</v>
      </c>
      <c r="V1736" t="s">
        <v>447</v>
      </c>
      <c r="W1736" t="s">
        <v>448</v>
      </c>
      <c r="X1736" t="s">
        <v>92</v>
      </c>
      <c r="Y1736" t="s">
        <v>450</v>
      </c>
      <c r="Z1736">
        <v>1259</v>
      </c>
      <c r="AA1736">
        <v>46</v>
      </c>
      <c r="AB1736">
        <v>152</v>
      </c>
      <c r="AC1736" t="s">
        <v>451</v>
      </c>
      <c r="AD1736" t="s">
        <v>452</v>
      </c>
      <c r="AE1736" t="s">
        <v>453</v>
      </c>
      <c r="AF1736" t="s">
        <v>454</v>
      </c>
      <c r="AG1736" t="s">
        <v>473</v>
      </c>
      <c r="AH1736" t="s">
        <v>474</v>
      </c>
      <c r="AJ1736" s="2">
        <v>45743.638877314814</v>
      </c>
      <c r="AK1736" t="s">
        <v>526</v>
      </c>
      <c r="AL1736" t="s">
        <v>65</v>
      </c>
      <c r="AM1736" s="4">
        <v>0.3125</v>
      </c>
      <c r="AN1736" t="s">
        <v>66</v>
      </c>
      <c r="AO1736" t="s">
        <v>67</v>
      </c>
    </row>
    <row r="1737" spans="1:41" x14ac:dyDescent="0.2">
      <c r="A1737">
        <v>367024</v>
      </c>
      <c r="B1737" t="s">
        <v>11750</v>
      </c>
      <c r="C1737" t="s">
        <v>1107</v>
      </c>
      <c r="D1737" t="s">
        <v>4550</v>
      </c>
      <c r="E1737" t="s">
        <v>11751</v>
      </c>
      <c r="G1737" s="1">
        <v>45649</v>
      </c>
      <c r="H1737" s="1">
        <v>45656</v>
      </c>
      <c r="I1737" s="1">
        <v>45976</v>
      </c>
      <c r="J1737" t="s">
        <v>45</v>
      </c>
      <c r="K1737" t="s">
        <v>45</v>
      </c>
      <c r="L1737" t="s">
        <v>72</v>
      </c>
      <c r="M1737" s="1">
        <v>42440</v>
      </c>
      <c r="N1737" t="s">
        <v>89</v>
      </c>
      <c r="O1737" t="s">
        <v>121</v>
      </c>
      <c r="P1737" t="s">
        <v>49</v>
      </c>
      <c r="Q1737" t="s">
        <v>11752</v>
      </c>
      <c r="R1737" t="s">
        <v>11753</v>
      </c>
      <c r="S1737">
        <v>1487</v>
      </c>
      <c r="T1737" t="s">
        <v>52</v>
      </c>
      <c r="U1737">
        <v>9</v>
      </c>
      <c r="V1737" t="s">
        <v>1318</v>
      </c>
      <c r="W1737" t="s">
        <v>54</v>
      </c>
      <c r="X1737" t="s">
        <v>52</v>
      </c>
      <c r="Y1737" t="s">
        <v>125</v>
      </c>
      <c r="Z1737">
        <v>2250</v>
      </c>
      <c r="AA1737">
        <v>42</v>
      </c>
      <c r="AB1737">
        <v>210</v>
      </c>
      <c r="AC1737" t="s">
        <v>1319</v>
      </c>
      <c r="AD1737" t="s">
        <v>1322</v>
      </c>
      <c r="AE1737" t="s">
        <v>1321</v>
      </c>
      <c r="AJ1737" s="2">
        <v>45657.510324074072</v>
      </c>
      <c r="AK1737" t="s">
        <v>132</v>
      </c>
      <c r="AL1737" t="s">
        <v>65</v>
      </c>
      <c r="AM1737" s="3">
        <v>1.3020833333333333</v>
      </c>
      <c r="AN1737" t="s">
        <v>66</v>
      </c>
      <c r="AO1737" t="s">
        <v>67</v>
      </c>
    </row>
    <row r="1738" spans="1:41" x14ac:dyDescent="0.2">
      <c r="A1738">
        <v>368949</v>
      </c>
      <c r="B1738" t="s">
        <v>11754</v>
      </c>
      <c r="C1738" t="s">
        <v>182</v>
      </c>
      <c r="D1738" t="s">
        <v>11755</v>
      </c>
      <c r="E1738" t="s">
        <v>11756</v>
      </c>
      <c r="F1738">
        <v>42802</v>
      </c>
      <c r="G1738" s="1">
        <v>35909</v>
      </c>
      <c r="H1738" s="1">
        <v>45527</v>
      </c>
      <c r="I1738" s="1">
        <v>46143</v>
      </c>
      <c r="J1738" t="s">
        <v>45</v>
      </c>
      <c r="K1738" t="s">
        <v>45</v>
      </c>
      <c r="L1738" t="s">
        <v>429</v>
      </c>
      <c r="M1738" s="1">
        <v>43291</v>
      </c>
      <c r="N1738" t="s">
        <v>47</v>
      </c>
      <c r="O1738" t="s">
        <v>48</v>
      </c>
      <c r="P1738" t="s">
        <v>49</v>
      </c>
      <c r="Q1738" t="s">
        <v>11757</v>
      </c>
      <c r="R1738" t="s">
        <v>11758</v>
      </c>
      <c r="S1738">
        <v>5501</v>
      </c>
      <c r="T1738" t="s">
        <v>52</v>
      </c>
      <c r="U1738">
        <v>4</v>
      </c>
      <c r="V1738" t="s">
        <v>1271</v>
      </c>
      <c r="W1738" t="s">
        <v>54</v>
      </c>
      <c r="X1738" t="s">
        <v>493</v>
      </c>
      <c r="Y1738" t="s">
        <v>56</v>
      </c>
      <c r="Z1738">
        <v>1379</v>
      </c>
      <c r="AA1738">
        <v>56</v>
      </c>
      <c r="AB1738">
        <v>210</v>
      </c>
      <c r="AC1738" t="s">
        <v>6520</v>
      </c>
      <c r="AD1738" t="s">
        <v>6521</v>
      </c>
      <c r="AE1738" t="s">
        <v>6522</v>
      </c>
      <c r="AF1738" t="s">
        <v>6523</v>
      </c>
      <c r="AG1738" t="s">
        <v>6524</v>
      </c>
      <c r="AH1738" t="s">
        <v>6525</v>
      </c>
      <c r="AI1738" t="s">
        <v>6526</v>
      </c>
      <c r="AJ1738" s="2">
        <v>45722.922002314815</v>
      </c>
      <c r="AK1738" t="s">
        <v>1472</v>
      </c>
      <c r="AL1738" t="s">
        <v>65</v>
      </c>
      <c r="AM1738" s="3">
        <v>2.0347222222222223</v>
      </c>
      <c r="AN1738" t="s">
        <v>66</v>
      </c>
      <c r="AO1738" t="s">
        <v>67</v>
      </c>
    </row>
    <row r="1739" spans="1:41" x14ac:dyDescent="0.2">
      <c r="A1739">
        <v>369116</v>
      </c>
      <c r="B1739" t="s">
        <v>11759</v>
      </c>
      <c r="C1739" t="s">
        <v>1244</v>
      </c>
      <c r="D1739" t="s">
        <v>11760</v>
      </c>
      <c r="E1739">
        <v>33349290</v>
      </c>
      <c r="F1739">
        <v>464203</v>
      </c>
      <c r="G1739" s="1">
        <v>34642</v>
      </c>
      <c r="H1739" s="1">
        <v>45721</v>
      </c>
      <c r="I1739" s="1">
        <v>46096</v>
      </c>
      <c r="J1739" t="s">
        <v>45</v>
      </c>
      <c r="K1739" t="s">
        <v>45</v>
      </c>
      <c r="L1739" t="s">
        <v>545</v>
      </c>
      <c r="M1739" s="1">
        <v>45070</v>
      </c>
      <c r="N1739" t="s">
        <v>47</v>
      </c>
      <c r="O1739" t="s">
        <v>48</v>
      </c>
      <c r="P1739" t="s">
        <v>49</v>
      </c>
      <c r="Q1739" t="s">
        <v>11761</v>
      </c>
      <c r="R1739" t="s">
        <v>11762</v>
      </c>
      <c r="S1739">
        <v>3082</v>
      </c>
      <c r="T1739" t="s">
        <v>52</v>
      </c>
      <c r="U1739">
        <v>9</v>
      </c>
      <c r="V1739" t="s">
        <v>6027</v>
      </c>
      <c r="W1739" t="s">
        <v>54</v>
      </c>
      <c r="X1739" t="s">
        <v>76</v>
      </c>
      <c r="Y1739" t="s">
        <v>56</v>
      </c>
      <c r="Z1739">
        <v>1107</v>
      </c>
      <c r="AA1739">
        <v>48</v>
      </c>
      <c r="AB1739">
        <v>189</v>
      </c>
      <c r="AC1739" t="s">
        <v>6028</v>
      </c>
      <c r="AD1739" t="s">
        <v>6029</v>
      </c>
      <c r="AE1739" t="s">
        <v>6030</v>
      </c>
      <c r="AF1739" t="s">
        <v>11763</v>
      </c>
      <c r="AG1739" t="s">
        <v>11764</v>
      </c>
      <c r="AH1739" t="s">
        <v>11765</v>
      </c>
      <c r="AI1739" t="s">
        <v>11766</v>
      </c>
      <c r="AJ1739" s="2">
        <v>45727.616064814814</v>
      </c>
      <c r="AK1739" t="s">
        <v>2517</v>
      </c>
      <c r="AL1739" t="s">
        <v>65</v>
      </c>
      <c r="AM1739" s="3">
        <v>1.5798611111111112</v>
      </c>
      <c r="AN1739" t="s">
        <v>66</v>
      </c>
      <c r="AO1739" t="s">
        <v>101</v>
      </c>
    </row>
    <row r="1740" spans="1:41" x14ac:dyDescent="0.2">
      <c r="A1740">
        <v>369563</v>
      </c>
      <c r="B1740" t="s">
        <v>11767</v>
      </c>
      <c r="C1740" t="s">
        <v>182</v>
      </c>
      <c r="D1740" t="s">
        <v>8772</v>
      </c>
      <c r="E1740" t="s">
        <v>11768</v>
      </c>
      <c r="F1740">
        <v>40690</v>
      </c>
      <c r="G1740" s="1">
        <v>40876</v>
      </c>
      <c r="H1740" s="1">
        <v>45741</v>
      </c>
      <c r="I1740" s="1">
        <v>46113</v>
      </c>
      <c r="J1740" t="s">
        <v>45</v>
      </c>
      <c r="K1740" t="s">
        <v>45</v>
      </c>
      <c r="L1740" t="s">
        <v>429</v>
      </c>
      <c r="M1740" s="1">
        <v>39541</v>
      </c>
      <c r="N1740" t="s">
        <v>47</v>
      </c>
      <c r="O1740" t="s">
        <v>48</v>
      </c>
      <c r="P1740" t="s">
        <v>49</v>
      </c>
      <c r="Q1740" t="s">
        <v>11769</v>
      </c>
      <c r="R1740" t="s">
        <v>11770</v>
      </c>
      <c r="S1740">
        <v>2571</v>
      </c>
      <c r="T1740" t="s">
        <v>365</v>
      </c>
      <c r="U1740" t="s">
        <v>562</v>
      </c>
      <c r="V1740" t="s">
        <v>1980</v>
      </c>
      <c r="W1740" t="s">
        <v>367</v>
      </c>
      <c r="X1740" t="s">
        <v>493</v>
      </c>
      <c r="Y1740" t="s">
        <v>434</v>
      </c>
      <c r="Z1740">
        <v>1543</v>
      </c>
      <c r="AA1740">
        <v>65</v>
      </c>
      <c r="AB1740">
        <v>160</v>
      </c>
      <c r="AC1740" t="s">
        <v>11771</v>
      </c>
      <c r="AD1740" t="s">
        <v>11772</v>
      </c>
      <c r="AE1740" t="s">
        <v>11773</v>
      </c>
      <c r="AI1740" t="s">
        <v>500</v>
      </c>
      <c r="AJ1740" s="2">
        <v>45743.945370370369</v>
      </c>
      <c r="AK1740" t="s">
        <v>1472</v>
      </c>
      <c r="AL1740" t="s">
        <v>65</v>
      </c>
      <c r="AM1740" s="3">
        <v>2.1180555555555554</v>
      </c>
      <c r="AN1740" t="s">
        <v>66</v>
      </c>
      <c r="AO1740" t="s">
        <v>67</v>
      </c>
    </row>
    <row r="1741" spans="1:41" x14ac:dyDescent="0.2">
      <c r="A1741">
        <v>369693</v>
      </c>
      <c r="B1741" t="s">
        <v>11774</v>
      </c>
      <c r="C1741" t="s">
        <v>1565</v>
      </c>
      <c r="D1741" t="s">
        <v>237</v>
      </c>
      <c r="E1741" t="s">
        <v>11775</v>
      </c>
      <c r="F1741">
        <v>390701</v>
      </c>
      <c r="G1741" s="1">
        <v>39609</v>
      </c>
      <c r="H1741" s="1">
        <v>45555</v>
      </c>
      <c r="J1741" t="s">
        <v>45</v>
      </c>
      <c r="K1741" t="s">
        <v>45</v>
      </c>
      <c r="L1741" t="s">
        <v>72</v>
      </c>
      <c r="M1741" s="1">
        <v>41151</v>
      </c>
      <c r="N1741" t="s">
        <v>47</v>
      </c>
      <c r="O1741" t="s">
        <v>48</v>
      </c>
      <c r="P1741" t="s">
        <v>49</v>
      </c>
      <c r="Q1741" t="s">
        <v>11776</v>
      </c>
      <c r="R1741" t="s">
        <v>11777</v>
      </c>
      <c r="S1741">
        <v>2010</v>
      </c>
      <c r="T1741" t="s">
        <v>156</v>
      </c>
      <c r="U1741" t="s">
        <v>1018</v>
      </c>
      <c r="V1741" t="s">
        <v>11778</v>
      </c>
      <c r="W1741" t="s">
        <v>159</v>
      </c>
      <c r="X1741" t="s">
        <v>156</v>
      </c>
      <c r="Y1741" t="s">
        <v>450</v>
      </c>
      <c r="Z1741">
        <v>1553</v>
      </c>
      <c r="AA1741">
        <v>39</v>
      </c>
      <c r="AB1741">
        <v>52</v>
      </c>
      <c r="AC1741" t="s">
        <v>5841</v>
      </c>
      <c r="AD1741" t="s">
        <v>5842</v>
      </c>
      <c r="AE1741" t="s">
        <v>5843</v>
      </c>
      <c r="AF1741" t="s">
        <v>5844</v>
      </c>
      <c r="AG1741" t="s">
        <v>5845</v>
      </c>
      <c r="AH1741" t="s">
        <v>5846</v>
      </c>
      <c r="AI1741" t="s">
        <v>10685</v>
      </c>
      <c r="AJ1741" s="2">
        <v>45749.587465277778</v>
      </c>
      <c r="AK1741" t="s">
        <v>1024</v>
      </c>
      <c r="AL1741" t="s">
        <v>65</v>
      </c>
      <c r="AM1741" s="3">
        <v>2.4652777777777777</v>
      </c>
      <c r="AN1741" t="s">
        <v>66</v>
      </c>
      <c r="AO1741" t="s">
        <v>67</v>
      </c>
    </row>
    <row r="1742" spans="1:41" x14ac:dyDescent="0.2">
      <c r="A1742">
        <v>372923</v>
      </c>
      <c r="B1742" t="s">
        <v>11779</v>
      </c>
      <c r="C1742" t="s">
        <v>558</v>
      </c>
      <c r="D1742" t="s">
        <v>468</v>
      </c>
      <c r="E1742" t="s">
        <v>11780</v>
      </c>
      <c r="F1742">
        <v>260210</v>
      </c>
      <c r="G1742" s="1">
        <v>43578</v>
      </c>
      <c r="H1742" s="1">
        <v>45597</v>
      </c>
      <c r="I1742" s="1">
        <v>45931</v>
      </c>
      <c r="J1742" t="s">
        <v>45</v>
      </c>
      <c r="K1742" t="s">
        <v>45</v>
      </c>
      <c r="L1742" t="s">
        <v>46</v>
      </c>
      <c r="M1742" s="1">
        <v>45077</v>
      </c>
      <c r="N1742" t="s">
        <v>47</v>
      </c>
      <c r="O1742" t="s">
        <v>48</v>
      </c>
      <c r="P1742" t="s">
        <v>49</v>
      </c>
      <c r="Q1742" t="s">
        <v>11781</v>
      </c>
      <c r="R1742" t="s">
        <v>11782</v>
      </c>
      <c r="S1742">
        <v>6439</v>
      </c>
      <c r="T1742" t="s">
        <v>365</v>
      </c>
      <c r="U1742" t="s">
        <v>562</v>
      </c>
      <c r="V1742" t="s">
        <v>2987</v>
      </c>
      <c r="W1742" t="s">
        <v>409</v>
      </c>
      <c r="X1742" t="s">
        <v>76</v>
      </c>
      <c r="Y1742" t="s">
        <v>434</v>
      </c>
      <c r="Z1742">
        <v>10066</v>
      </c>
      <c r="AA1742">
        <v>18</v>
      </c>
      <c r="AB1742">
        <v>78</v>
      </c>
      <c r="AC1742" t="s">
        <v>11783</v>
      </c>
      <c r="AD1742" t="s">
        <v>11784</v>
      </c>
      <c r="AE1742" t="s">
        <v>11785</v>
      </c>
      <c r="AF1742" t="s">
        <v>2989</v>
      </c>
      <c r="AG1742" t="s">
        <v>2990</v>
      </c>
      <c r="AH1742" t="s">
        <v>2991</v>
      </c>
      <c r="AI1742" t="s">
        <v>4396</v>
      </c>
      <c r="AJ1742" s="2">
        <v>45855.905497685184</v>
      </c>
      <c r="AK1742" t="s">
        <v>556</v>
      </c>
      <c r="AL1742" t="s">
        <v>65</v>
      </c>
      <c r="AM1742" s="3">
        <v>1.8194444444444444</v>
      </c>
      <c r="AN1742" t="s">
        <v>66</v>
      </c>
      <c r="AO1742" t="s">
        <v>67</v>
      </c>
    </row>
    <row r="1743" spans="1:41" x14ac:dyDescent="0.2">
      <c r="A1743">
        <v>371918</v>
      </c>
      <c r="B1743" t="s">
        <v>11786</v>
      </c>
      <c r="C1743" t="s">
        <v>662</v>
      </c>
      <c r="D1743" t="s">
        <v>9789</v>
      </c>
      <c r="E1743">
        <v>88409214</v>
      </c>
      <c r="F1743">
        <v>417801</v>
      </c>
      <c r="G1743" s="1">
        <v>37636</v>
      </c>
      <c r="H1743" s="1">
        <v>45748</v>
      </c>
      <c r="I1743" s="1">
        <v>46127</v>
      </c>
      <c r="J1743" t="s">
        <v>45</v>
      </c>
      <c r="K1743" t="s">
        <v>45</v>
      </c>
      <c r="L1743" t="s">
        <v>72</v>
      </c>
      <c r="M1743" s="1">
        <v>45729</v>
      </c>
      <c r="N1743" t="s">
        <v>47</v>
      </c>
      <c r="O1743" t="s">
        <v>48</v>
      </c>
      <c r="P1743" t="s">
        <v>49</v>
      </c>
      <c r="Q1743" t="s">
        <v>11787</v>
      </c>
      <c r="R1743" t="s">
        <v>11788</v>
      </c>
      <c r="S1743">
        <v>1463</v>
      </c>
      <c r="T1743" t="s">
        <v>92</v>
      </c>
      <c r="U1743" t="s">
        <v>1197</v>
      </c>
      <c r="V1743" t="s">
        <v>1198</v>
      </c>
      <c r="W1743" t="s">
        <v>1199</v>
      </c>
      <c r="X1743" t="s">
        <v>52</v>
      </c>
      <c r="Y1743" t="s">
        <v>110</v>
      </c>
      <c r="Z1743">
        <v>2130</v>
      </c>
      <c r="AA1743">
        <v>46</v>
      </c>
      <c r="AB1743">
        <v>158</v>
      </c>
      <c r="AC1743" t="s">
        <v>1200</v>
      </c>
      <c r="AD1743" t="s">
        <v>1201</v>
      </c>
      <c r="AE1743" t="s">
        <v>1202</v>
      </c>
      <c r="AF1743" t="s">
        <v>1786</v>
      </c>
      <c r="AG1743" t="s">
        <v>1787</v>
      </c>
      <c r="AH1743" t="s">
        <v>1788</v>
      </c>
      <c r="AJ1743" s="2">
        <v>45824.823263888888</v>
      </c>
      <c r="AK1743" t="s">
        <v>1200</v>
      </c>
      <c r="AL1743" t="s">
        <v>65</v>
      </c>
      <c r="AM1743" s="4">
        <v>0.22916666666666666</v>
      </c>
      <c r="AN1743" t="s">
        <v>66</v>
      </c>
      <c r="AO1743" t="s">
        <v>67</v>
      </c>
    </row>
    <row r="1744" spans="1:41" x14ac:dyDescent="0.2">
      <c r="A1744">
        <v>367556</v>
      </c>
      <c r="B1744" t="s">
        <v>11789</v>
      </c>
      <c r="C1744" t="s">
        <v>662</v>
      </c>
      <c r="D1744" t="s">
        <v>11790</v>
      </c>
      <c r="E1744" t="s">
        <v>11791</v>
      </c>
      <c r="F1744">
        <v>418902</v>
      </c>
      <c r="G1744" s="1">
        <v>38477</v>
      </c>
      <c r="H1744" s="1">
        <v>45553</v>
      </c>
      <c r="I1744" s="1">
        <v>45931</v>
      </c>
      <c r="J1744" t="s">
        <v>45</v>
      </c>
      <c r="K1744" t="s">
        <v>45</v>
      </c>
      <c r="L1744" t="s">
        <v>72</v>
      </c>
      <c r="M1744" s="1">
        <v>41667</v>
      </c>
      <c r="N1744" t="s">
        <v>47</v>
      </c>
      <c r="O1744" t="s">
        <v>48</v>
      </c>
      <c r="P1744" t="s">
        <v>49</v>
      </c>
      <c r="Q1744" t="s">
        <v>11792</v>
      </c>
      <c r="R1744" t="s">
        <v>11793</v>
      </c>
      <c r="S1744">
        <v>1833</v>
      </c>
      <c r="T1744" t="s">
        <v>92</v>
      </c>
      <c r="U1744" t="s">
        <v>1197</v>
      </c>
      <c r="V1744" t="s">
        <v>1198</v>
      </c>
      <c r="W1744" t="s">
        <v>1199</v>
      </c>
      <c r="X1744" t="s">
        <v>52</v>
      </c>
      <c r="Y1744" t="s">
        <v>110</v>
      </c>
      <c r="Z1744">
        <v>2085</v>
      </c>
      <c r="AA1744">
        <v>34</v>
      </c>
      <c r="AB1744">
        <v>176</v>
      </c>
      <c r="AC1744" t="s">
        <v>1200</v>
      </c>
      <c r="AD1744" t="s">
        <v>1201</v>
      </c>
      <c r="AE1744" t="s">
        <v>1202</v>
      </c>
      <c r="AF1744" t="s">
        <v>1727</v>
      </c>
      <c r="AG1744" t="s">
        <v>1728</v>
      </c>
      <c r="AH1744" t="s">
        <v>1729</v>
      </c>
      <c r="AJ1744" s="2">
        <v>45680.968668981484</v>
      </c>
      <c r="AK1744" t="s">
        <v>1727</v>
      </c>
      <c r="AL1744" t="s">
        <v>65</v>
      </c>
      <c r="AM1744" s="4">
        <v>0.15277777777777779</v>
      </c>
      <c r="AN1744" t="s">
        <v>66</v>
      </c>
      <c r="AO1744" t="s">
        <v>67</v>
      </c>
    </row>
    <row r="1745" spans="1:41" x14ac:dyDescent="0.2">
      <c r="A1745">
        <v>372617</v>
      </c>
      <c r="B1745" t="s">
        <v>11794</v>
      </c>
      <c r="C1745" t="s">
        <v>662</v>
      </c>
      <c r="E1745" t="s">
        <v>11795</v>
      </c>
      <c r="F1745">
        <v>418503</v>
      </c>
      <c r="G1745" s="1">
        <v>37741</v>
      </c>
      <c r="H1745" s="1">
        <v>45616</v>
      </c>
      <c r="I1745" s="1">
        <v>45962</v>
      </c>
      <c r="J1745" t="s">
        <v>45</v>
      </c>
      <c r="K1745" t="s">
        <v>45</v>
      </c>
      <c r="L1745" t="s">
        <v>72</v>
      </c>
      <c r="M1745" s="1">
        <v>44580</v>
      </c>
      <c r="N1745" t="s">
        <v>47</v>
      </c>
      <c r="O1745" t="s">
        <v>48</v>
      </c>
      <c r="P1745" t="s">
        <v>49</v>
      </c>
      <c r="Q1745" t="s">
        <v>11796</v>
      </c>
      <c r="R1745" t="s">
        <v>11797</v>
      </c>
      <c r="S1745">
        <v>18</v>
      </c>
      <c r="T1745" t="s">
        <v>156</v>
      </c>
      <c r="U1745" t="s">
        <v>667</v>
      </c>
      <c r="V1745" t="s">
        <v>886</v>
      </c>
      <c r="W1745" t="s">
        <v>159</v>
      </c>
      <c r="X1745" t="s">
        <v>55</v>
      </c>
      <c r="Y1745" t="s">
        <v>56</v>
      </c>
      <c r="Z1745">
        <v>2385</v>
      </c>
      <c r="AA1745">
        <v>58</v>
      </c>
      <c r="AB1745">
        <v>160</v>
      </c>
      <c r="AC1745" t="s">
        <v>887</v>
      </c>
      <c r="AD1745" t="s">
        <v>888</v>
      </c>
      <c r="AE1745" t="s">
        <v>889</v>
      </c>
      <c r="AF1745" t="s">
        <v>890</v>
      </c>
      <c r="AG1745" t="s">
        <v>891</v>
      </c>
      <c r="AH1745" t="s">
        <v>892</v>
      </c>
      <c r="AI1745" t="s">
        <v>179</v>
      </c>
      <c r="AJ1745" s="2">
        <v>45847.707662037035</v>
      </c>
      <c r="AK1745" t="s">
        <v>660</v>
      </c>
      <c r="AL1745" t="s">
        <v>65</v>
      </c>
      <c r="AM1745" s="4">
        <v>0.51388888888888884</v>
      </c>
      <c r="AN1745" t="s">
        <v>66</v>
      </c>
      <c r="AO1745" t="s">
        <v>67</v>
      </c>
    </row>
    <row r="1746" spans="1:41" x14ac:dyDescent="0.2">
      <c r="A1746">
        <v>368895</v>
      </c>
      <c r="B1746" t="s">
        <v>11798</v>
      </c>
      <c r="C1746" t="s">
        <v>182</v>
      </c>
      <c r="D1746" t="s">
        <v>610</v>
      </c>
      <c r="E1746" t="s">
        <v>11799</v>
      </c>
      <c r="F1746">
        <v>45748</v>
      </c>
      <c r="G1746" s="1">
        <v>41759</v>
      </c>
      <c r="H1746" s="1">
        <v>45636</v>
      </c>
      <c r="I1746" s="1">
        <v>45992</v>
      </c>
      <c r="J1746" t="s">
        <v>45</v>
      </c>
      <c r="K1746" t="s">
        <v>45</v>
      </c>
      <c r="L1746" t="s">
        <v>429</v>
      </c>
      <c r="N1746" t="s">
        <v>47</v>
      </c>
      <c r="O1746" t="s">
        <v>48</v>
      </c>
      <c r="P1746" t="s">
        <v>49</v>
      </c>
      <c r="Q1746" t="s">
        <v>11800</v>
      </c>
      <c r="R1746" t="s">
        <v>11801</v>
      </c>
      <c r="S1746">
        <v>810</v>
      </c>
      <c r="T1746" t="s">
        <v>1328</v>
      </c>
      <c r="U1746" t="s">
        <v>1583</v>
      </c>
      <c r="V1746" t="s">
        <v>4498</v>
      </c>
      <c r="W1746" t="s">
        <v>4499</v>
      </c>
      <c r="X1746" t="s">
        <v>493</v>
      </c>
      <c r="Y1746" t="s">
        <v>434</v>
      </c>
      <c r="Z1746">
        <v>6986</v>
      </c>
      <c r="AA1746">
        <v>35</v>
      </c>
      <c r="AB1746">
        <v>24</v>
      </c>
      <c r="AC1746" t="s">
        <v>4500</v>
      </c>
      <c r="AD1746" t="s">
        <v>4501</v>
      </c>
      <c r="AE1746" t="s">
        <v>4502</v>
      </c>
      <c r="AF1746" t="s">
        <v>10823</v>
      </c>
      <c r="AG1746" t="s">
        <v>4504</v>
      </c>
      <c r="AH1746" t="s">
        <v>4505</v>
      </c>
      <c r="AJ1746" s="2">
        <v>45722.89607638889</v>
      </c>
      <c r="AK1746" t="s">
        <v>501</v>
      </c>
      <c r="AL1746" t="s">
        <v>65</v>
      </c>
      <c r="AM1746" s="4">
        <v>0.92361111111111116</v>
      </c>
      <c r="AN1746" t="s">
        <v>66</v>
      </c>
      <c r="AO1746" t="s">
        <v>67</v>
      </c>
    </row>
    <row r="1747" spans="1:41" x14ac:dyDescent="0.2">
      <c r="A1747">
        <v>366636</v>
      </c>
      <c r="B1747" t="s">
        <v>11802</v>
      </c>
      <c r="C1747" t="s">
        <v>558</v>
      </c>
      <c r="E1747" t="s">
        <v>11803</v>
      </c>
      <c r="F1747">
        <v>260809</v>
      </c>
      <c r="G1747" s="1">
        <v>35948</v>
      </c>
      <c r="H1747" s="1">
        <v>45491</v>
      </c>
      <c r="I1747" s="1">
        <v>46174</v>
      </c>
      <c r="J1747" t="s">
        <v>45</v>
      </c>
      <c r="K1747" t="s">
        <v>45</v>
      </c>
      <c r="L1747" t="s">
        <v>72</v>
      </c>
      <c r="N1747" t="s">
        <v>47</v>
      </c>
      <c r="O1747" t="s">
        <v>48</v>
      </c>
      <c r="P1747" t="s">
        <v>49</v>
      </c>
      <c r="Q1747" t="s">
        <v>11804</v>
      </c>
      <c r="R1747" t="s">
        <v>11805</v>
      </c>
      <c r="S1747">
        <v>9268</v>
      </c>
      <c r="T1747" t="s">
        <v>257</v>
      </c>
      <c r="U1747" t="s">
        <v>640</v>
      </c>
      <c r="V1747" t="s">
        <v>6099</v>
      </c>
      <c r="W1747" t="s">
        <v>260</v>
      </c>
      <c r="X1747" t="s">
        <v>257</v>
      </c>
      <c r="Y1747" t="s">
        <v>110</v>
      </c>
      <c r="Z1747">
        <v>1441</v>
      </c>
      <c r="AA1747">
        <v>55</v>
      </c>
      <c r="AB1747">
        <v>78</v>
      </c>
      <c r="AC1747" t="s">
        <v>11806</v>
      </c>
      <c r="AD1747" t="s">
        <v>11807</v>
      </c>
      <c r="AE1747" t="s">
        <v>11808</v>
      </c>
      <c r="AI1747" t="s">
        <v>11807</v>
      </c>
      <c r="AJ1747" s="2">
        <v>45630.893900462965</v>
      </c>
      <c r="AK1747" t="s">
        <v>11809</v>
      </c>
      <c r="AL1747" t="s">
        <v>65</v>
      </c>
      <c r="AM1747" s="4">
        <v>0.47916666666666669</v>
      </c>
      <c r="AN1747" t="s">
        <v>66</v>
      </c>
      <c r="AO1747" t="s">
        <v>67</v>
      </c>
    </row>
    <row r="1748" spans="1:41" x14ac:dyDescent="0.2">
      <c r="A1748">
        <v>312462</v>
      </c>
      <c r="B1748" t="s">
        <v>11810</v>
      </c>
      <c r="C1748" t="s">
        <v>2962</v>
      </c>
      <c r="E1748" t="s">
        <v>11811</v>
      </c>
      <c r="F1748">
        <v>330201</v>
      </c>
      <c r="G1748" s="1">
        <v>38264</v>
      </c>
      <c r="H1748" s="1">
        <v>38264</v>
      </c>
      <c r="J1748" t="s">
        <v>72</v>
      </c>
      <c r="K1748" t="s">
        <v>326</v>
      </c>
      <c r="L1748" t="s">
        <v>72</v>
      </c>
      <c r="N1748" t="s">
        <v>89</v>
      </c>
      <c r="O1748" t="s">
        <v>48</v>
      </c>
      <c r="P1748" t="s">
        <v>49</v>
      </c>
      <c r="Q1748" t="s">
        <v>11812</v>
      </c>
      <c r="R1748" t="s">
        <v>11813</v>
      </c>
      <c r="S1748">
        <v>612</v>
      </c>
      <c r="T1748" t="s">
        <v>92</v>
      </c>
      <c r="U1748" t="s">
        <v>2967</v>
      </c>
      <c r="V1748" t="s">
        <v>2968</v>
      </c>
      <c r="W1748" t="s">
        <v>2969</v>
      </c>
      <c r="X1748" t="s">
        <v>92</v>
      </c>
      <c r="Y1748" t="s">
        <v>410</v>
      </c>
      <c r="Z1748">
        <v>2305</v>
      </c>
      <c r="AA1748">
        <v>13</v>
      </c>
      <c r="AB1748">
        <v>142</v>
      </c>
      <c r="AC1748" t="s">
        <v>2970</v>
      </c>
      <c r="AD1748" t="s">
        <v>11814</v>
      </c>
      <c r="AE1748" t="s">
        <v>11815</v>
      </c>
      <c r="AF1748" t="s">
        <v>2973</v>
      </c>
      <c r="AG1748" t="s">
        <v>2974</v>
      </c>
      <c r="AH1748" t="s">
        <v>2975</v>
      </c>
      <c r="AI1748" t="s">
        <v>11814</v>
      </c>
      <c r="AJ1748" s="2">
        <v>44244.639155092591</v>
      </c>
      <c r="AK1748" t="s">
        <v>100</v>
      </c>
      <c r="AL1748" t="s">
        <v>475</v>
      </c>
      <c r="AM1748" s="3">
        <v>1.0069444444444444</v>
      </c>
      <c r="AN1748" t="s">
        <v>66</v>
      </c>
      <c r="AO1748" t="s">
        <v>67</v>
      </c>
    </row>
    <row r="1749" spans="1:41" x14ac:dyDescent="0.2">
      <c r="A1749">
        <v>369383</v>
      </c>
      <c r="B1749" t="s">
        <v>11816</v>
      </c>
      <c r="C1749" t="s">
        <v>309</v>
      </c>
      <c r="D1749" t="s">
        <v>309</v>
      </c>
      <c r="E1749" t="s">
        <v>11817</v>
      </c>
      <c r="F1749">
        <v>496006</v>
      </c>
      <c r="G1749" s="1">
        <v>31813</v>
      </c>
      <c r="H1749" s="1">
        <v>45595</v>
      </c>
      <c r="I1749" s="1">
        <v>45976</v>
      </c>
      <c r="J1749" t="s">
        <v>45</v>
      </c>
      <c r="K1749" t="s">
        <v>45</v>
      </c>
      <c r="L1749" t="s">
        <v>72</v>
      </c>
      <c r="M1749" s="1">
        <v>45048</v>
      </c>
      <c r="N1749" t="s">
        <v>47</v>
      </c>
      <c r="O1749" t="s">
        <v>48</v>
      </c>
      <c r="P1749" t="s">
        <v>49</v>
      </c>
      <c r="Q1749" t="s">
        <v>11818</v>
      </c>
      <c r="R1749" t="s">
        <v>11819</v>
      </c>
      <c r="S1749">
        <v>5520</v>
      </c>
      <c r="T1749" t="s">
        <v>257</v>
      </c>
      <c r="U1749" t="s">
        <v>640</v>
      </c>
      <c r="V1749" t="s">
        <v>9952</v>
      </c>
      <c r="W1749" t="s">
        <v>260</v>
      </c>
      <c r="X1749" t="s">
        <v>257</v>
      </c>
      <c r="Y1749" t="s">
        <v>110</v>
      </c>
      <c r="Z1749">
        <v>514</v>
      </c>
      <c r="AA1749">
        <v>71</v>
      </c>
      <c r="AB1749">
        <v>158</v>
      </c>
      <c r="AC1749" t="s">
        <v>646</v>
      </c>
      <c r="AD1749" t="s">
        <v>647</v>
      </c>
      <c r="AE1749" t="s">
        <v>648</v>
      </c>
      <c r="AF1749" t="s">
        <v>9953</v>
      </c>
      <c r="AG1749" t="s">
        <v>9954</v>
      </c>
      <c r="AH1749" t="s">
        <v>9955</v>
      </c>
      <c r="AI1749" t="s">
        <v>9956</v>
      </c>
      <c r="AJ1749" s="2">
        <v>45736.776921296296</v>
      </c>
      <c r="AK1749" t="s">
        <v>646</v>
      </c>
      <c r="AL1749" t="s">
        <v>65</v>
      </c>
      <c r="AM1749" s="3">
        <v>1.4513888888888888</v>
      </c>
      <c r="AN1749" t="s">
        <v>66</v>
      </c>
      <c r="AO1749" t="s">
        <v>67</v>
      </c>
    </row>
    <row r="1750" spans="1:41" x14ac:dyDescent="0.2">
      <c r="A1750">
        <v>371379</v>
      </c>
      <c r="B1750" t="s">
        <v>11820</v>
      </c>
      <c r="C1750" t="s">
        <v>323</v>
      </c>
      <c r="D1750" t="s">
        <v>5058</v>
      </c>
      <c r="E1750" t="s">
        <v>11821</v>
      </c>
      <c r="F1750">
        <v>500957</v>
      </c>
      <c r="G1750" s="1">
        <v>31533</v>
      </c>
      <c r="H1750" s="1">
        <v>45791</v>
      </c>
      <c r="I1750" s="1">
        <v>46037</v>
      </c>
      <c r="J1750" t="s">
        <v>45</v>
      </c>
      <c r="K1750" t="s">
        <v>45</v>
      </c>
      <c r="L1750" t="s">
        <v>72</v>
      </c>
      <c r="M1750" s="1">
        <v>45080</v>
      </c>
      <c r="N1750" t="s">
        <v>47</v>
      </c>
      <c r="O1750" t="s">
        <v>48</v>
      </c>
      <c r="P1750" t="s">
        <v>49</v>
      </c>
      <c r="Q1750" t="s">
        <v>11822</v>
      </c>
      <c r="R1750" t="s">
        <v>11823</v>
      </c>
      <c r="S1750">
        <v>1579</v>
      </c>
      <c r="T1750" t="s">
        <v>257</v>
      </c>
      <c r="U1750" t="s">
        <v>329</v>
      </c>
      <c r="V1750" t="s">
        <v>4982</v>
      </c>
      <c r="W1750" t="s">
        <v>260</v>
      </c>
      <c r="X1750" t="s">
        <v>257</v>
      </c>
      <c r="Y1750" t="s">
        <v>110</v>
      </c>
      <c r="Z1750">
        <v>497</v>
      </c>
      <c r="AA1750">
        <v>49</v>
      </c>
      <c r="AB1750">
        <v>166</v>
      </c>
      <c r="AC1750" t="s">
        <v>331</v>
      </c>
      <c r="AD1750" t="s">
        <v>332</v>
      </c>
      <c r="AE1750" t="s">
        <v>333</v>
      </c>
      <c r="AF1750" t="s">
        <v>6181</v>
      </c>
      <c r="AG1750" t="s">
        <v>6182</v>
      </c>
      <c r="AH1750" t="s">
        <v>6183</v>
      </c>
      <c r="AI1750" t="s">
        <v>337</v>
      </c>
      <c r="AJ1750" s="2">
        <v>45807.037893518522</v>
      </c>
      <c r="AK1750" t="s">
        <v>331</v>
      </c>
      <c r="AL1750" t="s">
        <v>65</v>
      </c>
      <c r="AM1750" s="3">
        <v>2.3680555555555554</v>
      </c>
      <c r="AN1750" t="s">
        <v>66</v>
      </c>
      <c r="AO1750" t="s">
        <v>67</v>
      </c>
    </row>
    <row r="1751" spans="1:41" x14ac:dyDescent="0.2">
      <c r="A1751">
        <v>360520</v>
      </c>
      <c r="B1751" t="s">
        <v>11824</v>
      </c>
      <c r="C1751" t="s">
        <v>3878</v>
      </c>
      <c r="D1751" t="s">
        <v>11825</v>
      </c>
      <c r="E1751" t="s">
        <v>11826</v>
      </c>
      <c r="J1751" t="s">
        <v>45</v>
      </c>
      <c r="K1751" t="s">
        <v>45</v>
      </c>
      <c r="L1751" t="s">
        <v>72</v>
      </c>
      <c r="N1751" t="s">
        <v>89</v>
      </c>
      <c r="O1751" t="s">
        <v>48</v>
      </c>
      <c r="P1751" t="s">
        <v>49</v>
      </c>
      <c r="T1751" t="s">
        <v>52</v>
      </c>
      <c r="U1751">
        <v>8</v>
      </c>
      <c r="V1751" t="s">
        <v>4254</v>
      </c>
      <c r="W1751" t="s">
        <v>54</v>
      </c>
      <c r="X1751" t="s">
        <v>76</v>
      </c>
      <c r="Y1751" t="s">
        <v>96</v>
      </c>
      <c r="Z1751">
        <v>11167</v>
      </c>
      <c r="AA1751">
        <v>6</v>
      </c>
      <c r="AB1751">
        <v>78</v>
      </c>
      <c r="AC1751" t="s">
        <v>4255</v>
      </c>
      <c r="AD1751" t="s">
        <v>4256</v>
      </c>
      <c r="AE1751" t="s">
        <v>4257</v>
      </c>
      <c r="AF1751" t="s">
        <v>11827</v>
      </c>
      <c r="AG1751" t="s">
        <v>11828</v>
      </c>
      <c r="AH1751" t="s">
        <v>11829</v>
      </c>
      <c r="AJ1751" s="2">
        <v>45425.716620370367</v>
      </c>
      <c r="AK1751" t="s">
        <v>100</v>
      </c>
      <c r="AL1751" t="s">
        <v>65</v>
      </c>
      <c r="AM1751" s="3">
        <v>2.125</v>
      </c>
      <c r="AN1751" t="s">
        <v>66</v>
      </c>
      <c r="AO1751" t="s">
        <v>67</v>
      </c>
    </row>
    <row r="1752" spans="1:41" x14ac:dyDescent="0.2">
      <c r="A1752">
        <v>368211</v>
      </c>
      <c r="B1752" t="s">
        <v>11830</v>
      </c>
      <c r="C1752" t="s">
        <v>42</v>
      </c>
      <c r="D1752" t="s">
        <v>4380</v>
      </c>
      <c r="E1752" t="s">
        <v>11831</v>
      </c>
      <c r="F1752">
        <v>293002</v>
      </c>
      <c r="G1752" s="1">
        <v>37175</v>
      </c>
      <c r="H1752" s="1">
        <v>45700</v>
      </c>
      <c r="I1752" s="1">
        <v>46054</v>
      </c>
      <c r="J1752" t="s">
        <v>45</v>
      </c>
      <c r="K1752" t="s">
        <v>45</v>
      </c>
      <c r="L1752" t="s">
        <v>4306</v>
      </c>
      <c r="M1752" s="1">
        <v>43122</v>
      </c>
      <c r="N1752" t="s">
        <v>47</v>
      </c>
      <c r="O1752" t="s">
        <v>48</v>
      </c>
      <c r="P1752" t="s">
        <v>49</v>
      </c>
      <c r="Q1752" t="s">
        <v>11832</v>
      </c>
      <c r="R1752" t="s">
        <v>11833</v>
      </c>
      <c r="S1752">
        <v>6599</v>
      </c>
      <c r="T1752" t="s">
        <v>52</v>
      </c>
      <c r="U1752">
        <v>3</v>
      </c>
      <c r="V1752" t="s">
        <v>5589</v>
      </c>
      <c r="W1752" t="s">
        <v>54</v>
      </c>
      <c r="X1752" t="s">
        <v>55</v>
      </c>
      <c r="Y1752" t="s">
        <v>56</v>
      </c>
      <c r="Z1752">
        <v>1032</v>
      </c>
      <c r="AA1752">
        <v>55</v>
      </c>
      <c r="AB1752">
        <v>160</v>
      </c>
      <c r="AC1752" t="s">
        <v>5590</v>
      </c>
      <c r="AD1752" t="s">
        <v>5591</v>
      </c>
      <c r="AE1752" t="s">
        <v>5592</v>
      </c>
      <c r="AI1752" t="s">
        <v>1809</v>
      </c>
      <c r="AJ1752" s="2">
        <v>45706.702789351853</v>
      </c>
      <c r="AK1752" t="s">
        <v>609</v>
      </c>
      <c r="AL1752" t="s">
        <v>65</v>
      </c>
      <c r="AM1752" s="4">
        <v>7.6388888888888895E-2</v>
      </c>
      <c r="AN1752" t="s">
        <v>66</v>
      </c>
      <c r="AO1752" t="s">
        <v>67</v>
      </c>
    </row>
    <row r="1753" spans="1:41" x14ac:dyDescent="0.2">
      <c r="A1753">
        <v>361638</v>
      </c>
      <c r="B1753" t="s">
        <v>11834</v>
      </c>
      <c r="C1753" t="s">
        <v>1107</v>
      </c>
      <c r="D1753" t="s">
        <v>7034</v>
      </c>
      <c r="E1753" t="s">
        <v>11835</v>
      </c>
      <c r="F1753">
        <v>234801</v>
      </c>
      <c r="G1753" s="1">
        <v>41212</v>
      </c>
      <c r="H1753" s="1">
        <v>45337</v>
      </c>
      <c r="I1753" s="1">
        <v>46054</v>
      </c>
      <c r="J1753" t="s">
        <v>45</v>
      </c>
      <c r="K1753" t="s">
        <v>72</v>
      </c>
      <c r="L1753" t="s">
        <v>72</v>
      </c>
      <c r="M1753" s="1">
        <v>45337</v>
      </c>
      <c r="N1753" t="s">
        <v>47</v>
      </c>
      <c r="O1753" t="s">
        <v>48</v>
      </c>
      <c r="P1753" t="s">
        <v>406</v>
      </c>
      <c r="Q1753" t="s">
        <v>11836</v>
      </c>
      <c r="R1753" t="s">
        <v>11837</v>
      </c>
      <c r="S1753">
        <v>510</v>
      </c>
      <c r="T1753" t="s">
        <v>92</v>
      </c>
      <c r="U1753" t="s">
        <v>1111</v>
      </c>
      <c r="V1753" t="s">
        <v>1112</v>
      </c>
      <c r="W1753" t="s">
        <v>1113</v>
      </c>
      <c r="X1753" t="s">
        <v>92</v>
      </c>
      <c r="Y1753" t="s">
        <v>110</v>
      </c>
      <c r="Z1753">
        <v>5748</v>
      </c>
      <c r="AA1753">
        <v>19</v>
      </c>
      <c r="AB1753">
        <v>28</v>
      </c>
      <c r="AC1753" t="s">
        <v>11838</v>
      </c>
      <c r="AD1753" t="s">
        <v>11839</v>
      </c>
      <c r="AE1753" t="s">
        <v>11840</v>
      </c>
      <c r="AF1753" t="s">
        <v>1114</v>
      </c>
      <c r="AG1753" t="s">
        <v>4143</v>
      </c>
      <c r="AH1753" t="s">
        <v>1116</v>
      </c>
      <c r="AI1753" t="s">
        <v>11839</v>
      </c>
      <c r="AJ1753" s="2">
        <v>45460.719212962962</v>
      </c>
      <c r="AK1753" t="s">
        <v>1114</v>
      </c>
      <c r="AL1753" t="s">
        <v>65</v>
      </c>
      <c r="AM1753" s="4">
        <v>0.80555555555555558</v>
      </c>
      <c r="AN1753" t="s">
        <v>66</v>
      </c>
      <c r="AO1753" t="s">
        <v>67</v>
      </c>
    </row>
    <row r="1754" spans="1:41" x14ac:dyDescent="0.2">
      <c r="A1754">
        <v>373060</v>
      </c>
      <c r="B1754" t="s">
        <v>11841</v>
      </c>
      <c r="C1754" t="s">
        <v>692</v>
      </c>
      <c r="D1754" t="s">
        <v>413</v>
      </c>
      <c r="E1754" t="s">
        <v>11842</v>
      </c>
      <c r="F1754">
        <v>165101</v>
      </c>
      <c r="G1754" s="1">
        <v>45406</v>
      </c>
      <c r="H1754" s="1">
        <v>45293</v>
      </c>
      <c r="I1754" s="1">
        <v>45931</v>
      </c>
      <c r="J1754" t="s">
        <v>45</v>
      </c>
      <c r="K1754" t="s">
        <v>45</v>
      </c>
      <c r="L1754" t="s">
        <v>72</v>
      </c>
      <c r="N1754" t="s">
        <v>89</v>
      </c>
      <c r="O1754" t="s">
        <v>121</v>
      </c>
      <c r="P1754" t="s">
        <v>49</v>
      </c>
      <c r="Q1754" t="s">
        <v>11843</v>
      </c>
      <c r="R1754" t="s">
        <v>11844</v>
      </c>
      <c r="S1754">
        <v>8200</v>
      </c>
      <c r="T1754" t="s">
        <v>52</v>
      </c>
      <c r="U1754">
        <v>2</v>
      </c>
      <c r="V1754" t="s">
        <v>7146</v>
      </c>
      <c r="W1754" t="s">
        <v>54</v>
      </c>
      <c r="X1754" t="s">
        <v>52</v>
      </c>
      <c r="Y1754" t="s">
        <v>125</v>
      </c>
      <c r="Z1754">
        <v>3085</v>
      </c>
      <c r="AA1754">
        <v>76</v>
      </c>
      <c r="AB1754">
        <v>160</v>
      </c>
      <c r="AC1754" t="s">
        <v>6674</v>
      </c>
      <c r="AD1754" t="s">
        <v>6675</v>
      </c>
      <c r="AE1754" t="s">
        <v>6676</v>
      </c>
      <c r="AF1754" t="s">
        <v>11845</v>
      </c>
      <c r="AG1754" t="s">
        <v>11846</v>
      </c>
      <c r="AH1754" t="s">
        <v>11847</v>
      </c>
      <c r="AJ1754" s="2">
        <v>45856.586527777778</v>
      </c>
      <c r="AK1754" t="s">
        <v>800</v>
      </c>
      <c r="AL1754" t="s">
        <v>65</v>
      </c>
      <c r="AM1754" s="3">
        <v>1.0277777777777777</v>
      </c>
      <c r="AN1754" t="s">
        <v>66</v>
      </c>
      <c r="AO1754" t="s">
        <v>67</v>
      </c>
    </row>
    <row r="1755" spans="1:41" x14ac:dyDescent="0.2">
      <c r="A1755">
        <v>370257</v>
      </c>
      <c r="B1755" t="s">
        <v>11848</v>
      </c>
      <c r="C1755" t="s">
        <v>692</v>
      </c>
      <c r="D1755" t="s">
        <v>11849</v>
      </c>
      <c r="E1755" t="s">
        <v>11850</v>
      </c>
      <c r="G1755" s="1">
        <v>45356</v>
      </c>
      <c r="H1755" s="1">
        <v>45352</v>
      </c>
      <c r="J1755" t="s">
        <v>45</v>
      </c>
      <c r="K1755" t="s">
        <v>45</v>
      </c>
      <c r="L1755" t="s">
        <v>72</v>
      </c>
      <c r="M1755" s="1">
        <v>45352</v>
      </c>
      <c r="N1755" t="s">
        <v>89</v>
      </c>
      <c r="O1755" t="s">
        <v>121</v>
      </c>
      <c r="P1755" t="s">
        <v>49</v>
      </c>
      <c r="Q1755" t="s">
        <v>11851</v>
      </c>
      <c r="R1755" t="s">
        <v>11852</v>
      </c>
      <c r="S1755">
        <v>3500</v>
      </c>
      <c r="T1755" t="s">
        <v>52</v>
      </c>
      <c r="U1755">
        <v>2</v>
      </c>
      <c r="V1755" t="s">
        <v>7146</v>
      </c>
      <c r="W1755" t="s">
        <v>54</v>
      </c>
      <c r="X1755" t="s">
        <v>76</v>
      </c>
      <c r="Y1755" t="s">
        <v>125</v>
      </c>
      <c r="Z1755">
        <v>12202</v>
      </c>
      <c r="AA1755">
        <v>12</v>
      </c>
      <c r="AB1755">
        <v>48</v>
      </c>
      <c r="AC1755" t="s">
        <v>6674</v>
      </c>
      <c r="AD1755" t="s">
        <v>6675</v>
      </c>
      <c r="AE1755" t="s">
        <v>6676</v>
      </c>
      <c r="AF1755" t="s">
        <v>7147</v>
      </c>
      <c r="AG1755" t="s">
        <v>7148</v>
      </c>
      <c r="AH1755" t="s">
        <v>7149</v>
      </c>
      <c r="AJ1755" s="2">
        <v>45768.825891203705</v>
      </c>
      <c r="AK1755" t="s">
        <v>375</v>
      </c>
      <c r="AL1755" t="s">
        <v>65</v>
      </c>
      <c r="AM1755" s="4">
        <v>0.72569444444444442</v>
      </c>
      <c r="AN1755" t="s">
        <v>66</v>
      </c>
      <c r="AO1755" t="s">
        <v>67</v>
      </c>
    </row>
    <row r="1756" spans="1:41" x14ac:dyDescent="0.2">
      <c r="A1756">
        <v>364448</v>
      </c>
      <c r="B1756" t="s">
        <v>11853</v>
      </c>
      <c r="C1756" t="s">
        <v>323</v>
      </c>
      <c r="E1756" t="s">
        <v>11854</v>
      </c>
      <c r="G1756" s="1">
        <v>39539</v>
      </c>
      <c r="H1756" s="1">
        <v>45508</v>
      </c>
      <c r="I1756" s="1">
        <v>46037</v>
      </c>
      <c r="J1756" t="s">
        <v>45</v>
      </c>
      <c r="K1756" t="s">
        <v>72</v>
      </c>
      <c r="L1756" t="s">
        <v>72</v>
      </c>
      <c r="M1756" s="1">
        <v>45183</v>
      </c>
      <c r="N1756" t="s">
        <v>47</v>
      </c>
      <c r="O1756" t="s">
        <v>48</v>
      </c>
      <c r="P1756" t="s">
        <v>1752</v>
      </c>
      <c r="Q1756" t="s">
        <v>11855</v>
      </c>
      <c r="R1756" t="s">
        <v>11856</v>
      </c>
      <c r="S1756">
        <v>1266</v>
      </c>
      <c r="T1756" t="s">
        <v>257</v>
      </c>
      <c r="U1756" t="s">
        <v>329</v>
      </c>
      <c r="V1756" t="s">
        <v>8584</v>
      </c>
      <c r="W1756" t="s">
        <v>260</v>
      </c>
      <c r="X1756" t="s">
        <v>257</v>
      </c>
      <c r="Y1756" t="s">
        <v>110</v>
      </c>
      <c r="Z1756">
        <v>2954</v>
      </c>
      <c r="AA1756">
        <v>36</v>
      </c>
      <c r="AB1756">
        <v>166</v>
      </c>
      <c r="AC1756" t="s">
        <v>4991</v>
      </c>
      <c r="AD1756" t="s">
        <v>4992</v>
      </c>
      <c r="AE1756" t="s">
        <v>4993</v>
      </c>
      <c r="AF1756" t="s">
        <v>4994</v>
      </c>
      <c r="AG1756" t="s">
        <v>4995</v>
      </c>
      <c r="AH1756" t="s">
        <v>5692</v>
      </c>
      <c r="AI1756" t="s">
        <v>4997</v>
      </c>
      <c r="AJ1756" s="2">
        <v>45547.006574074076</v>
      </c>
      <c r="AK1756" t="s">
        <v>5693</v>
      </c>
      <c r="AL1756" t="s">
        <v>1168</v>
      </c>
      <c r="AM1756" s="4">
        <v>0.1736111111111111</v>
      </c>
      <c r="AN1756" t="s">
        <v>66</v>
      </c>
      <c r="AO1756" t="s">
        <v>67</v>
      </c>
    </row>
    <row r="1757" spans="1:41" x14ac:dyDescent="0.2">
      <c r="A1757">
        <v>361709</v>
      </c>
      <c r="B1757" t="s">
        <v>11857</v>
      </c>
      <c r="C1757" t="s">
        <v>278</v>
      </c>
      <c r="D1757" t="s">
        <v>6358</v>
      </c>
      <c r="E1757" t="s">
        <v>11858</v>
      </c>
      <c r="F1757">
        <v>421405</v>
      </c>
      <c r="G1757" s="1">
        <v>35647</v>
      </c>
      <c r="H1757" s="1">
        <v>45461</v>
      </c>
      <c r="I1757" s="1">
        <v>46235</v>
      </c>
      <c r="J1757" t="s">
        <v>45</v>
      </c>
      <c r="K1757" t="s">
        <v>45</v>
      </c>
      <c r="L1757" t="s">
        <v>72</v>
      </c>
      <c r="M1757" s="1">
        <v>41908</v>
      </c>
      <c r="N1757" t="s">
        <v>47</v>
      </c>
      <c r="O1757" t="s">
        <v>48</v>
      </c>
      <c r="P1757" t="s">
        <v>49</v>
      </c>
      <c r="Q1757" t="s">
        <v>11859</v>
      </c>
      <c r="R1757" t="s">
        <v>11860</v>
      </c>
      <c r="S1757">
        <v>6722</v>
      </c>
      <c r="T1757" t="s">
        <v>365</v>
      </c>
      <c r="U1757" t="s">
        <v>432</v>
      </c>
      <c r="V1757" t="s">
        <v>6362</v>
      </c>
      <c r="W1757" t="s">
        <v>367</v>
      </c>
      <c r="X1757" t="s">
        <v>55</v>
      </c>
      <c r="Y1757" t="s">
        <v>434</v>
      </c>
      <c r="Z1757">
        <v>364</v>
      </c>
      <c r="AA1757">
        <v>64</v>
      </c>
      <c r="AB1757">
        <v>78</v>
      </c>
      <c r="AC1757" t="s">
        <v>6363</v>
      </c>
      <c r="AD1757" t="s">
        <v>6364</v>
      </c>
      <c r="AE1757" t="s">
        <v>6365</v>
      </c>
      <c r="AF1757" t="s">
        <v>3498</v>
      </c>
      <c r="AG1757" t="s">
        <v>2393</v>
      </c>
      <c r="AH1757" t="s">
        <v>2394</v>
      </c>
      <c r="AI1757" t="s">
        <v>179</v>
      </c>
      <c r="AJ1757" s="2">
        <v>45462.15966435185</v>
      </c>
      <c r="AK1757" t="s">
        <v>4471</v>
      </c>
      <c r="AL1757" t="s">
        <v>65</v>
      </c>
      <c r="AM1757" s="3">
        <v>1.1388888888888888</v>
      </c>
      <c r="AN1757" t="s">
        <v>66</v>
      </c>
      <c r="AO1757" t="s">
        <v>67</v>
      </c>
    </row>
    <row r="1758" spans="1:41" x14ac:dyDescent="0.2">
      <c r="A1758">
        <v>364336</v>
      </c>
      <c r="B1758" t="s">
        <v>11861</v>
      </c>
      <c r="C1758" t="s">
        <v>151</v>
      </c>
      <c r="D1758" t="s">
        <v>5476</v>
      </c>
      <c r="E1758" t="s">
        <v>11862</v>
      </c>
      <c r="G1758" s="1">
        <v>41828</v>
      </c>
      <c r="H1758" s="1">
        <v>45540</v>
      </c>
      <c r="J1758" t="s">
        <v>45</v>
      </c>
      <c r="K1758" t="s">
        <v>45</v>
      </c>
      <c r="L1758" t="s">
        <v>72</v>
      </c>
      <c r="N1758" t="s">
        <v>47</v>
      </c>
      <c r="O1758" t="s">
        <v>48</v>
      </c>
      <c r="P1758" t="s">
        <v>49</v>
      </c>
      <c r="Q1758" t="s">
        <v>11863</v>
      </c>
      <c r="R1758" t="s">
        <v>11864</v>
      </c>
      <c r="S1758">
        <v>245</v>
      </c>
      <c r="T1758" t="s">
        <v>1328</v>
      </c>
      <c r="W1758" t="s">
        <v>11865</v>
      </c>
      <c r="X1758" t="s">
        <v>1328</v>
      </c>
      <c r="Y1758" t="s">
        <v>1306</v>
      </c>
      <c r="Z1758">
        <v>6646</v>
      </c>
      <c r="AA1758">
        <v>12</v>
      </c>
      <c r="AB1758">
        <v>78</v>
      </c>
      <c r="AC1758" t="s">
        <v>11866</v>
      </c>
      <c r="AD1758" t="s">
        <v>11867</v>
      </c>
      <c r="AE1758" t="s">
        <v>11868</v>
      </c>
      <c r="AJ1758" s="2">
        <v>45541.812905092593</v>
      </c>
      <c r="AK1758" t="s">
        <v>456</v>
      </c>
      <c r="AL1758" t="s">
        <v>65</v>
      </c>
      <c r="AM1758" s="3">
        <v>1.375</v>
      </c>
      <c r="AN1758" t="s">
        <v>66</v>
      </c>
      <c r="AO1758" t="s">
        <v>67</v>
      </c>
    </row>
    <row r="1759" spans="1:41" x14ac:dyDescent="0.2">
      <c r="A1759">
        <v>366651</v>
      </c>
      <c r="B1759" t="s">
        <v>11869</v>
      </c>
      <c r="C1759" t="s">
        <v>662</v>
      </c>
      <c r="D1759" t="s">
        <v>1050</v>
      </c>
      <c r="E1759" t="s">
        <v>11870</v>
      </c>
      <c r="F1759">
        <v>419901</v>
      </c>
      <c r="G1759" s="1">
        <v>38741</v>
      </c>
      <c r="H1759" s="1">
        <v>45616</v>
      </c>
      <c r="I1759" s="1">
        <v>45962</v>
      </c>
      <c r="J1759" t="s">
        <v>45</v>
      </c>
      <c r="K1759" t="s">
        <v>45</v>
      </c>
      <c r="L1759" t="s">
        <v>72</v>
      </c>
      <c r="N1759" t="s">
        <v>47</v>
      </c>
      <c r="O1759" t="s">
        <v>48</v>
      </c>
      <c r="P1759" t="s">
        <v>49</v>
      </c>
      <c r="Q1759" t="s">
        <v>11871</v>
      </c>
      <c r="R1759" t="s">
        <v>11872</v>
      </c>
      <c r="S1759">
        <v>5</v>
      </c>
      <c r="T1759" t="s">
        <v>156</v>
      </c>
      <c r="U1759" t="s">
        <v>667</v>
      </c>
      <c r="V1759" t="s">
        <v>11873</v>
      </c>
      <c r="W1759" t="s">
        <v>159</v>
      </c>
      <c r="X1759" t="s">
        <v>55</v>
      </c>
      <c r="Y1759" t="s">
        <v>56</v>
      </c>
      <c r="Z1759">
        <v>1503</v>
      </c>
      <c r="AA1759">
        <v>40</v>
      </c>
      <c r="AB1759">
        <v>158</v>
      </c>
      <c r="AC1759" t="s">
        <v>669</v>
      </c>
      <c r="AD1759" t="s">
        <v>670</v>
      </c>
      <c r="AE1759" t="s">
        <v>671</v>
      </c>
      <c r="AF1759" t="s">
        <v>672</v>
      </c>
      <c r="AG1759" t="s">
        <v>673</v>
      </c>
      <c r="AH1759" t="s">
        <v>674</v>
      </c>
      <c r="AI1759" t="s">
        <v>179</v>
      </c>
      <c r="AJ1759" s="2">
        <v>45631.72923611111</v>
      </c>
      <c r="AK1759" t="s">
        <v>540</v>
      </c>
      <c r="AL1759" t="s">
        <v>65</v>
      </c>
      <c r="AM1759" s="3">
        <v>1.4722222222222223</v>
      </c>
      <c r="AN1759" t="s">
        <v>66</v>
      </c>
      <c r="AO1759" t="s">
        <v>67</v>
      </c>
    </row>
    <row r="1760" spans="1:41" x14ac:dyDescent="0.2">
      <c r="A1760">
        <v>372054</v>
      </c>
      <c r="B1760" t="s">
        <v>11874</v>
      </c>
      <c r="C1760" t="s">
        <v>9662</v>
      </c>
      <c r="D1760" t="s">
        <v>8552</v>
      </c>
      <c r="E1760" t="s">
        <v>11875</v>
      </c>
      <c r="F1760">
        <v>170791</v>
      </c>
      <c r="G1760" s="1">
        <v>37358</v>
      </c>
      <c r="H1760" s="1">
        <v>45826</v>
      </c>
      <c r="I1760" s="1">
        <v>45915</v>
      </c>
      <c r="J1760" t="s">
        <v>45</v>
      </c>
      <c r="K1760" t="s">
        <v>45</v>
      </c>
      <c r="L1760" t="s">
        <v>72</v>
      </c>
      <c r="M1760" s="1">
        <v>45343</v>
      </c>
      <c r="N1760" t="s">
        <v>47</v>
      </c>
      <c r="O1760" t="s">
        <v>48</v>
      </c>
      <c r="P1760" t="s">
        <v>49</v>
      </c>
      <c r="Q1760" t="s">
        <v>11876</v>
      </c>
      <c r="R1760" t="s">
        <v>11877</v>
      </c>
      <c r="S1760">
        <v>424</v>
      </c>
      <c r="T1760" t="s">
        <v>257</v>
      </c>
      <c r="U1760" t="s">
        <v>836</v>
      </c>
      <c r="V1760" t="s">
        <v>9667</v>
      </c>
      <c r="W1760" t="s">
        <v>260</v>
      </c>
      <c r="X1760" t="s">
        <v>257</v>
      </c>
      <c r="Y1760" t="s">
        <v>110</v>
      </c>
      <c r="Z1760">
        <v>1516</v>
      </c>
      <c r="AA1760">
        <v>38</v>
      </c>
      <c r="AB1760">
        <v>67</v>
      </c>
      <c r="AC1760" t="s">
        <v>9668</v>
      </c>
      <c r="AD1760" t="s">
        <v>9669</v>
      </c>
      <c r="AE1760" t="s">
        <v>9670</v>
      </c>
      <c r="AF1760" t="s">
        <v>3905</v>
      </c>
      <c r="AG1760" t="s">
        <v>3906</v>
      </c>
      <c r="AH1760" t="s">
        <v>3907</v>
      </c>
      <c r="AI1760" t="s">
        <v>9671</v>
      </c>
      <c r="AJ1760" s="2">
        <v>45828.477546296293</v>
      </c>
      <c r="AK1760" t="s">
        <v>9668</v>
      </c>
      <c r="AL1760" t="s">
        <v>65</v>
      </c>
      <c r="AM1760" s="3">
        <v>2.4166666666666665</v>
      </c>
      <c r="AN1760" t="s">
        <v>66</v>
      </c>
      <c r="AO1760" t="s">
        <v>101</v>
      </c>
    </row>
    <row r="1761" spans="1:41" x14ac:dyDescent="0.2">
      <c r="A1761">
        <v>368216</v>
      </c>
      <c r="B1761" t="s">
        <v>11878</v>
      </c>
      <c r="C1761" t="s">
        <v>42</v>
      </c>
      <c r="D1761" t="s">
        <v>6595</v>
      </c>
      <c r="E1761" t="s">
        <v>11879</v>
      </c>
      <c r="F1761">
        <v>292901</v>
      </c>
      <c r="G1761" s="1">
        <v>39897</v>
      </c>
      <c r="H1761" s="1">
        <v>45699</v>
      </c>
      <c r="I1761" s="1">
        <v>46054</v>
      </c>
      <c r="J1761" t="s">
        <v>45</v>
      </c>
      <c r="K1761" t="s">
        <v>45</v>
      </c>
      <c r="L1761" t="s">
        <v>429</v>
      </c>
      <c r="M1761" s="1">
        <v>37737</v>
      </c>
      <c r="N1761" t="s">
        <v>47</v>
      </c>
      <c r="O1761" t="s">
        <v>48</v>
      </c>
      <c r="P1761" t="s">
        <v>49</v>
      </c>
      <c r="Q1761" t="s">
        <v>11880</v>
      </c>
      <c r="R1761" t="s">
        <v>11881</v>
      </c>
      <c r="S1761">
        <v>4832</v>
      </c>
      <c r="T1761" t="s">
        <v>365</v>
      </c>
      <c r="U1761" t="s">
        <v>432</v>
      </c>
      <c r="V1761" t="s">
        <v>6599</v>
      </c>
      <c r="W1761" t="s">
        <v>367</v>
      </c>
      <c r="X1761" t="s">
        <v>55</v>
      </c>
      <c r="Y1761" t="s">
        <v>434</v>
      </c>
      <c r="Z1761">
        <v>231</v>
      </c>
      <c r="AA1761">
        <v>56</v>
      </c>
      <c r="AB1761">
        <v>30</v>
      </c>
      <c r="AC1761" t="s">
        <v>6600</v>
      </c>
      <c r="AD1761" t="s">
        <v>6601</v>
      </c>
      <c r="AE1761" t="s">
        <v>6602</v>
      </c>
      <c r="AF1761" t="s">
        <v>6603</v>
      </c>
      <c r="AG1761" t="s">
        <v>6604</v>
      </c>
      <c r="AH1761" t="s">
        <v>6605</v>
      </c>
      <c r="AI1761" t="s">
        <v>4342</v>
      </c>
      <c r="AJ1761" s="2">
        <v>45706.714560185188</v>
      </c>
      <c r="AK1761" t="s">
        <v>609</v>
      </c>
      <c r="AL1761" t="s">
        <v>65</v>
      </c>
      <c r="AM1761" s="3">
        <v>1.5625</v>
      </c>
      <c r="AN1761" t="s">
        <v>66</v>
      </c>
      <c r="AO1761" t="s">
        <v>67</v>
      </c>
    </row>
    <row r="1762" spans="1:41" x14ac:dyDescent="0.2">
      <c r="A1762">
        <v>372276</v>
      </c>
      <c r="B1762" t="s">
        <v>11882</v>
      </c>
      <c r="C1762" t="s">
        <v>662</v>
      </c>
      <c r="D1762" t="s">
        <v>11883</v>
      </c>
      <c r="E1762" t="s">
        <v>11884</v>
      </c>
      <c r="F1762">
        <v>419802</v>
      </c>
      <c r="G1762" s="1">
        <v>37965</v>
      </c>
      <c r="H1762" s="1">
        <v>45761</v>
      </c>
      <c r="I1762" s="1">
        <v>46127</v>
      </c>
      <c r="J1762" t="s">
        <v>45</v>
      </c>
      <c r="K1762" t="s">
        <v>45</v>
      </c>
      <c r="L1762" t="s">
        <v>72</v>
      </c>
      <c r="M1762" s="1">
        <v>45835</v>
      </c>
      <c r="N1762" t="s">
        <v>47</v>
      </c>
      <c r="O1762" t="s">
        <v>48</v>
      </c>
      <c r="P1762" t="s">
        <v>49</v>
      </c>
      <c r="Q1762" t="s">
        <v>11885</v>
      </c>
      <c r="R1762" t="s">
        <v>11886</v>
      </c>
      <c r="S1762">
        <v>636</v>
      </c>
      <c r="T1762" t="s">
        <v>92</v>
      </c>
      <c r="U1762" t="s">
        <v>1197</v>
      </c>
      <c r="V1762" t="s">
        <v>1198</v>
      </c>
      <c r="W1762" t="s">
        <v>1199</v>
      </c>
      <c r="X1762" t="s">
        <v>52</v>
      </c>
      <c r="Y1762" t="s">
        <v>110</v>
      </c>
      <c r="Z1762">
        <v>2522</v>
      </c>
      <c r="AA1762">
        <v>36</v>
      </c>
      <c r="AB1762">
        <v>144</v>
      </c>
      <c r="AC1762" t="s">
        <v>1200</v>
      </c>
      <c r="AD1762" t="s">
        <v>1201</v>
      </c>
      <c r="AE1762" t="s">
        <v>1202</v>
      </c>
      <c r="AF1762" t="s">
        <v>4740</v>
      </c>
      <c r="AG1762" t="s">
        <v>4741</v>
      </c>
      <c r="AH1762" t="s">
        <v>4742</v>
      </c>
      <c r="AJ1762" s="2">
        <v>45835.871203703704</v>
      </c>
      <c r="AK1762" t="s">
        <v>4740</v>
      </c>
      <c r="AL1762" t="s">
        <v>65</v>
      </c>
      <c r="AM1762" s="4">
        <v>6.25E-2</v>
      </c>
      <c r="AN1762" t="s">
        <v>66</v>
      </c>
      <c r="AO1762" t="s">
        <v>67</v>
      </c>
    </row>
    <row r="1763" spans="1:41" x14ac:dyDescent="0.2">
      <c r="A1763">
        <v>370555</v>
      </c>
      <c r="B1763" t="s">
        <v>11887</v>
      </c>
      <c r="C1763" t="s">
        <v>182</v>
      </c>
      <c r="D1763" t="s">
        <v>3180</v>
      </c>
      <c r="E1763" t="s">
        <v>11888</v>
      </c>
      <c r="F1763">
        <v>41017</v>
      </c>
      <c r="G1763" s="1">
        <v>35032</v>
      </c>
      <c r="H1763" s="1">
        <v>45777</v>
      </c>
      <c r="J1763" t="s">
        <v>45</v>
      </c>
      <c r="K1763" t="s">
        <v>72</v>
      </c>
      <c r="L1763" t="s">
        <v>72</v>
      </c>
      <c r="M1763" s="1">
        <v>39265</v>
      </c>
      <c r="N1763" t="s">
        <v>47</v>
      </c>
      <c r="O1763" t="s">
        <v>48</v>
      </c>
      <c r="P1763" t="s">
        <v>49</v>
      </c>
      <c r="Q1763" t="s">
        <v>11889</v>
      </c>
      <c r="R1763" t="s">
        <v>11890</v>
      </c>
      <c r="S1763">
        <v>450</v>
      </c>
      <c r="T1763" t="s">
        <v>92</v>
      </c>
      <c r="U1763" t="s">
        <v>187</v>
      </c>
      <c r="V1763" t="s">
        <v>447</v>
      </c>
      <c r="W1763" t="s">
        <v>448</v>
      </c>
      <c r="X1763" t="s">
        <v>92</v>
      </c>
      <c r="Y1763" t="s">
        <v>450</v>
      </c>
      <c r="Z1763">
        <v>1260</v>
      </c>
      <c r="AA1763">
        <v>61</v>
      </c>
      <c r="AB1763">
        <v>144</v>
      </c>
      <c r="AC1763" t="s">
        <v>451</v>
      </c>
      <c r="AD1763" t="s">
        <v>452</v>
      </c>
      <c r="AE1763" t="s">
        <v>453</v>
      </c>
      <c r="AF1763" t="s">
        <v>10870</v>
      </c>
      <c r="AG1763" t="s">
        <v>3185</v>
      </c>
      <c r="AH1763" t="s">
        <v>10871</v>
      </c>
      <c r="AJ1763" s="2">
        <v>45777.844317129631</v>
      </c>
      <c r="AK1763" t="s">
        <v>456</v>
      </c>
      <c r="AL1763" t="s">
        <v>475</v>
      </c>
      <c r="AM1763" s="3">
        <v>2.0833333333333335</v>
      </c>
      <c r="AN1763" t="s">
        <v>66</v>
      </c>
      <c r="AO1763" t="s">
        <v>67</v>
      </c>
    </row>
    <row r="1764" spans="1:41" x14ac:dyDescent="0.2">
      <c r="A1764">
        <v>373026</v>
      </c>
      <c r="B1764" t="s">
        <v>11891</v>
      </c>
      <c r="C1764" t="s">
        <v>252</v>
      </c>
      <c r="D1764" t="s">
        <v>11892</v>
      </c>
      <c r="E1764" t="s">
        <v>11893</v>
      </c>
      <c r="F1764">
        <v>250403</v>
      </c>
      <c r="G1764" s="1">
        <v>43496</v>
      </c>
      <c r="H1764" s="1">
        <v>45547</v>
      </c>
      <c r="I1764" s="1">
        <v>46266</v>
      </c>
      <c r="J1764" t="s">
        <v>45</v>
      </c>
      <c r="K1764" t="s">
        <v>45</v>
      </c>
      <c r="L1764" t="s">
        <v>46</v>
      </c>
      <c r="M1764" s="1">
        <v>43633</v>
      </c>
      <c r="N1764" t="s">
        <v>47</v>
      </c>
      <c r="O1764" t="s">
        <v>48</v>
      </c>
      <c r="P1764" t="s">
        <v>49</v>
      </c>
      <c r="Q1764" t="s">
        <v>11894</v>
      </c>
      <c r="R1764" t="s">
        <v>11895</v>
      </c>
      <c r="S1764">
        <v>3060</v>
      </c>
      <c r="T1764" t="s">
        <v>52</v>
      </c>
      <c r="U1764">
        <v>2</v>
      </c>
      <c r="V1764" t="s">
        <v>2204</v>
      </c>
      <c r="W1764" t="s">
        <v>54</v>
      </c>
      <c r="X1764" t="s">
        <v>76</v>
      </c>
      <c r="Y1764" t="s">
        <v>56</v>
      </c>
      <c r="Z1764">
        <v>9426</v>
      </c>
      <c r="AA1764">
        <v>20</v>
      </c>
      <c r="AB1764">
        <v>28</v>
      </c>
      <c r="AC1764" t="s">
        <v>2205</v>
      </c>
      <c r="AD1764" t="s">
        <v>2206</v>
      </c>
      <c r="AE1764" t="s">
        <v>2207</v>
      </c>
      <c r="AF1764" t="s">
        <v>1570</v>
      </c>
      <c r="AG1764" t="s">
        <v>1571</v>
      </c>
      <c r="AH1764" t="s">
        <v>1572</v>
      </c>
      <c r="AI1764" t="s">
        <v>2208</v>
      </c>
      <c r="AJ1764" s="2">
        <v>45856.032777777778</v>
      </c>
      <c r="AK1764" t="s">
        <v>556</v>
      </c>
      <c r="AL1764" t="s">
        <v>65</v>
      </c>
      <c r="AM1764" s="3">
        <v>2.0416666666666665</v>
      </c>
      <c r="AN1764" t="s">
        <v>66</v>
      </c>
      <c r="AO1764" t="s">
        <v>67</v>
      </c>
    </row>
    <row r="1765" spans="1:41" x14ac:dyDescent="0.2">
      <c r="A1765">
        <v>368153</v>
      </c>
      <c r="B1765" t="s">
        <v>11896</v>
      </c>
      <c r="C1765" t="s">
        <v>167</v>
      </c>
      <c r="D1765" t="s">
        <v>3504</v>
      </c>
      <c r="E1765" t="s">
        <v>11897</v>
      </c>
      <c r="G1765" s="1">
        <v>45398</v>
      </c>
      <c r="H1765" s="1">
        <v>45386</v>
      </c>
      <c r="I1765" s="1">
        <v>46143</v>
      </c>
      <c r="J1765" t="s">
        <v>45</v>
      </c>
      <c r="K1765" t="s">
        <v>45</v>
      </c>
      <c r="L1765" t="s">
        <v>72</v>
      </c>
      <c r="N1765" t="s">
        <v>89</v>
      </c>
      <c r="O1765" t="s">
        <v>121</v>
      </c>
      <c r="P1765" t="s">
        <v>49</v>
      </c>
      <c r="Q1765" t="s">
        <v>11898</v>
      </c>
      <c r="R1765" t="s">
        <v>11899</v>
      </c>
      <c r="S1765">
        <v>2570</v>
      </c>
      <c r="T1765" t="s">
        <v>52</v>
      </c>
      <c r="U1765">
        <v>6</v>
      </c>
      <c r="V1765" t="s">
        <v>3253</v>
      </c>
      <c r="W1765" t="s">
        <v>54</v>
      </c>
      <c r="X1765" t="s">
        <v>76</v>
      </c>
      <c r="Y1765" t="s">
        <v>125</v>
      </c>
      <c r="Z1765">
        <v>9126</v>
      </c>
      <c r="AA1765">
        <v>34</v>
      </c>
      <c r="AB1765">
        <v>28</v>
      </c>
      <c r="AC1765" t="s">
        <v>11900</v>
      </c>
      <c r="AD1765" t="s">
        <v>11901</v>
      </c>
      <c r="AE1765" t="s">
        <v>11902</v>
      </c>
      <c r="AF1765" t="s">
        <v>3254</v>
      </c>
      <c r="AG1765" t="s">
        <v>3255</v>
      </c>
      <c r="AH1765" t="s">
        <v>3256</v>
      </c>
      <c r="AJ1765" s="2">
        <v>45701.808900462966</v>
      </c>
      <c r="AK1765" t="s">
        <v>11903</v>
      </c>
      <c r="AL1765" t="s">
        <v>65</v>
      </c>
      <c r="AM1765" s="4">
        <v>0.59722222222222221</v>
      </c>
      <c r="AN1765" t="s">
        <v>66</v>
      </c>
      <c r="AO1765" t="s">
        <v>67</v>
      </c>
    </row>
    <row r="1766" spans="1:41" x14ac:dyDescent="0.2">
      <c r="A1766">
        <v>371353</v>
      </c>
      <c r="B1766" t="s">
        <v>11904</v>
      </c>
      <c r="C1766" t="s">
        <v>323</v>
      </c>
      <c r="D1766" t="s">
        <v>6174</v>
      </c>
      <c r="E1766" t="s">
        <v>11905</v>
      </c>
      <c r="F1766">
        <v>500724</v>
      </c>
      <c r="G1766" s="1">
        <v>33774</v>
      </c>
      <c r="H1766" s="1">
        <v>45799</v>
      </c>
      <c r="I1766" s="1">
        <v>46037</v>
      </c>
      <c r="J1766" t="s">
        <v>45</v>
      </c>
      <c r="K1766" t="s">
        <v>45</v>
      </c>
      <c r="L1766" t="s">
        <v>72</v>
      </c>
      <c r="M1766" s="1">
        <v>44346</v>
      </c>
      <c r="N1766" t="s">
        <v>47</v>
      </c>
      <c r="O1766" t="s">
        <v>48</v>
      </c>
      <c r="P1766" t="s">
        <v>49</v>
      </c>
      <c r="Q1766" t="s">
        <v>11906</v>
      </c>
      <c r="R1766" t="s">
        <v>11907</v>
      </c>
      <c r="S1766">
        <v>863</v>
      </c>
      <c r="T1766" t="s">
        <v>257</v>
      </c>
      <c r="U1766" t="s">
        <v>329</v>
      </c>
      <c r="V1766" t="s">
        <v>6178</v>
      </c>
      <c r="W1766" t="s">
        <v>260</v>
      </c>
      <c r="X1766" t="s">
        <v>257</v>
      </c>
      <c r="Y1766" t="s">
        <v>110</v>
      </c>
      <c r="Z1766">
        <v>489</v>
      </c>
      <c r="AA1766">
        <v>54</v>
      </c>
      <c r="AB1766">
        <v>66</v>
      </c>
      <c r="AC1766" t="s">
        <v>6179</v>
      </c>
      <c r="AD1766" t="s">
        <v>343</v>
      </c>
      <c r="AE1766" t="s">
        <v>6180</v>
      </c>
      <c r="AF1766" t="s">
        <v>334</v>
      </c>
      <c r="AG1766" t="s">
        <v>335</v>
      </c>
      <c r="AH1766" t="s">
        <v>336</v>
      </c>
      <c r="AI1766" t="s">
        <v>332</v>
      </c>
      <c r="AJ1766" s="2">
        <v>45806.081666666665</v>
      </c>
      <c r="AK1766" t="s">
        <v>10722</v>
      </c>
      <c r="AL1766" t="s">
        <v>65</v>
      </c>
      <c r="AM1766" s="3">
        <v>2.0833333333333335</v>
      </c>
      <c r="AN1766" t="s">
        <v>66</v>
      </c>
      <c r="AO1766" t="s">
        <v>67</v>
      </c>
    </row>
    <row r="1767" spans="1:41" x14ac:dyDescent="0.2">
      <c r="A1767">
        <v>368063</v>
      </c>
      <c r="B1767" t="s">
        <v>11908</v>
      </c>
      <c r="C1767" t="s">
        <v>197</v>
      </c>
      <c r="D1767" t="s">
        <v>3381</v>
      </c>
      <c r="E1767" t="s">
        <v>11909</v>
      </c>
      <c r="F1767">
        <v>96201</v>
      </c>
      <c r="G1767" s="1">
        <v>37680</v>
      </c>
      <c r="H1767" s="1">
        <v>45575</v>
      </c>
      <c r="I1767" s="1">
        <v>45931</v>
      </c>
      <c r="J1767" t="s">
        <v>45</v>
      </c>
      <c r="K1767" t="s">
        <v>45</v>
      </c>
      <c r="L1767" t="s">
        <v>72</v>
      </c>
      <c r="N1767" t="s">
        <v>47</v>
      </c>
      <c r="O1767" t="s">
        <v>48</v>
      </c>
      <c r="P1767" t="s">
        <v>49</v>
      </c>
      <c r="Q1767" t="s">
        <v>11910</v>
      </c>
      <c r="R1767" t="s">
        <v>11911</v>
      </c>
      <c r="S1767">
        <v>201</v>
      </c>
      <c r="T1767" t="s">
        <v>92</v>
      </c>
      <c r="U1767" t="s">
        <v>202</v>
      </c>
      <c r="V1767" t="s">
        <v>203</v>
      </c>
      <c r="W1767" t="s">
        <v>204</v>
      </c>
      <c r="X1767" t="s">
        <v>52</v>
      </c>
      <c r="Y1767" t="s">
        <v>110</v>
      </c>
      <c r="Z1767">
        <v>2147</v>
      </c>
      <c r="AA1767">
        <v>33</v>
      </c>
      <c r="AB1767">
        <v>144</v>
      </c>
      <c r="AC1767" t="s">
        <v>205</v>
      </c>
      <c r="AD1767" t="s">
        <v>206</v>
      </c>
      <c r="AE1767" t="s">
        <v>1547</v>
      </c>
      <c r="AF1767" t="s">
        <v>1548</v>
      </c>
      <c r="AG1767" t="s">
        <v>209</v>
      </c>
      <c r="AH1767" t="s">
        <v>210</v>
      </c>
      <c r="AI1767" t="s">
        <v>211</v>
      </c>
      <c r="AJ1767" s="2">
        <v>45699.775439814817</v>
      </c>
      <c r="AK1767" t="s">
        <v>149</v>
      </c>
      <c r="AL1767" t="s">
        <v>65</v>
      </c>
      <c r="AM1767" s="4">
        <v>0.15277777777777779</v>
      </c>
      <c r="AN1767" t="s">
        <v>66</v>
      </c>
      <c r="AO1767" t="s">
        <v>67</v>
      </c>
    </row>
    <row r="1768" spans="1:41" x14ac:dyDescent="0.2">
      <c r="A1768">
        <v>371361</v>
      </c>
      <c r="B1768" t="s">
        <v>11912</v>
      </c>
      <c r="C1768" t="s">
        <v>182</v>
      </c>
      <c r="D1768" t="s">
        <v>1064</v>
      </c>
      <c r="E1768" t="s">
        <v>11913</v>
      </c>
      <c r="G1768" s="1">
        <v>45783</v>
      </c>
      <c r="H1768" s="1">
        <v>45719</v>
      </c>
      <c r="I1768" s="1">
        <v>46096</v>
      </c>
      <c r="J1768" t="s">
        <v>45</v>
      </c>
      <c r="K1768" t="s">
        <v>45</v>
      </c>
      <c r="L1768" t="s">
        <v>72</v>
      </c>
      <c r="N1768" t="s">
        <v>89</v>
      </c>
      <c r="O1768" t="s">
        <v>121</v>
      </c>
      <c r="P1768" t="s">
        <v>49</v>
      </c>
      <c r="Q1768" t="s">
        <v>11914</v>
      </c>
      <c r="R1768" t="s">
        <v>11915</v>
      </c>
      <c r="S1768">
        <v>4695</v>
      </c>
      <c r="T1768" t="s">
        <v>52</v>
      </c>
      <c r="U1768">
        <v>5</v>
      </c>
      <c r="V1768" t="s">
        <v>1951</v>
      </c>
      <c r="W1768" t="s">
        <v>54</v>
      </c>
      <c r="X1768" t="s">
        <v>52</v>
      </c>
      <c r="Y1768" t="s">
        <v>125</v>
      </c>
      <c r="Z1768">
        <v>7906</v>
      </c>
      <c r="AA1768">
        <v>49</v>
      </c>
      <c r="AB1768">
        <v>78</v>
      </c>
      <c r="AC1768" t="s">
        <v>1952</v>
      </c>
      <c r="AD1768" t="s">
        <v>1953</v>
      </c>
      <c r="AE1768" t="s">
        <v>1954</v>
      </c>
      <c r="AF1768" t="s">
        <v>11916</v>
      </c>
      <c r="AG1768" t="s">
        <v>11917</v>
      </c>
      <c r="AH1768" t="s">
        <v>11918</v>
      </c>
      <c r="AI1768" t="s">
        <v>4396</v>
      </c>
      <c r="AJ1768" s="2">
        <v>45806.678807870368</v>
      </c>
      <c r="AK1768" t="s">
        <v>556</v>
      </c>
      <c r="AL1768" t="s">
        <v>65</v>
      </c>
      <c r="AM1768" s="4">
        <v>0.63194444444444442</v>
      </c>
      <c r="AN1768" t="s">
        <v>66</v>
      </c>
      <c r="AO1768" t="s">
        <v>67</v>
      </c>
    </row>
    <row r="1769" spans="1:41" x14ac:dyDescent="0.2">
      <c r="A1769">
        <v>370069</v>
      </c>
      <c r="B1769" t="s">
        <v>11919</v>
      </c>
      <c r="C1769" t="s">
        <v>182</v>
      </c>
      <c r="D1769" t="s">
        <v>1948</v>
      </c>
      <c r="E1769" t="s">
        <v>11920</v>
      </c>
      <c r="G1769" s="1">
        <v>45614</v>
      </c>
      <c r="H1769" s="1">
        <v>45762</v>
      </c>
      <c r="I1769" s="1">
        <v>45962</v>
      </c>
      <c r="J1769" t="s">
        <v>45</v>
      </c>
      <c r="K1769" t="s">
        <v>45</v>
      </c>
      <c r="L1769" t="s">
        <v>72</v>
      </c>
      <c r="M1769" s="1">
        <v>43769</v>
      </c>
      <c r="N1769" t="s">
        <v>47</v>
      </c>
      <c r="O1769" t="s">
        <v>121</v>
      </c>
      <c r="P1769" t="s">
        <v>49</v>
      </c>
      <c r="Q1769" t="s">
        <v>11921</v>
      </c>
      <c r="R1769" t="s">
        <v>11922</v>
      </c>
      <c r="S1769">
        <v>4900</v>
      </c>
      <c r="T1769" t="s">
        <v>52</v>
      </c>
      <c r="U1769">
        <v>5</v>
      </c>
      <c r="V1769" t="s">
        <v>1951</v>
      </c>
      <c r="W1769" t="s">
        <v>54</v>
      </c>
      <c r="X1769" t="s">
        <v>52</v>
      </c>
      <c r="Y1769" t="s">
        <v>125</v>
      </c>
      <c r="Z1769">
        <v>6766</v>
      </c>
      <c r="AA1769">
        <v>59</v>
      </c>
      <c r="AB1769">
        <v>78</v>
      </c>
      <c r="AC1769" t="s">
        <v>1952</v>
      </c>
      <c r="AD1769" t="s">
        <v>1953</v>
      </c>
      <c r="AE1769" t="s">
        <v>1954</v>
      </c>
      <c r="AF1769" t="s">
        <v>11923</v>
      </c>
      <c r="AG1769" t="s">
        <v>11924</v>
      </c>
      <c r="AH1769" t="s">
        <v>11925</v>
      </c>
      <c r="AJ1769" s="2">
        <v>45762.831990740742</v>
      </c>
      <c r="AK1769" t="s">
        <v>276</v>
      </c>
      <c r="AL1769" t="s">
        <v>65</v>
      </c>
      <c r="AM1769" s="3">
        <v>1.4722222222222223</v>
      </c>
      <c r="AN1769" t="s">
        <v>66</v>
      </c>
      <c r="AO1769" t="s">
        <v>67</v>
      </c>
    </row>
    <row r="1770" spans="1:41" x14ac:dyDescent="0.2">
      <c r="A1770">
        <v>368762</v>
      </c>
      <c r="B1770" t="s">
        <v>11926</v>
      </c>
      <c r="C1770" t="s">
        <v>182</v>
      </c>
      <c r="D1770" t="s">
        <v>1948</v>
      </c>
      <c r="E1770" t="s">
        <v>11927</v>
      </c>
      <c r="G1770" s="1">
        <v>45345</v>
      </c>
      <c r="H1770" s="1">
        <v>45721</v>
      </c>
      <c r="I1770" s="1">
        <v>46096</v>
      </c>
      <c r="J1770" t="s">
        <v>45</v>
      </c>
      <c r="K1770" t="s">
        <v>45</v>
      </c>
      <c r="L1770" t="s">
        <v>72</v>
      </c>
      <c r="M1770" s="1">
        <v>44300</v>
      </c>
      <c r="N1770" t="s">
        <v>89</v>
      </c>
      <c r="O1770" t="s">
        <v>121</v>
      </c>
      <c r="P1770" t="s">
        <v>49</v>
      </c>
      <c r="Q1770" t="s">
        <v>11928</v>
      </c>
      <c r="R1770" t="s">
        <v>11929</v>
      </c>
      <c r="S1770">
        <v>5092</v>
      </c>
      <c r="T1770" t="s">
        <v>52</v>
      </c>
      <c r="U1770">
        <v>5</v>
      </c>
      <c r="V1770" t="s">
        <v>1951</v>
      </c>
      <c r="W1770" t="s">
        <v>54</v>
      </c>
      <c r="X1770" t="s">
        <v>52</v>
      </c>
      <c r="Y1770" t="s">
        <v>125</v>
      </c>
      <c r="Z1770">
        <v>8927</v>
      </c>
      <c r="AA1770">
        <v>41</v>
      </c>
      <c r="AB1770">
        <v>78</v>
      </c>
      <c r="AC1770" t="s">
        <v>1952</v>
      </c>
      <c r="AD1770" t="s">
        <v>1953</v>
      </c>
      <c r="AE1770" t="s">
        <v>1954</v>
      </c>
      <c r="AF1770" t="s">
        <v>11930</v>
      </c>
      <c r="AG1770" t="s">
        <v>11931</v>
      </c>
      <c r="AH1770" t="s">
        <v>11932</v>
      </c>
      <c r="AI1770" t="s">
        <v>4396</v>
      </c>
      <c r="AJ1770" s="2">
        <v>45721.491388888891</v>
      </c>
      <c r="AK1770" t="s">
        <v>800</v>
      </c>
      <c r="AL1770" t="s">
        <v>65</v>
      </c>
      <c r="AM1770" s="3">
        <v>1.5555555555555556</v>
      </c>
      <c r="AN1770" t="s">
        <v>66</v>
      </c>
      <c r="AO1770" t="s">
        <v>67</v>
      </c>
    </row>
    <row r="1771" spans="1:41" x14ac:dyDescent="0.2">
      <c r="A1771">
        <v>366330</v>
      </c>
      <c r="B1771" t="s">
        <v>11933</v>
      </c>
      <c r="C1771" t="s">
        <v>182</v>
      </c>
      <c r="D1771" t="s">
        <v>1948</v>
      </c>
      <c r="E1771" t="s">
        <v>11934</v>
      </c>
      <c r="G1771" s="1">
        <v>45614</v>
      </c>
      <c r="H1771" s="1">
        <v>45615</v>
      </c>
      <c r="I1771" s="1">
        <v>45962</v>
      </c>
      <c r="J1771" t="s">
        <v>45</v>
      </c>
      <c r="K1771" t="s">
        <v>45</v>
      </c>
      <c r="L1771" t="s">
        <v>72</v>
      </c>
      <c r="M1771" s="1">
        <v>43769</v>
      </c>
      <c r="N1771" t="s">
        <v>89</v>
      </c>
      <c r="O1771" t="s">
        <v>121</v>
      </c>
      <c r="P1771" t="s">
        <v>49</v>
      </c>
      <c r="Q1771" t="s">
        <v>11935</v>
      </c>
      <c r="R1771" t="s">
        <v>11936</v>
      </c>
      <c r="S1771">
        <v>5200</v>
      </c>
      <c r="T1771" t="s">
        <v>52</v>
      </c>
      <c r="U1771">
        <v>5</v>
      </c>
      <c r="V1771" t="s">
        <v>1951</v>
      </c>
      <c r="W1771" t="s">
        <v>54</v>
      </c>
      <c r="X1771" t="s">
        <v>52</v>
      </c>
      <c r="Y1771" t="s">
        <v>125</v>
      </c>
      <c r="Z1771">
        <v>8926</v>
      </c>
      <c r="AA1771">
        <v>30</v>
      </c>
      <c r="AB1771">
        <v>78</v>
      </c>
      <c r="AC1771" t="s">
        <v>1952</v>
      </c>
      <c r="AD1771" t="s">
        <v>1953</v>
      </c>
      <c r="AE1771" t="s">
        <v>1954</v>
      </c>
      <c r="AF1771" t="s">
        <v>11937</v>
      </c>
      <c r="AG1771" t="s">
        <v>11924</v>
      </c>
      <c r="AH1771" t="s">
        <v>11925</v>
      </c>
      <c r="AI1771" t="s">
        <v>11938</v>
      </c>
      <c r="AJ1771" s="2">
        <v>45615.499282407407</v>
      </c>
      <c r="AK1771" t="s">
        <v>132</v>
      </c>
      <c r="AL1771" t="s">
        <v>65</v>
      </c>
      <c r="AM1771" s="3">
        <v>1.5625</v>
      </c>
      <c r="AN1771" t="s">
        <v>66</v>
      </c>
      <c r="AO1771" t="s">
        <v>67</v>
      </c>
    </row>
    <row r="1772" spans="1:41" x14ac:dyDescent="0.2">
      <c r="A1772">
        <v>364083</v>
      </c>
      <c r="B1772" t="s">
        <v>11939</v>
      </c>
      <c r="C1772" t="s">
        <v>763</v>
      </c>
      <c r="D1772" t="s">
        <v>11940</v>
      </c>
      <c r="E1772" t="s">
        <v>11941</v>
      </c>
      <c r="F1772">
        <v>472603</v>
      </c>
      <c r="G1772" s="1">
        <v>38569</v>
      </c>
      <c r="H1772" s="1">
        <v>45450</v>
      </c>
      <c r="J1772" t="s">
        <v>45</v>
      </c>
      <c r="K1772" t="s">
        <v>45</v>
      </c>
      <c r="L1772" t="s">
        <v>72</v>
      </c>
      <c r="M1772" s="1">
        <v>45531</v>
      </c>
      <c r="N1772" t="s">
        <v>47</v>
      </c>
      <c r="O1772" t="s">
        <v>48</v>
      </c>
      <c r="P1772" t="s">
        <v>49</v>
      </c>
      <c r="Q1772" t="s">
        <v>11942</v>
      </c>
      <c r="R1772" t="s">
        <v>11943</v>
      </c>
      <c r="S1772">
        <v>1150</v>
      </c>
      <c r="T1772" t="s">
        <v>92</v>
      </c>
      <c r="U1772" t="s">
        <v>767</v>
      </c>
      <c r="V1772" t="s">
        <v>768</v>
      </c>
      <c r="W1772" t="s">
        <v>769</v>
      </c>
      <c r="X1772" t="s">
        <v>92</v>
      </c>
      <c r="Y1772" t="s">
        <v>770</v>
      </c>
      <c r="Z1772">
        <v>2676</v>
      </c>
      <c r="AA1772">
        <v>38</v>
      </c>
      <c r="AB1772">
        <v>152</v>
      </c>
      <c r="AC1772" t="s">
        <v>771</v>
      </c>
      <c r="AD1772" t="s">
        <v>772</v>
      </c>
      <c r="AE1772" t="s">
        <v>11944</v>
      </c>
      <c r="AF1772" t="s">
        <v>774</v>
      </c>
      <c r="AG1772" t="s">
        <v>775</v>
      </c>
      <c r="AH1772" t="s">
        <v>776</v>
      </c>
      <c r="AI1772" t="s">
        <v>11945</v>
      </c>
      <c r="AJ1772" s="2">
        <v>45532.638032407405</v>
      </c>
      <c r="AK1772" t="s">
        <v>771</v>
      </c>
      <c r="AL1772" t="s">
        <v>65</v>
      </c>
      <c r="AM1772" s="4">
        <v>0.2361111111111111</v>
      </c>
      <c r="AN1772" t="s">
        <v>66</v>
      </c>
      <c r="AO1772" t="s">
        <v>67</v>
      </c>
    </row>
    <row r="1773" spans="1:41" x14ac:dyDescent="0.2">
      <c r="A1773">
        <v>368948</v>
      </c>
      <c r="B1773" t="s">
        <v>11946</v>
      </c>
      <c r="C1773" t="s">
        <v>182</v>
      </c>
      <c r="D1773" t="s">
        <v>2179</v>
      </c>
      <c r="E1773" t="s">
        <v>11947</v>
      </c>
      <c r="F1773">
        <v>40397</v>
      </c>
      <c r="G1773" s="1">
        <v>44831</v>
      </c>
      <c r="H1773" s="1">
        <v>45524</v>
      </c>
      <c r="I1773" s="1">
        <v>46266</v>
      </c>
      <c r="J1773" t="s">
        <v>45</v>
      </c>
      <c r="K1773" t="s">
        <v>45</v>
      </c>
      <c r="L1773" t="s">
        <v>46</v>
      </c>
      <c r="N1773" t="s">
        <v>47</v>
      </c>
      <c r="O1773" t="s">
        <v>48</v>
      </c>
      <c r="P1773" t="s">
        <v>49</v>
      </c>
      <c r="Q1773" t="s">
        <v>11948</v>
      </c>
      <c r="R1773" t="s">
        <v>11949</v>
      </c>
      <c r="S1773">
        <v>9867</v>
      </c>
      <c r="T1773" t="s">
        <v>1328</v>
      </c>
      <c r="U1773" t="s">
        <v>1583</v>
      </c>
      <c r="V1773" t="s">
        <v>2726</v>
      </c>
      <c r="W1773" t="s">
        <v>2727</v>
      </c>
      <c r="X1773" t="s">
        <v>493</v>
      </c>
      <c r="Y1773" t="s">
        <v>434</v>
      </c>
      <c r="Z1773">
        <v>12127</v>
      </c>
      <c r="AA1773">
        <v>17</v>
      </c>
      <c r="AB1773">
        <v>160</v>
      </c>
      <c r="AC1773" t="s">
        <v>2728</v>
      </c>
      <c r="AD1773" t="s">
        <v>2729</v>
      </c>
      <c r="AE1773" t="s">
        <v>2730</v>
      </c>
      <c r="AF1773" t="s">
        <v>2731</v>
      </c>
      <c r="AG1773" t="s">
        <v>2732</v>
      </c>
      <c r="AH1773" t="s">
        <v>2733</v>
      </c>
      <c r="AI1773" t="s">
        <v>179</v>
      </c>
      <c r="AJ1773" s="2">
        <v>45722.921469907407</v>
      </c>
      <c r="AK1773" t="s">
        <v>1472</v>
      </c>
      <c r="AL1773" t="s">
        <v>65</v>
      </c>
      <c r="AM1773" s="3">
        <v>1.0416666666666667</v>
      </c>
      <c r="AN1773" t="s">
        <v>66</v>
      </c>
      <c r="AO1773" t="s">
        <v>67</v>
      </c>
    </row>
    <row r="1774" spans="1:41" x14ac:dyDescent="0.2">
      <c r="A1774">
        <v>373015</v>
      </c>
      <c r="B1774" t="s">
        <v>11950</v>
      </c>
      <c r="C1774" t="s">
        <v>236</v>
      </c>
      <c r="D1774" t="s">
        <v>7034</v>
      </c>
      <c r="E1774" s="5">
        <v>328713</v>
      </c>
      <c r="F1774">
        <v>210503</v>
      </c>
      <c r="G1774" s="1">
        <v>36284</v>
      </c>
      <c r="H1774" s="1">
        <v>45587</v>
      </c>
      <c r="I1774" s="1">
        <v>45931</v>
      </c>
      <c r="J1774" t="s">
        <v>45</v>
      </c>
      <c r="K1774" t="s">
        <v>45</v>
      </c>
      <c r="L1774" t="s">
        <v>46</v>
      </c>
      <c r="M1774" s="1">
        <v>40758</v>
      </c>
      <c r="N1774" t="s">
        <v>47</v>
      </c>
      <c r="O1774" t="s">
        <v>48</v>
      </c>
      <c r="P1774" t="s">
        <v>49</v>
      </c>
      <c r="Q1774" t="s">
        <v>11951</v>
      </c>
      <c r="R1774" t="s">
        <v>11952</v>
      </c>
      <c r="S1774">
        <v>1368</v>
      </c>
      <c r="T1774" t="s">
        <v>52</v>
      </c>
      <c r="U1774">
        <v>9</v>
      </c>
      <c r="V1774" t="s">
        <v>7038</v>
      </c>
      <c r="W1774" t="s">
        <v>54</v>
      </c>
      <c r="X1774" t="s">
        <v>76</v>
      </c>
      <c r="Y1774" t="s">
        <v>56</v>
      </c>
      <c r="Z1774">
        <v>1737</v>
      </c>
      <c r="AA1774">
        <v>51</v>
      </c>
      <c r="AB1774">
        <v>146</v>
      </c>
      <c r="AC1774" t="s">
        <v>7364</v>
      </c>
      <c r="AD1774" t="s">
        <v>7040</v>
      </c>
      <c r="AE1774" t="s">
        <v>7365</v>
      </c>
      <c r="AF1774" t="s">
        <v>11953</v>
      </c>
      <c r="AG1774" t="s">
        <v>7366</v>
      </c>
      <c r="AH1774" t="s">
        <v>7044</v>
      </c>
      <c r="AI1774" t="s">
        <v>5961</v>
      </c>
      <c r="AJ1774" s="2">
        <v>45856.018171296295</v>
      </c>
      <c r="AK1774" t="s">
        <v>556</v>
      </c>
      <c r="AL1774" t="s">
        <v>65</v>
      </c>
      <c r="AM1774" s="4">
        <v>0.1875</v>
      </c>
      <c r="AN1774" t="s">
        <v>66</v>
      </c>
      <c r="AO1774" t="s">
        <v>67</v>
      </c>
    </row>
    <row r="1775" spans="1:41" x14ac:dyDescent="0.2">
      <c r="A1775">
        <v>367002</v>
      </c>
      <c r="B1775" t="s">
        <v>11954</v>
      </c>
      <c r="C1775" t="s">
        <v>182</v>
      </c>
      <c r="D1775" t="s">
        <v>811</v>
      </c>
      <c r="E1775" t="s">
        <v>11955</v>
      </c>
      <c r="F1775">
        <v>45131</v>
      </c>
      <c r="G1775" s="1">
        <v>35752</v>
      </c>
      <c r="H1775" s="1">
        <v>45646</v>
      </c>
      <c r="I1775" s="1">
        <v>45992</v>
      </c>
      <c r="J1775" t="s">
        <v>45</v>
      </c>
      <c r="K1775" t="s">
        <v>45</v>
      </c>
      <c r="L1775" t="s">
        <v>429</v>
      </c>
      <c r="M1775" s="1">
        <v>42746</v>
      </c>
      <c r="N1775" t="s">
        <v>47</v>
      </c>
      <c r="O1775" t="s">
        <v>48</v>
      </c>
      <c r="P1775" t="s">
        <v>49</v>
      </c>
      <c r="Q1775" t="s">
        <v>11956</v>
      </c>
      <c r="R1775" t="s">
        <v>11957</v>
      </c>
      <c r="S1775">
        <v>2818</v>
      </c>
      <c r="T1775" t="s">
        <v>365</v>
      </c>
      <c r="U1775" t="s">
        <v>815</v>
      </c>
      <c r="V1775" t="s">
        <v>816</v>
      </c>
      <c r="W1775" t="s">
        <v>367</v>
      </c>
      <c r="X1775" t="s">
        <v>493</v>
      </c>
      <c r="Y1775" t="s">
        <v>434</v>
      </c>
      <c r="Z1775">
        <v>159</v>
      </c>
      <c r="AA1775">
        <v>62</v>
      </c>
      <c r="AB1775">
        <v>210</v>
      </c>
      <c r="AC1775" t="s">
        <v>817</v>
      </c>
      <c r="AD1775" t="s">
        <v>818</v>
      </c>
      <c r="AE1775" t="s">
        <v>819</v>
      </c>
      <c r="AF1775" t="s">
        <v>11958</v>
      </c>
      <c r="AH1775" t="s">
        <v>11959</v>
      </c>
      <c r="AI1775" t="s">
        <v>179</v>
      </c>
      <c r="AJ1775" s="2">
        <v>45652.856030092589</v>
      </c>
      <c r="AK1775" t="s">
        <v>556</v>
      </c>
      <c r="AL1775" t="s">
        <v>65</v>
      </c>
      <c r="AM1775" s="3">
        <v>1.1180555555555556</v>
      </c>
      <c r="AN1775" t="s">
        <v>66</v>
      </c>
      <c r="AO1775" t="s">
        <v>67</v>
      </c>
    </row>
    <row r="1776" spans="1:41" x14ac:dyDescent="0.2">
      <c r="A1776">
        <v>356591</v>
      </c>
      <c r="B1776" t="s">
        <v>11960</v>
      </c>
      <c r="C1776" t="s">
        <v>167</v>
      </c>
      <c r="E1776" t="s">
        <v>11961</v>
      </c>
      <c r="G1776" s="1">
        <v>42655</v>
      </c>
      <c r="H1776" s="1">
        <v>42644</v>
      </c>
      <c r="J1776" t="s">
        <v>326</v>
      </c>
      <c r="K1776" t="s">
        <v>45</v>
      </c>
      <c r="L1776" t="s">
        <v>72</v>
      </c>
      <c r="M1776" s="1">
        <v>38958</v>
      </c>
      <c r="N1776" t="s">
        <v>89</v>
      </c>
      <c r="O1776" t="s">
        <v>121</v>
      </c>
      <c r="P1776" t="s">
        <v>49</v>
      </c>
      <c r="Q1776" t="s">
        <v>11962</v>
      </c>
      <c r="R1776" t="s">
        <v>11963</v>
      </c>
      <c r="S1776">
        <v>1318</v>
      </c>
      <c r="T1776" t="s">
        <v>365</v>
      </c>
      <c r="U1776" t="s">
        <v>532</v>
      </c>
      <c r="V1776" t="s">
        <v>3595</v>
      </c>
      <c r="W1776" t="s">
        <v>367</v>
      </c>
      <c r="X1776" t="s">
        <v>76</v>
      </c>
      <c r="Y1776" t="s">
        <v>410</v>
      </c>
      <c r="Z1776">
        <v>2525</v>
      </c>
      <c r="AA1776">
        <v>30</v>
      </c>
      <c r="AB1776">
        <v>166</v>
      </c>
      <c r="AC1776" t="s">
        <v>11964</v>
      </c>
      <c r="AD1776" t="s">
        <v>11965</v>
      </c>
      <c r="AE1776" t="s">
        <v>11966</v>
      </c>
      <c r="AF1776" t="s">
        <v>3596</v>
      </c>
      <c r="AG1776" t="s">
        <v>3597</v>
      </c>
      <c r="AH1776" t="s">
        <v>11967</v>
      </c>
      <c r="AJ1776" s="2">
        <v>45313.653414351851</v>
      </c>
      <c r="AK1776" t="s">
        <v>149</v>
      </c>
      <c r="AL1776" t="s">
        <v>65</v>
      </c>
      <c r="AM1776" s="3">
        <v>1.9166666666666667</v>
      </c>
      <c r="AN1776" t="s">
        <v>66</v>
      </c>
      <c r="AO1776" t="s">
        <v>67</v>
      </c>
    </row>
    <row r="1777" spans="1:41" x14ac:dyDescent="0.2">
      <c r="A1777">
        <v>356592</v>
      </c>
      <c r="B1777" t="s">
        <v>11968</v>
      </c>
      <c r="C1777" t="s">
        <v>167</v>
      </c>
      <c r="E1777" t="s">
        <v>11969</v>
      </c>
      <c r="G1777" s="1">
        <v>42688</v>
      </c>
      <c r="H1777" s="1">
        <v>42644</v>
      </c>
      <c r="J1777" t="s">
        <v>326</v>
      </c>
      <c r="K1777" t="s">
        <v>45</v>
      </c>
      <c r="L1777" t="s">
        <v>72</v>
      </c>
      <c r="N1777" t="s">
        <v>89</v>
      </c>
      <c r="O1777" t="s">
        <v>121</v>
      </c>
      <c r="P1777" t="s">
        <v>49</v>
      </c>
      <c r="Q1777" t="s">
        <v>11970</v>
      </c>
      <c r="R1777" t="s">
        <v>11971</v>
      </c>
      <c r="S1777">
        <v>3079</v>
      </c>
      <c r="T1777" t="s">
        <v>365</v>
      </c>
      <c r="U1777" t="s">
        <v>532</v>
      </c>
      <c r="V1777" t="s">
        <v>3595</v>
      </c>
      <c r="W1777" t="s">
        <v>367</v>
      </c>
      <c r="X1777" t="s">
        <v>76</v>
      </c>
      <c r="Y1777" t="s">
        <v>410</v>
      </c>
      <c r="Z1777">
        <v>2840</v>
      </c>
      <c r="AA1777">
        <v>37</v>
      </c>
      <c r="AB1777">
        <v>158</v>
      </c>
      <c r="AC1777" t="s">
        <v>11964</v>
      </c>
      <c r="AD1777" t="s">
        <v>11965</v>
      </c>
      <c r="AE1777" t="s">
        <v>11966</v>
      </c>
      <c r="AF1777" t="s">
        <v>3596</v>
      </c>
      <c r="AG1777" t="s">
        <v>3597</v>
      </c>
      <c r="AH1777" t="s">
        <v>11967</v>
      </c>
      <c r="AJ1777" s="2">
        <v>45313.653738425928</v>
      </c>
      <c r="AK1777" t="s">
        <v>149</v>
      </c>
      <c r="AL1777" t="s">
        <v>65</v>
      </c>
      <c r="AM1777" s="3">
        <v>1.7361111111111112</v>
      </c>
      <c r="AN1777" t="s">
        <v>66</v>
      </c>
      <c r="AO1777" t="s">
        <v>67</v>
      </c>
    </row>
    <row r="1778" spans="1:41" x14ac:dyDescent="0.2">
      <c r="A1778">
        <v>364734</v>
      </c>
      <c r="B1778" t="s">
        <v>11972</v>
      </c>
      <c r="C1778" t="s">
        <v>735</v>
      </c>
      <c r="D1778" t="s">
        <v>3697</v>
      </c>
      <c r="E1778" t="s">
        <v>11973</v>
      </c>
      <c r="F1778">
        <v>241102</v>
      </c>
      <c r="G1778" s="1">
        <v>37519</v>
      </c>
      <c r="H1778" s="1">
        <v>45552</v>
      </c>
      <c r="J1778" t="s">
        <v>45</v>
      </c>
      <c r="K1778" t="s">
        <v>45</v>
      </c>
      <c r="L1778" t="s">
        <v>72</v>
      </c>
      <c r="M1778" s="1">
        <v>42338</v>
      </c>
      <c r="N1778" t="s">
        <v>47</v>
      </c>
      <c r="O1778" t="s">
        <v>48</v>
      </c>
      <c r="P1778" t="s">
        <v>49</v>
      </c>
      <c r="Q1778" t="s">
        <v>11974</v>
      </c>
      <c r="R1778" t="s">
        <v>11975</v>
      </c>
      <c r="S1778">
        <v>1975</v>
      </c>
      <c r="T1778" t="s">
        <v>156</v>
      </c>
      <c r="U1778" t="s">
        <v>1018</v>
      </c>
      <c r="V1778" t="s">
        <v>11976</v>
      </c>
      <c r="W1778" t="s">
        <v>159</v>
      </c>
      <c r="X1778" t="s">
        <v>156</v>
      </c>
      <c r="Y1778" t="s">
        <v>450</v>
      </c>
      <c r="Z1778">
        <v>1896</v>
      </c>
      <c r="AA1778">
        <v>53</v>
      </c>
      <c r="AB1778">
        <v>52</v>
      </c>
      <c r="AC1778" t="s">
        <v>11977</v>
      </c>
      <c r="AD1778" t="s">
        <v>11978</v>
      </c>
      <c r="AE1778" t="s">
        <v>11979</v>
      </c>
      <c r="AF1778" t="s">
        <v>11980</v>
      </c>
      <c r="AG1778" t="s">
        <v>11981</v>
      </c>
      <c r="AH1778" t="s">
        <v>11982</v>
      </c>
      <c r="AI1778" t="s">
        <v>11983</v>
      </c>
      <c r="AJ1778" s="2">
        <v>45558.688136574077</v>
      </c>
      <c r="AK1778" t="s">
        <v>456</v>
      </c>
      <c r="AL1778" t="s">
        <v>65</v>
      </c>
      <c r="AM1778" s="3">
        <v>2.4305555555555554</v>
      </c>
      <c r="AN1778" t="s">
        <v>66</v>
      </c>
      <c r="AO1778" t="s">
        <v>67</v>
      </c>
    </row>
    <row r="1779" spans="1:41" x14ac:dyDescent="0.2">
      <c r="A1779">
        <v>347163</v>
      </c>
      <c r="B1779" t="s">
        <v>11984</v>
      </c>
      <c r="C1779" t="s">
        <v>42</v>
      </c>
      <c r="D1779" t="s">
        <v>269</v>
      </c>
      <c r="E1779" t="s">
        <v>11985</v>
      </c>
      <c r="F1779">
        <v>291901</v>
      </c>
      <c r="G1779" s="1">
        <v>38771</v>
      </c>
      <c r="H1779" s="1">
        <v>44953</v>
      </c>
      <c r="J1779" t="s">
        <v>45</v>
      </c>
      <c r="K1779" t="s">
        <v>326</v>
      </c>
      <c r="L1779" t="s">
        <v>72</v>
      </c>
      <c r="N1779" t="s">
        <v>47</v>
      </c>
      <c r="O1779" t="s">
        <v>48</v>
      </c>
      <c r="P1779" t="s">
        <v>49</v>
      </c>
      <c r="Q1779" t="s">
        <v>11986</v>
      </c>
      <c r="R1779" t="s">
        <v>11987</v>
      </c>
      <c r="S1779">
        <v>4263</v>
      </c>
      <c r="T1779" t="s">
        <v>1328</v>
      </c>
      <c r="W1779" t="s">
        <v>11570</v>
      </c>
      <c r="X1779" t="s">
        <v>449</v>
      </c>
      <c r="Y1779" t="s">
        <v>450</v>
      </c>
      <c r="Z1779">
        <v>2833</v>
      </c>
      <c r="AA1779">
        <v>27</v>
      </c>
      <c r="AB1779">
        <v>152</v>
      </c>
      <c r="AC1779" t="s">
        <v>11988</v>
      </c>
      <c r="AD1779" t="s">
        <v>11989</v>
      </c>
      <c r="AF1779" t="s">
        <v>5551</v>
      </c>
      <c r="AG1779" t="s">
        <v>1809</v>
      </c>
      <c r="AH1779" t="s">
        <v>1810</v>
      </c>
      <c r="AI1779" t="s">
        <v>1809</v>
      </c>
      <c r="AJ1779" s="2">
        <v>45007.837071759262</v>
      </c>
      <c r="AK1779" t="s">
        <v>526</v>
      </c>
      <c r="AL1779" t="s">
        <v>475</v>
      </c>
      <c r="AM1779" s="4">
        <v>0.59027777777777779</v>
      </c>
      <c r="AN1779" t="s">
        <v>809</v>
      </c>
      <c r="AO1779" t="s">
        <v>67</v>
      </c>
    </row>
    <row r="1780" spans="1:41" x14ac:dyDescent="0.2">
      <c r="A1780">
        <v>371832</v>
      </c>
      <c r="B1780" t="s">
        <v>11990</v>
      </c>
      <c r="C1780" t="s">
        <v>182</v>
      </c>
      <c r="D1780" t="s">
        <v>3180</v>
      </c>
      <c r="E1780">
        <v>32715230</v>
      </c>
      <c r="F1780">
        <v>41018</v>
      </c>
      <c r="G1780" s="1">
        <v>36769</v>
      </c>
      <c r="H1780" s="1">
        <v>45818</v>
      </c>
      <c r="I1780" s="1">
        <v>46157</v>
      </c>
      <c r="J1780" t="s">
        <v>45</v>
      </c>
      <c r="K1780" t="s">
        <v>45</v>
      </c>
      <c r="L1780" t="s">
        <v>429</v>
      </c>
      <c r="M1780" s="1">
        <v>44791</v>
      </c>
      <c r="N1780" t="s">
        <v>47</v>
      </c>
      <c r="O1780" t="s">
        <v>48</v>
      </c>
      <c r="P1780" t="s">
        <v>49</v>
      </c>
      <c r="Q1780" t="s">
        <v>11991</v>
      </c>
      <c r="R1780" t="s">
        <v>11992</v>
      </c>
      <c r="S1780">
        <v>5382</v>
      </c>
      <c r="T1780" t="s">
        <v>52</v>
      </c>
      <c r="U1780">
        <v>5</v>
      </c>
      <c r="V1780" t="s">
        <v>492</v>
      </c>
      <c r="W1780" t="s">
        <v>54</v>
      </c>
      <c r="X1780" t="s">
        <v>493</v>
      </c>
      <c r="Y1780" t="s">
        <v>434</v>
      </c>
      <c r="Z1780">
        <v>1689</v>
      </c>
      <c r="AA1780">
        <v>53</v>
      </c>
      <c r="AB1780">
        <v>34</v>
      </c>
      <c r="AC1780" t="s">
        <v>6995</v>
      </c>
      <c r="AD1780" t="s">
        <v>6919</v>
      </c>
      <c r="AE1780" t="s">
        <v>6920</v>
      </c>
      <c r="AF1780" t="s">
        <v>6921</v>
      </c>
      <c r="AG1780" t="s">
        <v>6922</v>
      </c>
      <c r="AH1780" t="s">
        <v>6923</v>
      </c>
      <c r="AI1780" t="s">
        <v>11993</v>
      </c>
      <c r="AJ1780" s="2">
        <v>45820.643425925926</v>
      </c>
      <c r="AK1780" t="s">
        <v>501</v>
      </c>
      <c r="AL1780" t="s">
        <v>65</v>
      </c>
      <c r="AM1780" s="4">
        <v>0.1875</v>
      </c>
      <c r="AN1780" t="s">
        <v>66</v>
      </c>
      <c r="AO1780" t="s">
        <v>67</v>
      </c>
    </row>
    <row r="1781" spans="1:41" x14ac:dyDescent="0.2">
      <c r="A1781">
        <v>371397</v>
      </c>
      <c r="B1781" t="s">
        <v>11994</v>
      </c>
      <c r="C1781" t="s">
        <v>1000</v>
      </c>
      <c r="D1781" t="s">
        <v>4891</v>
      </c>
      <c r="E1781" t="s">
        <v>11995</v>
      </c>
      <c r="F1781">
        <v>406401</v>
      </c>
      <c r="G1781" s="1">
        <v>35558</v>
      </c>
      <c r="H1781" s="1">
        <v>45483</v>
      </c>
      <c r="I1781" s="1">
        <v>46204</v>
      </c>
      <c r="J1781" t="s">
        <v>45</v>
      </c>
      <c r="K1781" t="s">
        <v>45</v>
      </c>
      <c r="L1781" t="s">
        <v>72</v>
      </c>
      <c r="M1781" s="1">
        <v>43816</v>
      </c>
      <c r="N1781" t="s">
        <v>47</v>
      </c>
      <c r="O1781" t="s">
        <v>48</v>
      </c>
      <c r="P1781" t="s">
        <v>49</v>
      </c>
      <c r="Q1781" t="s">
        <v>11996</v>
      </c>
      <c r="R1781" t="s">
        <v>11997</v>
      </c>
      <c r="S1781">
        <v>920</v>
      </c>
      <c r="T1781" t="s">
        <v>257</v>
      </c>
      <c r="U1781" t="s">
        <v>1691</v>
      </c>
      <c r="V1781" t="s">
        <v>8838</v>
      </c>
      <c r="W1781" t="s">
        <v>260</v>
      </c>
      <c r="X1781" t="s">
        <v>257</v>
      </c>
      <c r="Y1781" t="s">
        <v>110</v>
      </c>
      <c r="Z1781">
        <v>1195</v>
      </c>
      <c r="AA1781">
        <v>53</v>
      </c>
      <c r="AB1781">
        <v>160</v>
      </c>
      <c r="AC1781" t="s">
        <v>8839</v>
      </c>
      <c r="AD1781" t="s">
        <v>8840</v>
      </c>
      <c r="AE1781" t="s">
        <v>8841</v>
      </c>
      <c r="AF1781" t="s">
        <v>8842</v>
      </c>
      <c r="AG1781" t="s">
        <v>8843</v>
      </c>
      <c r="AI1781" t="s">
        <v>8840</v>
      </c>
      <c r="AJ1781" s="2">
        <v>45807.698611111111</v>
      </c>
      <c r="AK1781" t="s">
        <v>8839</v>
      </c>
      <c r="AL1781" t="s">
        <v>65</v>
      </c>
      <c r="AM1781" s="4">
        <v>0.93055555555555558</v>
      </c>
      <c r="AN1781" t="s">
        <v>66</v>
      </c>
      <c r="AO1781" t="s">
        <v>67</v>
      </c>
    </row>
    <row r="1782" spans="1:41" x14ac:dyDescent="0.2">
      <c r="A1782">
        <v>364740</v>
      </c>
      <c r="B1782" t="s">
        <v>11998</v>
      </c>
      <c r="C1782" t="s">
        <v>167</v>
      </c>
      <c r="D1782" t="s">
        <v>6941</v>
      </c>
      <c r="E1782" t="s">
        <v>11999</v>
      </c>
      <c r="F1782">
        <v>353122</v>
      </c>
      <c r="G1782" s="1">
        <v>34220</v>
      </c>
      <c r="H1782" s="1">
        <v>45536</v>
      </c>
      <c r="I1782" s="1">
        <v>45962</v>
      </c>
      <c r="J1782" t="s">
        <v>45</v>
      </c>
      <c r="K1782" t="s">
        <v>45</v>
      </c>
      <c r="L1782" t="s">
        <v>72</v>
      </c>
      <c r="M1782" s="1">
        <v>40288</v>
      </c>
      <c r="N1782" t="s">
        <v>47</v>
      </c>
      <c r="O1782" t="s">
        <v>48</v>
      </c>
      <c r="P1782" t="s">
        <v>49</v>
      </c>
      <c r="Q1782" t="s">
        <v>12000</v>
      </c>
      <c r="R1782" t="s">
        <v>12001</v>
      </c>
      <c r="S1782">
        <v>1144</v>
      </c>
      <c r="T1782" t="s">
        <v>92</v>
      </c>
      <c r="U1782" t="s">
        <v>3030</v>
      </c>
      <c r="V1782" t="s">
        <v>3031</v>
      </c>
      <c r="W1782" t="s">
        <v>3032</v>
      </c>
      <c r="Y1782" t="s">
        <v>110</v>
      </c>
      <c r="Z1782">
        <v>308</v>
      </c>
      <c r="AA1782">
        <v>58</v>
      </c>
      <c r="AB1782">
        <v>146</v>
      </c>
      <c r="AC1782" t="s">
        <v>12002</v>
      </c>
      <c r="AD1782" t="s">
        <v>12003</v>
      </c>
      <c r="AE1782" t="s">
        <v>12004</v>
      </c>
      <c r="AF1782" t="s">
        <v>12005</v>
      </c>
      <c r="AG1782" t="s">
        <v>12006</v>
      </c>
      <c r="AH1782" t="s">
        <v>12007</v>
      </c>
      <c r="AJ1782" s="2">
        <v>45558.712789351855</v>
      </c>
      <c r="AK1782" t="s">
        <v>12002</v>
      </c>
      <c r="AL1782" t="s">
        <v>65</v>
      </c>
      <c r="AM1782" s="3">
        <v>2.4333333333333331</v>
      </c>
      <c r="AN1782" t="s">
        <v>66</v>
      </c>
      <c r="AO1782" t="s">
        <v>67</v>
      </c>
    </row>
    <row r="1783" spans="1:41" x14ac:dyDescent="0.2">
      <c r="A1783">
        <v>365901</v>
      </c>
      <c r="B1783" t="s">
        <v>12008</v>
      </c>
      <c r="C1783" t="s">
        <v>2962</v>
      </c>
      <c r="D1783" t="s">
        <v>6040</v>
      </c>
      <c r="E1783" t="s">
        <v>12009</v>
      </c>
      <c r="F1783">
        <v>337302</v>
      </c>
      <c r="G1783" s="1">
        <v>42951</v>
      </c>
      <c r="H1783" s="1">
        <v>45594</v>
      </c>
      <c r="I1783" s="1">
        <v>45945</v>
      </c>
      <c r="J1783" t="s">
        <v>45</v>
      </c>
      <c r="K1783" t="s">
        <v>45</v>
      </c>
      <c r="L1783" t="s">
        <v>72</v>
      </c>
      <c r="M1783" s="1">
        <v>45565</v>
      </c>
      <c r="N1783" t="s">
        <v>47</v>
      </c>
      <c r="O1783" t="s">
        <v>48</v>
      </c>
      <c r="P1783" t="s">
        <v>49</v>
      </c>
      <c r="Q1783" t="s">
        <v>12010</v>
      </c>
      <c r="R1783" t="s">
        <v>12011</v>
      </c>
      <c r="S1783">
        <v>820</v>
      </c>
      <c r="T1783" t="s">
        <v>52</v>
      </c>
      <c r="U1783">
        <v>9</v>
      </c>
      <c r="V1783" t="s">
        <v>6080</v>
      </c>
      <c r="W1783" t="s">
        <v>54</v>
      </c>
      <c r="X1783" t="s">
        <v>76</v>
      </c>
      <c r="Y1783" t="s">
        <v>56</v>
      </c>
      <c r="Z1783">
        <v>8966</v>
      </c>
      <c r="AA1783">
        <v>23</v>
      </c>
      <c r="AB1783">
        <v>189</v>
      </c>
      <c r="AC1783" t="s">
        <v>6081</v>
      </c>
      <c r="AD1783" t="s">
        <v>6082</v>
      </c>
      <c r="AE1783" t="s">
        <v>6083</v>
      </c>
      <c r="AF1783" t="s">
        <v>6084</v>
      </c>
      <c r="AG1783" t="s">
        <v>6085</v>
      </c>
      <c r="AH1783" t="s">
        <v>6086</v>
      </c>
      <c r="AI1783" t="s">
        <v>6082</v>
      </c>
      <c r="AJ1783" s="2">
        <v>45594.972314814811</v>
      </c>
      <c r="AK1783" t="s">
        <v>3738</v>
      </c>
      <c r="AL1783" t="s">
        <v>65</v>
      </c>
      <c r="AM1783" s="3">
        <v>1.3680555555555556</v>
      </c>
      <c r="AN1783" t="s">
        <v>66</v>
      </c>
      <c r="AO1783" t="s">
        <v>101</v>
      </c>
    </row>
    <row r="1784" spans="1:41" x14ac:dyDescent="0.2">
      <c r="A1784">
        <v>371573</v>
      </c>
      <c r="B1784" t="s">
        <v>12012</v>
      </c>
      <c r="C1784" t="s">
        <v>662</v>
      </c>
      <c r="D1784" t="s">
        <v>12013</v>
      </c>
      <c r="E1784" t="s">
        <v>12014</v>
      </c>
      <c r="F1784">
        <v>418002</v>
      </c>
      <c r="G1784" s="1">
        <v>40884</v>
      </c>
      <c r="H1784" s="1">
        <v>45790</v>
      </c>
      <c r="I1784" s="1">
        <v>46127</v>
      </c>
      <c r="J1784" t="s">
        <v>45</v>
      </c>
      <c r="K1784" t="s">
        <v>326</v>
      </c>
      <c r="L1784" t="s">
        <v>72</v>
      </c>
      <c r="M1784" s="1">
        <v>44419</v>
      </c>
      <c r="N1784" t="s">
        <v>47</v>
      </c>
      <c r="O1784" t="s">
        <v>48</v>
      </c>
      <c r="P1784" t="s">
        <v>49</v>
      </c>
      <c r="Q1784" t="s">
        <v>12015</v>
      </c>
      <c r="R1784" t="s">
        <v>12016</v>
      </c>
      <c r="S1784">
        <v>2195</v>
      </c>
      <c r="T1784" t="s">
        <v>92</v>
      </c>
      <c r="U1784" t="s">
        <v>1197</v>
      </c>
      <c r="V1784" t="s">
        <v>1198</v>
      </c>
      <c r="W1784" t="s">
        <v>1199</v>
      </c>
      <c r="X1784" t="s">
        <v>92</v>
      </c>
      <c r="Y1784" t="s">
        <v>110</v>
      </c>
      <c r="Z1784">
        <v>4527</v>
      </c>
      <c r="AA1784">
        <v>29</v>
      </c>
      <c r="AB1784">
        <v>210</v>
      </c>
      <c r="AC1784" t="s">
        <v>6845</v>
      </c>
      <c r="AD1784" t="s">
        <v>1201</v>
      </c>
      <c r="AE1784" t="s">
        <v>1202</v>
      </c>
      <c r="AF1784" t="s">
        <v>1786</v>
      </c>
      <c r="AG1784" t="s">
        <v>1787</v>
      </c>
      <c r="AH1784" t="s">
        <v>1788</v>
      </c>
      <c r="AJ1784" s="2">
        <v>45816.844652777778</v>
      </c>
      <c r="AK1784" t="s">
        <v>132</v>
      </c>
      <c r="AL1784" t="s">
        <v>65</v>
      </c>
      <c r="AM1784" s="3">
        <v>1.9305555555555556</v>
      </c>
      <c r="AN1784" t="s">
        <v>66</v>
      </c>
      <c r="AO1784" t="s">
        <v>67</v>
      </c>
    </row>
    <row r="1785" spans="1:41" x14ac:dyDescent="0.2">
      <c r="A1785">
        <v>367912</v>
      </c>
      <c r="B1785" t="s">
        <v>12017</v>
      </c>
      <c r="C1785" t="s">
        <v>788</v>
      </c>
      <c r="D1785" t="s">
        <v>12018</v>
      </c>
      <c r="E1785" t="s">
        <v>12019</v>
      </c>
      <c r="F1785">
        <v>84402</v>
      </c>
      <c r="G1785" s="1">
        <v>37391</v>
      </c>
      <c r="H1785" s="1">
        <v>45691</v>
      </c>
      <c r="J1785" t="s">
        <v>45</v>
      </c>
      <c r="K1785" t="s">
        <v>72</v>
      </c>
      <c r="L1785" t="s">
        <v>72</v>
      </c>
      <c r="N1785" t="s">
        <v>47</v>
      </c>
      <c r="O1785" t="s">
        <v>48</v>
      </c>
      <c r="P1785" t="s">
        <v>49</v>
      </c>
      <c r="Q1785" t="s">
        <v>12020</v>
      </c>
      <c r="R1785" t="s">
        <v>12021</v>
      </c>
      <c r="S1785">
        <v>30</v>
      </c>
      <c r="T1785" t="s">
        <v>156</v>
      </c>
      <c r="U1785" t="s">
        <v>157</v>
      </c>
      <c r="V1785" t="s">
        <v>12022</v>
      </c>
      <c r="W1785" t="s">
        <v>159</v>
      </c>
      <c r="X1785" t="s">
        <v>156</v>
      </c>
      <c r="Y1785" t="s">
        <v>450</v>
      </c>
      <c r="Z1785">
        <v>2103</v>
      </c>
      <c r="AA1785">
        <v>35</v>
      </c>
      <c r="AB1785">
        <v>160</v>
      </c>
      <c r="AC1785" t="s">
        <v>10744</v>
      </c>
      <c r="AD1785" t="s">
        <v>10745</v>
      </c>
      <c r="AE1785" t="s">
        <v>10746</v>
      </c>
      <c r="AI1785" t="s">
        <v>10745</v>
      </c>
      <c r="AJ1785" s="2">
        <v>45693.800532407404</v>
      </c>
      <c r="AK1785" t="s">
        <v>526</v>
      </c>
      <c r="AL1785" t="s">
        <v>65</v>
      </c>
      <c r="AM1785" s="4">
        <v>0.625</v>
      </c>
      <c r="AN1785" t="s">
        <v>66</v>
      </c>
      <c r="AO1785" t="s">
        <v>67</v>
      </c>
    </row>
    <row r="1786" spans="1:41" x14ac:dyDescent="0.2">
      <c r="A1786">
        <v>371103</v>
      </c>
      <c r="B1786" t="s">
        <v>12023</v>
      </c>
      <c r="C1786" t="s">
        <v>345</v>
      </c>
      <c r="D1786" t="s">
        <v>2321</v>
      </c>
      <c r="E1786" t="s">
        <v>12024</v>
      </c>
      <c r="F1786">
        <v>55805</v>
      </c>
      <c r="G1786" s="1">
        <v>34290</v>
      </c>
      <c r="H1786" s="1">
        <v>45790</v>
      </c>
      <c r="I1786" s="1">
        <v>46174</v>
      </c>
      <c r="J1786" t="s">
        <v>45</v>
      </c>
      <c r="K1786" t="s">
        <v>45</v>
      </c>
      <c r="L1786" t="s">
        <v>429</v>
      </c>
      <c r="M1786" s="1">
        <v>38990</v>
      </c>
      <c r="N1786" t="s">
        <v>47</v>
      </c>
      <c r="O1786" t="s">
        <v>48</v>
      </c>
      <c r="P1786" t="s">
        <v>49</v>
      </c>
      <c r="Q1786" t="s">
        <v>12025</v>
      </c>
      <c r="R1786" t="s">
        <v>12026</v>
      </c>
      <c r="S1786">
        <v>7408</v>
      </c>
      <c r="T1786" t="s">
        <v>296</v>
      </c>
      <c r="U1786" t="s">
        <v>2674</v>
      </c>
      <c r="V1786" t="s">
        <v>5597</v>
      </c>
      <c r="W1786" t="s">
        <v>299</v>
      </c>
      <c r="X1786" t="s">
        <v>55</v>
      </c>
      <c r="Y1786" t="s">
        <v>56</v>
      </c>
      <c r="Z1786">
        <v>3</v>
      </c>
      <c r="AA1786">
        <v>57</v>
      </c>
      <c r="AB1786">
        <v>66</v>
      </c>
      <c r="AC1786" t="s">
        <v>5598</v>
      </c>
      <c r="AD1786" t="s">
        <v>12027</v>
      </c>
      <c r="AE1786" t="s">
        <v>5600</v>
      </c>
      <c r="AF1786" t="s">
        <v>12028</v>
      </c>
      <c r="AG1786" t="s">
        <v>2951</v>
      </c>
      <c r="AH1786" t="s">
        <v>12029</v>
      </c>
      <c r="AI1786" t="s">
        <v>2682</v>
      </c>
      <c r="AJ1786" s="2">
        <v>45796.687175925923</v>
      </c>
      <c r="AK1786" t="s">
        <v>64</v>
      </c>
      <c r="AL1786" t="s">
        <v>65</v>
      </c>
      <c r="AM1786" s="4">
        <v>0.40972222222222221</v>
      </c>
      <c r="AN1786" t="s">
        <v>66</v>
      </c>
      <c r="AO1786" t="s">
        <v>67</v>
      </c>
    </row>
    <row r="1787" spans="1:41" x14ac:dyDescent="0.2">
      <c r="A1787">
        <v>370423</v>
      </c>
      <c r="B1787" t="s">
        <v>12030</v>
      </c>
      <c r="C1787" t="s">
        <v>42</v>
      </c>
      <c r="D1787" t="s">
        <v>4380</v>
      </c>
      <c r="E1787" t="s">
        <v>12031</v>
      </c>
      <c r="F1787">
        <v>293003</v>
      </c>
      <c r="G1787" s="1">
        <v>37596</v>
      </c>
      <c r="H1787" s="1">
        <v>45769</v>
      </c>
      <c r="I1787" s="1">
        <v>46204</v>
      </c>
      <c r="J1787" t="s">
        <v>45</v>
      </c>
      <c r="K1787" t="s">
        <v>45</v>
      </c>
      <c r="L1787" t="s">
        <v>46</v>
      </c>
      <c r="N1787" t="s">
        <v>47</v>
      </c>
      <c r="O1787" t="s">
        <v>48</v>
      </c>
      <c r="P1787" t="s">
        <v>49</v>
      </c>
      <c r="Q1787" t="s">
        <v>12032</v>
      </c>
      <c r="R1787" t="s">
        <v>12033</v>
      </c>
      <c r="S1787">
        <v>6227</v>
      </c>
      <c r="T1787" t="s">
        <v>296</v>
      </c>
      <c r="U1787" t="s">
        <v>2674</v>
      </c>
      <c r="V1787" t="s">
        <v>12034</v>
      </c>
      <c r="W1787" t="s">
        <v>299</v>
      </c>
      <c r="X1787" t="s">
        <v>55</v>
      </c>
      <c r="Y1787" t="s">
        <v>56</v>
      </c>
      <c r="Z1787">
        <v>1730</v>
      </c>
      <c r="AA1787">
        <v>37</v>
      </c>
      <c r="AB1787">
        <v>158</v>
      </c>
      <c r="AC1787" t="s">
        <v>12035</v>
      </c>
      <c r="AD1787" t="s">
        <v>12036</v>
      </c>
      <c r="AE1787" t="s">
        <v>12037</v>
      </c>
      <c r="AF1787" t="s">
        <v>2679</v>
      </c>
      <c r="AG1787" t="s">
        <v>12038</v>
      </c>
      <c r="AH1787" t="s">
        <v>12039</v>
      </c>
      <c r="AI1787" t="s">
        <v>2682</v>
      </c>
      <c r="AJ1787" s="2">
        <v>45775.737881944442</v>
      </c>
      <c r="AK1787" t="s">
        <v>64</v>
      </c>
      <c r="AL1787" t="s">
        <v>65</v>
      </c>
      <c r="AM1787" s="3">
        <v>1.7222222222222223</v>
      </c>
      <c r="AN1787" t="s">
        <v>66</v>
      </c>
      <c r="AO1787" t="s">
        <v>67</v>
      </c>
    </row>
    <row r="1788" spans="1:41" x14ac:dyDescent="0.2">
      <c r="A1788">
        <v>369537</v>
      </c>
      <c r="B1788" t="s">
        <v>12040</v>
      </c>
      <c r="C1788" t="s">
        <v>182</v>
      </c>
      <c r="D1788" t="s">
        <v>1813</v>
      </c>
      <c r="E1788" t="s">
        <v>12041</v>
      </c>
      <c r="F1788">
        <v>44209</v>
      </c>
      <c r="G1788" s="1">
        <v>32509</v>
      </c>
      <c r="H1788" s="1">
        <v>45737</v>
      </c>
      <c r="J1788" t="s">
        <v>45</v>
      </c>
      <c r="K1788" t="s">
        <v>45</v>
      </c>
      <c r="L1788" t="s">
        <v>72</v>
      </c>
      <c r="N1788" t="s">
        <v>47</v>
      </c>
      <c r="O1788" t="s">
        <v>48</v>
      </c>
      <c r="P1788" t="s">
        <v>49</v>
      </c>
      <c r="Q1788" t="s">
        <v>12042</v>
      </c>
      <c r="R1788" t="s">
        <v>12043</v>
      </c>
      <c r="S1788">
        <v>3118</v>
      </c>
      <c r="T1788" t="s">
        <v>92</v>
      </c>
      <c r="U1788" t="s">
        <v>187</v>
      </c>
      <c r="V1788" t="s">
        <v>447</v>
      </c>
      <c r="W1788" t="s">
        <v>448</v>
      </c>
      <c r="X1788" t="s">
        <v>92</v>
      </c>
      <c r="Y1788" t="s">
        <v>450</v>
      </c>
      <c r="Z1788">
        <v>1262</v>
      </c>
      <c r="AA1788">
        <v>50</v>
      </c>
      <c r="AB1788">
        <v>152</v>
      </c>
      <c r="AC1788" t="s">
        <v>451</v>
      </c>
      <c r="AD1788" t="s">
        <v>452</v>
      </c>
      <c r="AE1788" t="s">
        <v>453</v>
      </c>
      <c r="AF1788" t="s">
        <v>454</v>
      </c>
      <c r="AG1788" t="s">
        <v>473</v>
      </c>
      <c r="AH1788" t="s">
        <v>474</v>
      </c>
      <c r="AJ1788" s="2">
        <v>45743.639976851853</v>
      </c>
      <c r="AK1788" t="s">
        <v>526</v>
      </c>
      <c r="AL1788" t="s">
        <v>65</v>
      </c>
      <c r="AM1788" s="4">
        <v>9.7222222222222224E-2</v>
      </c>
      <c r="AN1788" t="s">
        <v>66</v>
      </c>
      <c r="AO1788" t="s">
        <v>67</v>
      </c>
    </row>
    <row r="1789" spans="1:41" x14ac:dyDescent="0.2">
      <c r="A1789">
        <v>372034</v>
      </c>
      <c r="B1789" t="s">
        <v>12044</v>
      </c>
      <c r="C1789" t="s">
        <v>167</v>
      </c>
      <c r="D1789" t="s">
        <v>1050</v>
      </c>
      <c r="E1789" t="s">
        <v>12045</v>
      </c>
      <c r="F1789">
        <v>352110</v>
      </c>
      <c r="G1789" s="1">
        <v>33563</v>
      </c>
      <c r="H1789" s="1">
        <v>45825</v>
      </c>
      <c r="I1789" s="1">
        <v>46174</v>
      </c>
      <c r="J1789" t="s">
        <v>45</v>
      </c>
      <c r="K1789" t="s">
        <v>45</v>
      </c>
      <c r="L1789" t="s">
        <v>429</v>
      </c>
      <c r="M1789" s="1">
        <v>38933</v>
      </c>
      <c r="N1789" t="s">
        <v>47</v>
      </c>
      <c r="O1789" t="s">
        <v>48</v>
      </c>
      <c r="P1789" t="s">
        <v>49</v>
      </c>
      <c r="Q1789" t="s">
        <v>12046</v>
      </c>
      <c r="R1789" t="s">
        <v>12047</v>
      </c>
      <c r="S1789">
        <v>3440</v>
      </c>
      <c r="T1789" t="s">
        <v>296</v>
      </c>
      <c r="U1789" t="s">
        <v>2267</v>
      </c>
      <c r="V1789" t="s">
        <v>8712</v>
      </c>
      <c r="W1789" t="s">
        <v>299</v>
      </c>
      <c r="X1789" t="s">
        <v>76</v>
      </c>
      <c r="Y1789" t="s">
        <v>56</v>
      </c>
      <c r="Z1789">
        <v>15</v>
      </c>
      <c r="AA1789">
        <v>71</v>
      </c>
      <c r="AB1789">
        <v>160</v>
      </c>
      <c r="AC1789" t="s">
        <v>8713</v>
      </c>
      <c r="AD1789" t="s">
        <v>8714</v>
      </c>
      <c r="AE1789" t="s">
        <v>8715</v>
      </c>
      <c r="AF1789" t="s">
        <v>8716</v>
      </c>
      <c r="AG1789" t="s">
        <v>8717</v>
      </c>
      <c r="AH1789" t="s">
        <v>8718</v>
      </c>
      <c r="AI1789" t="s">
        <v>2274</v>
      </c>
      <c r="AJ1789" s="2">
        <v>45827.264699074076</v>
      </c>
      <c r="AK1789" t="s">
        <v>717</v>
      </c>
      <c r="AL1789" t="s">
        <v>65</v>
      </c>
      <c r="AM1789" s="3">
        <v>1.2986111111111112</v>
      </c>
      <c r="AN1789" t="s">
        <v>66</v>
      </c>
      <c r="AO1789" t="s">
        <v>67</v>
      </c>
    </row>
    <row r="1790" spans="1:41" x14ac:dyDescent="0.2">
      <c r="A1790">
        <v>368064</v>
      </c>
      <c r="B1790" t="s">
        <v>12048</v>
      </c>
      <c r="C1790" t="s">
        <v>197</v>
      </c>
      <c r="D1790" t="s">
        <v>12049</v>
      </c>
      <c r="E1790" t="s">
        <v>12050</v>
      </c>
      <c r="F1790">
        <v>96301</v>
      </c>
      <c r="G1790" s="1">
        <v>37698</v>
      </c>
      <c r="H1790" s="1">
        <v>45575</v>
      </c>
      <c r="I1790" s="1">
        <v>47757</v>
      </c>
      <c r="J1790" t="s">
        <v>45</v>
      </c>
      <c r="K1790" t="s">
        <v>45</v>
      </c>
      <c r="L1790" t="s">
        <v>72</v>
      </c>
      <c r="M1790" s="1">
        <v>41815</v>
      </c>
      <c r="N1790" t="s">
        <v>47</v>
      </c>
      <c r="O1790" t="s">
        <v>48</v>
      </c>
      <c r="P1790" t="s">
        <v>49</v>
      </c>
      <c r="Q1790" t="s">
        <v>12051</v>
      </c>
      <c r="R1790" t="s">
        <v>12052</v>
      </c>
      <c r="S1790">
        <v>198</v>
      </c>
      <c r="T1790" t="s">
        <v>92</v>
      </c>
      <c r="U1790" t="s">
        <v>202</v>
      </c>
      <c r="V1790" t="s">
        <v>203</v>
      </c>
      <c r="W1790" t="s">
        <v>204</v>
      </c>
      <c r="X1790" t="s">
        <v>52</v>
      </c>
      <c r="Y1790" t="s">
        <v>110</v>
      </c>
      <c r="Z1790">
        <v>2148</v>
      </c>
      <c r="AA1790">
        <v>31</v>
      </c>
      <c r="AB1790">
        <v>144</v>
      </c>
      <c r="AC1790" t="s">
        <v>205</v>
      </c>
      <c r="AD1790" t="s">
        <v>206</v>
      </c>
      <c r="AE1790" t="s">
        <v>207</v>
      </c>
      <c r="AF1790" t="s">
        <v>1548</v>
      </c>
      <c r="AG1790" t="s">
        <v>1549</v>
      </c>
      <c r="AH1790" t="s">
        <v>210</v>
      </c>
      <c r="AI1790" t="s">
        <v>211</v>
      </c>
      <c r="AJ1790" s="2">
        <v>45699.775763888887</v>
      </c>
      <c r="AK1790" t="s">
        <v>149</v>
      </c>
      <c r="AL1790" t="s">
        <v>65</v>
      </c>
      <c r="AM1790" s="4">
        <v>0.15972222222222221</v>
      </c>
      <c r="AN1790" t="s">
        <v>66</v>
      </c>
      <c r="AO1790" t="s">
        <v>67</v>
      </c>
    </row>
    <row r="1791" spans="1:41" x14ac:dyDescent="0.2">
      <c r="A1791">
        <v>369198</v>
      </c>
      <c r="B1791" t="s">
        <v>12053</v>
      </c>
      <c r="C1791" t="s">
        <v>182</v>
      </c>
      <c r="D1791" t="s">
        <v>4083</v>
      </c>
      <c r="E1791" t="s">
        <v>12054</v>
      </c>
      <c r="F1791">
        <v>44110</v>
      </c>
      <c r="G1791" s="1">
        <v>38519</v>
      </c>
      <c r="H1791" s="1">
        <v>45727</v>
      </c>
      <c r="I1791" s="1">
        <v>46096</v>
      </c>
      <c r="J1791" t="s">
        <v>45</v>
      </c>
      <c r="K1791" t="s">
        <v>45</v>
      </c>
      <c r="L1791" t="s">
        <v>429</v>
      </c>
      <c r="M1791" s="1">
        <v>43013</v>
      </c>
      <c r="N1791" t="s">
        <v>47</v>
      </c>
      <c r="O1791" t="s">
        <v>48</v>
      </c>
      <c r="P1791" t="s">
        <v>49</v>
      </c>
      <c r="Q1791" t="s">
        <v>12055</v>
      </c>
      <c r="R1791" t="s">
        <v>12056</v>
      </c>
      <c r="S1791">
        <v>4267</v>
      </c>
      <c r="T1791" t="s">
        <v>52</v>
      </c>
      <c r="U1791">
        <v>5</v>
      </c>
      <c r="V1791" t="s">
        <v>1817</v>
      </c>
      <c r="W1791" t="s">
        <v>54</v>
      </c>
      <c r="X1791" t="s">
        <v>493</v>
      </c>
      <c r="Y1791" t="s">
        <v>434</v>
      </c>
      <c r="Z1791">
        <v>2715</v>
      </c>
      <c r="AA1791">
        <v>60</v>
      </c>
      <c r="AB1791">
        <v>158</v>
      </c>
      <c r="AC1791" t="s">
        <v>1818</v>
      </c>
      <c r="AD1791" t="s">
        <v>1819</v>
      </c>
      <c r="AE1791" t="s">
        <v>1820</v>
      </c>
      <c r="AF1791" t="s">
        <v>1821</v>
      </c>
      <c r="AG1791" t="s">
        <v>1822</v>
      </c>
      <c r="AH1791" t="s">
        <v>1823</v>
      </c>
      <c r="AI1791" t="s">
        <v>500</v>
      </c>
      <c r="AJ1791" s="2">
        <v>45728.964502314811</v>
      </c>
      <c r="AK1791" t="s">
        <v>1472</v>
      </c>
      <c r="AL1791" t="s">
        <v>65</v>
      </c>
      <c r="AM1791" s="3">
        <v>2.4722222222222223</v>
      </c>
      <c r="AN1791" t="s">
        <v>66</v>
      </c>
      <c r="AO1791" t="s">
        <v>67</v>
      </c>
    </row>
    <row r="1792" spans="1:41" x14ac:dyDescent="0.2">
      <c r="A1792">
        <v>370017</v>
      </c>
      <c r="B1792" t="s">
        <v>12057</v>
      </c>
      <c r="C1792" t="s">
        <v>692</v>
      </c>
      <c r="D1792" t="s">
        <v>1927</v>
      </c>
      <c r="E1792" t="s">
        <v>12058</v>
      </c>
      <c r="G1792" s="1">
        <v>45755</v>
      </c>
      <c r="H1792" s="1">
        <v>45692</v>
      </c>
      <c r="I1792" s="1">
        <v>46054</v>
      </c>
      <c r="J1792" t="s">
        <v>45</v>
      </c>
      <c r="K1792" t="s">
        <v>45</v>
      </c>
      <c r="L1792" t="s">
        <v>72</v>
      </c>
      <c r="M1792" s="1">
        <v>42198</v>
      </c>
      <c r="N1792" t="s">
        <v>89</v>
      </c>
      <c r="O1792" t="s">
        <v>121</v>
      </c>
      <c r="P1792" t="s">
        <v>49</v>
      </c>
      <c r="Q1792" t="s">
        <v>12059</v>
      </c>
      <c r="R1792" t="s">
        <v>12060</v>
      </c>
      <c r="S1792">
        <v>5280</v>
      </c>
      <c r="T1792" t="s">
        <v>365</v>
      </c>
      <c r="U1792" t="s">
        <v>432</v>
      </c>
      <c r="V1792" t="s">
        <v>4190</v>
      </c>
      <c r="W1792" t="s">
        <v>367</v>
      </c>
      <c r="X1792" t="s">
        <v>76</v>
      </c>
      <c r="Y1792" t="s">
        <v>125</v>
      </c>
      <c r="Z1792">
        <v>2013</v>
      </c>
      <c r="AA1792">
        <v>125</v>
      </c>
      <c r="AB1792">
        <v>34</v>
      </c>
      <c r="AC1792" t="s">
        <v>4191</v>
      </c>
      <c r="AD1792" t="s">
        <v>4192</v>
      </c>
      <c r="AE1792" t="s">
        <v>4193</v>
      </c>
      <c r="AF1792" t="s">
        <v>4194</v>
      </c>
      <c r="AG1792" t="s">
        <v>4195</v>
      </c>
      <c r="AH1792" t="s">
        <v>4196</v>
      </c>
      <c r="AI1792" t="s">
        <v>12061</v>
      </c>
      <c r="AJ1792" s="2">
        <v>45761.80574074074</v>
      </c>
      <c r="AK1792" t="s">
        <v>650</v>
      </c>
      <c r="AL1792" t="s">
        <v>65</v>
      </c>
      <c r="AM1792" s="4">
        <v>0.27083333333333331</v>
      </c>
      <c r="AN1792" t="s">
        <v>66</v>
      </c>
      <c r="AO1792" t="s">
        <v>67</v>
      </c>
    </row>
    <row r="1793" spans="1:41" x14ac:dyDescent="0.2">
      <c r="A1793">
        <v>371170</v>
      </c>
      <c r="B1793" t="s">
        <v>12062</v>
      </c>
      <c r="C1793" t="s">
        <v>692</v>
      </c>
      <c r="D1793" t="s">
        <v>1849</v>
      </c>
      <c r="E1793" t="s">
        <v>12063</v>
      </c>
      <c r="G1793" s="1">
        <v>45071</v>
      </c>
      <c r="H1793" s="1">
        <v>45720</v>
      </c>
      <c r="I1793" s="1">
        <v>46006</v>
      </c>
      <c r="J1793" t="s">
        <v>45</v>
      </c>
      <c r="K1793" t="s">
        <v>45</v>
      </c>
      <c r="L1793" t="s">
        <v>72</v>
      </c>
      <c r="M1793" s="1">
        <v>39168</v>
      </c>
      <c r="N1793" t="s">
        <v>47</v>
      </c>
      <c r="O1793" t="s">
        <v>121</v>
      </c>
      <c r="P1793" t="s">
        <v>49</v>
      </c>
      <c r="Q1793" t="s">
        <v>12064</v>
      </c>
      <c r="R1793" t="s">
        <v>12065</v>
      </c>
      <c r="S1793">
        <v>7893</v>
      </c>
      <c r="T1793" t="s">
        <v>365</v>
      </c>
      <c r="U1793" t="s">
        <v>432</v>
      </c>
      <c r="V1793" t="s">
        <v>696</v>
      </c>
      <c r="W1793" t="s">
        <v>367</v>
      </c>
      <c r="X1793" t="s">
        <v>76</v>
      </c>
      <c r="Y1793" t="s">
        <v>125</v>
      </c>
      <c r="Z1793">
        <v>2015</v>
      </c>
      <c r="AA1793">
        <v>137</v>
      </c>
      <c r="AB1793">
        <v>34</v>
      </c>
      <c r="AC1793" t="s">
        <v>12066</v>
      </c>
      <c r="AD1793" t="s">
        <v>5711</v>
      </c>
      <c r="AE1793" t="s">
        <v>699</v>
      </c>
      <c r="AF1793" t="s">
        <v>700</v>
      </c>
      <c r="AG1793" t="s">
        <v>701</v>
      </c>
      <c r="AH1793" t="s">
        <v>702</v>
      </c>
      <c r="AI1793" t="s">
        <v>12067</v>
      </c>
      <c r="AJ1793" s="2">
        <v>45797.84138888889</v>
      </c>
      <c r="AK1793" t="s">
        <v>660</v>
      </c>
      <c r="AL1793" t="s">
        <v>65</v>
      </c>
      <c r="AM1793" s="4">
        <v>0.27777777777777779</v>
      </c>
      <c r="AN1793" t="s">
        <v>66</v>
      </c>
      <c r="AO1793" t="s">
        <v>67</v>
      </c>
    </row>
    <row r="1794" spans="1:41" x14ac:dyDescent="0.2">
      <c r="A1794">
        <v>368650</v>
      </c>
      <c r="B1794" t="s">
        <v>12068</v>
      </c>
      <c r="C1794" t="s">
        <v>692</v>
      </c>
      <c r="D1794" t="s">
        <v>8520</v>
      </c>
      <c r="E1794" t="s">
        <v>12069</v>
      </c>
      <c r="G1794" s="1">
        <v>45716</v>
      </c>
      <c r="H1794" s="1">
        <v>45719</v>
      </c>
      <c r="I1794" s="1">
        <v>46006</v>
      </c>
      <c r="J1794" t="s">
        <v>45</v>
      </c>
      <c r="K1794" t="s">
        <v>45</v>
      </c>
      <c r="L1794" t="s">
        <v>72</v>
      </c>
      <c r="M1794" s="1">
        <v>44215</v>
      </c>
      <c r="N1794" t="s">
        <v>89</v>
      </c>
      <c r="O1794" t="s">
        <v>121</v>
      </c>
      <c r="P1794" t="s">
        <v>49</v>
      </c>
      <c r="Q1794" t="s">
        <v>12070</v>
      </c>
      <c r="R1794" t="s">
        <v>12071</v>
      </c>
      <c r="S1794">
        <v>8483</v>
      </c>
      <c r="T1794" t="s">
        <v>365</v>
      </c>
      <c r="U1794" t="s">
        <v>432</v>
      </c>
      <c r="V1794" t="s">
        <v>5707</v>
      </c>
      <c r="W1794" t="s">
        <v>367</v>
      </c>
      <c r="X1794" t="s">
        <v>76</v>
      </c>
      <c r="Y1794" t="s">
        <v>125</v>
      </c>
      <c r="Z1794">
        <v>2203</v>
      </c>
      <c r="AA1794">
        <v>140</v>
      </c>
      <c r="AB1794">
        <v>34</v>
      </c>
      <c r="AC1794" t="s">
        <v>5708</v>
      </c>
      <c r="AD1794" t="s">
        <v>5709</v>
      </c>
      <c r="AE1794" t="s">
        <v>5710</v>
      </c>
      <c r="AF1794" t="s">
        <v>697</v>
      </c>
      <c r="AG1794" t="s">
        <v>5711</v>
      </c>
      <c r="AH1794" t="s">
        <v>699</v>
      </c>
      <c r="AI1794" t="s">
        <v>12067</v>
      </c>
      <c r="AJ1794" s="2">
        <v>45719.534837962965</v>
      </c>
      <c r="AK1794" t="s">
        <v>132</v>
      </c>
      <c r="AL1794" t="s">
        <v>65</v>
      </c>
      <c r="AM1794" s="4">
        <v>0.28472222222222221</v>
      </c>
      <c r="AN1794" t="s">
        <v>66</v>
      </c>
      <c r="AO1794" t="s">
        <v>67</v>
      </c>
    </row>
    <row r="1795" spans="1:41" x14ac:dyDescent="0.2">
      <c r="A1795">
        <v>367000</v>
      </c>
      <c r="B1795" t="s">
        <v>12072</v>
      </c>
      <c r="C1795" t="s">
        <v>182</v>
      </c>
      <c r="D1795" t="s">
        <v>811</v>
      </c>
      <c r="E1795" t="s">
        <v>12073</v>
      </c>
      <c r="F1795">
        <v>45128</v>
      </c>
      <c r="G1795" s="1">
        <v>33500</v>
      </c>
      <c r="H1795" s="1">
        <v>45643</v>
      </c>
      <c r="I1795" s="1">
        <v>45945</v>
      </c>
      <c r="J1795" t="s">
        <v>45</v>
      </c>
      <c r="K1795" t="s">
        <v>45</v>
      </c>
      <c r="L1795" t="s">
        <v>429</v>
      </c>
      <c r="M1795" s="1">
        <v>44370</v>
      </c>
      <c r="N1795" t="s">
        <v>47</v>
      </c>
      <c r="O1795" t="s">
        <v>48</v>
      </c>
      <c r="P1795" t="s">
        <v>49</v>
      </c>
      <c r="Q1795" t="s">
        <v>12074</v>
      </c>
      <c r="R1795" t="s">
        <v>12075</v>
      </c>
      <c r="S1795">
        <v>5365</v>
      </c>
      <c r="T1795" t="s">
        <v>365</v>
      </c>
      <c r="U1795" t="s">
        <v>815</v>
      </c>
      <c r="V1795" t="s">
        <v>816</v>
      </c>
      <c r="W1795" t="s">
        <v>367</v>
      </c>
      <c r="X1795" t="s">
        <v>493</v>
      </c>
      <c r="Y1795" t="s">
        <v>434</v>
      </c>
      <c r="Z1795">
        <v>88</v>
      </c>
      <c r="AA1795">
        <v>54</v>
      </c>
      <c r="AB1795">
        <v>166</v>
      </c>
      <c r="AC1795" t="s">
        <v>817</v>
      </c>
      <c r="AD1795" t="s">
        <v>818</v>
      </c>
      <c r="AE1795" t="s">
        <v>819</v>
      </c>
      <c r="AI1795" t="s">
        <v>179</v>
      </c>
      <c r="AJ1795" s="2">
        <v>45652.854629629626</v>
      </c>
      <c r="AK1795" t="s">
        <v>556</v>
      </c>
      <c r="AL1795" t="s">
        <v>65</v>
      </c>
      <c r="AM1795" s="3">
        <v>2.1458333333333335</v>
      </c>
      <c r="AN1795" t="s">
        <v>66</v>
      </c>
      <c r="AO1795" t="s">
        <v>67</v>
      </c>
    </row>
    <row r="1796" spans="1:41" x14ac:dyDescent="0.2">
      <c r="A1796">
        <v>370592</v>
      </c>
      <c r="B1796" t="s">
        <v>12076</v>
      </c>
      <c r="C1796" t="s">
        <v>167</v>
      </c>
      <c r="D1796" t="s">
        <v>8948</v>
      </c>
      <c r="E1796" t="s">
        <v>12077</v>
      </c>
      <c r="F1796">
        <v>350812</v>
      </c>
      <c r="G1796" s="1">
        <v>38198</v>
      </c>
      <c r="H1796" s="1">
        <v>45763</v>
      </c>
      <c r="I1796" s="1">
        <v>46113</v>
      </c>
      <c r="J1796" t="s">
        <v>45</v>
      </c>
      <c r="K1796" t="s">
        <v>45</v>
      </c>
      <c r="L1796" t="s">
        <v>72</v>
      </c>
      <c r="M1796" s="1">
        <v>40704</v>
      </c>
      <c r="N1796" t="s">
        <v>47</v>
      </c>
      <c r="O1796" t="s">
        <v>48</v>
      </c>
      <c r="P1796" t="s">
        <v>49</v>
      </c>
      <c r="Q1796" t="s">
        <v>12078</v>
      </c>
      <c r="R1796" t="s">
        <v>12079</v>
      </c>
      <c r="S1796">
        <v>2588</v>
      </c>
      <c r="T1796" t="s">
        <v>92</v>
      </c>
      <c r="U1796" t="s">
        <v>3030</v>
      </c>
      <c r="V1796" t="s">
        <v>3031</v>
      </c>
      <c r="W1796" t="s">
        <v>3032</v>
      </c>
      <c r="X1796" t="s">
        <v>52</v>
      </c>
      <c r="Y1796" t="s">
        <v>110</v>
      </c>
      <c r="Z1796">
        <v>1558</v>
      </c>
      <c r="AA1796">
        <v>36</v>
      </c>
      <c r="AB1796">
        <v>176</v>
      </c>
      <c r="AC1796" t="s">
        <v>3033</v>
      </c>
      <c r="AD1796" t="s">
        <v>3034</v>
      </c>
      <c r="AE1796" t="s">
        <v>3035</v>
      </c>
      <c r="AF1796" t="s">
        <v>3039</v>
      </c>
      <c r="AG1796" t="s">
        <v>12080</v>
      </c>
      <c r="AJ1796" s="2">
        <v>45778.965937499997</v>
      </c>
      <c r="AK1796" t="s">
        <v>3039</v>
      </c>
      <c r="AL1796" t="s">
        <v>65</v>
      </c>
      <c r="AM1796" s="4">
        <v>0.59027777777777779</v>
      </c>
      <c r="AN1796" t="s">
        <v>66</v>
      </c>
      <c r="AO1796" t="s">
        <v>67</v>
      </c>
    </row>
    <row r="1797" spans="1:41" x14ac:dyDescent="0.2">
      <c r="A1797">
        <v>368678</v>
      </c>
      <c r="B1797" t="s">
        <v>12081</v>
      </c>
      <c r="C1797" t="s">
        <v>182</v>
      </c>
      <c r="D1797" t="s">
        <v>1702</v>
      </c>
      <c r="E1797" t="s">
        <v>12082</v>
      </c>
      <c r="F1797">
        <v>42312</v>
      </c>
      <c r="G1797" s="1">
        <v>38124</v>
      </c>
      <c r="H1797" s="1">
        <v>45715</v>
      </c>
      <c r="I1797" s="1">
        <v>46174</v>
      </c>
      <c r="J1797" t="s">
        <v>45</v>
      </c>
      <c r="K1797" t="s">
        <v>45</v>
      </c>
      <c r="L1797" t="s">
        <v>429</v>
      </c>
      <c r="M1797" s="1">
        <v>42369</v>
      </c>
      <c r="N1797" t="s">
        <v>47</v>
      </c>
      <c r="O1797" t="s">
        <v>48</v>
      </c>
      <c r="P1797" t="s">
        <v>49</v>
      </c>
      <c r="Q1797" t="s">
        <v>12083</v>
      </c>
      <c r="R1797" t="s">
        <v>12084</v>
      </c>
      <c r="S1797">
        <v>2339</v>
      </c>
      <c r="T1797" t="s">
        <v>92</v>
      </c>
      <c r="U1797" t="s">
        <v>187</v>
      </c>
      <c r="V1797" t="s">
        <v>12085</v>
      </c>
      <c r="W1797" t="s">
        <v>448</v>
      </c>
      <c r="X1797" t="s">
        <v>493</v>
      </c>
      <c r="Y1797" t="s">
        <v>434</v>
      </c>
      <c r="Z1797">
        <v>2542</v>
      </c>
      <c r="AA1797">
        <v>33</v>
      </c>
      <c r="AB1797">
        <v>28</v>
      </c>
      <c r="AC1797" t="s">
        <v>12086</v>
      </c>
      <c r="AD1797" t="s">
        <v>12087</v>
      </c>
      <c r="AE1797" t="s">
        <v>12088</v>
      </c>
      <c r="AI1797" t="s">
        <v>12089</v>
      </c>
      <c r="AJ1797" s="2">
        <v>45719.83221064815</v>
      </c>
      <c r="AK1797" t="s">
        <v>501</v>
      </c>
      <c r="AL1797" t="s">
        <v>65</v>
      </c>
      <c r="AM1797" s="3">
        <v>1.5</v>
      </c>
      <c r="AN1797" t="s">
        <v>66</v>
      </c>
      <c r="AO1797" t="s">
        <v>67</v>
      </c>
    </row>
    <row r="1798" spans="1:41" x14ac:dyDescent="0.2">
      <c r="A1798">
        <v>370712</v>
      </c>
      <c r="B1798" t="s">
        <v>12090</v>
      </c>
      <c r="C1798" t="s">
        <v>1887</v>
      </c>
      <c r="D1798" t="s">
        <v>12091</v>
      </c>
      <c r="E1798" t="s">
        <v>12092</v>
      </c>
      <c r="F1798">
        <v>112001</v>
      </c>
      <c r="G1798" s="1">
        <v>38250</v>
      </c>
      <c r="H1798" s="1">
        <v>45775</v>
      </c>
      <c r="I1798" s="1">
        <v>46157</v>
      </c>
      <c r="J1798" t="s">
        <v>45</v>
      </c>
      <c r="K1798" t="s">
        <v>326</v>
      </c>
      <c r="L1798" t="s">
        <v>72</v>
      </c>
      <c r="M1798" s="1">
        <v>40999</v>
      </c>
      <c r="N1798" t="s">
        <v>47</v>
      </c>
      <c r="O1798" t="s">
        <v>48</v>
      </c>
      <c r="P1798" t="s">
        <v>49</v>
      </c>
      <c r="Q1798" t="s">
        <v>12093</v>
      </c>
      <c r="R1798" t="s">
        <v>12094</v>
      </c>
      <c r="S1798">
        <v>489</v>
      </c>
      <c r="T1798" t="s">
        <v>52</v>
      </c>
      <c r="U1798">
        <v>9</v>
      </c>
      <c r="V1798" t="s">
        <v>12095</v>
      </c>
      <c r="W1798" t="s">
        <v>54</v>
      </c>
      <c r="X1798" t="s">
        <v>76</v>
      </c>
      <c r="Y1798" t="s">
        <v>56</v>
      </c>
      <c r="Z1798">
        <v>1618</v>
      </c>
      <c r="AA1798">
        <v>42</v>
      </c>
      <c r="AB1798">
        <v>37</v>
      </c>
      <c r="AC1798" t="s">
        <v>12096</v>
      </c>
      <c r="AD1798" t="s">
        <v>12097</v>
      </c>
      <c r="AE1798" t="s">
        <v>12098</v>
      </c>
      <c r="AI1798" t="s">
        <v>12099</v>
      </c>
      <c r="AJ1798" s="2">
        <v>45783.580625000002</v>
      </c>
      <c r="AK1798" t="s">
        <v>540</v>
      </c>
      <c r="AL1798" t="s">
        <v>65</v>
      </c>
      <c r="AM1798" s="4">
        <v>0.97222222222222221</v>
      </c>
      <c r="AN1798" t="s">
        <v>66</v>
      </c>
      <c r="AO1798" t="s">
        <v>67</v>
      </c>
    </row>
    <row r="1799" spans="1:41" x14ac:dyDescent="0.2">
      <c r="A1799">
        <v>370582</v>
      </c>
      <c r="B1799" t="s">
        <v>12100</v>
      </c>
      <c r="C1799" t="s">
        <v>662</v>
      </c>
      <c r="D1799" t="s">
        <v>12101</v>
      </c>
      <c r="E1799" t="s">
        <v>12102</v>
      </c>
      <c r="F1799">
        <v>419202</v>
      </c>
      <c r="G1799" s="1">
        <v>38170</v>
      </c>
      <c r="H1799" s="1">
        <v>45777</v>
      </c>
      <c r="I1799" s="1">
        <v>46127</v>
      </c>
      <c r="J1799" t="s">
        <v>45</v>
      </c>
      <c r="K1799" t="s">
        <v>45</v>
      </c>
      <c r="L1799" t="s">
        <v>72</v>
      </c>
      <c r="M1799" s="1">
        <v>44456</v>
      </c>
      <c r="N1799" t="s">
        <v>47</v>
      </c>
      <c r="O1799" t="s">
        <v>48</v>
      </c>
      <c r="P1799" t="s">
        <v>49</v>
      </c>
      <c r="Q1799" t="s">
        <v>12103</v>
      </c>
      <c r="R1799" t="s">
        <v>12104</v>
      </c>
      <c r="S1799">
        <v>2802</v>
      </c>
      <c r="T1799" t="s">
        <v>92</v>
      </c>
      <c r="U1799" t="s">
        <v>1197</v>
      </c>
      <c r="V1799" t="s">
        <v>1198</v>
      </c>
      <c r="W1799" t="s">
        <v>1199</v>
      </c>
      <c r="X1799" t="s">
        <v>52</v>
      </c>
      <c r="Y1799" t="s">
        <v>110</v>
      </c>
      <c r="Z1799">
        <v>2084</v>
      </c>
      <c r="AA1799">
        <v>42</v>
      </c>
      <c r="AB1799">
        <v>158</v>
      </c>
      <c r="AC1799" t="s">
        <v>1200</v>
      </c>
      <c r="AD1799" t="s">
        <v>1201</v>
      </c>
      <c r="AE1799" t="s">
        <v>1202</v>
      </c>
      <c r="AF1799" t="s">
        <v>4740</v>
      </c>
      <c r="AG1799" t="s">
        <v>4741</v>
      </c>
      <c r="AH1799" t="s">
        <v>4742</v>
      </c>
      <c r="AJ1799" s="2">
        <v>45778.777800925927</v>
      </c>
      <c r="AK1799" t="s">
        <v>4740</v>
      </c>
      <c r="AL1799" t="s">
        <v>65</v>
      </c>
      <c r="AM1799" s="4">
        <v>0.14583333333333334</v>
      </c>
      <c r="AN1799" t="s">
        <v>66</v>
      </c>
      <c r="AO1799" t="s">
        <v>67</v>
      </c>
    </row>
    <row r="1800" spans="1:41" x14ac:dyDescent="0.2">
      <c r="A1800">
        <v>371636</v>
      </c>
      <c r="B1800" t="s">
        <v>12105</v>
      </c>
      <c r="C1800" t="s">
        <v>42</v>
      </c>
      <c r="D1800" t="s">
        <v>4454</v>
      </c>
      <c r="E1800" t="s">
        <v>12106</v>
      </c>
      <c r="G1800" s="1">
        <v>45588</v>
      </c>
      <c r="H1800" s="1">
        <v>45813</v>
      </c>
      <c r="I1800" s="1">
        <v>46157</v>
      </c>
      <c r="J1800" t="s">
        <v>45</v>
      </c>
      <c r="K1800" t="s">
        <v>45</v>
      </c>
      <c r="L1800" t="s">
        <v>46</v>
      </c>
      <c r="N1800" t="s">
        <v>47</v>
      </c>
      <c r="O1800" t="s">
        <v>48</v>
      </c>
      <c r="P1800" t="s">
        <v>49</v>
      </c>
      <c r="Q1800" t="s">
        <v>12107</v>
      </c>
      <c r="R1800" t="s">
        <v>12108</v>
      </c>
      <c r="S1800">
        <v>10815</v>
      </c>
      <c r="T1800" t="s">
        <v>52</v>
      </c>
      <c r="U1800">
        <v>3</v>
      </c>
      <c r="V1800" t="s">
        <v>4458</v>
      </c>
      <c r="W1800" t="s">
        <v>54</v>
      </c>
      <c r="X1800" t="s">
        <v>55</v>
      </c>
      <c r="Y1800" t="s">
        <v>56</v>
      </c>
      <c r="Z1800">
        <v>12239</v>
      </c>
      <c r="AA1800">
        <v>12</v>
      </c>
      <c r="AB1800">
        <v>44</v>
      </c>
      <c r="AC1800" t="s">
        <v>1763</v>
      </c>
      <c r="AD1800" t="s">
        <v>1764</v>
      </c>
      <c r="AE1800" t="s">
        <v>1765</v>
      </c>
      <c r="AF1800" t="s">
        <v>5149</v>
      </c>
      <c r="AG1800" t="s">
        <v>5150</v>
      </c>
      <c r="AH1800" t="s">
        <v>5151</v>
      </c>
      <c r="AI1800" t="s">
        <v>63</v>
      </c>
      <c r="AJ1800" s="2">
        <v>45817.768460648149</v>
      </c>
      <c r="AK1800" t="s">
        <v>609</v>
      </c>
      <c r="AL1800" t="s">
        <v>65</v>
      </c>
      <c r="AM1800" s="3">
        <v>1.5798611111111112</v>
      </c>
      <c r="AN1800" t="s">
        <v>66</v>
      </c>
      <c r="AO1800" t="s">
        <v>67</v>
      </c>
    </row>
    <row r="1801" spans="1:41" x14ac:dyDescent="0.2">
      <c r="A1801">
        <v>368065</v>
      </c>
      <c r="B1801" t="s">
        <v>12109</v>
      </c>
      <c r="C1801" t="s">
        <v>197</v>
      </c>
      <c r="D1801" t="s">
        <v>789</v>
      </c>
      <c r="E1801" t="s">
        <v>12110</v>
      </c>
      <c r="F1801">
        <v>96801</v>
      </c>
      <c r="G1801" s="1">
        <v>37690</v>
      </c>
      <c r="H1801" s="1">
        <v>45575</v>
      </c>
      <c r="I1801" s="1">
        <v>45931</v>
      </c>
      <c r="J1801" t="s">
        <v>45</v>
      </c>
      <c r="K1801" t="s">
        <v>45</v>
      </c>
      <c r="L1801" t="s">
        <v>72</v>
      </c>
      <c r="M1801" s="1">
        <v>41876</v>
      </c>
      <c r="N1801" t="s">
        <v>47</v>
      </c>
      <c r="O1801" t="s">
        <v>48</v>
      </c>
      <c r="P1801" t="s">
        <v>49</v>
      </c>
      <c r="Q1801" t="s">
        <v>12111</v>
      </c>
      <c r="R1801" t="s">
        <v>12112</v>
      </c>
      <c r="S1801">
        <v>15</v>
      </c>
      <c r="T1801" t="s">
        <v>92</v>
      </c>
      <c r="U1801" t="s">
        <v>202</v>
      </c>
      <c r="V1801" t="s">
        <v>203</v>
      </c>
      <c r="W1801" t="s">
        <v>204</v>
      </c>
      <c r="X1801" t="s">
        <v>52</v>
      </c>
      <c r="Y1801" t="s">
        <v>110</v>
      </c>
      <c r="Z1801">
        <v>2149</v>
      </c>
      <c r="AA1801">
        <v>30</v>
      </c>
      <c r="AB1801">
        <v>144</v>
      </c>
      <c r="AC1801" t="s">
        <v>205</v>
      </c>
      <c r="AD1801" t="s">
        <v>206</v>
      </c>
      <c r="AE1801" t="s">
        <v>207</v>
      </c>
      <c r="AF1801" t="s">
        <v>1548</v>
      </c>
      <c r="AG1801" t="s">
        <v>1549</v>
      </c>
      <c r="AH1801" t="s">
        <v>210</v>
      </c>
      <c r="AI1801" t="s">
        <v>211</v>
      </c>
      <c r="AJ1801" s="2">
        <v>45699.776099537034</v>
      </c>
      <c r="AK1801" t="s">
        <v>149</v>
      </c>
      <c r="AL1801" t="s">
        <v>65</v>
      </c>
      <c r="AM1801" s="4">
        <v>0.16666666666666666</v>
      </c>
      <c r="AN1801" t="s">
        <v>66</v>
      </c>
      <c r="AO1801" t="s">
        <v>67</v>
      </c>
    </row>
    <row r="1802" spans="1:41" x14ac:dyDescent="0.2">
      <c r="A1802">
        <v>369133</v>
      </c>
      <c r="B1802" t="s">
        <v>12113</v>
      </c>
      <c r="C1802" t="s">
        <v>735</v>
      </c>
      <c r="D1802" t="s">
        <v>279</v>
      </c>
      <c r="E1802" t="s">
        <v>12114</v>
      </c>
      <c r="G1802" s="1">
        <v>45727</v>
      </c>
      <c r="H1802" s="1">
        <v>45715</v>
      </c>
      <c r="I1802" s="1">
        <v>46006</v>
      </c>
      <c r="J1802" t="s">
        <v>45</v>
      </c>
      <c r="K1802" t="s">
        <v>45</v>
      </c>
      <c r="L1802" t="s">
        <v>72</v>
      </c>
      <c r="N1802" t="s">
        <v>47</v>
      </c>
      <c r="O1802" t="s">
        <v>121</v>
      </c>
      <c r="P1802" t="s">
        <v>49</v>
      </c>
      <c r="Q1802" t="s">
        <v>12115</v>
      </c>
      <c r="R1802" t="s">
        <v>12116</v>
      </c>
      <c r="S1802">
        <v>3227</v>
      </c>
      <c r="T1802" t="s">
        <v>365</v>
      </c>
      <c r="U1802" t="s">
        <v>969</v>
      </c>
      <c r="V1802" t="s">
        <v>2473</v>
      </c>
      <c r="W1802" t="s">
        <v>367</v>
      </c>
      <c r="X1802" t="s">
        <v>76</v>
      </c>
      <c r="Y1802" t="s">
        <v>125</v>
      </c>
      <c r="Z1802">
        <v>10006</v>
      </c>
      <c r="AA1802">
        <v>48</v>
      </c>
      <c r="AB1802">
        <v>78</v>
      </c>
      <c r="AC1802" t="s">
        <v>2474</v>
      </c>
      <c r="AD1802" t="s">
        <v>2475</v>
      </c>
      <c r="AE1802" t="s">
        <v>2476</v>
      </c>
      <c r="AJ1802" s="2">
        <v>45727.711180555554</v>
      </c>
      <c r="AK1802" t="s">
        <v>800</v>
      </c>
      <c r="AL1802" t="s">
        <v>65</v>
      </c>
      <c r="AM1802" s="3">
        <v>1.7847222222222223</v>
      </c>
      <c r="AN1802" t="s">
        <v>66</v>
      </c>
      <c r="AO1802" t="s">
        <v>67</v>
      </c>
    </row>
    <row r="1803" spans="1:41" x14ac:dyDescent="0.2">
      <c r="A1803">
        <v>370347</v>
      </c>
      <c r="B1803" t="s">
        <v>12117</v>
      </c>
      <c r="C1803" t="s">
        <v>1013</v>
      </c>
      <c r="D1803" t="s">
        <v>12118</v>
      </c>
      <c r="E1803" t="s">
        <v>12119</v>
      </c>
      <c r="F1803">
        <v>244004</v>
      </c>
      <c r="G1803" s="1">
        <v>45770</v>
      </c>
      <c r="H1803" s="1">
        <v>45714</v>
      </c>
      <c r="I1803" s="1">
        <v>46006</v>
      </c>
      <c r="J1803" t="s">
        <v>45</v>
      </c>
      <c r="K1803" t="s">
        <v>45</v>
      </c>
      <c r="L1803" t="s">
        <v>72</v>
      </c>
      <c r="M1803" s="1">
        <v>43544</v>
      </c>
      <c r="N1803" t="s">
        <v>47</v>
      </c>
      <c r="O1803" t="s">
        <v>121</v>
      </c>
      <c r="P1803" t="s">
        <v>49</v>
      </c>
      <c r="Q1803" t="s">
        <v>12120</v>
      </c>
      <c r="R1803" t="s">
        <v>12121</v>
      </c>
      <c r="S1803">
        <v>2252</v>
      </c>
      <c r="T1803" t="s">
        <v>365</v>
      </c>
      <c r="U1803" t="s">
        <v>969</v>
      </c>
      <c r="V1803" t="s">
        <v>2473</v>
      </c>
      <c r="W1803" t="s">
        <v>367</v>
      </c>
      <c r="X1803" t="s">
        <v>76</v>
      </c>
      <c r="Y1803" t="s">
        <v>125</v>
      </c>
      <c r="Z1803">
        <v>2832</v>
      </c>
      <c r="AA1803">
        <v>115</v>
      </c>
      <c r="AB1803">
        <v>158</v>
      </c>
      <c r="AC1803" t="s">
        <v>2474</v>
      </c>
      <c r="AD1803" t="s">
        <v>2475</v>
      </c>
      <c r="AE1803" t="s">
        <v>2476</v>
      </c>
      <c r="AJ1803" s="2">
        <v>45770.867673611108</v>
      </c>
      <c r="AK1803" t="s">
        <v>660</v>
      </c>
      <c r="AL1803" t="s">
        <v>65</v>
      </c>
      <c r="AM1803" s="3">
        <v>1.5347222222222223</v>
      </c>
      <c r="AN1803" t="s">
        <v>66</v>
      </c>
      <c r="AO1803" t="s">
        <v>67</v>
      </c>
    </row>
    <row r="1804" spans="1:41" x14ac:dyDescent="0.2">
      <c r="A1804">
        <v>372071</v>
      </c>
      <c r="B1804" t="s">
        <v>12122</v>
      </c>
      <c r="C1804" t="s">
        <v>788</v>
      </c>
      <c r="E1804" t="s">
        <v>12123</v>
      </c>
      <c r="F1804">
        <v>86402</v>
      </c>
      <c r="G1804" s="1">
        <v>31371</v>
      </c>
      <c r="H1804" s="1">
        <v>45804</v>
      </c>
      <c r="I1804" s="1">
        <v>46174</v>
      </c>
      <c r="J1804" t="s">
        <v>45</v>
      </c>
      <c r="K1804" t="s">
        <v>45</v>
      </c>
      <c r="L1804" t="s">
        <v>72</v>
      </c>
      <c r="M1804" s="1">
        <v>42647</v>
      </c>
      <c r="N1804" t="s">
        <v>47</v>
      </c>
      <c r="O1804" t="s">
        <v>48</v>
      </c>
      <c r="P1804" t="s">
        <v>49</v>
      </c>
      <c r="Q1804" t="s">
        <v>12124</v>
      </c>
      <c r="R1804" t="s">
        <v>12125</v>
      </c>
      <c r="S1804">
        <v>15</v>
      </c>
      <c r="T1804" t="s">
        <v>257</v>
      </c>
      <c r="U1804" t="s">
        <v>1691</v>
      </c>
      <c r="V1804" t="s">
        <v>2286</v>
      </c>
      <c r="W1804" t="s">
        <v>260</v>
      </c>
      <c r="X1804" t="s">
        <v>257</v>
      </c>
      <c r="Y1804" t="s">
        <v>110</v>
      </c>
      <c r="Z1804">
        <v>509</v>
      </c>
      <c r="AA1804">
        <v>70</v>
      </c>
      <c r="AB1804">
        <v>45</v>
      </c>
      <c r="AC1804" t="s">
        <v>2287</v>
      </c>
      <c r="AD1804" t="s">
        <v>2288</v>
      </c>
      <c r="AE1804" t="s">
        <v>2289</v>
      </c>
      <c r="AF1804" t="s">
        <v>2290</v>
      </c>
      <c r="AG1804" t="s">
        <v>2291</v>
      </c>
      <c r="AH1804" t="s">
        <v>2292</v>
      </c>
      <c r="AI1804" t="s">
        <v>2293</v>
      </c>
      <c r="AJ1804" s="2">
        <v>45828.661377314813</v>
      </c>
      <c r="AK1804" t="s">
        <v>2287</v>
      </c>
      <c r="AL1804" t="s">
        <v>65</v>
      </c>
      <c r="AM1804" s="3">
        <v>1.8888888888888888</v>
      </c>
      <c r="AN1804" t="s">
        <v>66</v>
      </c>
      <c r="AO1804" t="s">
        <v>101</v>
      </c>
    </row>
    <row r="1805" spans="1:41" x14ac:dyDescent="0.2">
      <c r="A1805">
        <v>368947</v>
      </c>
      <c r="B1805" t="s">
        <v>12126</v>
      </c>
      <c r="C1805" t="s">
        <v>182</v>
      </c>
      <c r="D1805" t="s">
        <v>2179</v>
      </c>
      <c r="E1805" t="s">
        <v>12127</v>
      </c>
      <c r="G1805" s="1">
        <v>44830</v>
      </c>
      <c r="H1805" s="1">
        <v>45524</v>
      </c>
      <c r="I1805" s="1">
        <v>46266</v>
      </c>
      <c r="J1805" t="s">
        <v>45</v>
      </c>
      <c r="K1805" t="s">
        <v>45</v>
      </c>
      <c r="L1805" t="s">
        <v>46</v>
      </c>
      <c r="N1805" t="s">
        <v>47</v>
      </c>
      <c r="O1805" t="s">
        <v>48</v>
      </c>
      <c r="P1805" t="s">
        <v>49</v>
      </c>
      <c r="Q1805" t="s">
        <v>12128</v>
      </c>
      <c r="R1805" t="s">
        <v>12129</v>
      </c>
      <c r="S1805">
        <v>7577</v>
      </c>
      <c r="T1805" t="s">
        <v>1328</v>
      </c>
      <c r="U1805" t="s">
        <v>1583</v>
      </c>
      <c r="V1805" t="s">
        <v>2726</v>
      </c>
      <c r="W1805" t="s">
        <v>2727</v>
      </c>
      <c r="X1805" t="s">
        <v>493</v>
      </c>
      <c r="Y1805" t="s">
        <v>434</v>
      </c>
      <c r="Z1805">
        <v>12130</v>
      </c>
      <c r="AA1805">
        <v>17</v>
      </c>
      <c r="AB1805">
        <v>160</v>
      </c>
      <c r="AC1805" t="s">
        <v>2728</v>
      </c>
      <c r="AD1805" t="s">
        <v>2729</v>
      </c>
      <c r="AE1805" t="s">
        <v>2730</v>
      </c>
      <c r="AF1805" t="s">
        <v>2731</v>
      </c>
      <c r="AG1805" t="s">
        <v>2732</v>
      </c>
      <c r="AH1805" t="s">
        <v>2733</v>
      </c>
      <c r="AI1805" t="s">
        <v>179</v>
      </c>
      <c r="AJ1805" s="2">
        <v>45722.920856481483</v>
      </c>
      <c r="AK1805" t="s">
        <v>1472</v>
      </c>
      <c r="AL1805" t="s">
        <v>65</v>
      </c>
      <c r="AM1805" s="3">
        <v>1.1527777777777777</v>
      </c>
      <c r="AN1805" t="s">
        <v>66</v>
      </c>
      <c r="AO1805" t="s">
        <v>67</v>
      </c>
    </row>
    <row r="1806" spans="1:41" x14ac:dyDescent="0.2">
      <c r="A1806">
        <v>373021</v>
      </c>
      <c r="B1806" t="s">
        <v>12130</v>
      </c>
      <c r="C1806" t="s">
        <v>134</v>
      </c>
      <c r="D1806" t="s">
        <v>8818</v>
      </c>
      <c r="E1806">
        <v>32640212</v>
      </c>
      <c r="F1806">
        <v>452304</v>
      </c>
      <c r="G1806" s="1">
        <v>37159</v>
      </c>
      <c r="H1806" s="1">
        <v>45553</v>
      </c>
      <c r="I1806" s="1">
        <v>46266</v>
      </c>
      <c r="J1806" t="s">
        <v>45</v>
      </c>
      <c r="K1806" t="s">
        <v>45</v>
      </c>
      <c r="L1806" t="s">
        <v>46</v>
      </c>
      <c r="N1806" t="s">
        <v>47</v>
      </c>
      <c r="O1806" t="s">
        <v>48</v>
      </c>
      <c r="P1806" t="s">
        <v>49</v>
      </c>
      <c r="Q1806" t="s">
        <v>12131</v>
      </c>
      <c r="R1806" t="s">
        <v>12132</v>
      </c>
      <c r="S1806">
        <v>2820</v>
      </c>
      <c r="T1806" t="s">
        <v>296</v>
      </c>
      <c r="U1806" t="s">
        <v>2267</v>
      </c>
      <c r="V1806" t="s">
        <v>8821</v>
      </c>
      <c r="W1806" t="s">
        <v>299</v>
      </c>
      <c r="X1806" t="s">
        <v>76</v>
      </c>
      <c r="Y1806" t="s">
        <v>56</v>
      </c>
      <c r="Z1806">
        <v>1331</v>
      </c>
      <c r="AA1806">
        <v>40</v>
      </c>
      <c r="AB1806">
        <v>158</v>
      </c>
      <c r="AC1806" t="s">
        <v>8822</v>
      </c>
      <c r="AD1806" t="s">
        <v>8823</v>
      </c>
      <c r="AE1806" t="s">
        <v>8824</v>
      </c>
      <c r="AF1806" t="s">
        <v>8825</v>
      </c>
      <c r="AG1806" t="s">
        <v>8826</v>
      </c>
      <c r="AH1806" t="s">
        <v>8824</v>
      </c>
      <c r="AI1806" t="s">
        <v>2274</v>
      </c>
      <c r="AJ1806" s="2">
        <v>45856.026585648149</v>
      </c>
      <c r="AK1806" t="s">
        <v>556</v>
      </c>
      <c r="AL1806" t="s">
        <v>65</v>
      </c>
      <c r="AM1806" s="3">
        <v>1.2291666666666667</v>
      </c>
      <c r="AN1806" t="s">
        <v>66</v>
      </c>
      <c r="AO1806" t="s">
        <v>67</v>
      </c>
    </row>
    <row r="1807" spans="1:41" x14ac:dyDescent="0.2">
      <c r="A1807">
        <v>364914</v>
      </c>
      <c r="B1807" t="s">
        <v>12130</v>
      </c>
      <c r="C1807" t="s">
        <v>692</v>
      </c>
      <c r="D1807" t="s">
        <v>2245</v>
      </c>
      <c r="E1807" t="s">
        <v>12133</v>
      </c>
      <c r="F1807">
        <v>480306</v>
      </c>
      <c r="G1807" s="1">
        <v>32672</v>
      </c>
      <c r="H1807" s="1">
        <v>45562</v>
      </c>
      <c r="I1807" s="1">
        <v>45915</v>
      </c>
      <c r="J1807" t="s">
        <v>45</v>
      </c>
      <c r="K1807" t="s">
        <v>326</v>
      </c>
      <c r="L1807" t="s">
        <v>429</v>
      </c>
      <c r="M1807" s="1">
        <v>44770</v>
      </c>
      <c r="N1807" t="s">
        <v>47</v>
      </c>
      <c r="O1807" t="s">
        <v>48</v>
      </c>
      <c r="P1807" t="s">
        <v>49</v>
      </c>
      <c r="Q1807" t="s">
        <v>12134</v>
      </c>
      <c r="R1807" t="s">
        <v>12135</v>
      </c>
      <c r="S1807">
        <v>8947</v>
      </c>
      <c r="T1807" t="s">
        <v>52</v>
      </c>
      <c r="U1807">
        <v>2</v>
      </c>
      <c r="V1807" t="s">
        <v>2248</v>
      </c>
      <c r="W1807" t="s">
        <v>54</v>
      </c>
      <c r="X1807" t="s">
        <v>76</v>
      </c>
      <c r="Y1807" t="s">
        <v>56</v>
      </c>
      <c r="Z1807">
        <v>567</v>
      </c>
      <c r="AA1807">
        <v>60</v>
      </c>
      <c r="AB1807">
        <v>144</v>
      </c>
      <c r="AC1807" t="s">
        <v>12136</v>
      </c>
      <c r="AD1807" t="s">
        <v>2250</v>
      </c>
      <c r="AE1807" t="s">
        <v>2251</v>
      </c>
      <c r="AF1807" t="s">
        <v>12137</v>
      </c>
      <c r="AG1807" t="s">
        <v>12138</v>
      </c>
      <c r="AH1807" t="s">
        <v>12139</v>
      </c>
      <c r="AI1807" t="s">
        <v>3703</v>
      </c>
      <c r="AJ1807" s="2">
        <v>45565.537604166668</v>
      </c>
      <c r="AK1807" t="s">
        <v>568</v>
      </c>
      <c r="AL1807" t="s">
        <v>65</v>
      </c>
      <c r="AM1807" s="3">
        <v>2.4236111111111112</v>
      </c>
      <c r="AN1807" t="s">
        <v>809</v>
      </c>
      <c r="AO1807" t="s">
        <v>67</v>
      </c>
    </row>
    <row r="1808" spans="1:41" x14ac:dyDescent="0.2">
      <c r="A1808">
        <v>366720</v>
      </c>
      <c r="B1808" t="s">
        <v>12140</v>
      </c>
      <c r="C1808" t="s">
        <v>182</v>
      </c>
      <c r="D1808" t="s">
        <v>183</v>
      </c>
      <c r="E1808" t="s">
        <v>12141</v>
      </c>
      <c r="F1808">
        <v>45435</v>
      </c>
      <c r="G1808" s="1">
        <v>35620</v>
      </c>
      <c r="H1808" s="1">
        <v>45630</v>
      </c>
      <c r="I1808" s="1">
        <v>46143</v>
      </c>
      <c r="J1808" t="s">
        <v>45</v>
      </c>
      <c r="K1808" t="s">
        <v>326</v>
      </c>
      <c r="L1808" t="s">
        <v>46</v>
      </c>
      <c r="M1808" s="1">
        <v>43284</v>
      </c>
      <c r="N1808" t="s">
        <v>47</v>
      </c>
      <c r="O1808" t="s">
        <v>48</v>
      </c>
      <c r="P1808" t="s">
        <v>49</v>
      </c>
      <c r="Q1808" t="s">
        <v>12142</v>
      </c>
      <c r="R1808" t="s">
        <v>12143</v>
      </c>
      <c r="S1808">
        <v>5021</v>
      </c>
      <c r="T1808" t="s">
        <v>52</v>
      </c>
      <c r="U1808">
        <v>5</v>
      </c>
      <c r="V1808" t="s">
        <v>2432</v>
      </c>
      <c r="W1808" t="s">
        <v>54</v>
      </c>
      <c r="X1808" t="s">
        <v>493</v>
      </c>
      <c r="Y1808" t="s">
        <v>434</v>
      </c>
      <c r="Z1808">
        <v>678</v>
      </c>
      <c r="AA1808">
        <v>64</v>
      </c>
      <c r="AB1808">
        <v>144</v>
      </c>
      <c r="AC1808" t="s">
        <v>2433</v>
      </c>
      <c r="AD1808" t="s">
        <v>2434</v>
      </c>
      <c r="AE1808" t="s">
        <v>2435</v>
      </c>
      <c r="AF1808" t="s">
        <v>5206</v>
      </c>
      <c r="AG1808" t="s">
        <v>5207</v>
      </c>
      <c r="AH1808" t="s">
        <v>5005</v>
      </c>
      <c r="AI1808" t="s">
        <v>500</v>
      </c>
      <c r="AJ1808" s="2">
        <v>45635.698287037034</v>
      </c>
      <c r="AK1808" t="s">
        <v>717</v>
      </c>
      <c r="AL1808" t="s">
        <v>65</v>
      </c>
      <c r="AM1808" s="3">
        <v>2.2083333333333335</v>
      </c>
      <c r="AN1808" t="s">
        <v>66</v>
      </c>
      <c r="AO1808" t="s">
        <v>67</v>
      </c>
    </row>
    <row r="1809" spans="1:41" x14ac:dyDescent="0.2">
      <c r="A1809">
        <v>368863</v>
      </c>
      <c r="B1809" t="s">
        <v>12144</v>
      </c>
      <c r="C1809" t="s">
        <v>182</v>
      </c>
      <c r="D1809" t="s">
        <v>811</v>
      </c>
      <c r="E1809" t="s">
        <v>12145</v>
      </c>
      <c r="F1809">
        <v>45109</v>
      </c>
      <c r="G1809" s="1">
        <v>35837</v>
      </c>
      <c r="H1809" s="1">
        <v>45699</v>
      </c>
      <c r="I1809" s="1">
        <v>46037</v>
      </c>
      <c r="J1809" t="s">
        <v>45</v>
      </c>
      <c r="K1809" t="s">
        <v>45</v>
      </c>
      <c r="L1809" t="s">
        <v>429</v>
      </c>
      <c r="M1809" s="1">
        <v>41045</v>
      </c>
      <c r="N1809" t="s">
        <v>47</v>
      </c>
      <c r="O1809" t="s">
        <v>48</v>
      </c>
      <c r="P1809" t="s">
        <v>49</v>
      </c>
      <c r="Q1809" t="s">
        <v>12146</v>
      </c>
      <c r="R1809" t="s">
        <v>12147</v>
      </c>
      <c r="S1809">
        <v>2950</v>
      </c>
      <c r="T1809" t="s">
        <v>52</v>
      </c>
      <c r="U1809">
        <v>5</v>
      </c>
      <c r="V1809" t="s">
        <v>1665</v>
      </c>
      <c r="W1809" t="s">
        <v>54</v>
      </c>
      <c r="X1809" t="s">
        <v>493</v>
      </c>
      <c r="Y1809" t="s">
        <v>434</v>
      </c>
      <c r="Z1809">
        <v>988</v>
      </c>
      <c r="AA1809">
        <v>54</v>
      </c>
      <c r="AB1809">
        <v>34</v>
      </c>
      <c r="AC1809" t="s">
        <v>1666</v>
      </c>
      <c r="AD1809" t="s">
        <v>1667</v>
      </c>
      <c r="AE1809" t="s">
        <v>1668</v>
      </c>
      <c r="AF1809" t="s">
        <v>1669</v>
      </c>
      <c r="AG1809" t="s">
        <v>1670</v>
      </c>
      <c r="AH1809" t="s">
        <v>1671</v>
      </c>
      <c r="AI1809" t="s">
        <v>1672</v>
      </c>
      <c r="AJ1809" s="2">
        <v>45722.881157407406</v>
      </c>
      <c r="AK1809" t="s">
        <v>1472</v>
      </c>
      <c r="AL1809" t="s">
        <v>65</v>
      </c>
      <c r="AM1809" s="3">
        <v>1.4444444444444444</v>
      </c>
      <c r="AN1809" t="s">
        <v>66</v>
      </c>
      <c r="AO1809" t="s">
        <v>67</v>
      </c>
    </row>
    <row r="1810" spans="1:41" x14ac:dyDescent="0.2">
      <c r="A1810">
        <v>368066</v>
      </c>
      <c r="B1810" t="s">
        <v>12148</v>
      </c>
      <c r="C1810" t="s">
        <v>197</v>
      </c>
      <c r="D1810" t="s">
        <v>3153</v>
      </c>
      <c r="E1810" s="5">
        <v>31008100000000</v>
      </c>
      <c r="F1810">
        <v>93601</v>
      </c>
      <c r="G1810" s="1">
        <v>37680</v>
      </c>
      <c r="H1810" s="1">
        <v>45561</v>
      </c>
      <c r="I1810" s="1">
        <v>45945</v>
      </c>
      <c r="J1810" t="s">
        <v>45</v>
      </c>
      <c r="K1810" t="s">
        <v>45</v>
      </c>
      <c r="L1810" t="s">
        <v>72</v>
      </c>
      <c r="N1810" t="s">
        <v>47</v>
      </c>
      <c r="O1810" t="s">
        <v>48</v>
      </c>
      <c r="P1810" t="s">
        <v>49</v>
      </c>
      <c r="Q1810" t="s">
        <v>12149</v>
      </c>
      <c r="R1810" t="s">
        <v>12150</v>
      </c>
      <c r="S1810">
        <v>395</v>
      </c>
      <c r="T1810" t="s">
        <v>92</v>
      </c>
      <c r="U1810" t="s">
        <v>202</v>
      </c>
      <c r="V1810" t="s">
        <v>203</v>
      </c>
      <c r="W1810" t="s">
        <v>204</v>
      </c>
      <c r="X1810" t="s">
        <v>52</v>
      </c>
      <c r="Y1810" t="s">
        <v>110</v>
      </c>
      <c r="Z1810">
        <v>2145</v>
      </c>
      <c r="AA1810">
        <v>38</v>
      </c>
      <c r="AB1810">
        <v>144</v>
      </c>
      <c r="AC1810" t="s">
        <v>205</v>
      </c>
      <c r="AD1810" t="s">
        <v>206</v>
      </c>
      <c r="AE1810" t="s">
        <v>1547</v>
      </c>
      <c r="AF1810" t="s">
        <v>3373</v>
      </c>
      <c r="AG1810" t="s">
        <v>3374</v>
      </c>
      <c r="AH1810" t="s">
        <v>3375</v>
      </c>
      <c r="AI1810" t="s">
        <v>206</v>
      </c>
      <c r="AJ1810" s="2">
        <v>45699.776446759257</v>
      </c>
      <c r="AK1810" t="s">
        <v>149</v>
      </c>
      <c r="AL1810" t="s">
        <v>65</v>
      </c>
      <c r="AM1810" s="4">
        <v>0.1388888888888889</v>
      </c>
      <c r="AN1810" t="s">
        <v>66</v>
      </c>
      <c r="AO1810" t="s">
        <v>67</v>
      </c>
    </row>
    <row r="1811" spans="1:41" x14ac:dyDescent="0.2">
      <c r="A1811">
        <v>359936</v>
      </c>
      <c r="B1811" t="s">
        <v>12151</v>
      </c>
      <c r="C1811" t="s">
        <v>167</v>
      </c>
      <c r="D1811" t="s">
        <v>5415</v>
      </c>
      <c r="E1811" t="s">
        <v>12152</v>
      </c>
      <c r="F1811">
        <v>350308</v>
      </c>
      <c r="G1811" s="1">
        <v>38198</v>
      </c>
      <c r="H1811" s="1">
        <v>45404</v>
      </c>
      <c r="I1811" s="1">
        <v>46127</v>
      </c>
      <c r="J1811" t="s">
        <v>45</v>
      </c>
      <c r="K1811" t="s">
        <v>45</v>
      </c>
      <c r="L1811" t="s">
        <v>72</v>
      </c>
      <c r="M1811" s="1">
        <v>43600</v>
      </c>
      <c r="N1811" t="s">
        <v>47</v>
      </c>
      <c r="O1811" t="s">
        <v>48</v>
      </c>
      <c r="P1811" t="s">
        <v>49</v>
      </c>
      <c r="Q1811" t="s">
        <v>12153</v>
      </c>
      <c r="R1811" t="s">
        <v>12154</v>
      </c>
      <c r="S1811">
        <v>1095</v>
      </c>
      <c r="T1811" t="s">
        <v>92</v>
      </c>
      <c r="U1811" t="s">
        <v>3030</v>
      </c>
      <c r="V1811" t="s">
        <v>3031</v>
      </c>
      <c r="W1811" t="s">
        <v>3032</v>
      </c>
      <c r="X1811" t="s">
        <v>52</v>
      </c>
      <c r="Y1811" t="s">
        <v>110</v>
      </c>
      <c r="Z1811">
        <v>1557</v>
      </c>
      <c r="AA1811">
        <v>30</v>
      </c>
      <c r="AB1811">
        <v>176</v>
      </c>
      <c r="AC1811" t="s">
        <v>5419</v>
      </c>
      <c r="AD1811" t="s">
        <v>12155</v>
      </c>
      <c r="AE1811" t="s">
        <v>5421</v>
      </c>
      <c r="AF1811" t="s">
        <v>12156</v>
      </c>
      <c r="AG1811" t="s">
        <v>12155</v>
      </c>
      <c r="AH1811" t="s">
        <v>12157</v>
      </c>
      <c r="AJ1811" s="2">
        <v>45405.647141203706</v>
      </c>
      <c r="AK1811" t="s">
        <v>5419</v>
      </c>
      <c r="AL1811" t="s">
        <v>65</v>
      </c>
      <c r="AM1811" s="4">
        <v>0.51388888888888884</v>
      </c>
      <c r="AN1811" t="s">
        <v>66</v>
      </c>
      <c r="AO1811" t="s">
        <v>67</v>
      </c>
    </row>
    <row r="1812" spans="1:41" x14ac:dyDescent="0.2">
      <c r="A1812">
        <v>367557</v>
      </c>
      <c r="B1812" t="s">
        <v>12158</v>
      </c>
      <c r="C1812" t="s">
        <v>662</v>
      </c>
      <c r="D1812" t="s">
        <v>12159</v>
      </c>
      <c r="E1812" t="s">
        <v>12160</v>
      </c>
      <c r="F1812">
        <v>419301</v>
      </c>
      <c r="G1812" s="1">
        <v>37860</v>
      </c>
      <c r="H1812" s="1">
        <v>45608</v>
      </c>
      <c r="I1812" s="1">
        <v>45931</v>
      </c>
      <c r="J1812" t="s">
        <v>45</v>
      </c>
      <c r="K1812" t="s">
        <v>45</v>
      </c>
      <c r="L1812" t="s">
        <v>72</v>
      </c>
      <c r="M1812" s="1">
        <v>41668</v>
      </c>
      <c r="N1812" t="s">
        <v>47</v>
      </c>
      <c r="O1812" t="s">
        <v>48</v>
      </c>
      <c r="P1812" t="s">
        <v>49</v>
      </c>
      <c r="Q1812" t="s">
        <v>12161</v>
      </c>
      <c r="R1812" t="s">
        <v>12162</v>
      </c>
      <c r="S1812">
        <v>1335</v>
      </c>
      <c r="T1812" t="s">
        <v>92</v>
      </c>
      <c r="U1812" t="s">
        <v>1197</v>
      </c>
      <c r="V1812" t="s">
        <v>1198</v>
      </c>
      <c r="W1812" t="s">
        <v>1199</v>
      </c>
      <c r="X1812" t="s">
        <v>52</v>
      </c>
      <c r="Y1812" t="s">
        <v>110</v>
      </c>
      <c r="Z1812">
        <v>2132</v>
      </c>
      <c r="AA1812">
        <v>40</v>
      </c>
      <c r="AB1812">
        <v>158</v>
      </c>
      <c r="AC1812" t="s">
        <v>1200</v>
      </c>
      <c r="AD1812" t="s">
        <v>1201</v>
      </c>
      <c r="AE1812" t="s">
        <v>1202</v>
      </c>
      <c r="AF1812" t="s">
        <v>1727</v>
      </c>
      <c r="AG1812" t="s">
        <v>1728</v>
      </c>
      <c r="AH1812" t="s">
        <v>1729</v>
      </c>
      <c r="AJ1812" s="2">
        <v>45680.969097222223</v>
      </c>
      <c r="AK1812" t="s">
        <v>1727</v>
      </c>
      <c r="AL1812" t="s">
        <v>65</v>
      </c>
      <c r="AM1812" s="4">
        <v>0.22222222222222221</v>
      </c>
      <c r="AN1812" t="s">
        <v>66</v>
      </c>
      <c r="AO1812" t="s">
        <v>67</v>
      </c>
    </row>
    <row r="1813" spans="1:41" x14ac:dyDescent="0.2">
      <c r="A1813">
        <v>362406</v>
      </c>
      <c r="B1813" t="s">
        <v>12163</v>
      </c>
      <c r="C1813" t="s">
        <v>182</v>
      </c>
      <c r="D1813" t="s">
        <v>4517</v>
      </c>
      <c r="E1813" t="s">
        <v>12164</v>
      </c>
      <c r="F1813">
        <v>45338</v>
      </c>
      <c r="G1813" s="1">
        <v>43836</v>
      </c>
      <c r="H1813" s="1">
        <v>45414</v>
      </c>
      <c r="I1813" s="1">
        <v>46068</v>
      </c>
      <c r="J1813" t="s">
        <v>45</v>
      </c>
      <c r="K1813" t="s">
        <v>45</v>
      </c>
      <c r="L1813" t="s">
        <v>46</v>
      </c>
      <c r="N1813" t="s">
        <v>47</v>
      </c>
      <c r="O1813" t="s">
        <v>48</v>
      </c>
      <c r="P1813" t="s">
        <v>49</v>
      </c>
      <c r="Q1813" t="s">
        <v>12165</v>
      </c>
      <c r="R1813" t="s">
        <v>12166</v>
      </c>
      <c r="S1813">
        <v>837</v>
      </c>
      <c r="T1813" t="s">
        <v>92</v>
      </c>
      <c r="U1813" t="s">
        <v>187</v>
      </c>
      <c r="V1813" t="s">
        <v>8597</v>
      </c>
      <c r="W1813" t="s">
        <v>8598</v>
      </c>
      <c r="X1813" t="s">
        <v>92</v>
      </c>
      <c r="Y1813" t="s">
        <v>110</v>
      </c>
      <c r="Z1813">
        <v>10248</v>
      </c>
      <c r="AA1813">
        <v>14</v>
      </c>
      <c r="AB1813">
        <v>76</v>
      </c>
      <c r="AC1813" t="s">
        <v>8605</v>
      </c>
      <c r="AD1813" t="s">
        <v>8603</v>
      </c>
      <c r="AE1813" t="s">
        <v>12167</v>
      </c>
      <c r="AF1813" t="s">
        <v>8602</v>
      </c>
      <c r="AG1813" t="s">
        <v>8603</v>
      </c>
      <c r="AH1813" t="s">
        <v>12168</v>
      </c>
      <c r="AI1813" t="s">
        <v>8603</v>
      </c>
      <c r="AJ1813" s="2">
        <v>45485.692847222221</v>
      </c>
      <c r="AK1813" t="s">
        <v>8605</v>
      </c>
      <c r="AL1813" t="s">
        <v>65</v>
      </c>
      <c r="AM1813" s="4">
        <v>0.3888888888888889</v>
      </c>
      <c r="AN1813" t="s">
        <v>66</v>
      </c>
      <c r="AO1813" t="s">
        <v>67</v>
      </c>
    </row>
    <row r="1814" spans="1:41" x14ac:dyDescent="0.2">
      <c r="A1814">
        <v>371638</v>
      </c>
      <c r="B1814" t="s">
        <v>12169</v>
      </c>
      <c r="C1814" t="s">
        <v>42</v>
      </c>
      <c r="D1814" t="s">
        <v>12170</v>
      </c>
      <c r="E1814" t="s">
        <v>12171</v>
      </c>
      <c r="F1814">
        <v>291101</v>
      </c>
      <c r="G1814" s="1">
        <v>38454</v>
      </c>
      <c r="H1814" s="1">
        <v>45814</v>
      </c>
      <c r="I1814" s="1">
        <v>46143</v>
      </c>
      <c r="J1814" t="s">
        <v>45</v>
      </c>
      <c r="K1814" t="s">
        <v>45</v>
      </c>
      <c r="L1814" t="s">
        <v>46</v>
      </c>
      <c r="M1814" s="1">
        <v>44322</v>
      </c>
      <c r="N1814" t="s">
        <v>47</v>
      </c>
      <c r="O1814" t="s">
        <v>48</v>
      </c>
      <c r="P1814" t="s">
        <v>49</v>
      </c>
      <c r="Q1814" t="s">
        <v>12172</v>
      </c>
      <c r="R1814" t="s">
        <v>12173</v>
      </c>
      <c r="S1814">
        <v>5881</v>
      </c>
      <c r="T1814" t="s">
        <v>52</v>
      </c>
      <c r="U1814">
        <v>3</v>
      </c>
      <c r="V1814" t="s">
        <v>53</v>
      </c>
      <c r="W1814" t="s">
        <v>54</v>
      </c>
      <c r="X1814" t="s">
        <v>55</v>
      </c>
      <c r="Y1814" t="s">
        <v>56</v>
      </c>
      <c r="Z1814">
        <v>2604</v>
      </c>
      <c r="AA1814">
        <v>37</v>
      </c>
      <c r="AB1814">
        <v>176</v>
      </c>
      <c r="AC1814" t="s">
        <v>57</v>
      </c>
      <c r="AD1814" t="s">
        <v>58</v>
      </c>
      <c r="AE1814" t="s">
        <v>4968</v>
      </c>
      <c r="AF1814" t="s">
        <v>60</v>
      </c>
      <c r="AG1814" t="s">
        <v>61</v>
      </c>
      <c r="AH1814" t="s">
        <v>62</v>
      </c>
      <c r="AI1814" t="s">
        <v>1809</v>
      </c>
      <c r="AJ1814" s="2">
        <v>45817.776655092595</v>
      </c>
      <c r="AK1814" t="s">
        <v>609</v>
      </c>
      <c r="AL1814" t="s">
        <v>65</v>
      </c>
      <c r="AM1814" s="4">
        <v>0.24305555555555555</v>
      </c>
      <c r="AN1814" t="s">
        <v>66</v>
      </c>
      <c r="AO1814" t="s">
        <v>67</v>
      </c>
    </row>
    <row r="1815" spans="1:41" x14ac:dyDescent="0.2">
      <c r="A1815">
        <v>369538</v>
      </c>
      <c r="B1815" t="s">
        <v>12174</v>
      </c>
      <c r="C1815" t="s">
        <v>182</v>
      </c>
      <c r="D1815" t="s">
        <v>1086</v>
      </c>
      <c r="E1815" t="s">
        <v>12175</v>
      </c>
      <c r="F1815">
        <v>44708</v>
      </c>
      <c r="G1815" s="1">
        <v>37096</v>
      </c>
      <c r="H1815" s="1">
        <v>45738</v>
      </c>
      <c r="J1815" t="s">
        <v>45</v>
      </c>
      <c r="K1815" t="s">
        <v>72</v>
      </c>
      <c r="L1815" t="s">
        <v>72</v>
      </c>
      <c r="M1815" s="1">
        <v>38936</v>
      </c>
      <c r="N1815" t="s">
        <v>47</v>
      </c>
      <c r="O1815" t="s">
        <v>48</v>
      </c>
      <c r="P1815" t="s">
        <v>49</v>
      </c>
      <c r="Q1815" t="s">
        <v>12176</v>
      </c>
      <c r="R1815" t="s">
        <v>12177</v>
      </c>
      <c r="S1815">
        <v>1923</v>
      </c>
      <c r="T1815" t="s">
        <v>92</v>
      </c>
      <c r="U1815" t="s">
        <v>187</v>
      </c>
      <c r="V1815" t="s">
        <v>447</v>
      </c>
      <c r="W1815" t="s">
        <v>448</v>
      </c>
      <c r="X1815" t="s">
        <v>92</v>
      </c>
      <c r="Y1815" t="s">
        <v>450</v>
      </c>
      <c r="Z1815">
        <v>2004</v>
      </c>
      <c r="AA1815">
        <v>47</v>
      </c>
      <c r="AB1815">
        <v>66</v>
      </c>
      <c r="AC1815" t="s">
        <v>451</v>
      </c>
      <c r="AD1815" t="s">
        <v>452</v>
      </c>
      <c r="AE1815" t="s">
        <v>453</v>
      </c>
      <c r="AF1815" t="s">
        <v>454</v>
      </c>
      <c r="AG1815" t="s">
        <v>473</v>
      </c>
      <c r="AH1815" t="s">
        <v>474</v>
      </c>
      <c r="AJ1815" s="2">
        <v>45743.640590277777</v>
      </c>
      <c r="AK1815" t="s">
        <v>526</v>
      </c>
      <c r="AL1815" t="s">
        <v>65</v>
      </c>
      <c r="AM1815" s="3">
        <v>1.1527777777777777</v>
      </c>
      <c r="AN1815" t="s">
        <v>66</v>
      </c>
      <c r="AO1815" t="s">
        <v>67</v>
      </c>
    </row>
    <row r="1816" spans="1:41" x14ac:dyDescent="0.2">
      <c r="A1816">
        <v>369861</v>
      </c>
      <c r="B1816" t="s">
        <v>12178</v>
      </c>
      <c r="C1816" t="s">
        <v>182</v>
      </c>
      <c r="D1816" t="s">
        <v>1813</v>
      </c>
      <c r="E1816" t="s">
        <v>12179</v>
      </c>
      <c r="F1816">
        <v>44203</v>
      </c>
      <c r="G1816" s="1">
        <v>38517</v>
      </c>
      <c r="H1816" s="1">
        <v>45545</v>
      </c>
      <c r="I1816" s="1">
        <v>46204</v>
      </c>
      <c r="J1816" t="s">
        <v>45</v>
      </c>
      <c r="K1816" t="s">
        <v>45</v>
      </c>
      <c r="L1816" t="s">
        <v>429</v>
      </c>
      <c r="M1816" s="1">
        <v>45755</v>
      </c>
      <c r="N1816" t="s">
        <v>47</v>
      </c>
      <c r="O1816" t="s">
        <v>48</v>
      </c>
      <c r="P1816" t="s">
        <v>49</v>
      </c>
      <c r="Q1816" t="s">
        <v>12180</v>
      </c>
      <c r="R1816" t="s">
        <v>12181</v>
      </c>
      <c r="S1816">
        <v>5313</v>
      </c>
      <c r="T1816" t="s">
        <v>52</v>
      </c>
      <c r="U1816">
        <v>5</v>
      </c>
      <c r="V1816" t="s">
        <v>1817</v>
      </c>
      <c r="W1816" t="s">
        <v>54</v>
      </c>
      <c r="X1816" t="s">
        <v>493</v>
      </c>
      <c r="Y1816" t="s">
        <v>434</v>
      </c>
      <c r="Z1816">
        <v>2716</v>
      </c>
      <c r="AA1816">
        <v>65</v>
      </c>
      <c r="AB1816">
        <v>158</v>
      </c>
      <c r="AC1816" t="s">
        <v>1818</v>
      </c>
      <c r="AD1816" t="s">
        <v>1819</v>
      </c>
      <c r="AE1816" t="s">
        <v>1820</v>
      </c>
      <c r="AF1816" t="s">
        <v>1821</v>
      </c>
      <c r="AG1816" t="s">
        <v>1822</v>
      </c>
      <c r="AH1816" t="s">
        <v>1823</v>
      </c>
      <c r="AI1816" t="s">
        <v>500</v>
      </c>
      <c r="AJ1816" s="2">
        <v>45755.993298611109</v>
      </c>
      <c r="AK1816" t="s">
        <v>1818</v>
      </c>
      <c r="AL1816" t="s">
        <v>65</v>
      </c>
      <c r="AM1816" s="3">
        <v>2.4791666666666665</v>
      </c>
      <c r="AN1816" t="s">
        <v>66</v>
      </c>
      <c r="AO1816" t="s">
        <v>67</v>
      </c>
    </row>
    <row r="1817" spans="1:41" x14ac:dyDescent="0.2">
      <c r="A1817">
        <v>361590</v>
      </c>
      <c r="B1817" t="s">
        <v>12182</v>
      </c>
      <c r="C1817" t="s">
        <v>763</v>
      </c>
      <c r="D1817" t="s">
        <v>12183</v>
      </c>
      <c r="E1817">
        <v>53705306</v>
      </c>
      <c r="F1817">
        <v>470703</v>
      </c>
      <c r="G1817" s="1">
        <v>38373</v>
      </c>
      <c r="H1817" s="1">
        <v>45447</v>
      </c>
      <c r="J1817" t="s">
        <v>45</v>
      </c>
      <c r="K1817" t="s">
        <v>45</v>
      </c>
      <c r="L1817" t="s">
        <v>72</v>
      </c>
      <c r="M1817" s="1">
        <v>45001</v>
      </c>
      <c r="N1817" t="s">
        <v>47</v>
      </c>
      <c r="O1817" t="s">
        <v>48</v>
      </c>
      <c r="P1817" t="s">
        <v>49</v>
      </c>
      <c r="Q1817" t="s">
        <v>12184</v>
      </c>
      <c r="R1817" t="s">
        <v>12185</v>
      </c>
      <c r="S1817">
        <v>1060</v>
      </c>
      <c r="T1817" t="s">
        <v>92</v>
      </c>
      <c r="U1817" t="s">
        <v>767</v>
      </c>
      <c r="V1817" t="s">
        <v>768</v>
      </c>
      <c r="W1817" t="s">
        <v>769</v>
      </c>
      <c r="X1817" t="s">
        <v>92</v>
      </c>
      <c r="Y1817" t="s">
        <v>770</v>
      </c>
      <c r="Z1817">
        <v>2625</v>
      </c>
      <c r="AA1817">
        <v>35</v>
      </c>
      <c r="AB1817">
        <v>146</v>
      </c>
      <c r="AC1817" t="s">
        <v>1717</v>
      </c>
      <c r="AD1817" t="s">
        <v>1718</v>
      </c>
      <c r="AE1817" t="s">
        <v>1719</v>
      </c>
      <c r="AF1817" t="s">
        <v>774</v>
      </c>
      <c r="AG1817" t="s">
        <v>775</v>
      </c>
      <c r="AH1817" t="s">
        <v>776</v>
      </c>
      <c r="AI1817" t="s">
        <v>1720</v>
      </c>
      <c r="AJ1817" s="2">
        <v>45457.532037037039</v>
      </c>
      <c r="AK1817" t="s">
        <v>6356</v>
      </c>
      <c r="AL1817" t="s">
        <v>65</v>
      </c>
      <c r="AM1817" s="4">
        <v>0.15277777777777779</v>
      </c>
      <c r="AN1817" t="s">
        <v>66</v>
      </c>
      <c r="AO1817" t="s">
        <v>67</v>
      </c>
    </row>
    <row r="1818" spans="1:41" x14ac:dyDescent="0.2">
      <c r="A1818">
        <v>367172</v>
      </c>
      <c r="B1818" t="s">
        <v>12186</v>
      </c>
      <c r="C1818" t="s">
        <v>134</v>
      </c>
      <c r="D1818" t="s">
        <v>2657</v>
      </c>
      <c r="E1818" t="s">
        <v>12187</v>
      </c>
      <c r="F1818">
        <v>450306</v>
      </c>
      <c r="G1818" s="1">
        <v>34806</v>
      </c>
      <c r="H1818" s="1">
        <v>45589</v>
      </c>
      <c r="I1818" s="1">
        <v>45962</v>
      </c>
      <c r="J1818" t="s">
        <v>45</v>
      </c>
      <c r="K1818" t="s">
        <v>45</v>
      </c>
      <c r="L1818" t="s">
        <v>72</v>
      </c>
      <c r="M1818" s="1">
        <v>42860</v>
      </c>
      <c r="N1818" t="s">
        <v>47</v>
      </c>
      <c r="O1818" t="s">
        <v>48</v>
      </c>
      <c r="P1818" t="s">
        <v>49</v>
      </c>
      <c r="Q1818" t="s">
        <v>12188</v>
      </c>
      <c r="R1818" t="s">
        <v>12189</v>
      </c>
      <c r="S1818">
        <v>1768</v>
      </c>
      <c r="T1818" t="s">
        <v>92</v>
      </c>
      <c r="U1818" t="s">
        <v>139</v>
      </c>
      <c r="V1818" t="s">
        <v>140</v>
      </c>
      <c r="W1818" t="s">
        <v>141</v>
      </c>
      <c r="X1818" t="s">
        <v>92</v>
      </c>
      <c r="Y1818" t="s">
        <v>110</v>
      </c>
      <c r="Z1818">
        <v>393</v>
      </c>
      <c r="AA1818">
        <v>59</v>
      </c>
      <c r="AB1818">
        <v>144</v>
      </c>
      <c r="AC1818" t="s">
        <v>142</v>
      </c>
      <c r="AD1818" t="s">
        <v>143</v>
      </c>
      <c r="AE1818" t="s">
        <v>144</v>
      </c>
      <c r="AF1818" t="s">
        <v>145</v>
      </c>
      <c r="AG1818" t="s">
        <v>146</v>
      </c>
      <c r="AH1818" t="s">
        <v>147</v>
      </c>
      <c r="AI1818" t="s">
        <v>148</v>
      </c>
      <c r="AJ1818" s="2">
        <v>45664.704236111109</v>
      </c>
      <c r="AK1818" t="s">
        <v>149</v>
      </c>
      <c r="AL1818" t="s">
        <v>65</v>
      </c>
      <c r="AM1818" s="4">
        <v>6.9444444444444441E-3</v>
      </c>
      <c r="AN1818" t="s">
        <v>66</v>
      </c>
      <c r="AO1818" t="s">
        <v>67</v>
      </c>
    </row>
    <row r="1819" spans="1:41" x14ac:dyDescent="0.2">
      <c r="A1819">
        <v>370567</v>
      </c>
      <c r="B1819" t="s">
        <v>12190</v>
      </c>
      <c r="C1819" t="s">
        <v>86</v>
      </c>
      <c r="D1819" t="s">
        <v>12191</v>
      </c>
      <c r="E1819" t="s">
        <v>12192</v>
      </c>
      <c r="F1819">
        <v>202902</v>
      </c>
      <c r="G1819" s="1">
        <v>34808</v>
      </c>
      <c r="H1819" s="1">
        <v>45776</v>
      </c>
      <c r="I1819" s="1">
        <v>46157</v>
      </c>
      <c r="J1819" t="s">
        <v>45</v>
      </c>
      <c r="K1819" t="s">
        <v>45</v>
      </c>
      <c r="L1819" t="s">
        <v>72</v>
      </c>
      <c r="M1819" s="1">
        <v>44287</v>
      </c>
      <c r="N1819" t="s">
        <v>47</v>
      </c>
      <c r="O1819" t="s">
        <v>48</v>
      </c>
      <c r="P1819" t="s">
        <v>49</v>
      </c>
      <c r="Q1819" t="s">
        <v>12193</v>
      </c>
      <c r="R1819" t="s">
        <v>12194</v>
      </c>
      <c r="S1819">
        <v>1050</v>
      </c>
      <c r="T1819" t="s">
        <v>52</v>
      </c>
      <c r="U1819">
        <v>9</v>
      </c>
      <c r="V1819" t="s">
        <v>1631</v>
      </c>
      <c r="W1819" t="s">
        <v>54</v>
      </c>
      <c r="X1819" t="s">
        <v>76</v>
      </c>
      <c r="Y1819" t="s">
        <v>56</v>
      </c>
      <c r="Z1819">
        <v>1103</v>
      </c>
      <c r="AA1819">
        <v>47</v>
      </c>
      <c r="AB1819">
        <v>97</v>
      </c>
      <c r="AC1819" t="s">
        <v>1632</v>
      </c>
      <c r="AD1819" t="s">
        <v>1633</v>
      </c>
      <c r="AE1819" t="s">
        <v>1634</v>
      </c>
      <c r="AF1819" t="s">
        <v>1635</v>
      </c>
      <c r="AG1819" t="s">
        <v>1636</v>
      </c>
      <c r="AH1819" t="s">
        <v>1637</v>
      </c>
      <c r="AI1819" t="s">
        <v>1638</v>
      </c>
      <c r="AJ1819" s="2">
        <v>45777.972175925926</v>
      </c>
      <c r="AK1819" t="s">
        <v>540</v>
      </c>
      <c r="AL1819" t="s">
        <v>65</v>
      </c>
      <c r="AM1819" s="3">
        <v>1.3506944444444444</v>
      </c>
      <c r="AN1819" t="s">
        <v>66</v>
      </c>
      <c r="AO1819" t="s">
        <v>101</v>
      </c>
    </row>
    <row r="1820" spans="1:41" x14ac:dyDescent="0.2">
      <c r="A1820">
        <v>368902</v>
      </c>
      <c r="B1820" t="s">
        <v>12195</v>
      </c>
      <c r="C1820" t="s">
        <v>182</v>
      </c>
      <c r="D1820" t="s">
        <v>610</v>
      </c>
      <c r="E1820" t="s">
        <v>12196</v>
      </c>
      <c r="F1820">
        <v>45743</v>
      </c>
      <c r="G1820" s="1">
        <v>41122</v>
      </c>
      <c r="H1820" s="1">
        <v>45635</v>
      </c>
      <c r="I1820" s="1">
        <v>46235</v>
      </c>
      <c r="J1820" t="s">
        <v>45</v>
      </c>
      <c r="K1820" t="s">
        <v>45</v>
      </c>
      <c r="L1820" t="s">
        <v>429</v>
      </c>
      <c r="M1820" s="1">
        <v>44052</v>
      </c>
      <c r="N1820" t="s">
        <v>47</v>
      </c>
      <c r="O1820" t="s">
        <v>48</v>
      </c>
      <c r="P1820" t="s">
        <v>49</v>
      </c>
      <c r="Q1820" t="s">
        <v>12197</v>
      </c>
      <c r="R1820" t="s">
        <v>12198</v>
      </c>
      <c r="S1820">
        <v>900</v>
      </c>
      <c r="T1820" t="s">
        <v>1328</v>
      </c>
      <c r="U1820" t="s">
        <v>1583</v>
      </c>
      <c r="V1820" t="s">
        <v>4223</v>
      </c>
      <c r="W1820" t="s">
        <v>1585</v>
      </c>
      <c r="X1820" t="s">
        <v>493</v>
      </c>
      <c r="Y1820" t="s">
        <v>434</v>
      </c>
      <c r="Z1820">
        <v>5146</v>
      </c>
      <c r="AA1820">
        <v>25</v>
      </c>
      <c r="AB1820">
        <v>34</v>
      </c>
      <c r="AC1820" t="s">
        <v>4224</v>
      </c>
      <c r="AD1820" t="s">
        <v>4225</v>
      </c>
      <c r="AE1820" t="s">
        <v>4226</v>
      </c>
      <c r="AF1820" t="s">
        <v>4227</v>
      </c>
      <c r="AH1820" t="s">
        <v>4229</v>
      </c>
      <c r="AJ1820" s="2">
        <v>45722.899212962962</v>
      </c>
      <c r="AK1820" t="s">
        <v>501</v>
      </c>
      <c r="AL1820" t="s">
        <v>65</v>
      </c>
      <c r="AM1820" s="4">
        <v>0.18055555555555555</v>
      </c>
      <c r="AN1820" t="s">
        <v>66</v>
      </c>
      <c r="AO1820" t="s">
        <v>67</v>
      </c>
    </row>
    <row r="1821" spans="1:41" x14ac:dyDescent="0.2">
      <c r="A1821">
        <v>369914</v>
      </c>
      <c r="B1821" t="s">
        <v>12199</v>
      </c>
      <c r="C1821" t="s">
        <v>69</v>
      </c>
      <c r="D1821" t="s">
        <v>4891</v>
      </c>
      <c r="E1821" t="s">
        <v>12200</v>
      </c>
      <c r="F1821">
        <v>100901</v>
      </c>
      <c r="G1821" s="1">
        <v>39356</v>
      </c>
      <c r="H1821" s="1">
        <v>45754</v>
      </c>
      <c r="I1821" s="1">
        <v>46127</v>
      </c>
      <c r="J1821" t="s">
        <v>45</v>
      </c>
      <c r="K1821" t="s">
        <v>45</v>
      </c>
      <c r="L1821" t="s">
        <v>429</v>
      </c>
      <c r="M1821" s="1">
        <v>45443</v>
      </c>
      <c r="N1821" t="s">
        <v>47</v>
      </c>
      <c r="O1821" t="s">
        <v>48</v>
      </c>
      <c r="P1821" t="s">
        <v>49</v>
      </c>
      <c r="Q1821" t="s">
        <v>12201</v>
      </c>
      <c r="R1821" t="s">
        <v>12202</v>
      </c>
      <c r="S1821">
        <v>3411</v>
      </c>
      <c r="T1821" t="s">
        <v>296</v>
      </c>
      <c r="U1821" t="s">
        <v>2267</v>
      </c>
      <c r="V1821" t="s">
        <v>12203</v>
      </c>
      <c r="W1821" t="s">
        <v>299</v>
      </c>
      <c r="X1821" t="s">
        <v>76</v>
      </c>
      <c r="Y1821" t="s">
        <v>56</v>
      </c>
      <c r="Z1821">
        <v>2925</v>
      </c>
      <c r="AA1821">
        <v>38</v>
      </c>
      <c r="AB1821">
        <v>166</v>
      </c>
      <c r="AC1821" t="s">
        <v>12204</v>
      </c>
      <c r="AD1821" t="s">
        <v>12205</v>
      </c>
      <c r="AE1821" t="s">
        <v>12206</v>
      </c>
      <c r="AF1821" t="s">
        <v>12207</v>
      </c>
      <c r="AG1821" t="s">
        <v>12208</v>
      </c>
      <c r="AH1821" t="s">
        <v>12209</v>
      </c>
      <c r="AI1821" t="s">
        <v>2274</v>
      </c>
      <c r="AJ1821" s="2">
        <v>45757.709398148145</v>
      </c>
      <c r="AK1821" t="s">
        <v>180</v>
      </c>
      <c r="AL1821" t="s">
        <v>65</v>
      </c>
      <c r="AM1821" s="4">
        <v>0.13194444444444445</v>
      </c>
      <c r="AN1821" t="s">
        <v>66</v>
      </c>
      <c r="AO1821" t="s">
        <v>67</v>
      </c>
    </row>
    <row r="1822" spans="1:41" x14ac:dyDescent="0.2">
      <c r="A1822">
        <v>370086</v>
      </c>
      <c r="B1822" t="s">
        <v>12210</v>
      </c>
      <c r="C1822" t="s">
        <v>182</v>
      </c>
      <c r="D1822" t="s">
        <v>610</v>
      </c>
      <c r="E1822" t="s">
        <v>12211</v>
      </c>
      <c r="F1822">
        <v>45747</v>
      </c>
      <c r="G1822" s="1">
        <v>40080</v>
      </c>
      <c r="H1822" s="1">
        <v>45757</v>
      </c>
      <c r="J1822" t="s">
        <v>45</v>
      </c>
      <c r="K1822" t="s">
        <v>45</v>
      </c>
      <c r="L1822" t="s">
        <v>72</v>
      </c>
      <c r="N1822" t="s">
        <v>47</v>
      </c>
      <c r="O1822" t="s">
        <v>48</v>
      </c>
      <c r="P1822" t="s">
        <v>1752</v>
      </c>
      <c r="Q1822" t="s">
        <v>12212</v>
      </c>
      <c r="R1822" t="s">
        <v>12213</v>
      </c>
      <c r="S1822">
        <v>300</v>
      </c>
      <c r="T1822" t="s">
        <v>449</v>
      </c>
      <c r="U1822" t="s">
        <v>187</v>
      </c>
      <c r="V1822" t="s">
        <v>520</v>
      </c>
      <c r="W1822" t="s">
        <v>521</v>
      </c>
      <c r="X1822" t="s">
        <v>449</v>
      </c>
      <c r="Y1822" t="s">
        <v>450</v>
      </c>
      <c r="Z1822">
        <v>3090</v>
      </c>
      <c r="AA1822">
        <v>30</v>
      </c>
      <c r="AB1822">
        <v>52</v>
      </c>
      <c r="AC1822" t="s">
        <v>12214</v>
      </c>
      <c r="AD1822" t="s">
        <v>523</v>
      </c>
      <c r="AE1822" t="s">
        <v>524</v>
      </c>
      <c r="AI1822" t="s">
        <v>523</v>
      </c>
      <c r="AJ1822" s="2">
        <v>45763.559849537036</v>
      </c>
      <c r="AK1822" t="s">
        <v>526</v>
      </c>
      <c r="AL1822" t="s">
        <v>65</v>
      </c>
      <c r="AM1822" s="3">
        <v>2.0902777777777777</v>
      </c>
      <c r="AN1822" t="s">
        <v>66</v>
      </c>
      <c r="AO1822" t="s">
        <v>67</v>
      </c>
    </row>
    <row r="1823" spans="1:41" x14ac:dyDescent="0.2">
      <c r="A1823">
        <v>369780</v>
      </c>
      <c r="B1823" t="s">
        <v>12215</v>
      </c>
      <c r="C1823" t="s">
        <v>735</v>
      </c>
      <c r="D1823" t="s">
        <v>2922</v>
      </c>
      <c r="E1823" t="s">
        <v>12216</v>
      </c>
      <c r="G1823" s="1">
        <v>45751</v>
      </c>
      <c r="H1823" s="1">
        <v>45716</v>
      </c>
      <c r="I1823" s="1">
        <v>46054</v>
      </c>
      <c r="J1823" t="s">
        <v>45</v>
      </c>
      <c r="K1823" t="s">
        <v>45</v>
      </c>
      <c r="L1823" t="s">
        <v>72</v>
      </c>
      <c r="N1823" t="s">
        <v>47</v>
      </c>
      <c r="O1823" t="s">
        <v>121</v>
      </c>
      <c r="P1823" t="s">
        <v>49</v>
      </c>
      <c r="Q1823" t="s">
        <v>12217</v>
      </c>
      <c r="R1823" t="s">
        <v>12218</v>
      </c>
      <c r="S1823">
        <v>4080</v>
      </c>
      <c r="T1823" t="s">
        <v>365</v>
      </c>
      <c r="U1823" t="s">
        <v>969</v>
      </c>
      <c r="V1823" t="s">
        <v>3767</v>
      </c>
      <c r="W1823" t="s">
        <v>367</v>
      </c>
      <c r="X1823" t="s">
        <v>76</v>
      </c>
      <c r="Y1823" t="s">
        <v>125</v>
      </c>
      <c r="Z1823">
        <v>2873</v>
      </c>
      <c r="AA1823">
        <v>134</v>
      </c>
      <c r="AB1823">
        <v>166</v>
      </c>
      <c r="AC1823" t="s">
        <v>12219</v>
      </c>
      <c r="AD1823" t="s">
        <v>12220</v>
      </c>
      <c r="AE1823" t="s">
        <v>12221</v>
      </c>
      <c r="AF1823" t="s">
        <v>12222</v>
      </c>
      <c r="AG1823" t="s">
        <v>12223</v>
      </c>
      <c r="AH1823" t="s">
        <v>12224</v>
      </c>
      <c r="AJ1823" s="2">
        <v>45751.824548611112</v>
      </c>
      <c r="AK1823" t="s">
        <v>132</v>
      </c>
      <c r="AL1823" t="s">
        <v>65</v>
      </c>
      <c r="AM1823" s="3">
        <v>1.9513888888888888</v>
      </c>
      <c r="AN1823" t="s">
        <v>66</v>
      </c>
      <c r="AO1823" t="s">
        <v>67</v>
      </c>
    </row>
    <row r="1824" spans="1:41" x14ac:dyDescent="0.2">
      <c r="A1824">
        <v>369813</v>
      </c>
      <c r="B1824" t="s">
        <v>12225</v>
      </c>
      <c r="C1824" t="s">
        <v>735</v>
      </c>
      <c r="D1824" t="s">
        <v>2922</v>
      </c>
      <c r="E1824" t="s">
        <v>12226</v>
      </c>
      <c r="F1824">
        <v>49908</v>
      </c>
      <c r="G1824" s="1">
        <v>45391</v>
      </c>
      <c r="H1824" s="1">
        <v>45726</v>
      </c>
      <c r="I1824" s="1">
        <v>46096</v>
      </c>
      <c r="J1824" t="s">
        <v>45</v>
      </c>
      <c r="K1824" t="s">
        <v>45</v>
      </c>
      <c r="L1824" t="s">
        <v>72</v>
      </c>
      <c r="N1824" t="s">
        <v>47</v>
      </c>
      <c r="O1824" t="s">
        <v>121</v>
      </c>
      <c r="P1824" t="s">
        <v>49</v>
      </c>
      <c r="Q1824" t="s">
        <v>12227</v>
      </c>
      <c r="R1824" t="s">
        <v>12228</v>
      </c>
      <c r="S1824">
        <v>3765</v>
      </c>
      <c r="T1824" t="s">
        <v>365</v>
      </c>
      <c r="U1824" t="s">
        <v>969</v>
      </c>
      <c r="V1824" t="s">
        <v>12229</v>
      </c>
      <c r="W1824" t="s">
        <v>367</v>
      </c>
      <c r="X1824" t="s">
        <v>76</v>
      </c>
      <c r="Y1824" t="s">
        <v>125</v>
      </c>
      <c r="Z1824">
        <v>12131</v>
      </c>
      <c r="AA1824">
        <v>29</v>
      </c>
      <c r="AB1824">
        <v>160</v>
      </c>
      <c r="AC1824" t="s">
        <v>12219</v>
      </c>
      <c r="AD1824" t="s">
        <v>12220</v>
      </c>
      <c r="AE1824" t="s">
        <v>12221</v>
      </c>
      <c r="AF1824" t="s">
        <v>12222</v>
      </c>
      <c r="AG1824" t="s">
        <v>12223</v>
      </c>
      <c r="AH1824" t="s">
        <v>12224</v>
      </c>
      <c r="AJ1824" s="2">
        <v>45754.775856481479</v>
      </c>
      <c r="AK1824" t="s">
        <v>800</v>
      </c>
      <c r="AL1824" t="s">
        <v>65</v>
      </c>
      <c r="AM1824" s="3">
        <v>1.1875</v>
      </c>
      <c r="AN1824" t="s">
        <v>66</v>
      </c>
      <c r="AO1824" t="s">
        <v>67</v>
      </c>
    </row>
    <row r="1825" spans="1:41" x14ac:dyDescent="0.2">
      <c r="A1825">
        <v>366672</v>
      </c>
      <c r="B1825" t="s">
        <v>12230</v>
      </c>
      <c r="C1825" t="s">
        <v>236</v>
      </c>
      <c r="D1825" t="s">
        <v>12231</v>
      </c>
      <c r="E1825" t="s">
        <v>12232</v>
      </c>
      <c r="F1825">
        <v>215601</v>
      </c>
      <c r="G1825" s="1">
        <v>39218</v>
      </c>
      <c r="H1825" s="1">
        <v>45581</v>
      </c>
      <c r="I1825" s="1">
        <v>45945</v>
      </c>
      <c r="J1825" t="s">
        <v>45</v>
      </c>
      <c r="K1825" t="s">
        <v>45</v>
      </c>
      <c r="L1825" t="s">
        <v>72</v>
      </c>
      <c r="M1825" s="1">
        <v>44490</v>
      </c>
      <c r="N1825" t="s">
        <v>47</v>
      </c>
      <c r="O1825" t="s">
        <v>48</v>
      </c>
      <c r="P1825" t="s">
        <v>49</v>
      </c>
      <c r="Q1825" t="s">
        <v>12233</v>
      </c>
      <c r="R1825" t="s">
        <v>12234</v>
      </c>
      <c r="S1825">
        <v>845</v>
      </c>
      <c r="T1825" t="s">
        <v>156</v>
      </c>
      <c r="U1825" t="s">
        <v>241</v>
      </c>
      <c r="V1825" t="s">
        <v>12235</v>
      </c>
      <c r="W1825" t="s">
        <v>159</v>
      </c>
      <c r="X1825" t="s">
        <v>156</v>
      </c>
      <c r="Y1825" t="s">
        <v>110</v>
      </c>
      <c r="Z1825">
        <v>2885</v>
      </c>
      <c r="AA1825">
        <v>31</v>
      </c>
      <c r="AB1825">
        <v>166</v>
      </c>
      <c r="AC1825" t="s">
        <v>12236</v>
      </c>
      <c r="AD1825" t="s">
        <v>12237</v>
      </c>
      <c r="AE1825" t="s">
        <v>12238</v>
      </c>
      <c r="AF1825" t="s">
        <v>12239</v>
      </c>
      <c r="AG1825" t="s">
        <v>12240</v>
      </c>
      <c r="AH1825" t="s">
        <v>12241</v>
      </c>
      <c r="AI1825" t="s">
        <v>249</v>
      </c>
      <c r="AJ1825" s="2">
        <v>45631.965416666666</v>
      </c>
      <c r="AK1825" t="s">
        <v>2496</v>
      </c>
      <c r="AL1825" t="s">
        <v>65</v>
      </c>
      <c r="AM1825" s="3">
        <v>2.0625</v>
      </c>
      <c r="AN1825" t="s">
        <v>66</v>
      </c>
      <c r="AO1825" t="s">
        <v>67</v>
      </c>
    </row>
    <row r="1826" spans="1:41" x14ac:dyDescent="0.2">
      <c r="A1826">
        <v>367710</v>
      </c>
      <c r="B1826" t="s">
        <v>12242</v>
      </c>
      <c r="C1826" t="s">
        <v>182</v>
      </c>
      <c r="D1826" t="s">
        <v>1628</v>
      </c>
      <c r="E1826" t="s">
        <v>12243</v>
      </c>
      <c r="F1826">
        <v>41092</v>
      </c>
      <c r="G1826" s="1">
        <v>45686</v>
      </c>
      <c r="H1826" s="1">
        <v>45686</v>
      </c>
      <c r="I1826" s="1">
        <v>45992</v>
      </c>
      <c r="J1826" t="s">
        <v>45</v>
      </c>
      <c r="K1826" t="s">
        <v>45</v>
      </c>
      <c r="L1826" t="s">
        <v>72</v>
      </c>
      <c r="M1826" s="1">
        <v>45251</v>
      </c>
      <c r="N1826" t="s">
        <v>89</v>
      </c>
      <c r="O1826" t="s">
        <v>121</v>
      </c>
      <c r="P1826" t="s">
        <v>49</v>
      </c>
      <c r="Q1826" t="s">
        <v>6993</v>
      </c>
      <c r="R1826" t="s">
        <v>6994</v>
      </c>
      <c r="S1826">
        <v>3740</v>
      </c>
      <c r="T1826" t="s">
        <v>52</v>
      </c>
      <c r="U1826">
        <v>5</v>
      </c>
      <c r="V1826" t="s">
        <v>492</v>
      </c>
      <c r="W1826" t="s">
        <v>54</v>
      </c>
      <c r="X1826" t="s">
        <v>52</v>
      </c>
      <c r="Y1826" t="s">
        <v>125</v>
      </c>
      <c r="Z1826">
        <v>932</v>
      </c>
      <c r="AA1826">
        <v>76</v>
      </c>
      <c r="AB1826">
        <v>38</v>
      </c>
      <c r="AC1826" t="s">
        <v>6995</v>
      </c>
      <c r="AD1826" t="s">
        <v>6919</v>
      </c>
      <c r="AE1826" t="s">
        <v>6920</v>
      </c>
      <c r="AF1826" t="s">
        <v>6921</v>
      </c>
      <c r="AG1826" t="s">
        <v>6922</v>
      </c>
      <c r="AH1826" t="s">
        <v>6923</v>
      </c>
      <c r="AI1826" t="s">
        <v>12244</v>
      </c>
      <c r="AJ1826" s="2">
        <v>45687.509409722225</v>
      </c>
      <c r="AK1826" t="s">
        <v>132</v>
      </c>
      <c r="AL1826" t="s">
        <v>65</v>
      </c>
      <c r="AM1826" s="3">
        <v>2.2291666666666665</v>
      </c>
      <c r="AN1826" t="s">
        <v>66</v>
      </c>
      <c r="AO1826" t="s">
        <v>67</v>
      </c>
    </row>
    <row r="1827" spans="1:41" x14ac:dyDescent="0.2">
      <c r="A1827">
        <v>371511</v>
      </c>
      <c r="B1827" t="s">
        <v>12245</v>
      </c>
      <c r="C1827" t="s">
        <v>182</v>
      </c>
      <c r="D1827" t="s">
        <v>3180</v>
      </c>
      <c r="E1827" t="s">
        <v>12246</v>
      </c>
      <c r="G1827" s="1">
        <v>45813</v>
      </c>
      <c r="H1827" s="1">
        <v>45797</v>
      </c>
      <c r="I1827" s="1">
        <v>46127</v>
      </c>
      <c r="J1827" t="s">
        <v>45</v>
      </c>
      <c r="K1827" t="s">
        <v>45</v>
      </c>
      <c r="L1827" t="s">
        <v>72</v>
      </c>
      <c r="M1827" s="1">
        <v>41201</v>
      </c>
      <c r="N1827" t="s">
        <v>47</v>
      </c>
      <c r="O1827" t="s">
        <v>121</v>
      </c>
      <c r="P1827" t="s">
        <v>49</v>
      </c>
      <c r="Q1827" t="s">
        <v>12247</v>
      </c>
      <c r="R1827" t="s">
        <v>12248</v>
      </c>
      <c r="S1827">
        <v>4700</v>
      </c>
      <c r="T1827" t="s">
        <v>52</v>
      </c>
      <c r="U1827">
        <v>5</v>
      </c>
      <c r="V1827" t="s">
        <v>492</v>
      </c>
      <c r="W1827" t="s">
        <v>54</v>
      </c>
      <c r="X1827" t="s">
        <v>52</v>
      </c>
      <c r="Y1827" t="s">
        <v>125</v>
      </c>
      <c r="Z1827">
        <v>1978</v>
      </c>
      <c r="AA1827">
        <v>67</v>
      </c>
      <c r="AB1827">
        <v>160</v>
      </c>
      <c r="AC1827" t="s">
        <v>6995</v>
      </c>
      <c r="AD1827" t="s">
        <v>6919</v>
      </c>
      <c r="AE1827" t="s">
        <v>6920</v>
      </c>
      <c r="AF1827" t="s">
        <v>6921</v>
      </c>
      <c r="AG1827" t="s">
        <v>6922</v>
      </c>
      <c r="AH1827" t="s">
        <v>6923</v>
      </c>
      <c r="AI1827" t="s">
        <v>4396</v>
      </c>
      <c r="AJ1827" s="2">
        <v>45813.86005787037</v>
      </c>
      <c r="AK1827" t="s">
        <v>276</v>
      </c>
      <c r="AL1827" t="s">
        <v>65</v>
      </c>
      <c r="AM1827" s="3">
        <v>1.1736111111111112</v>
      </c>
      <c r="AN1827" t="s">
        <v>66</v>
      </c>
      <c r="AO1827" t="s">
        <v>67</v>
      </c>
    </row>
    <row r="1828" spans="1:41" x14ac:dyDescent="0.2">
      <c r="A1828">
        <v>366785</v>
      </c>
      <c r="B1828" t="s">
        <v>12249</v>
      </c>
      <c r="C1828" t="s">
        <v>236</v>
      </c>
      <c r="D1828" t="s">
        <v>12250</v>
      </c>
      <c r="E1828" t="s">
        <v>12251</v>
      </c>
      <c r="F1828">
        <v>211001</v>
      </c>
      <c r="G1828" s="1">
        <v>45363</v>
      </c>
      <c r="H1828" s="1">
        <v>45565</v>
      </c>
      <c r="J1828" t="s">
        <v>45</v>
      </c>
      <c r="K1828" t="s">
        <v>45</v>
      </c>
      <c r="L1828" t="s">
        <v>72</v>
      </c>
      <c r="M1828" s="1">
        <v>43593</v>
      </c>
      <c r="N1828" t="s">
        <v>47</v>
      </c>
      <c r="O1828" t="s">
        <v>121</v>
      </c>
      <c r="P1828" t="s">
        <v>49</v>
      </c>
      <c r="Q1828" t="s">
        <v>12252</v>
      </c>
      <c r="R1828" t="s">
        <v>12253</v>
      </c>
      <c r="S1828">
        <v>1298</v>
      </c>
      <c r="T1828" t="s">
        <v>92</v>
      </c>
      <c r="U1828" t="s">
        <v>1509</v>
      </c>
      <c r="V1828" t="s">
        <v>506</v>
      </c>
      <c r="W1828" t="s">
        <v>1510</v>
      </c>
      <c r="X1828" t="s">
        <v>52</v>
      </c>
      <c r="Y1828" t="s">
        <v>410</v>
      </c>
      <c r="Z1828">
        <v>2654</v>
      </c>
      <c r="AA1828">
        <v>72</v>
      </c>
      <c r="AB1828">
        <v>160</v>
      </c>
      <c r="AC1828" t="s">
        <v>1511</v>
      </c>
      <c r="AD1828" t="s">
        <v>1512</v>
      </c>
      <c r="AE1828" t="s">
        <v>12254</v>
      </c>
      <c r="AF1828" t="s">
        <v>12255</v>
      </c>
      <c r="AG1828" t="s">
        <v>12256</v>
      </c>
      <c r="AH1828" t="s">
        <v>12257</v>
      </c>
      <c r="AJ1828" s="2">
        <v>45791.806805555556</v>
      </c>
      <c r="AK1828" t="s">
        <v>100</v>
      </c>
      <c r="AL1828" t="s">
        <v>65</v>
      </c>
      <c r="AM1828" s="3">
        <v>1.5</v>
      </c>
      <c r="AN1828" t="s">
        <v>66</v>
      </c>
      <c r="AO1828" t="s">
        <v>67</v>
      </c>
    </row>
    <row r="1829" spans="1:41" x14ac:dyDescent="0.2">
      <c r="A1829">
        <v>361060</v>
      </c>
      <c r="B1829" t="s">
        <v>12258</v>
      </c>
      <c r="C1829" t="s">
        <v>236</v>
      </c>
      <c r="D1829" t="s">
        <v>1628</v>
      </c>
      <c r="E1829">
        <v>70712450</v>
      </c>
      <c r="F1829">
        <v>211003</v>
      </c>
      <c r="G1829" s="1">
        <v>45446</v>
      </c>
      <c r="H1829" s="1">
        <v>45441</v>
      </c>
      <c r="J1829" t="s">
        <v>45</v>
      </c>
      <c r="K1829" t="s">
        <v>45</v>
      </c>
      <c r="L1829" t="s">
        <v>72</v>
      </c>
      <c r="N1829" t="s">
        <v>47</v>
      </c>
      <c r="O1829" t="s">
        <v>121</v>
      </c>
      <c r="P1829" t="s">
        <v>49</v>
      </c>
      <c r="Q1829" t="s">
        <v>12259</v>
      </c>
      <c r="R1829" t="s">
        <v>12260</v>
      </c>
      <c r="S1829">
        <v>1322</v>
      </c>
      <c r="T1829" t="s">
        <v>92</v>
      </c>
      <c r="U1829" t="s">
        <v>1509</v>
      </c>
      <c r="V1829" t="s">
        <v>506</v>
      </c>
      <c r="W1829" t="s">
        <v>1510</v>
      </c>
      <c r="X1829" t="s">
        <v>52</v>
      </c>
      <c r="Y1829" t="s">
        <v>410</v>
      </c>
      <c r="Z1829">
        <v>2655</v>
      </c>
      <c r="AA1829">
        <v>58</v>
      </c>
      <c r="AB1829">
        <v>160</v>
      </c>
      <c r="AC1829" t="s">
        <v>1511</v>
      </c>
      <c r="AD1829" t="s">
        <v>1512</v>
      </c>
      <c r="AE1829" t="s">
        <v>1513</v>
      </c>
      <c r="AF1829" t="s">
        <v>4545</v>
      </c>
      <c r="AG1829" t="s">
        <v>5961</v>
      </c>
      <c r="AH1829" t="s">
        <v>4547</v>
      </c>
      <c r="AI1829" t="s">
        <v>12261</v>
      </c>
      <c r="AJ1829" s="2">
        <v>45791.806805555556</v>
      </c>
      <c r="AK1829" t="s">
        <v>100</v>
      </c>
      <c r="AL1829" t="s">
        <v>65</v>
      </c>
      <c r="AM1829" s="3">
        <v>1.5069444444444444</v>
      </c>
      <c r="AN1829" t="s">
        <v>66</v>
      </c>
      <c r="AO1829" t="s">
        <v>67</v>
      </c>
    </row>
    <row r="1830" spans="1:41" x14ac:dyDescent="0.2">
      <c r="A1830">
        <v>372157</v>
      </c>
      <c r="B1830" t="s">
        <v>12262</v>
      </c>
      <c r="C1830" t="s">
        <v>278</v>
      </c>
      <c r="D1830" t="s">
        <v>427</v>
      </c>
      <c r="E1830" t="s">
        <v>12263</v>
      </c>
      <c r="G1830" s="1">
        <v>45484</v>
      </c>
      <c r="H1830" s="1">
        <v>45832</v>
      </c>
      <c r="I1830" s="1">
        <v>46157</v>
      </c>
      <c r="J1830" t="s">
        <v>45</v>
      </c>
      <c r="K1830" t="s">
        <v>45</v>
      </c>
      <c r="L1830" t="s">
        <v>72</v>
      </c>
      <c r="N1830" t="s">
        <v>89</v>
      </c>
      <c r="O1830" t="s">
        <v>121</v>
      </c>
      <c r="P1830" t="s">
        <v>49</v>
      </c>
      <c r="Q1830" t="s">
        <v>12264</v>
      </c>
      <c r="R1830" t="s">
        <v>12265</v>
      </c>
      <c r="S1830">
        <v>7360</v>
      </c>
      <c r="T1830" t="s">
        <v>365</v>
      </c>
      <c r="U1830" t="s">
        <v>432</v>
      </c>
      <c r="V1830" t="s">
        <v>2391</v>
      </c>
      <c r="W1830" t="s">
        <v>367</v>
      </c>
      <c r="X1830" t="s">
        <v>76</v>
      </c>
      <c r="Y1830" t="s">
        <v>125</v>
      </c>
      <c r="Z1830">
        <v>3946</v>
      </c>
      <c r="AA1830">
        <v>110</v>
      </c>
      <c r="AB1830">
        <v>30</v>
      </c>
      <c r="AC1830" t="s">
        <v>12266</v>
      </c>
      <c r="AD1830" t="s">
        <v>12267</v>
      </c>
      <c r="AE1830" t="s">
        <v>12268</v>
      </c>
      <c r="AF1830" t="s">
        <v>12269</v>
      </c>
      <c r="AG1830" t="s">
        <v>12270</v>
      </c>
      <c r="AH1830" t="s">
        <v>12271</v>
      </c>
      <c r="AJ1830" s="2">
        <v>45832.807280092595</v>
      </c>
      <c r="AK1830" t="s">
        <v>800</v>
      </c>
      <c r="AL1830" t="s">
        <v>65</v>
      </c>
      <c r="AM1830" s="3">
        <v>1.4444444444444444</v>
      </c>
      <c r="AN1830" t="s">
        <v>66</v>
      </c>
      <c r="AO1830" t="s">
        <v>67</v>
      </c>
    </row>
    <row r="1831" spans="1:41" x14ac:dyDescent="0.2">
      <c r="A1831">
        <v>371845</v>
      </c>
      <c r="B1831" t="s">
        <v>12272</v>
      </c>
      <c r="C1831" t="s">
        <v>69</v>
      </c>
      <c r="D1831" t="s">
        <v>5166</v>
      </c>
      <c r="E1831" t="s">
        <v>12273</v>
      </c>
      <c r="F1831">
        <v>104103</v>
      </c>
      <c r="G1831" s="1">
        <v>35573</v>
      </c>
      <c r="H1831" s="1">
        <v>45818</v>
      </c>
      <c r="I1831" s="1">
        <v>46174</v>
      </c>
      <c r="J1831" t="s">
        <v>45</v>
      </c>
      <c r="K1831" t="s">
        <v>45</v>
      </c>
      <c r="L1831" t="s">
        <v>429</v>
      </c>
      <c r="M1831" s="1">
        <v>42646</v>
      </c>
      <c r="N1831" t="s">
        <v>47</v>
      </c>
      <c r="O1831" t="s">
        <v>48</v>
      </c>
      <c r="P1831" t="s">
        <v>49</v>
      </c>
      <c r="Q1831" t="s">
        <v>12274</v>
      </c>
      <c r="R1831" t="s">
        <v>12275</v>
      </c>
      <c r="S1831">
        <v>6571</v>
      </c>
      <c r="T1831" t="s">
        <v>52</v>
      </c>
      <c r="U1831">
        <v>4</v>
      </c>
      <c r="V1831" t="s">
        <v>5619</v>
      </c>
      <c r="W1831" t="s">
        <v>54</v>
      </c>
      <c r="X1831" t="s">
        <v>76</v>
      </c>
      <c r="Y1831" t="s">
        <v>56</v>
      </c>
      <c r="Z1831">
        <v>667</v>
      </c>
      <c r="AA1831">
        <v>71</v>
      </c>
      <c r="AB1831">
        <v>158</v>
      </c>
      <c r="AC1831" t="s">
        <v>5620</v>
      </c>
      <c r="AD1831" t="s">
        <v>5621</v>
      </c>
      <c r="AE1831" t="s">
        <v>5622</v>
      </c>
      <c r="AF1831" t="s">
        <v>3690</v>
      </c>
      <c r="AG1831" t="s">
        <v>3691</v>
      </c>
      <c r="AH1831" t="s">
        <v>3692</v>
      </c>
      <c r="AI1831" t="s">
        <v>12276</v>
      </c>
      <c r="AJ1831" s="2">
        <v>45821.548506944448</v>
      </c>
      <c r="AK1831" t="s">
        <v>568</v>
      </c>
      <c r="AL1831" t="s">
        <v>65</v>
      </c>
      <c r="AM1831" s="3">
        <v>1.625</v>
      </c>
      <c r="AN1831" t="s">
        <v>809</v>
      </c>
      <c r="AO1831" t="s">
        <v>67</v>
      </c>
    </row>
    <row r="1832" spans="1:41" x14ac:dyDescent="0.2">
      <c r="A1832">
        <v>361417</v>
      </c>
      <c r="B1832" t="s">
        <v>12277</v>
      </c>
      <c r="C1832" t="s">
        <v>345</v>
      </c>
      <c r="D1832" t="s">
        <v>4835</v>
      </c>
      <c r="E1832">
        <v>32939750</v>
      </c>
      <c r="F1832">
        <v>55710</v>
      </c>
      <c r="G1832" s="1">
        <v>39925</v>
      </c>
      <c r="H1832" s="1">
        <v>45446</v>
      </c>
      <c r="I1832" s="1">
        <v>46113</v>
      </c>
      <c r="J1832" t="s">
        <v>45</v>
      </c>
      <c r="K1832" t="s">
        <v>45</v>
      </c>
      <c r="L1832" t="s">
        <v>429</v>
      </c>
      <c r="M1832" s="1">
        <v>39925</v>
      </c>
      <c r="N1832" t="s">
        <v>47</v>
      </c>
      <c r="O1832" t="s">
        <v>48</v>
      </c>
      <c r="P1832" t="s">
        <v>49</v>
      </c>
      <c r="Q1832" t="s">
        <v>12278</v>
      </c>
      <c r="R1832" t="s">
        <v>12279</v>
      </c>
      <c r="S1832">
        <v>6399</v>
      </c>
      <c r="T1832" t="s">
        <v>365</v>
      </c>
      <c r="U1832" t="s">
        <v>432</v>
      </c>
      <c r="V1832" t="s">
        <v>6656</v>
      </c>
      <c r="W1832" t="s">
        <v>367</v>
      </c>
      <c r="X1832" t="s">
        <v>55</v>
      </c>
      <c r="Y1832" t="s">
        <v>434</v>
      </c>
      <c r="Z1832">
        <v>3063</v>
      </c>
      <c r="AA1832">
        <v>39</v>
      </c>
      <c r="AB1832">
        <v>160</v>
      </c>
      <c r="AC1832" t="s">
        <v>12280</v>
      </c>
      <c r="AD1832" t="s">
        <v>12281</v>
      </c>
      <c r="AE1832" t="s">
        <v>12282</v>
      </c>
      <c r="AI1832" t="s">
        <v>179</v>
      </c>
      <c r="AJ1832" s="2">
        <v>45454.806192129632</v>
      </c>
      <c r="AK1832" t="s">
        <v>609</v>
      </c>
      <c r="AL1832" t="s">
        <v>65</v>
      </c>
      <c r="AM1832" s="3">
        <v>1.8611111111111112</v>
      </c>
      <c r="AN1832" t="s">
        <v>66</v>
      </c>
      <c r="AO1832" t="s">
        <v>67</v>
      </c>
    </row>
    <row r="1833" spans="1:41" x14ac:dyDescent="0.2">
      <c r="A1833">
        <v>367997</v>
      </c>
      <c r="B1833" t="s">
        <v>12283</v>
      </c>
      <c r="C1833" t="s">
        <v>182</v>
      </c>
      <c r="D1833" t="s">
        <v>2636</v>
      </c>
      <c r="E1833" t="s">
        <v>12284</v>
      </c>
      <c r="G1833" s="1">
        <v>45693</v>
      </c>
      <c r="H1833" s="1">
        <v>45681</v>
      </c>
      <c r="I1833" s="1">
        <v>45976</v>
      </c>
      <c r="J1833" t="s">
        <v>45</v>
      </c>
      <c r="K1833" t="s">
        <v>45</v>
      </c>
      <c r="L1833" t="s">
        <v>72</v>
      </c>
      <c r="N1833" t="s">
        <v>47</v>
      </c>
      <c r="O1833" t="s">
        <v>121</v>
      </c>
      <c r="P1833" t="s">
        <v>49</v>
      </c>
      <c r="Q1833" t="s">
        <v>12285</v>
      </c>
      <c r="R1833" t="s">
        <v>12286</v>
      </c>
      <c r="S1833">
        <v>1022</v>
      </c>
      <c r="T1833" t="s">
        <v>92</v>
      </c>
      <c r="U1833" t="s">
        <v>187</v>
      </c>
      <c r="V1833" t="s">
        <v>11368</v>
      </c>
      <c r="W1833" t="s">
        <v>12287</v>
      </c>
      <c r="X1833" t="s">
        <v>92</v>
      </c>
      <c r="Y1833" t="s">
        <v>125</v>
      </c>
      <c r="Z1833">
        <v>10786</v>
      </c>
      <c r="AA1833">
        <v>23</v>
      </c>
      <c r="AB1833">
        <v>78</v>
      </c>
      <c r="AC1833" t="s">
        <v>12288</v>
      </c>
      <c r="AD1833" t="s">
        <v>12289</v>
      </c>
      <c r="AE1833" t="s">
        <v>12290</v>
      </c>
      <c r="AJ1833" s="2">
        <v>45695.798368055555</v>
      </c>
      <c r="AK1833" t="s">
        <v>660</v>
      </c>
      <c r="AL1833" t="s">
        <v>65</v>
      </c>
      <c r="AM1833" s="3">
        <v>1.9861111111111112</v>
      </c>
      <c r="AN1833" t="s">
        <v>66</v>
      </c>
      <c r="AO1833" t="s">
        <v>67</v>
      </c>
    </row>
    <row r="1834" spans="1:41" x14ac:dyDescent="0.2">
      <c r="A1834">
        <v>370072</v>
      </c>
      <c r="B1834" t="s">
        <v>12291</v>
      </c>
      <c r="C1834" t="s">
        <v>42</v>
      </c>
      <c r="E1834" t="s">
        <v>12292</v>
      </c>
      <c r="F1834">
        <v>292013</v>
      </c>
      <c r="G1834" s="1">
        <v>36272</v>
      </c>
      <c r="H1834" s="1">
        <v>45756</v>
      </c>
      <c r="I1834" s="1">
        <v>46127</v>
      </c>
      <c r="J1834" t="s">
        <v>45</v>
      </c>
      <c r="K1834" t="s">
        <v>45</v>
      </c>
      <c r="L1834" t="s">
        <v>429</v>
      </c>
      <c r="M1834" s="1">
        <v>41866</v>
      </c>
      <c r="N1834" t="s">
        <v>47</v>
      </c>
      <c r="O1834" t="s">
        <v>48</v>
      </c>
      <c r="P1834" t="s">
        <v>49</v>
      </c>
      <c r="Q1834" t="s">
        <v>12293</v>
      </c>
      <c r="R1834" t="s">
        <v>12294</v>
      </c>
      <c r="S1834">
        <v>7602</v>
      </c>
      <c r="T1834" t="s">
        <v>52</v>
      </c>
      <c r="U1834">
        <v>3</v>
      </c>
      <c r="V1834" t="s">
        <v>2054</v>
      </c>
      <c r="W1834" t="s">
        <v>54</v>
      </c>
      <c r="X1834" t="s">
        <v>55</v>
      </c>
      <c r="Y1834" t="s">
        <v>56</v>
      </c>
      <c r="Z1834">
        <v>619</v>
      </c>
      <c r="AA1834">
        <v>53</v>
      </c>
      <c r="AB1834">
        <v>152</v>
      </c>
      <c r="AC1834" t="s">
        <v>2058</v>
      </c>
      <c r="AD1834" t="s">
        <v>2059</v>
      </c>
      <c r="AE1834" t="s">
        <v>3750</v>
      </c>
      <c r="AF1834" t="s">
        <v>12295</v>
      </c>
      <c r="AG1834" t="s">
        <v>12296</v>
      </c>
      <c r="AH1834" t="s">
        <v>12297</v>
      </c>
      <c r="AI1834" t="s">
        <v>2059</v>
      </c>
      <c r="AJ1834" s="2">
        <v>45762.878113425926</v>
      </c>
      <c r="AK1834" t="s">
        <v>609</v>
      </c>
      <c r="AL1834" t="s">
        <v>65</v>
      </c>
      <c r="AM1834" s="4">
        <v>0.54861111111111116</v>
      </c>
      <c r="AN1834" t="s">
        <v>66</v>
      </c>
      <c r="AO1834" t="s">
        <v>67</v>
      </c>
    </row>
    <row r="1835" spans="1:41" x14ac:dyDescent="0.2">
      <c r="A1835">
        <v>372676</v>
      </c>
      <c r="B1835" t="s">
        <v>12298</v>
      </c>
      <c r="C1835" t="s">
        <v>118</v>
      </c>
      <c r="D1835" t="s">
        <v>1579</v>
      </c>
      <c r="E1835" t="s">
        <v>12299</v>
      </c>
      <c r="G1835" s="1">
        <v>45357</v>
      </c>
      <c r="H1835" s="1">
        <v>45728</v>
      </c>
      <c r="I1835" s="1">
        <v>46082</v>
      </c>
      <c r="J1835" t="s">
        <v>45</v>
      </c>
      <c r="K1835" t="s">
        <v>45</v>
      </c>
      <c r="L1835" t="s">
        <v>46</v>
      </c>
      <c r="N1835" t="s">
        <v>47</v>
      </c>
      <c r="O1835" t="s">
        <v>48</v>
      </c>
      <c r="P1835" t="s">
        <v>49</v>
      </c>
      <c r="Q1835" t="s">
        <v>12300</v>
      </c>
      <c r="R1835" t="s">
        <v>12301</v>
      </c>
      <c r="S1835">
        <v>524</v>
      </c>
      <c r="T1835" t="s">
        <v>1328</v>
      </c>
      <c r="U1835" t="s">
        <v>1583</v>
      </c>
      <c r="V1835" t="s">
        <v>1584</v>
      </c>
      <c r="W1835" t="s">
        <v>1585</v>
      </c>
      <c r="X1835" t="s">
        <v>55</v>
      </c>
      <c r="Y1835" t="s">
        <v>434</v>
      </c>
      <c r="Z1835">
        <v>12209</v>
      </c>
      <c r="AA1835">
        <v>13</v>
      </c>
      <c r="AB1835">
        <v>44</v>
      </c>
      <c r="AC1835" t="s">
        <v>1586</v>
      </c>
      <c r="AD1835" t="s">
        <v>1587</v>
      </c>
      <c r="AE1835" t="s">
        <v>1588</v>
      </c>
      <c r="AI1835" t="s">
        <v>179</v>
      </c>
      <c r="AJ1835" s="2">
        <v>45849.723379629628</v>
      </c>
      <c r="AK1835" t="s">
        <v>100</v>
      </c>
      <c r="AL1835" t="s">
        <v>65</v>
      </c>
      <c r="AM1835" s="4">
        <v>0.96180555555555558</v>
      </c>
      <c r="AN1835" t="s">
        <v>66</v>
      </c>
      <c r="AO1835" t="s">
        <v>67</v>
      </c>
    </row>
    <row r="1836" spans="1:41" x14ac:dyDescent="0.2">
      <c r="A1836">
        <v>372156</v>
      </c>
      <c r="B1836" t="s">
        <v>12302</v>
      </c>
      <c r="C1836" t="s">
        <v>309</v>
      </c>
      <c r="D1836" t="s">
        <v>8509</v>
      </c>
      <c r="E1836" t="s">
        <v>12303</v>
      </c>
      <c r="G1836" s="1">
        <v>45832</v>
      </c>
      <c r="H1836" s="1">
        <v>45831</v>
      </c>
      <c r="J1836" t="s">
        <v>45</v>
      </c>
      <c r="K1836" t="s">
        <v>45</v>
      </c>
      <c r="L1836" t="s">
        <v>46</v>
      </c>
      <c r="N1836" t="s">
        <v>47</v>
      </c>
      <c r="O1836" t="s">
        <v>48</v>
      </c>
      <c r="P1836" t="s">
        <v>49</v>
      </c>
      <c r="Q1836" t="s">
        <v>12304</v>
      </c>
      <c r="R1836" t="s">
        <v>12305</v>
      </c>
      <c r="S1836">
        <v>806</v>
      </c>
      <c r="T1836" t="s">
        <v>92</v>
      </c>
      <c r="U1836" t="s">
        <v>313</v>
      </c>
      <c r="V1836" t="s">
        <v>314</v>
      </c>
      <c r="W1836" t="s">
        <v>315</v>
      </c>
      <c r="X1836" t="s">
        <v>92</v>
      </c>
      <c r="Y1836" t="s">
        <v>96</v>
      </c>
      <c r="Z1836">
        <v>12304</v>
      </c>
      <c r="AA1836">
        <v>4</v>
      </c>
      <c r="AB1836">
        <v>44</v>
      </c>
      <c r="AC1836" t="s">
        <v>316</v>
      </c>
      <c r="AD1836" t="s">
        <v>317</v>
      </c>
      <c r="AE1836" t="s">
        <v>318</v>
      </c>
      <c r="AF1836" t="s">
        <v>8548</v>
      </c>
      <c r="AG1836" t="s">
        <v>8549</v>
      </c>
      <c r="AH1836" t="s">
        <v>8550</v>
      </c>
      <c r="AJ1836" s="2">
        <v>45832.806215277778</v>
      </c>
      <c r="AK1836" t="s">
        <v>132</v>
      </c>
      <c r="AL1836" t="s">
        <v>65</v>
      </c>
      <c r="AM1836" s="3">
        <v>1.0798611111111112</v>
      </c>
      <c r="AN1836" t="s">
        <v>66</v>
      </c>
      <c r="AO1836" t="s">
        <v>67</v>
      </c>
    </row>
    <row r="1837" spans="1:41" x14ac:dyDescent="0.2">
      <c r="A1837">
        <v>371688</v>
      </c>
      <c r="B1837" t="s">
        <v>12306</v>
      </c>
      <c r="C1837" t="s">
        <v>309</v>
      </c>
      <c r="D1837" t="s">
        <v>8539</v>
      </c>
      <c r="E1837" t="s">
        <v>12307</v>
      </c>
      <c r="F1837">
        <v>495006</v>
      </c>
      <c r="G1837" s="1">
        <v>42111</v>
      </c>
      <c r="H1837" s="1">
        <v>45775</v>
      </c>
      <c r="I1837" s="1">
        <v>46143</v>
      </c>
      <c r="J1837" t="s">
        <v>45</v>
      </c>
      <c r="K1837" t="s">
        <v>45</v>
      </c>
      <c r="L1837" t="s">
        <v>72</v>
      </c>
      <c r="M1837" s="1">
        <v>45817</v>
      </c>
      <c r="N1837" t="s">
        <v>47</v>
      </c>
      <c r="O1837" t="s">
        <v>48</v>
      </c>
      <c r="P1837" t="s">
        <v>49</v>
      </c>
      <c r="Q1837" t="s">
        <v>12308</v>
      </c>
      <c r="R1837" t="s">
        <v>12309</v>
      </c>
      <c r="S1837">
        <v>338</v>
      </c>
      <c r="T1837" t="s">
        <v>92</v>
      </c>
      <c r="U1837" t="s">
        <v>313</v>
      </c>
      <c r="V1837" t="s">
        <v>314</v>
      </c>
      <c r="W1837" t="s">
        <v>315</v>
      </c>
      <c r="X1837" t="s">
        <v>52</v>
      </c>
      <c r="Y1837" t="s">
        <v>110</v>
      </c>
      <c r="Z1837">
        <v>7586</v>
      </c>
      <c r="AA1837">
        <v>23</v>
      </c>
      <c r="AB1837">
        <v>28</v>
      </c>
      <c r="AC1837" t="s">
        <v>316</v>
      </c>
      <c r="AD1837" t="s">
        <v>317</v>
      </c>
      <c r="AE1837" t="s">
        <v>10530</v>
      </c>
      <c r="AF1837" t="s">
        <v>10022</v>
      </c>
      <c r="AG1837" t="s">
        <v>10023</v>
      </c>
      <c r="AH1837" t="s">
        <v>10024</v>
      </c>
      <c r="AI1837" t="s">
        <v>317</v>
      </c>
      <c r="AJ1837" s="2">
        <v>45817.95584490741</v>
      </c>
      <c r="AK1837" t="s">
        <v>10022</v>
      </c>
      <c r="AL1837" t="s">
        <v>65</v>
      </c>
      <c r="AM1837" s="3">
        <v>1.9097222222222223</v>
      </c>
      <c r="AN1837" t="s">
        <v>66</v>
      </c>
      <c r="AO1837" t="s">
        <v>67</v>
      </c>
    </row>
    <row r="1838" spans="1:41" x14ac:dyDescent="0.2">
      <c r="A1838">
        <v>366025</v>
      </c>
      <c r="B1838" t="s">
        <v>12310</v>
      </c>
      <c r="C1838" t="s">
        <v>309</v>
      </c>
      <c r="D1838" t="s">
        <v>8509</v>
      </c>
      <c r="E1838" t="s">
        <v>12311</v>
      </c>
      <c r="F1838">
        <v>498011</v>
      </c>
      <c r="G1838" s="1">
        <v>37725</v>
      </c>
      <c r="H1838" s="1">
        <v>45561</v>
      </c>
      <c r="I1838" s="1">
        <v>46204</v>
      </c>
      <c r="J1838" t="s">
        <v>45</v>
      </c>
      <c r="K1838" t="s">
        <v>45</v>
      </c>
      <c r="L1838" t="s">
        <v>72</v>
      </c>
      <c r="N1838" t="s">
        <v>47</v>
      </c>
      <c r="O1838" t="s">
        <v>48</v>
      </c>
      <c r="P1838" t="s">
        <v>49</v>
      </c>
      <c r="Q1838" t="s">
        <v>12312</v>
      </c>
      <c r="R1838" t="s">
        <v>12313</v>
      </c>
      <c r="S1838">
        <v>2733</v>
      </c>
      <c r="T1838" t="s">
        <v>92</v>
      </c>
      <c r="U1838" t="s">
        <v>313</v>
      </c>
      <c r="V1838" t="s">
        <v>314</v>
      </c>
      <c r="W1838" t="s">
        <v>315</v>
      </c>
      <c r="X1838" t="s">
        <v>449</v>
      </c>
      <c r="Y1838" t="s">
        <v>110</v>
      </c>
      <c r="Z1838">
        <v>2318</v>
      </c>
      <c r="AA1838">
        <v>40</v>
      </c>
      <c r="AB1838">
        <v>176</v>
      </c>
      <c r="AC1838" t="s">
        <v>316</v>
      </c>
      <c r="AD1838" t="s">
        <v>317</v>
      </c>
      <c r="AE1838" t="s">
        <v>318</v>
      </c>
      <c r="AI1838" t="s">
        <v>317</v>
      </c>
      <c r="AJ1838" s="2">
        <v>45600.983587962961</v>
      </c>
      <c r="AK1838" t="s">
        <v>316</v>
      </c>
      <c r="AL1838" t="s">
        <v>65</v>
      </c>
      <c r="AM1838" s="3">
        <v>1.5569444444444445</v>
      </c>
      <c r="AN1838" t="s">
        <v>66</v>
      </c>
      <c r="AO1838" t="s">
        <v>67</v>
      </c>
    </row>
    <row r="1839" spans="1:41" x14ac:dyDescent="0.2">
      <c r="A1839">
        <v>370365</v>
      </c>
      <c r="B1839" t="s">
        <v>12314</v>
      </c>
      <c r="C1839" t="s">
        <v>309</v>
      </c>
      <c r="D1839" t="s">
        <v>8509</v>
      </c>
      <c r="E1839" t="s">
        <v>12315</v>
      </c>
      <c r="G1839" s="1">
        <v>45712</v>
      </c>
      <c r="H1839" s="1">
        <v>45765</v>
      </c>
      <c r="J1839" t="s">
        <v>45</v>
      </c>
      <c r="K1839" t="s">
        <v>45</v>
      </c>
      <c r="L1839" t="s">
        <v>46</v>
      </c>
      <c r="N1839" t="s">
        <v>47</v>
      </c>
      <c r="O1839" t="s">
        <v>48</v>
      </c>
      <c r="P1839" t="s">
        <v>49</v>
      </c>
      <c r="Q1839" t="s">
        <v>12316</v>
      </c>
      <c r="R1839" t="s">
        <v>12317</v>
      </c>
      <c r="S1839">
        <v>54</v>
      </c>
      <c r="T1839" t="s">
        <v>92</v>
      </c>
      <c r="U1839" t="s">
        <v>313</v>
      </c>
      <c r="V1839" t="s">
        <v>314</v>
      </c>
      <c r="W1839" t="s">
        <v>315</v>
      </c>
      <c r="X1839" t="s">
        <v>92</v>
      </c>
      <c r="Y1839" t="s">
        <v>96</v>
      </c>
      <c r="Z1839">
        <v>12305</v>
      </c>
      <c r="AA1839">
        <v>5</v>
      </c>
      <c r="AB1839">
        <v>44</v>
      </c>
      <c r="AC1839" t="s">
        <v>316</v>
      </c>
      <c r="AD1839" t="s">
        <v>317</v>
      </c>
      <c r="AE1839" t="s">
        <v>318</v>
      </c>
      <c r="AF1839" t="s">
        <v>8548</v>
      </c>
      <c r="AG1839" t="s">
        <v>8549</v>
      </c>
      <c r="AH1839" t="s">
        <v>8550</v>
      </c>
      <c r="AJ1839" s="2">
        <v>45771.808321759258</v>
      </c>
      <c r="AK1839" t="s">
        <v>2068</v>
      </c>
      <c r="AL1839" t="s">
        <v>65</v>
      </c>
      <c r="AM1839" s="3">
        <v>1.0868055555555556</v>
      </c>
      <c r="AN1839" t="s">
        <v>66</v>
      </c>
      <c r="AO1839" t="s">
        <v>67</v>
      </c>
    </row>
    <row r="1840" spans="1:41" x14ac:dyDescent="0.2">
      <c r="A1840">
        <v>371696</v>
      </c>
      <c r="B1840" t="s">
        <v>12318</v>
      </c>
      <c r="C1840" t="s">
        <v>1911</v>
      </c>
      <c r="D1840" t="s">
        <v>12319</v>
      </c>
      <c r="E1840" t="s">
        <v>12320</v>
      </c>
      <c r="F1840">
        <v>270051</v>
      </c>
      <c r="G1840" s="1">
        <v>44713</v>
      </c>
      <c r="H1840" s="1">
        <v>45817</v>
      </c>
      <c r="I1840" s="1">
        <v>46188</v>
      </c>
      <c r="J1840" t="s">
        <v>45</v>
      </c>
      <c r="K1840" t="s">
        <v>45</v>
      </c>
      <c r="L1840" t="s">
        <v>72</v>
      </c>
      <c r="N1840" t="s">
        <v>47</v>
      </c>
      <c r="O1840" t="s">
        <v>48</v>
      </c>
      <c r="P1840" t="s">
        <v>49</v>
      </c>
      <c r="Q1840" t="s">
        <v>12321</v>
      </c>
      <c r="R1840" t="s">
        <v>12322</v>
      </c>
      <c r="S1840">
        <v>1408</v>
      </c>
      <c r="T1840" t="s">
        <v>92</v>
      </c>
      <c r="U1840" t="s">
        <v>1916</v>
      </c>
      <c r="V1840" t="s">
        <v>1917</v>
      </c>
      <c r="W1840" t="s">
        <v>1918</v>
      </c>
      <c r="X1840" t="s">
        <v>92</v>
      </c>
      <c r="Y1840" t="s">
        <v>110</v>
      </c>
      <c r="Z1840">
        <v>11886</v>
      </c>
      <c r="AA1840">
        <v>15</v>
      </c>
      <c r="AB1840">
        <v>189</v>
      </c>
      <c r="AC1840" t="s">
        <v>1919</v>
      </c>
      <c r="AD1840" t="s">
        <v>1920</v>
      </c>
      <c r="AE1840" t="s">
        <v>1921</v>
      </c>
      <c r="AF1840" t="s">
        <v>1922</v>
      </c>
      <c r="AG1840" t="s">
        <v>1923</v>
      </c>
      <c r="AH1840" t="s">
        <v>12323</v>
      </c>
      <c r="AJ1840" s="2">
        <v>45818.558599537035</v>
      </c>
      <c r="AK1840" t="s">
        <v>1922</v>
      </c>
      <c r="AL1840" t="s">
        <v>65</v>
      </c>
      <c r="AM1840" s="3">
        <v>1.3263888888888888</v>
      </c>
      <c r="AN1840" t="s">
        <v>66</v>
      </c>
      <c r="AO1840" t="s">
        <v>101</v>
      </c>
    </row>
    <row r="1841" spans="1:41" x14ac:dyDescent="0.2">
      <c r="A1841">
        <v>368749</v>
      </c>
      <c r="B1841" t="s">
        <v>12324</v>
      </c>
      <c r="C1841" t="s">
        <v>2298</v>
      </c>
      <c r="D1841" t="s">
        <v>6040</v>
      </c>
      <c r="E1841" t="s">
        <v>12325</v>
      </c>
      <c r="F1841">
        <v>222401</v>
      </c>
      <c r="G1841" s="1">
        <v>38086</v>
      </c>
      <c r="H1841" s="1">
        <v>45706</v>
      </c>
      <c r="J1841" t="s">
        <v>45</v>
      </c>
      <c r="K1841" t="s">
        <v>45</v>
      </c>
      <c r="L1841" t="s">
        <v>72</v>
      </c>
      <c r="N1841" t="s">
        <v>47</v>
      </c>
      <c r="O1841" t="s">
        <v>48</v>
      </c>
      <c r="P1841" t="s">
        <v>49</v>
      </c>
      <c r="Q1841" t="s">
        <v>12326</v>
      </c>
      <c r="R1841" t="s">
        <v>12327</v>
      </c>
      <c r="S1841">
        <v>354</v>
      </c>
      <c r="T1841" t="s">
        <v>92</v>
      </c>
      <c r="U1841" t="s">
        <v>5509</v>
      </c>
      <c r="V1841" t="s">
        <v>5510</v>
      </c>
      <c r="W1841" t="s">
        <v>5511</v>
      </c>
      <c r="X1841" t="s">
        <v>52</v>
      </c>
      <c r="Y1841" t="s">
        <v>770</v>
      </c>
      <c r="Z1841">
        <v>2445</v>
      </c>
      <c r="AA1841">
        <v>30</v>
      </c>
      <c r="AB1841">
        <v>144</v>
      </c>
      <c r="AC1841" t="s">
        <v>5512</v>
      </c>
      <c r="AD1841" t="s">
        <v>5513</v>
      </c>
      <c r="AE1841" t="s">
        <v>5514</v>
      </c>
      <c r="AF1841" t="s">
        <v>5515</v>
      </c>
      <c r="AG1841" t="s">
        <v>5516</v>
      </c>
      <c r="AH1841" t="s">
        <v>5517</v>
      </c>
      <c r="AI1841" t="s">
        <v>5518</v>
      </c>
      <c r="AJ1841" s="2">
        <v>45824.58525462963</v>
      </c>
      <c r="AK1841" t="s">
        <v>5519</v>
      </c>
      <c r="AL1841" t="s">
        <v>65</v>
      </c>
      <c r="AM1841" s="4">
        <v>0.60416666666666663</v>
      </c>
      <c r="AN1841" t="s">
        <v>66</v>
      </c>
      <c r="AO1841" t="s">
        <v>67</v>
      </c>
    </row>
    <row r="1842" spans="1:41" x14ac:dyDescent="0.2">
      <c r="A1842">
        <v>351595</v>
      </c>
      <c r="B1842" t="s">
        <v>12328</v>
      </c>
      <c r="C1842" t="s">
        <v>42</v>
      </c>
      <c r="D1842" t="s">
        <v>43</v>
      </c>
      <c r="E1842" t="s">
        <v>12329</v>
      </c>
      <c r="F1842">
        <v>291407</v>
      </c>
      <c r="G1842" s="1">
        <v>40136</v>
      </c>
      <c r="H1842" s="1">
        <v>42668</v>
      </c>
      <c r="J1842" t="s">
        <v>326</v>
      </c>
      <c r="K1842" t="s">
        <v>72</v>
      </c>
      <c r="L1842" t="s">
        <v>72</v>
      </c>
      <c r="N1842" t="s">
        <v>89</v>
      </c>
      <c r="O1842" t="s">
        <v>48</v>
      </c>
      <c r="P1842" t="s">
        <v>907</v>
      </c>
      <c r="Q1842" t="s">
        <v>12330</v>
      </c>
      <c r="R1842" t="s">
        <v>12331</v>
      </c>
      <c r="S1842">
        <v>4975</v>
      </c>
      <c r="T1842" t="s">
        <v>365</v>
      </c>
      <c r="U1842" t="s">
        <v>432</v>
      </c>
      <c r="V1842" t="s">
        <v>5915</v>
      </c>
      <c r="W1842" t="s">
        <v>409</v>
      </c>
      <c r="X1842" t="s">
        <v>92</v>
      </c>
      <c r="Y1842" t="s">
        <v>642</v>
      </c>
      <c r="Z1842">
        <v>3102</v>
      </c>
      <c r="AA1842">
        <v>19</v>
      </c>
      <c r="AB1842">
        <v>52</v>
      </c>
      <c r="AC1842" t="s">
        <v>5551</v>
      </c>
      <c r="AD1842" t="s">
        <v>1809</v>
      </c>
      <c r="AE1842" t="s">
        <v>1810</v>
      </c>
      <c r="AF1842" t="s">
        <v>9233</v>
      </c>
      <c r="AG1842" t="s">
        <v>9234</v>
      </c>
      <c r="AH1842" t="s">
        <v>9235</v>
      </c>
      <c r="AJ1842" s="2">
        <v>45174.632256944446</v>
      </c>
      <c r="AK1842" t="s">
        <v>6497</v>
      </c>
      <c r="AL1842" t="s">
        <v>1168</v>
      </c>
      <c r="AM1842" s="3">
        <v>2.2083333333333335</v>
      </c>
      <c r="AN1842" t="s">
        <v>66</v>
      </c>
      <c r="AO1842" t="s">
        <v>67</v>
      </c>
    </row>
    <row r="1843" spans="1:41" x14ac:dyDescent="0.2">
      <c r="A1843">
        <v>369423</v>
      </c>
      <c r="B1843" t="s">
        <v>12332</v>
      </c>
      <c r="C1843" t="s">
        <v>182</v>
      </c>
      <c r="D1843" t="s">
        <v>4421</v>
      </c>
      <c r="E1843" t="s">
        <v>12333</v>
      </c>
      <c r="F1843">
        <v>45218</v>
      </c>
      <c r="G1843" s="1">
        <v>35323</v>
      </c>
      <c r="H1843" s="1">
        <v>45734</v>
      </c>
      <c r="I1843" s="1">
        <v>46113</v>
      </c>
      <c r="J1843" t="s">
        <v>45</v>
      </c>
      <c r="K1843" t="s">
        <v>45</v>
      </c>
      <c r="L1843" t="s">
        <v>46</v>
      </c>
      <c r="M1843" s="1">
        <v>43350</v>
      </c>
      <c r="N1843" t="s">
        <v>47</v>
      </c>
      <c r="O1843" t="s">
        <v>48</v>
      </c>
      <c r="P1843" t="s">
        <v>49</v>
      </c>
      <c r="Q1843" t="s">
        <v>12334</v>
      </c>
      <c r="R1843" t="s">
        <v>12335</v>
      </c>
      <c r="S1843">
        <v>1619</v>
      </c>
      <c r="T1843" t="s">
        <v>52</v>
      </c>
      <c r="U1843">
        <v>5</v>
      </c>
      <c r="V1843" t="s">
        <v>1030</v>
      </c>
      <c r="W1843" t="s">
        <v>54</v>
      </c>
      <c r="X1843" t="s">
        <v>493</v>
      </c>
      <c r="Y1843" t="s">
        <v>434</v>
      </c>
      <c r="Z1843">
        <v>984</v>
      </c>
      <c r="AA1843">
        <v>61</v>
      </c>
      <c r="AB1843">
        <v>210</v>
      </c>
      <c r="AC1843" t="s">
        <v>11360</v>
      </c>
      <c r="AD1843" t="s">
        <v>11361</v>
      </c>
      <c r="AE1843" t="s">
        <v>11362</v>
      </c>
      <c r="AF1843" t="s">
        <v>1034</v>
      </c>
      <c r="AG1843" t="s">
        <v>1035</v>
      </c>
      <c r="AH1843" t="s">
        <v>1036</v>
      </c>
      <c r="AI1843" t="s">
        <v>500</v>
      </c>
      <c r="AJ1843" s="2">
        <v>45740.71665509259</v>
      </c>
      <c r="AK1843" t="s">
        <v>2668</v>
      </c>
      <c r="AL1843" t="s">
        <v>65</v>
      </c>
      <c r="AM1843" s="3">
        <v>1.9652777777777777</v>
      </c>
      <c r="AN1843" t="s">
        <v>66</v>
      </c>
      <c r="AO1843" t="s">
        <v>67</v>
      </c>
    </row>
    <row r="1844" spans="1:41" x14ac:dyDescent="0.2">
      <c r="A1844">
        <v>372117</v>
      </c>
      <c r="B1844" t="s">
        <v>12336</v>
      </c>
      <c r="C1844" t="s">
        <v>182</v>
      </c>
      <c r="D1844" t="s">
        <v>4421</v>
      </c>
      <c r="E1844" t="s">
        <v>12337</v>
      </c>
      <c r="F1844">
        <v>45221</v>
      </c>
      <c r="G1844" s="1">
        <v>40659</v>
      </c>
      <c r="H1844" s="1">
        <v>45798</v>
      </c>
      <c r="I1844" s="1">
        <v>46082</v>
      </c>
      <c r="J1844" t="s">
        <v>45</v>
      </c>
      <c r="K1844" t="s">
        <v>72</v>
      </c>
      <c r="L1844" t="s">
        <v>72</v>
      </c>
      <c r="M1844" s="1">
        <v>45348</v>
      </c>
      <c r="N1844" t="s">
        <v>47</v>
      </c>
      <c r="O1844" t="s">
        <v>48</v>
      </c>
      <c r="P1844" t="s">
        <v>49</v>
      </c>
      <c r="Q1844" t="s">
        <v>12338</v>
      </c>
      <c r="R1844" t="s">
        <v>12339</v>
      </c>
      <c r="S1844">
        <v>285</v>
      </c>
      <c r="T1844" t="s">
        <v>92</v>
      </c>
      <c r="U1844" t="s">
        <v>187</v>
      </c>
      <c r="V1844" t="s">
        <v>12340</v>
      </c>
      <c r="W1844" t="s">
        <v>12341</v>
      </c>
      <c r="X1844" t="s">
        <v>92</v>
      </c>
      <c r="Y1844" t="s">
        <v>110</v>
      </c>
      <c r="Z1844">
        <v>4426</v>
      </c>
      <c r="AA1844">
        <v>28</v>
      </c>
      <c r="AB1844">
        <v>56</v>
      </c>
      <c r="AC1844" t="s">
        <v>12342</v>
      </c>
      <c r="AD1844" t="s">
        <v>12343</v>
      </c>
      <c r="AE1844" t="s">
        <v>12344</v>
      </c>
      <c r="AF1844" t="s">
        <v>12345</v>
      </c>
      <c r="AG1844" t="s">
        <v>12346</v>
      </c>
      <c r="AH1844" t="s">
        <v>12347</v>
      </c>
      <c r="AJ1844" s="2">
        <v>45831.72824074074</v>
      </c>
      <c r="AK1844" t="s">
        <v>800</v>
      </c>
      <c r="AL1844" t="s">
        <v>65</v>
      </c>
      <c r="AM1844" s="4">
        <v>0.29166666666666669</v>
      </c>
      <c r="AN1844" t="s">
        <v>66</v>
      </c>
      <c r="AO1844" t="s">
        <v>67</v>
      </c>
    </row>
    <row r="1845" spans="1:41" x14ac:dyDescent="0.2">
      <c r="A1845">
        <v>364445</v>
      </c>
      <c r="B1845" t="s">
        <v>2611</v>
      </c>
      <c r="C1845" t="s">
        <v>252</v>
      </c>
      <c r="D1845" t="s">
        <v>253</v>
      </c>
      <c r="E1845" t="s">
        <v>12348</v>
      </c>
      <c r="F1845">
        <v>250103</v>
      </c>
      <c r="G1845" s="1">
        <v>43069</v>
      </c>
      <c r="H1845" s="1">
        <v>45546</v>
      </c>
      <c r="I1845" s="1">
        <v>46266</v>
      </c>
      <c r="J1845" t="s">
        <v>45</v>
      </c>
      <c r="K1845" t="s">
        <v>45</v>
      </c>
      <c r="L1845" t="s">
        <v>72</v>
      </c>
      <c r="M1845" s="1">
        <v>43651</v>
      </c>
      <c r="N1845" t="s">
        <v>47</v>
      </c>
      <c r="O1845" t="s">
        <v>48</v>
      </c>
      <c r="P1845" t="s">
        <v>49</v>
      </c>
      <c r="Q1845" t="s">
        <v>12349</v>
      </c>
      <c r="R1845" t="s">
        <v>12350</v>
      </c>
      <c r="S1845">
        <v>3734</v>
      </c>
      <c r="T1845" t="s">
        <v>52</v>
      </c>
      <c r="U1845">
        <v>2</v>
      </c>
      <c r="V1845" t="s">
        <v>2204</v>
      </c>
      <c r="W1845" t="s">
        <v>54</v>
      </c>
      <c r="X1845" t="s">
        <v>76</v>
      </c>
      <c r="Y1845" t="s">
        <v>56</v>
      </c>
      <c r="Z1845">
        <v>9406</v>
      </c>
      <c r="AA1845">
        <v>20</v>
      </c>
      <c r="AB1845">
        <v>152</v>
      </c>
      <c r="AC1845" t="s">
        <v>10278</v>
      </c>
      <c r="AD1845" t="s">
        <v>10279</v>
      </c>
      <c r="AE1845" t="s">
        <v>10280</v>
      </c>
      <c r="AF1845" t="s">
        <v>1570</v>
      </c>
      <c r="AG1845" t="s">
        <v>1571</v>
      </c>
      <c r="AH1845" t="s">
        <v>1572</v>
      </c>
      <c r="AI1845" t="s">
        <v>10281</v>
      </c>
      <c r="AJ1845" s="2">
        <v>45546.869988425926</v>
      </c>
      <c r="AK1845" t="s">
        <v>660</v>
      </c>
      <c r="AL1845" t="s">
        <v>65</v>
      </c>
      <c r="AM1845" s="3">
        <v>1.0347222222222223</v>
      </c>
      <c r="AN1845" t="s">
        <v>66</v>
      </c>
      <c r="AO1845" t="s">
        <v>67</v>
      </c>
    </row>
    <row r="1846" spans="1:41" x14ac:dyDescent="0.2">
      <c r="A1846">
        <v>372225</v>
      </c>
      <c r="B1846" t="s">
        <v>12351</v>
      </c>
      <c r="C1846" t="s">
        <v>69</v>
      </c>
      <c r="D1846" t="s">
        <v>104</v>
      </c>
      <c r="E1846" t="s">
        <v>12352</v>
      </c>
      <c r="F1846">
        <v>102301</v>
      </c>
      <c r="G1846" s="1">
        <v>35248</v>
      </c>
      <c r="H1846" s="1">
        <v>45834</v>
      </c>
      <c r="I1846" s="1">
        <v>46188</v>
      </c>
      <c r="J1846" t="s">
        <v>45</v>
      </c>
      <c r="K1846" t="s">
        <v>45</v>
      </c>
      <c r="L1846" t="s">
        <v>72</v>
      </c>
      <c r="M1846" s="1">
        <v>44777</v>
      </c>
      <c r="N1846" t="s">
        <v>47</v>
      </c>
      <c r="O1846" t="s">
        <v>48</v>
      </c>
      <c r="P1846" t="s">
        <v>49</v>
      </c>
      <c r="Q1846" t="s">
        <v>12353</v>
      </c>
      <c r="R1846" t="s">
        <v>12354</v>
      </c>
      <c r="S1846">
        <v>6838</v>
      </c>
      <c r="T1846" t="s">
        <v>52</v>
      </c>
      <c r="U1846">
        <v>4</v>
      </c>
      <c r="V1846" t="s">
        <v>75</v>
      </c>
      <c r="W1846" t="s">
        <v>54</v>
      </c>
      <c r="X1846" t="s">
        <v>76</v>
      </c>
      <c r="Y1846" t="s">
        <v>56</v>
      </c>
      <c r="Z1846">
        <v>669</v>
      </c>
      <c r="AA1846">
        <v>56</v>
      </c>
      <c r="AB1846">
        <v>138</v>
      </c>
      <c r="AC1846" t="s">
        <v>3828</v>
      </c>
      <c r="AD1846" t="s">
        <v>3829</v>
      </c>
      <c r="AE1846" t="s">
        <v>3830</v>
      </c>
      <c r="AF1846" t="s">
        <v>12355</v>
      </c>
      <c r="AG1846" t="s">
        <v>12356</v>
      </c>
      <c r="AH1846" t="s">
        <v>12357</v>
      </c>
      <c r="AI1846" t="s">
        <v>179</v>
      </c>
      <c r="AJ1846" s="2">
        <v>45834.706643518519</v>
      </c>
      <c r="AK1846" t="s">
        <v>375</v>
      </c>
      <c r="AL1846" t="s">
        <v>65</v>
      </c>
      <c r="AM1846" s="3">
        <v>1.0694444444444444</v>
      </c>
      <c r="AN1846" t="s">
        <v>66</v>
      </c>
      <c r="AO1846" t="s">
        <v>67</v>
      </c>
    </row>
    <row r="1847" spans="1:41" x14ac:dyDescent="0.2">
      <c r="A1847">
        <v>367605</v>
      </c>
      <c r="B1847" t="s">
        <v>12358</v>
      </c>
      <c r="C1847" t="s">
        <v>197</v>
      </c>
      <c r="D1847" t="s">
        <v>12359</v>
      </c>
      <c r="E1847" t="s">
        <v>12360</v>
      </c>
      <c r="G1847" s="1">
        <v>43144</v>
      </c>
      <c r="H1847" s="1">
        <v>45681</v>
      </c>
      <c r="J1847" t="s">
        <v>45</v>
      </c>
      <c r="K1847" t="s">
        <v>45</v>
      </c>
      <c r="L1847" t="s">
        <v>72</v>
      </c>
      <c r="M1847" s="1">
        <v>44757</v>
      </c>
      <c r="N1847" t="s">
        <v>47</v>
      </c>
      <c r="O1847" t="s">
        <v>48</v>
      </c>
      <c r="P1847" t="s">
        <v>49</v>
      </c>
      <c r="Q1847" t="s">
        <v>12361</v>
      </c>
      <c r="R1847" t="s">
        <v>12362</v>
      </c>
      <c r="S1847">
        <v>193</v>
      </c>
      <c r="T1847" t="s">
        <v>1328</v>
      </c>
      <c r="W1847" t="s">
        <v>12363</v>
      </c>
      <c r="X1847" t="s">
        <v>1328</v>
      </c>
      <c r="Y1847" t="s">
        <v>770</v>
      </c>
      <c r="Z1847">
        <v>9446</v>
      </c>
      <c r="AA1847">
        <v>15</v>
      </c>
      <c r="AB1847">
        <v>45</v>
      </c>
      <c r="AC1847" t="s">
        <v>12364</v>
      </c>
      <c r="AD1847" t="s">
        <v>12365</v>
      </c>
      <c r="AE1847" t="s">
        <v>12366</v>
      </c>
      <c r="AF1847" t="s">
        <v>12367</v>
      </c>
      <c r="AG1847" t="s">
        <v>12368</v>
      </c>
      <c r="AH1847" t="s">
        <v>12369</v>
      </c>
      <c r="AJ1847" s="2">
        <v>45684.583784722221</v>
      </c>
      <c r="AK1847" t="s">
        <v>12364</v>
      </c>
      <c r="AL1847" t="s">
        <v>65</v>
      </c>
      <c r="AM1847" s="4">
        <v>0.78472222222222221</v>
      </c>
      <c r="AN1847" t="s">
        <v>66</v>
      </c>
      <c r="AO1847" t="s">
        <v>67</v>
      </c>
    </row>
    <row r="1848" spans="1:41" x14ac:dyDescent="0.2">
      <c r="A1848">
        <v>372903</v>
      </c>
      <c r="B1848" t="s">
        <v>12370</v>
      </c>
      <c r="C1848" t="s">
        <v>167</v>
      </c>
      <c r="D1848" t="s">
        <v>570</v>
      </c>
      <c r="E1848" s="5">
        <v>32654300</v>
      </c>
      <c r="F1848">
        <v>353526</v>
      </c>
      <c r="G1848" s="1">
        <v>34458</v>
      </c>
      <c r="H1848" s="1">
        <v>45798</v>
      </c>
      <c r="I1848" s="1">
        <v>46157</v>
      </c>
      <c r="J1848" t="s">
        <v>45</v>
      </c>
      <c r="K1848" t="s">
        <v>45</v>
      </c>
      <c r="L1848" t="s">
        <v>429</v>
      </c>
      <c r="M1848" s="1">
        <v>44040</v>
      </c>
      <c r="N1848" t="s">
        <v>47</v>
      </c>
      <c r="O1848" t="s">
        <v>48</v>
      </c>
      <c r="P1848" t="s">
        <v>49</v>
      </c>
      <c r="Q1848" t="s">
        <v>12371</v>
      </c>
      <c r="R1848" t="s">
        <v>12372</v>
      </c>
      <c r="S1848">
        <v>6100</v>
      </c>
      <c r="T1848" t="s">
        <v>365</v>
      </c>
      <c r="U1848" t="s">
        <v>532</v>
      </c>
      <c r="V1848" t="s">
        <v>1611</v>
      </c>
      <c r="W1848" t="s">
        <v>367</v>
      </c>
      <c r="X1848" t="s">
        <v>76</v>
      </c>
      <c r="Y1848" t="s">
        <v>434</v>
      </c>
      <c r="Z1848">
        <v>288</v>
      </c>
      <c r="AA1848">
        <v>63</v>
      </c>
      <c r="AB1848">
        <v>66</v>
      </c>
      <c r="AC1848" t="s">
        <v>575</v>
      </c>
      <c r="AD1848" t="s">
        <v>576</v>
      </c>
      <c r="AE1848" t="s">
        <v>577</v>
      </c>
      <c r="AF1848" t="s">
        <v>1612</v>
      </c>
      <c r="AG1848" t="s">
        <v>1613</v>
      </c>
      <c r="AI1848" t="s">
        <v>179</v>
      </c>
      <c r="AJ1848" s="2">
        <v>45855.883252314816</v>
      </c>
      <c r="AK1848" t="s">
        <v>556</v>
      </c>
      <c r="AL1848" t="s">
        <v>65</v>
      </c>
      <c r="AM1848" s="3">
        <v>2.3680555555555554</v>
      </c>
      <c r="AN1848" t="s">
        <v>66</v>
      </c>
      <c r="AO1848" t="s">
        <v>67</v>
      </c>
    </row>
    <row r="1849" spans="1:41" x14ac:dyDescent="0.2">
      <c r="A1849">
        <v>372613</v>
      </c>
      <c r="B1849" t="s">
        <v>12373</v>
      </c>
      <c r="C1849" t="s">
        <v>69</v>
      </c>
      <c r="D1849" t="s">
        <v>69</v>
      </c>
      <c r="E1849" t="s">
        <v>12374</v>
      </c>
      <c r="F1849">
        <v>101028</v>
      </c>
      <c r="G1849" s="1">
        <v>40315</v>
      </c>
      <c r="H1849" s="1">
        <v>45516</v>
      </c>
      <c r="I1849" s="1">
        <v>46218</v>
      </c>
      <c r="J1849" t="s">
        <v>45</v>
      </c>
      <c r="K1849" t="s">
        <v>45</v>
      </c>
      <c r="L1849" t="s">
        <v>72</v>
      </c>
      <c r="M1849" s="1">
        <v>44168</v>
      </c>
      <c r="N1849" t="s">
        <v>47</v>
      </c>
      <c r="O1849" t="s">
        <v>48</v>
      </c>
      <c r="P1849" t="s">
        <v>49</v>
      </c>
      <c r="Q1849" t="s">
        <v>12375</v>
      </c>
      <c r="R1849" t="s">
        <v>12376</v>
      </c>
      <c r="S1849">
        <v>2460</v>
      </c>
      <c r="T1849" t="s">
        <v>52</v>
      </c>
      <c r="U1849">
        <v>1</v>
      </c>
      <c r="V1849" t="s">
        <v>4698</v>
      </c>
      <c r="W1849" t="s">
        <v>54</v>
      </c>
      <c r="X1849" t="s">
        <v>76</v>
      </c>
      <c r="Y1849" t="s">
        <v>110</v>
      </c>
      <c r="Z1849">
        <v>562</v>
      </c>
      <c r="AA1849">
        <v>72</v>
      </c>
      <c r="AB1849">
        <v>80</v>
      </c>
      <c r="AC1849" t="s">
        <v>7357</v>
      </c>
      <c r="AD1849" t="s">
        <v>7358</v>
      </c>
      <c r="AE1849" t="s">
        <v>12377</v>
      </c>
      <c r="AF1849" t="s">
        <v>4702</v>
      </c>
      <c r="AG1849" t="s">
        <v>4703</v>
      </c>
      <c r="AH1849" t="s">
        <v>6200</v>
      </c>
      <c r="AI1849" t="s">
        <v>6201</v>
      </c>
      <c r="AJ1849" s="2">
        <v>45847.606307870374</v>
      </c>
      <c r="AK1849" t="s">
        <v>132</v>
      </c>
      <c r="AL1849" t="s">
        <v>65</v>
      </c>
      <c r="AM1849" s="4">
        <v>0.40277777777777779</v>
      </c>
      <c r="AN1849" t="s">
        <v>66</v>
      </c>
      <c r="AO1849" t="s">
        <v>67</v>
      </c>
    </row>
    <row r="1850" spans="1:41" x14ac:dyDescent="0.2">
      <c r="A1850">
        <v>366782</v>
      </c>
      <c r="B1850" t="s">
        <v>12378</v>
      </c>
      <c r="C1850" t="s">
        <v>236</v>
      </c>
      <c r="D1850" t="s">
        <v>12379</v>
      </c>
      <c r="E1850" t="s">
        <v>12380</v>
      </c>
      <c r="F1850">
        <v>211803</v>
      </c>
      <c r="G1850" s="1">
        <v>35065</v>
      </c>
      <c r="H1850" s="1">
        <v>45602</v>
      </c>
      <c r="J1850" t="s">
        <v>45</v>
      </c>
      <c r="K1850" t="s">
        <v>45</v>
      </c>
      <c r="L1850" t="s">
        <v>72</v>
      </c>
      <c r="M1850" s="1">
        <v>43675</v>
      </c>
      <c r="N1850" t="s">
        <v>47</v>
      </c>
      <c r="O1850" t="s">
        <v>48</v>
      </c>
      <c r="P1850" t="s">
        <v>49</v>
      </c>
      <c r="Q1850" t="s">
        <v>12381</v>
      </c>
      <c r="R1850" t="s">
        <v>12382</v>
      </c>
      <c r="S1850">
        <v>1070</v>
      </c>
      <c r="T1850" t="s">
        <v>92</v>
      </c>
      <c r="U1850" t="s">
        <v>1509</v>
      </c>
      <c r="V1850" t="s">
        <v>506</v>
      </c>
      <c r="W1850" t="s">
        <v>1510</v>
      </c>
      <c r="X1850" t="s">
        <v>52</v>
      </c>
      <c r="Y1850" t="s">
        <v>410</v>
      </c>
      <c r="Z1850">
        <v>1393</v>
      </c>
      <c r="AA1850">
        <v>44</v>
      </c>
      <c r="AB1850">
        <v>174</v>
      </c>
      <c r="AC1850" t="s">
        <v>1511</v>
      </c>
      <c r="AD1850" t="s">
        <v>1512</v>
      </c>
      <c r="AE1850" t="s">
        <v>1513</v>
      </c>
      <c r="AF1850" t="s">
        <v>12383</v>
      </c>
      <c r="AG1850" t="s">
        <v>12384</v>
      </c>
      <c r="AH1850" t="s">
        <v>12385</v>
      </c>
      <c r="AI1850" t="s">
        <v>12386</v>
      </c>
      <c r="AJ1850" s="2">
        <v>45791.806805555556</v>
      </c>
      <c r="AK1850" t="s">
        <v>100</v>
      </c>
      <c r="AL1850" t="s">
        <v>65</v>
      </c>
      <c r="AM1850" s="4">
        <v>0.34027777777777779</v>
      </c>
      <c r="AN1850" t="s">
        <v>66</v>
      </c>
      <c r="AO1850" t="s">
        <v>67</v>
      </c>
    </row>
    <row r="1851" spans="1:41" x14ac:dyDescent="0.2">
      <c r="A1851">
        <v>366151</v>
      </c>
      <c r="B1851" t="s">
        <v>12387</v>
      </c>
      <c r="C1851" t="s">
        <v>9662</v>
      </c>
      <c r="D1851" t="s">
        <v>134</v>
      </c>
      <c r="E1851">
        <v>83738138</v>
      </c>
      <c r="F1851">
        <v>170850</v>
      </c>
      <c r="G1851" s="1">
        <v>37036</v>
      </c>
      <c r="H1851" s="1">
        <v>45601</v>
      </c>
      <c r="I1851" s="1">
        <v>45962</v>
      </c>
      <c r="J1851" t="s">
        <v>45</v>
      </c>
      <c r="K1851" t="s">
        <v>45</v>
      </c>
      <c r="L1851" t="s">
        <v>72</v>
      </c>
      <c r="N1851" t="s">
        <v>47</v>
      </c>
      <c r="O1851" t="s">
        <v>48</v>
      </c>
      <c r="P1851" t="s">
        <v>49</v>
      </c>
      <c r="Q1851" t="s">
        <v>12388</v>
      </c>
      <c r="R1851" t="s">
        <v>12389</v>
      </c>
      <c r="S1851">
        <v>210</v>
      </c>
      <c r="T1851" t="s">
        <v>156</v>
      </c>
      <c r="U1851" t="s">
        <v>1446</v>
      </c>
      <c r="V1851" t="s">
        <v>12390</v>
      </c>
      <c r="W1851" t="s">
        <v>159</v>
      </c>
      <c r="X1851" t="s">
        <v>156</v>
      </c>
      <c r="Y1851" t="s">
        <v>110</v>
      </c>
      <c r="Z1851">
        <v>1536</v>
      </c>
      <c r="AA1851">
        <v>49</v>
      </c>
      <c r="AB1851">
        <v>79</v>
      </c>
      <c r="AC1851" t="s">
        <v>12391</v>
      </c>
      <c r="AD1851" t="s">
        <v>1454</v>
      </c>
      <c r="AE1851" t="s">
        <v>12392</v>
      </c>
      <c r="AF1851" t="s">
        <v>12393</v>
      </c>
      <c r="AG1851" t="s">
        <v>12394</v>
      </c>
      <c r="AH1851" t="s">
        <v>12395</v>
      </c>
      <c r="AJ1851" s="2">
        <v>45604.569386574076</v>
      </c>
      <c r="AK1851" t="s">
        <v>12393</v>
      </c>
      <c r="AL1851" t="s">
        <v>65</v>
      </c>
      <c r="AM1851" s="4">
        <v>0.81944444444444442</v>
      </c>
      <c r="AN1851" t="s">
        <v>66</v>
      </c>
      <c r="AO1851" t="s">
        <v>101</v>
      </c>
    </row>
    <row r="1852" spans="1:41" x14ac:dyDescent="0.2">
      <c r="A1852">
        <v>366783</v>
      </c>
      <c r="B1852" t="s">
        <v>12396</v>
      </c>
      <c r="C1852" t="s">
        <v>236</v>
      </c>
      <c r="D1852" t="s">
        <v>12397</v>
      </c>
      <c r="E1852" t="s">
        <v>12398</v>
      </c>
      <c r="F1852">
        <v>213301</v>
      </c>
      <c r="G1852" s="1">
        <v>35886</v>
      </c>
      <c r="H1852" s="1">
        <v>45575</v>
      </c>
      <c r="J1852" t="s">
        <v>45</v>
      </c>
      <c r="K1852" t="s">
        <v>45</v>
      </c>
      <c r="L1852" t="s">
        <v>72</v>
      </c>
      <c r="M1852" s="1">
        <v>42886</v>
      </c>
      <c r="N1852" t="s">
        <v>47</v>
      </c>
      <c r="O1852" t="s">
        <v>48</v>
      </c>
      <c r="P1852" t="s">
        <v>49</v>
      </c>
      <c r="Q1852" t="s">
        <v>12399</v>
      </c>
      <c r="R1852" t="s">
        <v>12400</v>
      </c>
      <c r="S1852">
        <v>1012</v>
      </c>
      <c r="T1852" t="s">
        <v>92</v>
      </c>
      <c r="U1852" t="s">
        <v>1509</v>
      </c>
      <c r="V1852" t="s">
        <v>506</v>
      </c>
      <c r="W1852" t="s">
        <v>1510</v>
      </c>
      <c r="X1852" t="s">
        <v>52</v>
      </c>
      <c r="Y1852" t="s">
        <v>410</v>
      </c>
      <c r="Z1852">
        <v>1471</v>
      </c>
      <c r="AA1852">
        <v>43</v>
      </c>
      <c r="AB1852">
        <v>174</v>
      </c>
      <c r="AC1852" t="s">
        <v>1511</v>
      </c>
      <c r="AD1852" t="s">
        <v>1512</v>
      </c>
      <c r="AE1852" t="s">
        <v>1513</v>
      </c>
      <c r="AF1852" t="s">
        <v>12401</v>
      </c>
      <c r="AG1852" t="s">
        <v>12402</v>
      </c>
      <c r="AH1852" t="s">
        <v>12403</v>
      </c>
      <c r="AI1852" t="s">
        <v>12404</v>
      </c>
      <c r="AJ1852" s="2">
        <v>45791.806805555556</v>
      </c>
      <c r="AK1852" t="s">
        <v>100</v>
      </c>
      <c r="AL1852" t="s">
        <v>65</v>
      </c>
      <c r="AM1852" s="4">
        <v>0.34722222222222221</v>
      </c>
      <c r="AN1852" t="s">
        <v>66</v>
      </c>
      <c r="AO1852" t="s">
        <v>67</v>
      </c>
    </row>
    <row r="1853" spans="1:41" x14ac:dyDescent="0.2">
      <c r="A1853">
        <v>365651</v>
      </c>
      <c r="B1853" t="s">
        <v>12405</v>
      </c>
      <c r="C1853" t="s">
        <v>542</v>
      </c>
      <c r="D1853" t="s">
        <v>12406</v>
      </c>
      <c r="E1853" t="s">
        <v>12407</v>
      </c>
      <c r="F1853">
        <v>360191</v>
      </c>
      <c r="G1853" s="1">
        <v>41262</v>
      </c>
      <c r="H1853" s="1">
        <v>45588</v>
      </c>
      <c r="J1853" t="s">
        <v>45</v>
      </c>
      <c r="K1853" t="s">
        <v>45</v>
      </c>
      <c r="L1853" t="s">
        <v>72</v>
      </c>
      <c r="M1853" s="1">
        <v>44370</v>
      </c>
      <c r="N1853" t="s">
        <v>47</v>
      </c>
      <c r="O1853" t="s">
        <v>48</v>
      </c>
      <c r="P1853" t="s">
        <v>49</v>
      </c>
      <c r="Q1853" t="s">
        <v>12408</v>
      </c>
      <c r="R1853" t="s">
        <v>12409</v>
      </c>
      <c r="S1853">
        <v>1105</v>
      </c>
      <c r="T1853" t="s">
        <v>92</v>
      </c>
      <c r="U1853" t="s">
        <v>1133</v>
      </c>
      <c r="V1853" t="s">
        <v>1134</v>
      </c>
      <c r="W1853" t="s">
        <v>1135</v>
      </c>
      <c r="X1853" t="s">
        <v>92</v>
      </c>
      <c r="Y1853" t="s">
        <v>770</v>
      </c>
      <c r="Z1853">
        <v>5528</v>
      </c>
      <c r="AA1853">
        <v>35</v>
      </c>
      <c r="AB1853">
        <v>45</v>
      </c>
      <c r="AC1853" t="s">
        <v>1136</v>
      </c>
      <c r="AD1853" t="s">
        <v>1137</v>
      </c>
      <c r="AE1853" t="s">
        <v>1964</v>
      </c>
      <c r="AF1853" t="s">
        <v>1136</v>
      </c>
      <c r="AG1853" t="s">
        <v>1137</v>
      </c>
      <c r="AH1853" t="s">
        <v>1138</v>
      </c>
      <c r="AJ1853" s="2">
        <v>45588.972905092596</v>
      </c>
      <c r="AK1853" t="s">
        <v>1136</v>
      </c>
      <c r="AL1853" t="s">
        <v>65</v>
      </c>
      <c r="AM1853" s="3">
        <v>2.1041666666666665</v>
      </c>
      <c r="AN1853" t="s">
        <v>66</v>
      </c>
      <c r="AO1853" t="s">
        <v>67</v>
      </c>
    </row>
    <row r="1854" spans="1:41" x14ac:dyDescent="0.2">
      <c r="A1854">
        <v>369837</v>
      </c>
      <c r="B1854" t="s">
        <v>12410</v>
      </c>
      <c r="C1854" t="s">
        <v>345</v>
      </c>
      <c r="D1854" t="s">
        <v>4835</v>
      </c>
      <c r="E1854" t="s">
        <v>12411</v>
      </c>
      <c r="F1854">
        <v>55706</v>
      </c>
      <c r="G1854" s="1">
        <v>36476</v>
      </c>
      <c r="H1854" s="1">
        <v>45511</v>
      </c>
      <c r="I1854" s="1">
        <v>46157</v>
      </c>
      <c r="J1854" t="s">
        <v>45</v>
      </c>
      <c r="K1854" t="s">
        <v>45</v>
      </c>
      <c r="L1854" t="s">
        <v>72</v>
      </c>
      <c r="M1854" s="1">
        <v>43781</v>
      </c>
      <c r="N1854" t="s">
        <v>47</v>
      </c>
      <c r="O1854" t="s">
        <v>48</v>
      </c>
      <c r="P1854" t="s">
        <v>49</v>
      </c>
      <c r="Q1854" t="s">
        <v>12412</v>
      </c>
      <c r="R1854" t="s">
        <v>12413</v>
      </c>
      <c r="S1854">
        <v>7820</v>
      </c>
      <c r="T1854" t="s">
        <v>257</v>
      </c>
      <c r="U1854" t="s">
        <v>283</v>
      </c>
      <c r="V1854" t="s">
        <v>4839</v>
      </c>
      <c r="W1854" t="s">
        <v>260</v>
      </c>
      <c r="X1854" t="s">
        <v>257</v>
      </c>
      <c r="Y1854" t="s">
        <v>110</v>
      </c>
      <c r="Z1854">
        <v>1636</v>
      </c>
      <c r="AA1854">
        <v>43</v>
      </c>
      <c r="AB1854">
        <v>38</v>
      </c>
      <c r="AC1854" t="s">
        <v>4840</v>
      </c>
      <c r="AD1854" t="s">
        <v>4841</v>
      </c>
      <c r="AE1854" t="s">
        <v>4842</v>
      </c>
      <c r="AI1854" t="s">
        <v>4841</v>
      </c>
      <c r="AJ1854" s="2">
        <v>45755.655578703707</v>
      </c>
      <c r="AK1854" t="s">
        <v>4843</v>
      </c>
      <c r="AL1854" t="s">
        <v>65</v>
      </c>
      <c r="AM1854" s="3">
        <v>1.6875</v>
      </c>
      <c r="AN1854" t="s">
        <v>66</v>
      </c>
      <c r="AO1854" t="s">
        <v>67</v>
      </c>
    </row>
    <row r="1855" spans="1:41" x14ac:dyDescent="0.2">
      <c r="A1855">
        <v>372924</v>
      </c>
      <c r="B1855" t="s">
        <v>12414</v>
      </c>
      <c r="C1855" t="s">
        <v>558</v>
      </c>
      <c r="D1855" t="s">
        <v>468</v>
      </c>
      <c r="E1855" t="s">
        <v>12415</v>
      </c>
      <c r="F1855">
        <v>260204</v>
      </c>
      <c r="G1855" s="1">
        <v>31621</v>
      </c>
      <c r="H1855" s="1">
        <v>45597</v>
      </c>
      <c r="I1855" s="1">
        <v>45931</v>
      </c>
      <c r="J1855" t="s">
        <v>45</v>
      </c>
      <c r="K1855" t="s">
        <v>45</v>
      </c>
      <c r="L1855" t="s">
        <v>429</v>
      </c>
      <c r="M1855" s="1">
        <v>43938</v>
      </c>
      <c r="N1855" t="s">
        <v>47</v>
      </c>
      <c r="O1855" t="s">
        <v>48</v>
      </c>
      <c r="P1855" t="s">
        <v>49</v>
      </c>
      <c r="Q1855" t="s">
        <v>12416</v>
      </c>
      <c r="R1855" t="s">
        <v>12417</v>
      </c>
      <c r="S1855">
        <v>5500</v>
      </c>
      <c r="T1855" t="s">
        <v>365</v>
      </c>
      <c r="U1855" t="s">
        <v>562</v>
      </c>
      <c r="V1855" t="s">
        <v>2987</v>
      </c>
      <c r="W1855" t="s">
        <v>367</v>
      </c>
      <c r="X1855" t="s">
        <v>76</v>
      </c>
      <c r="Y1855" t="s">
        <v>434</v>
      </c>
      <c r="Z1855">
        <v>284</v>
      </c>
      <c r="AA1855">
        <v>64</v>
      </c>
      <c r="AB1855">
        <v>166</v>
      </c>
      <c r="AC1855" t="s">
        <v>1882</v>
      </c>
      <c r="AD1855" t="s">
        <v>1883</v>
      </c>
      <c r="AE1855" t="s">
        <v>2988</v>
      </c>
      <c r="AF1855" t="s">
        <v>2989</v>
      </c>
      <c r="AG1855" t="s">
        <v>2990</v>
      </c>
      <c r="AH1855" t="s">
        <v>2991</v>
      </c>
      <c r="AI1855" t="s">
        <v>2992</v>
      </c>
      <c r="AJ1855" s="2">
        <v>45855.906631944446</v>
      </c>
      <c r="AK1855" t="s">
        <v>556</v>
      </c>
      <c r="AL1855" t="s">
        <v>65</v>
      </c>
      <c r="AM1855" s="3">
        <v>1.5763888888888888</v>
      </c>
      <c r="AN1855" t="s">
        <v>66</v>
      </c>
      <c r="AO1855" t="s">
        <v>67</v>
      </c>
    </row>
    <row r="1856" spans="1:41" x14ac:dyDescent="0.2">
      <c r="A1856">
        <v>371268</v>
      </c>
      <c r="B1856" t="s">
        <v>12418</v>
      </c>
      <c r="C1856" t="s">
        <v>167</v>
      </c>
      <c r="D1856" t="s">
        <v>2871</v>
      </c>
      <c r="E1856" t="s">
        <v>12419</v>
      </c>
      <c r="F1856">
        <v>352420</v>
      </c>
      <c r="G1856" s="1">
        <v>30438</v>
      </c>
      <c r="H1856" s="1">
        <v>45802</v>
      </c>
      <c r="I1856" s="1">
        <v>46143</v>
      </c>
      <c r="J1856" t="s">
        <v>45</v>
      </c>
      <c r="K1856" t="s">
        <v>45</v>
      </c>
      <c r="L1856" t="s">
        <v>429</v>
      </c>
      <c r="M1856" s="1">
        <v>44266</v>
      </c>
      <c r="N1856" t="s">
        <v>47</v>
      </c>
      <c r="O1856" t="s">
        <v>48</v>
      </c>
      <c r="P1856" t="s">
        <v>49</v>
      </c>
      <c r="Q1856" t="s">
        <v>12420</v>
      </c>
      <c r="R1856" t="s">
        <v>12421</v>
      </c>
      <c r="S1856">
        <v>4200</v>
      </c>
      <c r="T1856" t="s">
        <v>365</v>
      </c>
      <c r="U1856" t="s">
        <v>532</v>
      </c>
      <c r="V1856" t="s">
        <v>533</v>
      </c>
      <c r="W1856" t="s">
        <v>367</v>
      </c>
      <c r="X1856" t="s">
        <v>76</v>
      </c>
      <c r="Y1856" t="s">
        <v>434</v>
      </c>
      <c r="Z1856">
        <v>330</v>
      </c>
      <c r="AA1856">
        <v>55</v>
      </c>
      <c r="AB1856">
        <v>158</v>
      </c>
      <c r="AC1856" t="s">
        <v>534</v>
      </c>
      <c r="AD1856" t="s">
        <v>535</v>
      </c>
      <c r="AE1856" t="s">
        <v>536</v>
      </c>
      <c r="AF1856" t="s">
        <v>12422</v>
      </c>
      <c r="AG1856" t="s">
        <v>538</v>
      </c>
      <c r="AH1856" t="s">
        <v>539</v>
      </c>
      <c r="AI1856" t="s">
        <v>179</v>
      </c>
      <c r="AJ1856" s="2">
        <v>45804.614293981482</v>
      </c>
      <c r="AK1856" t="s">
        <v>568</v>
      </c>
      <c r="AL1856" t="s">
        <v>65</v>
      </c>
      <c r="AM1856" s="3">
        <v>2.1875</v>
      </c>
      <c r="AN1856" t="s">
        <v>66</v>
      </c>
      <c r="AO1856" t="s">
        <v>67</v>
      </c>
    </row>
    <row r="1857" spans="1:41" x14ac:dyDescent="0.2">
      <c r="A1857">
        <v>371033</v>
      </c>
      <c r="B1857" t="s">
        <v>12423</v>
      </c>
      <c r="C1857" t="s">
        <v>197</v>
      </c>
      <c r="D1857" t="s">
        <v>12424</v>
      </c>
      <c r="E1857" t="s">
        <v>12425</v>
      </c>
      <c r="G1857" s="1">
        <v>45791</v>
      </c>
      <c r="H1857" s="1">
        <v>45726</v>
      </c>
      <c r="J1857" t="s">
        <v>45</v>
      </c>
      <c r="K1857" t="s">
        <v>45</v>
      </c>
      <c r="L1857" t="s">
        <v>46</v>
      </c>
      <c r="M1857" s="1">
        <v>45726</v>
      </c>
      <c r="N1857" t="s">
        <v>47</v>
      </c>
      <c r="O1857" t="s">
        <v>48</v>
      </c>
      <c r="P1857" t="s">
        <v>49</v>
      </c>
      <c r="Q1857" t="s">
        <v>12426</v>
      </c>
      <c r="R1857" t="s">
        <v>12427</v>
      </c>
      <c r="S1857">
        <v>30</v>
      </c>
      <c r="T1857" t="s">
        <v>1328</v>
      </c>
      <c r="U1857" t="s">
        <v>3114</v>
      </c>
      <c r="V1857" t="s">
        <v>7982</v>
      </c>
      <c r="W1857" t="s">
        <v>7983</v>
      </c>
      <c r="X1857" t="s">
        <v>1328</v>
      </c>
      <c r="Y1857" t="s">
        <v>96</v>
      </c>
      <c r="Z1857">
        <v>12292</v>
      </c>
      <c r="AA1857">
        <v>8</v>
      </c>
      <c r="AB1857">
        <v>15</v>
      </c>
      <c r="AC1857" t="s">
        <v>7984</v>
      </c>
      <c r="AD1857" t="s">
        <v>7985</v>
      </c>
      <c r="AE1857" t="s">
        <v>7986</v>
      </c>
      <c r="AI1857" t="s">
        <v>7985</v>
      </c>
      <c r="AJ1857" s="2">
        <v>45792.906643518516</v>
      </c>
      <c r="AK1857" t="s">
        <v>660</v>
      </c>
      <c r="AL1857" t="s">
        <v>65</v>
      </c>
      <c r="AM1857" s="4">
        <v>0.80902777777777779</v>
      </c>
      <c r="AN1857" t="s">
        <v>66</v>
      </c>
      <c r="AO1857" t="s">
        <v>101</v>
      </c>
    </row>
    <row r="1858" spans="1:41" x14ac:dyDescent="0.2">
      <c r="A1858">
        <v>367309</v>
      </c>
      <c r="B1858" t="s">
        <v>12428</v>
      </c>
      <c r="C1858" t="s">
        <v>118</v>
      </c>
      <c r="D1858" t="s">
        <v>1410</v>
      </c>
      <c r="E1858">
        <v>32339106</v>
      </c>
      <c r="F1858">
        <v>20215</v>
      </c>
      <c r="G1858" s="1">
        <v>35345</v>
      </c>
      <c r="H1858" s="1">
        <v>45670</v>
      </c>
      <c r="I1858" s="1">
        <v>45931</v>
      </c>
      <c r="J1858" t="s">
        <v>45</v>
      </c>
      <c r="K1858" t="s">
        <v>45</v>
      </c>
      <c r="L1858" t="s">
        <v>429</v>
      </c>
      <c r="M1858" s="1">
        <v>43005</v>
      </c>
      <c r="N1858" t="s">
        <v>47</v>
      </c>
      <c r="O1858" t="s">
        <v>48</v>
      </c>
      <c r="P1858" t="s">
        <v>49</v>
      </c>
      <c r="Q1858" t="s">
        <v>12429</v>
      </c>
      <c r="R1858" t="s">
        <v>12430</v>
      </c>
      <c r="S1858">
        <v>7094</v>
      </c>
      <c r="T1858" t="s">
        <v>52</v>
      </c>
      <c r="U1858">
        <v>3</v>
      </c>
      <c r="V1858" t="s">
        <v>5310</v>
      </c>
      <c r="W1858" t="s">
        <v>54</v>
      </c>
      <c r="X1858" t="s">
        <v>55</v>
      </c>
      <c r="Y1858" t="s">
        <v>56</v>
      </c>
      <c r="Z1858">
        <v>610</v>
      </c>
      <c r="AA1858">
        <v>41</v>
      </c>
      <c r="AB1858">
        <v>160</v>
      </c>
      <c r="AC1858" t="s">
        <v>5311</v>
      </c>
      <c r="AD1858" t="s">
        <v>5312</v>
      </c>
      <c r="AE1858" t="s">
        <v>5313</v>
      </c>
      <c r="AI1858" t="s">
        <v>1809</v>
      </c>
      <c r="AJ1858" s="2">
        <v>45671.595138888886</v>
      </c>
      <c r="AK1858" t="s">
        <v>64</v>
      </c>
      <c r="AL1858" t="s">
        <v>65</v>
      </c>
      <c r="AM1858" s="4">
        <v>0.13194444444444445</v>
      </c>
      <c r="AN1858" t="s">
        <v>66</v>
      </c>
      <c r="AO1858" t="s">
        <v>67</v>
      </c>
    </row>
    <row r="1859" spans="1:41" x14ac:dyDescent="0.2">
      <c r="A1859">
        <v>368388</v>
      </c>
      <c r="B1859" t="s">
        <v>12431</v>
      </c>
      <c r="C1859" t="s">
        <v>182</v>
      </c>
      <c r="D1859" t="s">
        <v>811</v>
      </c>
      <c r="E1859">
        <v>32310190</v>
      </c>
      <c r="F1859">
        <v>45114</v>
      </c>
      <c r="G1859" s="1">
        <v>36453</v>
      </c>
      <c r="H1859" s="1">
        <v>45700</v>
      </c>
      <c r="I1859" s="1">
        <v>46037</v>
      </c>
      <c r="J1859" t="s">
        <v>45</v>
      </c>
      <c r="K1859" t="s">
        <v>45</v>
      </c>
      <c r="L1859" t="s">
        <v>429</v>
      </c>
      <c r="M1859" s="1">
        <v>42616</v>
      </c>
      <c r="N1859" t="s">
        <v>47</v>
      </c>
      <c r="O1859" t="s">
        <v>48</v>
      </c>
      <c r="P1859" t="s">
        <v>49</v>
      </c>
      <c r="Q1859" t="s">
        <v>12432</v>
      </c>
      <c r="R1859" t="s">
        <v>12433</v>
      </c>
      <c r="S1859">
        <v>3514</v>
      </c>
      <c r="T1859" t="s">
        <v>52</v>
      </c>
      <c r="U1859">
        <v>5</v>
      </c>
      <c r="V1859" t="s">
        <v>1665</v>
      </c>
      <c r="W1859" t="s">
        <v>54</v>
      </c>
      <c r="X1859" t="s">
        <v>493</v>
      </c>
      <c r="Y1859" t="s">
        <v>434</v>
      </c>
      <c r="Z1859">
        <v>993</v>
      </c>
      <c r="AA1859">
        <v>55</v>
      </c>
      <c r="AB1859">
        <v>28</v>
      </c>
      <c r="AC1859" t="s">
        <v>1666</v>
      </c>
      <c r="AD1859" t="s">
        <v>1667</v>
      </c>
      <c r="AE1859" t="s">
        <v>1668</v>
      </c>
      <c r="AF1859" t="s">
        <v>1669</v>
      </c>
      <c r="AG1859" t="s">
        <v>1670</v>
      </c>
      <c r="AH1859" t="s">
        <v>1671</v>
      </c>
      <c r="AI1859" t="s">
        <v>1672</v>
      </c>
      <c r="AJ1859" s="2">
        <v>45708.867858796293</v>
      </c>
      <c r="AK1859" t="s">
        <v>403</v>
      </c>
      <c r="AL1859" t="s">
        <v>65</v>
      </c>
      <c r="AM1859" s="4">
        <v>0.69444444444444442</v>
      </c>
      <c r="AN1859" t="s">
        <v>66</v>
      </c>
      <c r="AO1859" t="s">
        <v>67</v>
      </c>
    </row>
    <row r="1860" spans="1:41" x14ac:dyDescent="0.2">
      <c r="A1860">
        <v>369620</v>
      </c>
      <c r="B1860" t="s">
        <v>12434</v>
      </c>
      <c r="C1860" t="s">
        <v>118</v>
      </c>
      <c r="D1860" t="s">
        <v>2713</v>
      </c>
      <c r="E1860" t="s">
        <v>12435</v>
      </c>
      <c r="F1860">
        <v>20115</v>
      </c>
      <c r="G1860" s="1">
        <v>31564</v>
      </c>
      <c r="H1860" s="1">
        <v>45742</v>
      </c>
      <c r="I1860" s="1">
        <v>46096</v>
      </c>
      <c r="J1860" t="s">
        <v>45</v>
      </c>
      <c r="K1860" t="s">
        <v>45</v>
      </c>
      <c r="L1860" t="s">
        <v>429</v>
      </c>
      <c r="M1860" s="1">
        <v>43983</v>
      </c>
      <c r="N1860" t="s">
        <v>47</v>
      </c>
      <c r="O1860" t="s">
        <v>48</v>
      </c>
      <c r="P1860" t="s">
        <v>49</v>
      </c>
      <c r="Q1860" t="s">
        <v>12436</v>
      </c>
      <c r="R1860" t="s">
        <v>12437</v>
      </c>
      <c r="S1860">
        <v>5920</v>
      </c>
      <c r="T1860" t="s">
        <v>365</v>
      </c>
      <c r="U1860" t="s">
        <v>815</v>
      </c>
      <c r="V1860" t="s">
        <v>8067</v>
      </c>
      <c r="W1860" t="s">
        <v>367</v>
      </c>
      <c r="X1860" t="s">
        <v>55</v>
      </c>
      <c r="Y1860" t="s">
        <v>434</v>
      </c>
      <c r="Z1860">
        <v>63</v>
      </c>
      <c r="AA1860">
        <v>56</v>
      </c>
      <c r="AB1860">
        <v>28</v>
      </c>
      <c r="AC1860" t="s">
        <v>8068</v>
      </c>
      <c r="AD1860" t="s">
        <v>8069</v>
      </c>
      <c r="AE1860" t="s">
        <v>8070</v>
      </c>
      <c r="AF1860" t="s">
        <v>8071</v>
      </c>
      <c r="AG1860" t="s">
        <v>8072</v>
      </c>
      <c r="AH1860" t="s">
        <v>8073</v>
      </c>
      <c r="AI1860" t="s">
        <v>179</v>
      </c>
      <c r="AJ1860" s="2">
        <v>45747.671296296299</v>
      </c>
      <c r="AK1860" t="s">
        <v>307</v>
      </c>
      <c r="AL1860" t="s">
        <v>65</v>
      </c>
      <c r="AM1860" s="4">
        <v>0.9604166666666667</v>
      </c>
      <c r="AN1860" t="s">
        <v>66</v>
      </c>
      <c r="AO1860" t="s">
        <v>67</v>
      </c>
    </row>
    <row r="1861" spans="1:41" x14ac:dyDescent="0.2">
      <c r="A1861">
        <v>360857</v>
      </c>
      <c r="B1861" t="s">
        <v>12438</v>
      </c>
      <c r="C1861" t="s">
        <v>323</v>
      </c>
      <c r="D1861" t="s">
        <v>12439</v>
      </c>
      <c r="E1861" t="s">
        <v>12440</v>
      </c>
      <c r="G1861" s="1">
        <v>36697</v>
      </c>
      <c r="H1861" s="1">
        <v>45427</v>
      </c>
      <c r="I1861" s="1">
        <v>46037</v>
      </c>
      <c r="J1861" t="s">
        <v>72</v>
      </c>
      <c r="K1861" t="s">
        <v>45</v>
      </c>
      <c r="L1861" t="s">
        <v>72</v>
      </c>
      <c r="M1861" s="1">
        <v>43606</v>
      </c>
      <c r="N1861" t="s">
        <v>47</v>
      </c>
      <c r="O1861" t="s">
        <v>48</v>
      </c>
      <c r="P1861" t="s">
        <v>49</v>
      </c>
      <c r="Q1861" t="s">
        <v>12441</v>
      </c>
      <c r="R1861" t="s">
        <v>12442</v>
      </c>
      <c r="S1861">
        <v>79</v>
      </c>
      <c r="T1861" t="s">
        <v>156</v>
      </c>
      <c r="U1861" t="s">
        <v>460</v>
      </c>
      <c r="V1861" t="s">
        <v>330</v>
      </c>
      <c r="W1861" t="s">
        <v>159</v>
      </c>
      <c r="X1861" t="s">
        <v>156</v>
      </c>
      <c r="Y1861" t="s">
        <v>110</v>
      </c>
      <c r="Z1861">
        <v>1782</v>
      </c>
      <c r="AA1861">
        <v>38</v>
      </c>
      <c r="AB1861">
        <v>80</v>
      </c>
      <c r="AC1861" t="s">
        <v>461</v>
      </c>
      <c r="AD1861" t="s">
        <v>5071</v>
      </c>
      <c r="AE1861" t="s">
        <v>462</v>
      </c>
      <c r="AF1861" t="s">
        <v>5645</v>
      </c>
      <c r="AG1861" t="s">
        <v>5646</v>
      </c>
      <c r="AH1861" t="s">
        <v>5647</v>
      </c>
      <c r="AJ1861" s="2">
        <v>45435.904872685183</v>
      </c>
      <c r="AK1861" t="s">
        <v>461</v>
      </c>
      <c r="AL1861" t="s">
        <v>65</v>
      </c>
      <c r="AM1861" s="4">
        <v>0.59722222222222221</v>
      </c>
      <c r="AN1861" t="s">
        <v>66</v>
      </c>
      <c r="AO1861" t="s">
        <v>67</v>
      </c>
    </row>
    <row r="1862" spans="1:41" x14ac:dyDescent="0.2">
      <c r="A1862">
        <v>368932</v>
      </c>
      <c r="B1862" t="s">
        <v>12443</v>
      </c>
      <c r="C1862" t="s">
        <v>182</v>
      </c>
      <c r="D1862" t="s">
        <v>3983</v>
      </c>
      <c r="E1862" t="s">
        <v>12444</v>
      </c>
      <c r="F1862">
        <v>43605</v>
      </c>
      <c r="G1862" s="1">
        <v>36342</v>
      </c>
      <c r="H1862" s="1">
        <v>45532</v>
      </c>
      <c r="I1862" s="1">
        <v>46157</v>
      </c>
      <c r="J1862" t="s">
        <v>45</v>
      </c>
      <c r="K1862" t="s">
        <v>45</v>
      </c>
      <c r="L1862" t="s">
        <v>4306</v>
      </c>
      <c r="M1862" s="1">
        <v>43958</v>
      </c>
      <c r="N1862" t="s">
        <v>47</v>
      </c>
      <c r="O1862" t="s">
        <v>48</v>
      </c>
      <c r="P1862" t="s">
        <v>49</v>
      </c>
      <c r="Q1862" t="s">
        <v>12445</v>
      </c>
      <c r="R1862" t="s">
        <v>12446</v>
      </c>
      <c r="S1862">
        <v>4942</v>
      </c>
      <c r="T1862" t="s">
        <v>52</v>
      </c>
      <c r="U1862">
        <v>5</v>
      </c>
      <c r="V1862" t="s">
        <v>5607</v>
      </c>
      <c r="W1862" t="s">
        <v>54</v>
      </c>
      <c r="X1862" t="s">
        <v>493</v>
      </c>
      <c r="Y1862" t="s">
        <v>434</v>
      </c>
      <c r="Z1862">
        <v>1163</v>
      </c>
      <c r="AA1862">
        <v>55</v>
      </c>
      <c r="AB1862">
        <v>152</v>
      </c>
      <c r="AC1862" t="s">
        <v>5608</v>
      </c>
      <c r="AD1862" t="s">
        <v>5609</v>
      </c>
      <c r="AE1862" t="s">
        <v>5610</v>
      </c>
      <c r="AF1862" t="s">
        <v>12447</v>
      </c>
      <c r="AG1862" t="s">
        <v>12448</v>
      </c>
      <c r="AH1862" t="s">
        <v>12449</v>
      </c>
      <c r="AI1862" t="s">
        <v>12450</v>
      </c>
      <c r="AJ1862" s="2">
        <v>45722.916192129633</v>
      </c>
      <c r="AK1862" t="s">
        <v>1472</v>
      </c>
      <c r="AL1862" t="s">
        <v>65</v>
      </c>
      <c r="AM1862" s="4">
        <v>0.10416666666666667</v>
      </c>
      <c r="AN1862" t="s">
        <v>66</v>
      </c>
      <c r="AO1862" t="s">
        <v>67</v>
      </c>
    </row>
    <row r="1863" spans="1:41" x14ac:dyDescent="0.2">
      <c r="A1863">
        <v>369304</v>
      </c>
      <c r="B1863" t="s">
        <v>12451</v>
      </c>
      <c r="C1863" t="s">
        <v>118</v>
      </c>
      <c r="D1863" t="s">
        <v>2713</v>
      </c>
      <c r="E1863" t="s">
        <v>12452</v>
      </c>
      <c r="F1863">
        <v>20107</v>
      </c>
      <c r="G1863" s="1">
        <v>35690</v>
      </c>
      <c r="H1863" s="1">
        <v>45567</v>
      </c>
      <c r="I1863" s="1">
        <v>46249</v>
      </c>
      <c r="J1863" t="s">
        <v>45</v>
      </c>
      <c r="K1863" t="s">
        <v>45</v>
      </c>
      <c r="L1863" t="s">
        <v>429</v>
      </c>
      <c r="M1863" s="1">
        <v>39923</v>
      </c>
      <c r="N1863" t="s">
        <v>47</v>
      </c>
      <c r="O1863" t="s">
        <v>48</v>
      </c>
      <c r="P1863" t="s">
        <v>49</v>
      </c>
      <c r="Q1863" t="s">
        <v>12453</v>
      </c>
      <c r="R1863" t="s">
        <v>12454</v>
      </c>
      <c r="S1863">
        <v>7605</v>
      </c>
      <c r="T1863" t="s">
        <v>365</v>
      </c>
      <c r="U1863" t="s">
        <v>815</v>
      </c>
      <c r="V1863" t="s">
        <v>958</v>
      </c>
      <c r="W1863" t="s">
        <v>367</v>
      </c>
      <c r="X1863" t="s">
        <v>55</v>
      </c>
      <c r="Y1863" t="s">
        <v>434</v>
      </c>
      <c r="Z1863">
        <v>45</v>
      </c>
      <c r="AA1863">
        <v>58</v>
      </c>
      <c r="AB1863">
        <v>28</v>
      </c>
      <c r="AC1863" t="s">
        <v>2717</v>
      </c>
      <c r="AD1863" t="s">
        <v>2718</v>
      </c>
      <c r="AE1863" t="s">
        <v>2719</v>
      </c>
      <c r="AF1863" t="s">
        <v>2720</v>
      </c>
      <c r="AG1863" t="s">
        <v>963</v>
      </c>
      <c r="AH1863" t="s">
        <v>2721</v>
      </c>
      <c r="AI1863" t="s">
        <v>179</v>
      </c>
      <c r="AJ1863" s="2">
        <v>45734.536944444444</v>
      </c>
      <c r="AK1863" t="s">
        <v>2717</v>
      </c>
      <c r="AL1863" t="s">
        <v>65</v>
      </c>
      <c r="AM1863" s="3">
        <v>1.3888888888888888</v>
      </c>
      <c r="AN1863" t="s">
        <v>66</v>
      </c>
      <c r="AO1863" t="s">
        <v>67</v>
      </c>
    </row>
    <row r="1864" spans="1:41" x14ac:dyDescent="0.2">
      <c r="A1864">
        <v>372308</v>
      </c>
      <c r="B1864" t="s">
        <v>12455</v>
      </c>
      <c r="C1864" t="s">
        <v>167</v>
      </c>
      <c r="D1864" t="s">
        <v>168</v>
      </c>
      <c r="E1864" t="s">
        <v>12456</v>
      </c>
      <c r="F1864">
        <v>353209</v>
      </c>
      <c r="G1864" s="1">
        <v>40213</v>
      </c>
      <c r="H1864" s="1">
        <v>45831</v>
      </c>
      <c r="I1864" s="1">
        <v>46218</v>
      </c>
      <c r="J1864" t="s">
        <v>45</v>
      </c>
      <c r="K1864" t="s">
        <v>45</v>
      </c>
      <c r="L1864" t="s">
        <v>72</v>
      </c>
      <c r="M1864" s="1">
        <v>41803</v>
      </c>
      <c r="N1864" t="s">
        <v>47</v>
      </c>
      <c r="O1864" t="s">
        <v>48</v>
      </c>
      <c r="P1864" t="s">
        <v>49</v>
      </c>
      <c r="Q1864" t="s">
        <v>12457</v>
      </c>
      <c r="R1864" t="s">
        <v>12458</v>
      </c>
      <c r="S1864">
        <v>4700</v>
      </c>
      <c r="T1864" t="s">
        <v>52</v>
      </c>
      <c r="U1864">
        <v>6</v>
      </c>
      <c r="V1864" t="s">
        <v>172</v>
      </c>
      <c r="W1864" t="s">
        <v>54</v>
      </c>
      <c r="X1864" t="s">
        <v>76</v>
      </c>
      <c r="Y1864" t="s">
        <v>56</v>
      </c>
      <c r="Z1864">
        <v>822</v>
      </c>
      <c r="AA1864">
        <v>43</v>
      </c>
      <c r="AB1864">
        <v>80</v>
      </c>
      <c r="AC1864" t="s">
        <v>173</v>
      </c>
      <c r="AD1864" t="s">
        <v>174</v>
      </c>
      <c r="AE1864" t="s">
        <v>175</v>
      </c>
      <c r="AF1864" t="s">
        <v>12459</v>
      </c>
      <c r="AG1864" t="s">
        <v>12460</v>
      </c>
      <c r="AH1864" t="s">
        <v>12461</v>
      </c>
      <c r="AI1864" t="s">
        <v>174</v>
      </c>
      <c r="AJ1864" s="2">
        <v>45837.9375</v>
      </c>
      <c r="AK1864" t="s">
        <v>180</v>
      </c>
      <c r="AL1864" t="s">
        <v>65</v>
      </c>
      <c r="AM1864" s="3">
        <v>1.6458333333333333</v>
      </c>
      <c r="AN1864" t="s">
        <v>66</v>
      </c>
      <c r="AO1864" t="s">
        <v>67</v>
      </c>
    </row>
    <row r="1865" spans="1:41" x14ac:dyDescent="0.2">
      <c r="A1865">
        <v>367010</v>
      </c>
      <c r="B1865" t="s">
        <v>12462</v>
      </c>
      <c r="C1865" t="s">
        <v>182</v>
      </c>
      <c r="D1865" t="s">
        <v>443</v>
      </c>
      <c r="E1865" t="s">
        <v>12463</v>
      </c>
      <c r="F1865">
        <v>44511</v>
      </c>
      <c r="G1865" s="1">
        <v>36536</v>
      </c>
      <c r="H1865" s="1">
        <v>45545</v>
      </c>
      <c r="I1865" s="1">
        <v>46188</v>
      </c>
      <c r="J1865" t="s">
        <v>45</v>
      </c>
      <c r="K1865" t="s">
        <v>45</v>
      </c>
      <c r="L1865" t="s">
        <v>46</v>
      </c>
      <c r="M1865" s="1">
        <v>45162</v>
      </c>
      <c r="N1865" t="s">
        <v>47</v>
      </c>
      <c r="O1865" t="s">
        <v>48</v>
      </c>
      <c r="P1865" t="s">
        <v>49</v>
      </c>
      <c r="Q1865" t="s">
        <v>12464</v>
      </c>
      <c r="R1865" t="s">
        <v>12465</v>
      </c>
      <c r="S1865">
        <v>8982</v>
      </c>
      <c r="T1865" t="s">
        <v>52</v>
      </c>
      <c r="U1865">
        <v>5</v>
      </c>
      <c r="V1865" t="s">
        <v>1817</v>
      </c>
      <c r="W1865" t="s">
        <v>54</v>
      </c>
      <c r="X1865" t="s">
        <v>493</v>
      </c>
      <c r="Y1865" t="s">
        <v>434</v>
      </c>
      <c r="Z1865">
        <v>1162</v>
      </c>
      <c r="AA1865">
        <v>64</v>
      </c>
      <c r="AB1865">
        <v>144</v>
      </c>
      <c r="AC1865" t="s">
        <v>1821</v>
      </c>
      <c r="AD1865" t="s">
        <v>1822</v>
      </c>
      <c r="AE1865" t="s">
        <v>1823</v>
      </c>
      <c r="AF1865" t="s">
        <v>6403</v>
      </c>
      <c r="AG1865" t="s">
        <v>6404</v>
      </c>
      <c r="AH1865" t="s">
        <v>6405</v>
      </c>
      <c r="AI1865" t="s">
        <v>8816</v>
      </c>
      <c r="AJ1865" s="2">
        <v>45652.907013888886</v>
      </c>
      <c r="AK1865" t="s">
        <v>501</v>
      </c>
      <c r="AL1865" t="s">
        <v>65</v>
      </c>
      <c r="AM1865" s="3">
        <v>2.1736111111111112</v>
      </c>
      <c r="AN1865" t="s">
        <v>66</v>
      </c>
      <c r="AO1865" t="s">
        <v>67</v>
      </c>
    </row>
    <row r="1866" spans="1:41" x14ac:dyDescent="0.2">
      <c r="A1866">
        <v>369539</v>
      </c>
      <c r="B1866" t="s">
        <v>12466</v>
      </c>
      <c r="C1866" t="s">
        <v>182</v>
      </c>
      <c r="D1866" t="s">
        <v>2034</v>
      </c>
      <c r="E1866" t="s">
        <v>12467</v>
      </c>
      <c r="F1866">
        <v>42701</v>
      </c>
      <c r="G1866" s="1">
        <v>32509</v>
      </c>
      <c r="H1866" s="1">
        <v>45735</v>
      </c>
      <c r="J1866" t="s">
        <v>45</v>
      </c>
      <c r="K1866" t="s">
        <v>45</v>
      </c>
      <c r="L1866" t="s">
        <v>72</v>
      </c>
      <c r="N1866" t="s">
        <v>47</v>
      </c>
      <c r="O1866" t="s">
        <v>48</v>
      </c>
      <c r="P1866" t="s">
        <v>49</v>
      </c>
      <c r="Q1866" t="s">
        <v>12468</v>
      </c>
      <c r="R1866" t="s">
        <v>12469</v>
      </c>
      <c r="S1866">
        <v>2967</v>
      </c>
      <c r="T1866" t="s">
        <v>92</v>
      </c>
      <c r="U1866" t="s">
        <v>187</v>
      </c>
      <c r="V1866" t="s">
        <v>447</v>
      </c>
      <c r="W1866" t="s">
        <v>448</v>
      </c>
      <c r="X1866" t="s">
        <v>92</v>
      </c>
      <c r="Y1866" t="s">
        <v>450</v>
      </c>
      <c r="Z1866">
        <v>1218</v>
      </c>
      <c r="AA1866">
        <v>47</v>
      </c>
      <c r="AB1866">
        <v>144</v>
      </c>
      <c r="AC1866" t="s">
        <v>451</v>
      </c>
      <c r="AD1866" t="s">
        <v>452</v>
      </c>
      <c r="AE1866" t="s">
        <v>453</v>
      </c>
      <c r="AF1866" t="s">
        <v>454</v>
      </c>
      <c r="AG1866" t="s">
        <v>473</v>
      </c>
      <c r="AH1866" t="s">
        <v>474</v>
      </c>
      <c r="AJ1866" s="2">
        <v>45743.64162037037</v>
      </c>
      <c r="AK1866" t="s">
        <v>526</v>
      </c>
      <c r="AL1866" t="s">
        <v>65</v>
      </c>
      <c r="AM1866" s="3">
        <v>2.3611111111111112</v>
      </c>
      <c r="AN1866" t="s">
        <v>66</v>
      </c>
      <c r="AO1866" t="s">
        <v>67</v>
      </c>
    </row>
    <row r="1867" spans="1:41" x14ac:dyDescent="0.2">
      <c r="A1867">
        <v>369823</v>
      </c>
      <c r="B1867" t="s">
        <v>12470</v>
      </c>
      <c r="C1867" t="s">
        <v>763</v>
      </c>
      <c r="D1867" t="s">
        <v>12471</v>
      </c>
      <c r="E1867" t="s">
        <v>12472</v>
      </c>
      <c r="F1867">
        <v>472003</v>
      </c>
      <c r="G1867" s="1">
        <v>41919</v>
      </c>
      <c r="H1867" s="1">
        <v>45754</v>
      </c>
      <c r="I1867" s="1">
        <v>46127</v>
      </c>
      <c r="J1867" t="s">
        <v>45</v>
      </c>
      <c r="K1867" t="s">
        <v>45</v>
      </c>
      <c r="L1867" t="s">
        <v>46</v>
      </c>
      <c r="N1867" t="s">
        <v>47</v>
      </c>
      <c r="O1867" t="s">
        <v>48</v>
      </c>
      <c r="P1867" t="s">
        <v>49</v>
      </c>
      <c r="Q1867" t="s">
        <v>12473</v>
      </c>
      <c r="R1867" t="s">
        <v>12474</v>
      </c>
      <c r="S1867">
        <v>888</v>
      </c>
      <c r="T1867" t="s">
        <v>52</v>
      </c>
      <c r="U1867">
        <v>9</v>
      </c>
      <c r="V1867" t="s">
        <v>5182</v>
      </c>
      <c r="W1867" t="s">
        <v>54</v>
      </c>
      <c r="X1867" t="s">
        <v>76</v>
      </c>
      <c r="Y1867" t="s">
        <v>56</v>
      </c>
      <c r="Z1867">
        <v>7206</v>
      </c>
      <c r="AA1867">
        <v>27</v>
      </c>
      <c r="AB1867">
        <v>97</v>
      </c>
      <c r="AC1867" t="s">
        <v>10804</v>
      </c>
      <c r="AD1867" t="s">
        <v>10805</v>
      </c>
      <c r="AE1867" t="s">
        <v>10806</v>
      </c>
      <c r="AF1867" t="s">
        <v>10807</v>
      </c>
      <c r="AG1867" t="s">
        <v>10808</v>
      </c>
      <c r="AH1867" t="s">
        <v>10809</v>
      </c>
      <c r="AI1867" t="s">
        <v>10810</v>
      </c>
      <c r="AJ1867" s="2">
        <v>45754.963240740741</v>
      </c>
      <c r="AK1867" t="s">
        <v>84</v>
      </c>
      <c r="AL1867" t="s">
        <v>65</v>
      </c>
      <c r="AM1867" s="3">
        <v>1.2881944444444444</v>
      </c>
      <c r="AN1867" t="s">
        <v>66</v>
      </c>
      <c r="AO1867" t="s">
        <v>101</v>
      </c>
    </row>
    <row r="1868" spans="1:41" x14ac:dyDescent="0.2">
      <c r="A1868">
        <v>363757</v>
      </c>
      <c r="B1868" t="s">
        <v>12475</v>
      </c>
      <c r="C1868" t="s">
        <v>1107</v>
      </c>
      <c r="D1868" t="s">
        <v>12476</v>
      </c>
      <c r="E1868" t="s">
        <v>12477</v>
      </c>
      <c r="F1868">
        <v>237201</v>
      </c>
      <c r="G1868" s="1">
        <v>42045</v>
      </c>
      <c r="H1868" s="1">
        <v>45518</v>
      </c>
      <c r="I1868" s="1">
        <v>46235</v>
      </c>
      <c r="J1868" t="s">
        <v>72</v>
      </c>
      <c r="K1868" t="s">
        <v>45</v>
      </c>
      <c r="L1868" t="s">
        <v>72</v>
      </c>
      <c r="M1868" s="1">
        <v>45518</v>
      </c>
      <c r="N1868" t="s">
        <v>47</v>
      </c>
      <c r="O1868" t="s">
        <v>48</v>
      </c>
      <c r="P1868" t="s">
        <v>49</v>
      </c>
      <c r="Q1868" t="s">
        <v>12478</v>
      </c>
      <c r="R1868" t="s">
        <v>12479</v>
      </c>
      <c r="S1868">
        <v>1456</v>
      </c>
      <c r="T1868" t="s">
        <v>92</v>
      </c>
      <c r="U1868" t="s">
        <v>1111</v>
      </c>
      <c r="V1868" t="s">
        <v>1112</v>
      </c>
      <c r="W1868" t="s">
        <v>1113</v>
      </c>
      <c r="X1868" t="s">
        <v>52</v>
      </c>
      <c r="Y1868" t="s">
        <v>110</v>
      </c>
      <c r="Z1868">
        <v>1142</v>
      </c>
      <c r="AA1868">
        <v>27</v>
      </c>
      <c r="AB1868">
        <v>28</v>
      </c>
      <c r="AC1868" t="s">
        <v>1114</v>
      </c>
      <c r="AD1868" t="s">
        <v>4143</v>
      </c>
      <c r="AE1868" t="s">
        <v>1116</v>
      </c>
      <c r="AF1868" t="s">
        <v>12480</v>
      </c>
      <c r="AG1868" t="s">
        <v>4143</v>
      </c>
      <c r="AH1868" t="s">
        <v>12481</v>
      </c>
      <c r="AJ1868" s="2">
        <v>45523.569062499999</v>
      </c>
      <c r="AK1868" t="s">
        <v>1114</v>
      </c>
      <c r="AL1868" t="s">
        <v>65</v>
      </c>
      <c r="AM1868" s="3">
        <v>1.8888888888888888</v>
      </c>
      <c r="AN1868" t="s">
        <v>66</v>
      </c>
      <c r="AO1868" t="s">
        <v>67</v>
      </c>
    </row>
    <row r="1869" spans="1:41" x14ac:dyDescent="0.2">
      <c r="A1869">
        <v>370772</v>
      </c>
      <c r="B1869" t="s">
        <v>12482</v>
      </c>
      <c r="C1869" t="s">
        <v>69</v>
      </c>
      <c r="D1869" t="s">
        <v>6123</v>
      </c>
      <c r="E1869" t="s">
        <v>12483</v>
      </c>
      <c r="F1869">
        <v>102709</v>
      </c>
      <c r="G1869" s="1">
        <v>37386</v>
      </c>
      <c r="H1869" s="1">
        <v>45783</v>
      </c>
      <c r="I1869" s="1">
        <v>46249</v>
      </c>
      <c r="J1869" t="s">
        <v>45</v>
      </c>
      <c r="K1869" t="s">
        <v>45</v>
      </c>
      <c r="L1869" t="s">
        <v>429</v>
      </c>
      <c r="M1869" s="1">
        <v>41201</v>
      </c>
      <c r="N1869" t="s">
        <v>47</v>
      </c>
      <c r="O1869" t="s">
        <v>48</v>
      </c>
      <c r="P1869" t="s">
        <v>49</v>
      </c>
      <c r="Q1869" t="s">
        <v>12484</v>
      </c>
      <c r="R1869" t="s">
        <v>12485</v>
      </c>
      <c r="S1869">
        <v>3023</v>
      </c>
      <c r="T1869" t="s">
        <v>365</v>
      </c>
      <c r="U1869" t="s">
        <v>532</v>
      </c>
      <c r="V1869" t="s">
        <v>3282</v>
      </c>
      <c r="W1869" t="s">
        <v>367</v>
      </c>
      <c r="X1869" t="s">
        <v>76</v>
      </c>
      <c r="Y1869" t="s">
        <v>434</v>
      </c>
      <c r="Z1869">
        <v>2192</v>
      </c>
      <c r="AA1869">
        <v>47</v>
      </c>
      <c r="AB1869">
        <v>158</v>
      </c>
      <c r="AC1869" t="s">
        <v>3283</v>
      </c>
      <c r="AD1869" t="s">
        <v>3284</v>
      </c>
      <c r="AE1869" t="s">
        <v>3285</v>
      </c>
      <c r="AI1869" t="s">
        <v>179</v>
      </c>
      <c r="AJ1869" s="2">
        <v>45784.537986111114</v>
      </c>
      <c r="AK1869" t="s">
        <v>568</v>
      </c>
      <c r="AL1869" t="s">
        <v>65</v>
      </c>
      <c r="AM1869" s="3">
        <v>2.1944444444444446</v>
      </c>
      <c r="AN1869" t="s">
        <v>66</v>
      </c>
      <c r="AO1869" t="s">
        <v>67</v>
      </c>
    </row>
    <row r="1870" spans="1:41" x14ac:dyDescent="0.2">
      <c r="A1870">
        <v>366250</v>
      </c>
      <c r="B1870" t="s">
        <v>12486</v>
      </c>
      <c r="C1870" t="s">
        <v>118</v>
      </c>
      <c r="D1870" t="s">
        <v>598</v>
      </c>
      <c r="E1870" t="s">
        <v>12487</v>
      </c>
      <c r="F1870">
        <v>20310</v>
      </c>
      <c r="G1870" s="1">
        <v>37223</v>
      </c>
      <c r="H1870" s="1">
        <v>45546</v>
      </c>
      <c r="I1870" s="1">
        <v>46174</v>
      </c>
      <c r="J1870" t="s">
        <v>45</v>
      </c>
      <c r="K1870" t="s">
        <v>45</v>
      </c>
      <c r="L1870" t="s">
        <v>429</v>
      </c>
      <c r="N1870" t="s">
        <v>47</v>
      </c>
      <c r="O1870" t="s">
        <v>48</v>
      </c>
      <c r="P1870" t="s">
        <v>49</v>
      </c>
      <c r="Q1870" t="s">
        <v>12488</v>
      </c>
      <c r="R1870" t="s">
        <v>12489</v>
      </c>
      <c r="S1870">
        <v>7269</v>
      </c>
      <c r="T1870" t="s">
        <v>296</v>
      </c>
      <c r="U1870" t="s">
        <v>297</v>
      </c>
      <c r="V1870" t="s">
        <v>1379</v>
      </c>
      <c r="W1870" t="s">
        <v>299</v>
      </c>
      <c r="X1870" t="s">
        <v>55</v>
      </c>
      <c r="Y1870" t="s">
        <v>56</v>
      </c>
      <c r="Z1870">
        <v>2098</v>
      </c>
      <c r="AA1870">
        <v>44</v>
      </c>
      <c r="AB1870">
        <v>160</v>
      </c>
      <c r="AC1870" t="s">
        <v>1380</v>
      </c>
      <c r="AD1870" t="s">
        <v>1381</v>
      </c>
      <c r="AE1870" t="s">
        <v>10969</v>
      </c>
      <c r="AF1870" t="s">
        <v>10970</v>
      </c>
      <c r="AG1870" t="s">
        <v>304</v>
      </c>
      <c r="AH1870" t="s">
        <v>305</v>
      </c>
      <c r="AI1870" t="s">
        <v>306</v>
      </c>
      <c r="AJ1870" s="2">
        <v>45610.738935185182</v>
      </c>
      <c r="AK1870" t="s">
        <v>64</v>
      </c>
      <c r="AL1870" t="s">
        <v>65</v>
      </c>
      <c r="AM1870" s="4">
        <v>0.61805555555555558</v>
      </c>
      <c r="AN1870" t="s">
        <v>66</v>
      </c>
      <c r="AO1870" t="s">
        <v>67</v>
      </c>
    </row>
    <row r="1871" spans="1:41" x14ac:dyDescent="0.2">
      <c r="A1871">
        <v>369194</v>
      </c>
      <c r="B1871" t="s">
        <v>12490</v>
      </c>
      <c r="C1871" t="s">
        <v>182</v>
      </c>
      <c r="D1871" t="s">
        <v>443</v>
      </c>
      <c r="E1871" t="s">
        <v>12491</v>
      </c>
      <c r="F1871">
        <v>44505</v>
      </c>
      <c r="G1871" s="1">
        <v>38653</v>
      </c>
      <c r="H1871" s="1">
        <v>45728</v>
      </c>
      <c r="I1871" s="1">
        <v>46096</v>
      </c>
      <c r="J1871" t="s">
        <v>45</v>
      </c>
      <c r="K1871" t="s">
        <v>45</v>
      </c>
      <c r="L1871" t="s">
        <v>46</v>
      </c>
      <c r="M1871" s="1">
        <v>44109</v>
      </c>
      <c r="N1871" t="s">
        <v>47</v>
      </c>
      <c r="O1871" t="s">
        <v>48</v>
      </c>
      <c r="P1871" t="s">
        <v>49</v>
      </c>
      <c r="Q1871" t="s">
        <v>12492</v>
      </c>
      <c r="R1871" t="s">
        <v>12493</v>
      </c>
      <c r="S1871">
        <v>4110</v>
      </c>
      <c r="T1871" t="s">
        <v>52</v>
      </c>
      <c r="U1871">
        <v>5</v>
      </c>
      <c r="V1871" t="s">
        <v>1817</v>
      </c>
      <c r="W1871" t="s">
        <v>54</v>
      </c>
      <c r="X1871" t="s">
        <v>493</v>
      </c>
      <c r="Y1871" t="s">
        <v>434</v>
      </c>
      <c r="Z1871">
        <v>1485</v>
      </c>
      <c r="AA1871">
        <v>77</v>
      </c>
      <c r="AB1871">
        <v>144</v>
      </c>
      <c r="AC1871" t="s">
        <v>1821</v>
      </c>
      <c r="AD1871" t="s">
        <v>1822</v>
      </c>
      <c r="AE1871" t="s">
        <v>1823</v>
      </c>
      <c r="AF1871" t="s">
        <v>6403</v>
      </c>
      <c r="AG1871" t="s">
        <v>6404</v>
      </c>
      <c r="AH1871" t="s">
        <v>12494</v>
      </c>
      <c r="AI1871" t="s">
        <v>500</v>
      </c>
      <c r="AJ1871" s="2">
        <v>45728.953067129631</v>
      </c>
      <c r="AK1871" t="s">
        <v>1472</v>
      </c>
      <c r="AL1871" t="s">
        <v>65</v>
      </c>
      <c r="AM1871" s="3">
        <v>2.1666666666666665</v>
      </c>
      <c r="AN1871" t="s">
        <v>66</v>
      </c>
      <c r="AO1871" t="s">
        <v>67</v>
      </c>
    </row>
    <row r="1872" spans="1:41" x14ac:dyDescent="0.2">
      <c r="A1872">
        <v>366261</v>
      </c>
      <c r="B1872" t="s">
        <v>12495</v>
      </c>
      <c r="C1872" t="s">
        <v>558</v>
      </c>
      <c r="D1872" t="s">
        <v>70</v>
      </c>
      <c r="E1872" t="s">
        <v>12496</v>
      </c>
      <c r="F1872">
        <v>261708</v>
      </c>
      <c r="G1872" s="1">
        <v>35922</v>
      </c>
      <c r="H1872" s="1">
        <v>45608</v>
      </c>
      <c r="I1872" s="1">
        <v>45915</v>
      </c>
      <c r="J1872" t="s">
        <v>45</v>
      </c>
      <c r="K1872" t="s">
        <v>45</v>
      </c>
      <c r="L1872" t="s">
        <v>429</v>
      </c>
      <c r="M1872" s="1">
        <v>43796</v>
      </c>
      <c r="N1872" t="s">
        <v>47</v>
      </c>
      <c r="O1872" t="s">
        <v>48</v>
      </c>
      <c r="P1872" t="s">
        <v>49</v>
      </c>
      <c r="Q1872" t="s">
        <v>12497</v>
      </c>
      <c r="R1872" t="s">
        <v>12498</v>
      </c>
      <c r="S1872">
        <v>5600</v>
      </c>
      <c r="T1872" t="s">
        <v>52</v>
      </c>
      <c r="U1872">
        <v>4</v>
      </c>
      <c r="V1872" t="s">
        <v>1271</v>
      </c>
      <c r="W1872" t="s">
        <v>54</v>
      </c>
      <c r="X1872" t="s">
        <v>493</v>
      </c>
      <c r="Y1872" t="s">
        <v>56</v>
      </c>
      <c r="Z1872">
        <v>1373</v>
      </c>
      <c r="AA1872">
        <v>56</v>
      </c>
      <c r="AB1872">
        <v>52</v>
      </c>
      <c r="AC1872" t="s">
        <v>10555</v>
      </c>
      <c r="AD1872" t="s">
        <v>8474</v>
      </c>
      <c r="AE1872" t="s">
        <v>10556</v>
      </c>
      <c r="AI1872" t="s">
        <v>1275</v>
      </c>
      <c r="AJ1872" s="2">
        <v>45610.853668981479</v>
      </c>
      <c r="AK1872" t="s">
        <v>556</v>
      </c>
      <c r="AL1872" t="s">
        <v>65</v>
      </c>
      <c r="AM1872" s="3">
        <v>2.4861111111111112</v>
      </c>
      <c r="AN1872" t="s">
        <v>66</v>
      </c>
      <c r="AO1872" t="s">
        <v>67</v>
      </c>
    </row>
    <row r="1873" spans="1:41" x14ac:dyDescent="0.2">
      <c r="A1873">
        <v>370090</v>
      </c>
      <c r="B1873" t="s">
        <v>12499</v>
      </c>
      <c r="C1873" t="s">
        <v>182</v>
      </c>
      <c r="D1873" t="s">
        <v>610</v>
      </c>
      <c r="E1873" t="s">
        <v>12500</v>
      </c>
      <c r="G1873" s="1">
        <v>40080</v>
      </c>
      <c r="H1873" s="1">
        <v>45757</v>
      </c>
      <c r="J1873" t="s">
        <v>45</v>
      </c>
      <c r="K1873" t="s">
        <v>45</v>
      </c>
      <c r="L1873" t="s">
        <v>72</v>
      </c>
      <c r="N1873" t="s">
        <v>47</v>
      </c>
      <c r="O1873" t="s">
        <v>48</v>
      </c>
      <c r="P1873" t="s">
        <v>1752</v>
      </c>
      <c r="Q1873" t="s">
        <v>12501</v>
      </c>
      <c r="R1873" t="s">
        <v>12502</v>
      </c>
      <c r="S1873">
        <v>2044</v>
      </c>
      <c r="T1873" t="s">
        <v>449</v>
      </c>
      <c r="U1873" t="s">
        <v>187</v>
      </c>
      <c r="V1873" t="s">
        <v>520</v>
      </c>
      <c r="W1873" t="s">
        <v>521</v>
      </c>
      <c r="X1873" t="s">
        <v>449</v>
      </c>
      <c r="Y1873" t="s">
        <v>450</v>
      </c>
      <c r="Z1873">
        <v>3093</v>
      </c>
      <c r="AA1873">
        <v>27</v>
      </c>
      <c r="AB1873">
        <v>52</v>
      </c>
      <c r="AC1873" t="s">
        <v>12214</v>
      </c>
      <c r="AD1873" t="s">
        <v>523</v>
      </c>
      <c r="AE1873" t="s">
        <v>524</v>
      </c>
      <c r="AI1873" t="s">
        <v>523</v>
      </c>
      <c r="AJ1873" s="2">
        <v>45763.562152777777</v>
      </c>
      <c r="AK1873" t="s">
        <v>526</v>
      </c>
      <c r="AL1873" t="s">
        <v>65</v>
      </c>
      <c r="AM1873" s="3">
        <v>2.1111111111111112</v>
      </c>
      <c r="AN1873" t="s">
        <v>66</v>
      </c>
      <c r="AO1873" t="s">
        <v>67</v>
      </c>
    </row>
    <row r="1874" spans="1:41" x14ac:dyDescent="0.2">
      <c r="A1874">
        <v>364303</v>
      </c>
      <c r="B1874" t="s">
        <v>12503</v>
      </c>
      <c r="C1874" t="s">
        <v>1107</v>
      </c>
      <c r="D1874" t="s">
        <v>12504</v>
      </c>
      <c r="E1874" t="s">
        <v>12505</v>
      </c>
      <c r="F1874">
        <v>238802</v>
      </c>
      <c r="G1874" s="1">
        <v>42201</v>
      </c>
      <c r="H1874" s="1">
        <v>45519</v>
      </c>
      <c r="I1874" s="1">
        <v>46235</v>
      </c>
      <c r="J1874" t="s">
        <v>45</v>
      </c>
      <c r="K1874" t="s">
        <v>45</v>
      </c>
      <c r="L1874" t="s">
        <v>72</v>
      </c>
      <c r="M1874" s="1">
        <v>45539</v>
      </c>
      <c r="N1874" t="s">
        <v>47</v>
      </c>
      <c r="O1874" t="s">
        <v>48</v>
      </c>
      <c r="P1874" t="s">
        <v>49</v>
      </c>
      <c r="Q1874" t="s">
        <v>12506</v>
      </c>
      <c r="R1874" t="s">
        <v>12507</v>
      </c>
      <c r="S1874">
        <v>1182</v>
      </c>
      <c r="T1874" t="s">
        <v>92</v>
      </c>
      <c r="U1874" t="s">
        <v>1111</v>
      </c>
      <c r="V1874" t="s">
        <v>1112</v>
      </c>
      <c r="W1874" t="s">
        <v>1113</v>
      </c>
      <c r="X1874" t="s">
        <v>92</v>
      </c>
      <c r="Y1874" t="s">
        <v>110</v>
      </c>
      <c r="Z1874">
        <v>7547</v>
      </c>
      <c r="AA1874">
        <v>11</v>
      </c>
      <c r="AB1874">
        <v>28</v>
      </c>
      <c r="AC1874" t="s">
        <v>1114</v>
      </c>
      <c r="AD1874" t="s">
        <v>4143</v>
      </c>
      <c r="AE1874" t="s">
        <v>1116</v>
      </c>
      <c r="AF1874" t="s">
        <v>12508</v>
      </c>
      <c r="AG1874" t="s">
        <v>4143</v>
      </c>
      <c r="AH1874" t="s">
        <v>12481</v>
      </c>
      <c r="AJ1874" s="2">
        <v>45540.541435185187</v>
      </c>
      <c r="AK1874" t="s">
        <v>1114</v>
      </c>
      <c r="AL1874" t="s">
        <v>65</v>
      </c>
      <c r="AM1874" s="3">
        <v>1.8819444444444444</v>
      </c>
      <c r="AN1874" t="s">
        <v>66</v>
      </c>
      <c r="AO1874" t="s">
        <v>67</v>
      </c>
    </row>
    <row r="1875" spans="1:41" x14ac:dyDescent="0.2">
      <c r="A1875">
        <v>371589</v>
      </c>
      <c r="B1875" t="s">
        <v>12509</v>
      </c>
      <c r="C1875" t="s">
        <v>42</v>
      </c>
      <c r="D1875" t="s">
        <v>5131</v>
      </c>
      <c r="E1875" t="s">
        <v>12510</v>
      </c>
      <c r="F1875">
        <v>291501</v>
      </c>
      <c r="G1875" s="1">
        <v>37175</v>
      </c>
      <c r="H1875" s="1">
        <v>45811</v>
      </c>
      <c r="I1875" s="1">
        <v>46143</v>
      </c>
      <c r="J1875" t="s">
        <v>45</v>
      </c>
      <c r="K1875" t="s">
        <v>45</v>
      </c>
      <c r="L1875" t="s">
        <v>46</v>
      </c>
      <c r="M1875" s="1">
        <v>41221</v>
      </c>
      <c r="N1875" t="s">
        <v>47</v>
      </c>
      <c r="O1875" t="s">
        <v>48</v>
      </c>
      <c r="P1875" t="s">
        <v>49</v>
      </c>
      <c r="Q1875" t="s">
        <v>12511</v>
      </c>
      <c r="R1875" t="s">
        <v>12512</v>
      </c>
      <c r="S1875">
        <v>6488</v>
      </c>
      <c r="T1875" t="s">
        <v>52</v>
      </c>
      <c r="U1875">
        <v>3</v>
      </c>
      <c r="V1875" t="s">
        <v>53</v>
      </c>
      <c r="W1875" t="s">
        <v>54</v>
      </c>
      <c r="X1875" t="s">
        <v>55</v>
      </c>
      <c r="Y1875" t="s">
        <v>56</v>
      </c>
      <c r="Z1875">
        <v>1030</v>
      </c>
      <c r="AA1875">
        <v>58</v>
      </c>
      <c r="AB1875">
        <v>160</v>
      </c>
      <c r="AC1875" t="s">
        <v>57</v>
      </c>
      <c r="AD1875" t="s">
        <v>58</v>
      </c>
      <c r="AE1875" t="s">
        <v>4968</v>
      </c>
      <c r="AF1875" t="s">
        <v>60</v>
      </c>
      <c r="AG1875" t="s">
        <v>61</v>
      </c>
      <c r="AH1875" t="s">
        <v>62</v>
      </c>
      <c r="AI1875" t="s">
        <v>1809</v>
      </c>
      <c r="AJ1875" s="2">
        <v>45817.661423611113</v>
      </c>
      <c r="AK1875" t="s">
        <v>64</v>
      </c>
      <c r="AL1875" t="s">
        <v>65</v>
      </c>
      <c r="AM1875" s="4">
        <v>0.24305555555555555</v>
      </c>
      <c r="AN1875" t="s">
        <v>66</v>
      </c>
      <c r="AO1875" t="s">
        <v>67</v>
      </c>
    </row>
    <row r="1876" spans="1:41" x14ac:dyDescent="0.2">
      <c r="A1876">
        <v>351065</v>
      </c>
      <c r="B1876" t="s">
        <v>12513</v>
      </c>
      <c r="C1876" t="s">
        <v>2298</v>
      </c>
      <c r="D1876" t="s">
        <v>12514</v>
      </c>
      <c r="E1876" t="s">
        <v>12515</v>
      </c>
      <c r="F1876">
        <v>226599</v>
      </c>
      <c r="G1876" s="1">
        <v>40289</v>
      </c>
      <c r="H1876" s="1">
        <v>44593</v>
      </c>
      <c r="J1876" t="s">
        <v>45</v>
      </c>
      <c r="K1876" t="s">
        <v>72</v>
      </c>
      <c r="L1876" t="s">
        <v>72</v>
      </c>
      <c r="N1876" t="s">
        <v>89</v>
      </c>
      <c r="O1876" t="s">
        <v>121</v>
      </c>
      <c r="P1876" t="s">
        <v>49</v>
      </c>
      <c r="Q1876" t="s">
        <v>12516</v>
      </c>
      <c r="R1876" t="s">
        <v>12517</v>
      </c>
      <c r="S1876">
        <v>23</v>
      </c>
      <c r="T1876" t="s">
        <v>92</v>
      </c>
      <c r="U1876" t="s">
        <v>5509</v>
      </c>
      <c r="V1876" t="s">
        <v>5510</v>
      </c>
      <c r="W1876" t="s">
        <v>5511</v>
      </c>
      <c r="X1876" t="s">
        <v>52</v>
      </c>
      <c r="Y1876" t="s">
        <v>770</v>
      </c>
      <c r="Z1876">
        <v>2298</v>
      </c>
      <c r="AA1876">
        <v>37</v>
      </c>
      <c r="AB1876">
        <v>144</v>
      </c>
      <c r="AC1876" t="s">
        <v>5512</v>
      </c>
      <c r="AD1876" t="s">
        <v>5513</v>
      </c>
      <c r="AE1876" t="s">
        <v>5514</v>
      </c>
      <c r="AF1876" t="s">
        <v>5515</v>
      </c>
      <c r="AG1876" t="s">
        <v>5516</v>
      </c>
      <c r="AH1876" t="s">
        <v>5517</v>
      </c>
      <c r="AI1876" t="s">
        <v>5518</v>
      </c>
      <c r="AJ1876" s="2">
        <v>45824.58525462963</v>
      </c>
      <c r="AK1876" t="s">
        <v>5519</v>
      </c>
      <c r="AL1876" t="s">
        <v>475</v>
      </c>
      <c r="AM1876" s="3">
        <v>2.4791666666666665</v>
      </c>
      <c r="AN1876" t="s">
        <v>66</v>
      </c>
      <c r="AO1876" t="s">
        <v>67</v>
      </c>
    </row>
    <row r="1877" spans="1:41" x14ac:dyDescent="0.2">
      <c r="A1877">
        <v>367930</v>
      </c>
      <c r="B1877" t="s">
        <v>12518</v>
      </c>
      <c r="C1877" t="s">
        <v>2298</v>
      </c>
      <c r="D1877" t="s">
        <v>168</v>
      </c>
      <c r="E1877">
        <v>83770216</v>
      </c>
      <c r="F1877">
        <v>228202</v>
      </c>
      <c r="G1877" s="1">
        <v>37594</v>
      </c>
      <c r="H1877" s="1">
        <v>45687</v>
      </c>
      <c r="J1877" t="s">
        <v>45</v>
      </c>
      <c r="K1877" t="s">
        <v>326</v>
      </c>
      <c r="L1877" t="s">
        <v>72</v>
      </c>
      <c r="N1877" t="s">
        <v>47</v>
      </c>
      <c r="O1877" t="s">
        <v>48</v>
      </c>
      <c r="P1877" t="s">
        <v>49</v>
      </c>
      <c r="Q1877" t="s">
        <v>12519</v>
      </c>
      <c r="R1877" t="s">
        <v>12520</v>
      </c>
      <c r="S1877">
        <v>25</v>
      </c>
      <c r="T1877" t="s">
        <v>156</v>
      </c>
      <c r="U1877" t="s">
        <v>157</v>
      </c>
      <c r="V1877" t="s">
        <v>3157</v>
      </c>
      <c r="W1877" t="s">
        <v>159</v>
      </c>
      <c r="X1877" t="s">
        <v>156</v>
      </c>
      <c r="Y1877" t="s">
        <v>450</v>
      </c>
      <c r="Z1877">
        <v>1540</v>
      </c>
      <c r="AA1877">
        <v>35</v>
      </c>
      <c r="AB1877">
        <v>158</v>
      </c>
      <c r="AC1877" t="s">
        <v>3158</v>
      </c>
      <c r="AD1877" t="s">
        <v>3159</v>
      </c>
      <c r="AE1877" t="s">
        <v>3160</v>
      </c>
      <c r="AF1877" t="s">
        <v>3161</v>
      </c>
      <c r="AG1877" t="s">
        <v>3162</v>
      </c>
      <c r="AH1877" t="s">
        <v>12521</v>
      </c>
      <c r="AI1877" t="s">
        <v>8111</v>
      </c>
      <c r="AJ1877" s="2">
        <v>45693.822291666664</v>
      </c>
      <c r="AK1877" t="s">
        <v>526</v>
      </c>
      <c r="AL1877" t="s">
        <v>65</v>
      </c>
      <c r="AM1877" s="3">
        <v>2.1319444444444446</v>
      </c>
      <c r="AN1877" t="s">
        <v>66</v>
      </c>
      <c r="AO1877" t="s">
        <v>67</v>
      </c>
    </row>
    <row r="1878" spans="1:41" x14ac:dyDescent="0.2">
      <c r="A1878">
        <v>356466</v>
      </c>
      <c r="B1878" t="s">
        <v>12522</v>
      </c>
      <c r="C1878" t="s">
        <v>2298</v>
      </c>
      <c r="E1878" t="s">
        <v>12523</v>
      </c>
      <c r="F1878">
        <v>228290</v>
      </c>
      <c r="G1878" s="1">
        <v>40917</v>
      </c>
      <c r="H1878" s="1">
        <v>43628</v>
      </c>
      <c r="I1878" s="1">
        <v>45945</v>
      </c>
      <c r="J1878" t="s">
        <v>326</v>
      </c>
      <c r="K1878" t="s">
        <v>326</v>
      </c>
      <c r="L1878" t="s">
        <v>72</v>
      </c>
      <c r="N1878" t="s">
        <v>89</v>
      </c>
      <c r="O1878" t="s">
        <v>121</v>
      </c>
      <c r="P1878" t="s">
        <v>49</v>
      </c>
      <c r="Q1878" t="s">
        <v>12524</v>
      </c>
      <c r="R1878" t="s">
        <v>12525</v>
      </c>
      <c r="S1878">
        <v>125</v>
      </c>
      <c r="T1878" t="s">
        <v>156</v>
      </c>
      <c r="U1878" t="s">
        <v>157</v>
      </c>
      <c r="V1878" t="s">
        <v>3157</v>
      </c>
      <c r="W1878" t="s">
        <v>159</v>
      </c>
      <c r="X1878" t="s">
        <v>156</v>
      </c>
      <c r="Y1878" t="s">
        <v>110</v>
      </c>
      <c r="Z1878">
        <v>2868</v>
      </c>
      <c r="AA1878">
        <v>24</v>
      </c>
      <c r="AB1878">
        <v>166</v>
      </c>
      <c r="AC1878" t="s">
        <v>3158</v>
      </c>
      <c r="AD1878" t="s">
        <v>3159</v>
      </c>
      <c r="AE1878" t="s">
        <v>3160</v>
      </c>
      <c r="AF1878" t="s">
        <v>3161</v>
      </c>
      <c r="AG1878" t="s">
        <v>3162</v>
      </c>
      <c r="AH1878" t="s">
        <v>3163</v>
      </c>
      <c r="AJ1878" s="2">
        <v>45313.591562499998</v>
      </c>
      <c r="AK1878" t="s">
        <v>149</v>
      </c>
      <c r="AL1878" t="s">
        <v>475</v>
      </c>
      <c r="AM1878" s="3">
        <v>1.9375</v>
      </c>
      <c r="AN1878" t="s">
        <v>66</v>
      </c>
      <c r="AO1878" t="s">
        <v>67</v>
      </c>
    </row>
    <row r="1879" spans="1:41" x14ac:dyDescent="0.2">
      <c r="A1879">
        <v>357601</v>
      </c>
      <c r="B1879" t="s">
        <v>12526</v>
      </c>
      <c r="C1879" t="s">
        <v>2298</v>
      </c>
      <c r="H1879" s="1">
        <v>43790</v>
      </c>
      <c r="I1879" s="1">
        <v>45915</v>
      </c>
      <c r="J1879" t="s">
        <v>326</v>
      </c>
      <c r="K1879" t="s">
        <v>326</v>
      </c>
      <c r="L1879" t="s">
        <v>72</v>
      </c>
      <c r="N1879" t="s">
        <v>89</v>
      </c>
      <c r="O1879" t="s">
        <v>121</v>
      </c>
      <c r="P1879" t="s">
        <v>49</v>
      </c>
      <c r="Q1879" t="s">
        <v>12527</v>
      </c>
      <c r="R1879" t="s">
        <v>12528</v>
      </c>
      <c r="S1879">
        <v>90</v>
      </c>
      <c r="T1879" t="s">
        <v>156</v>
      </c>
      <c r="U1879" t="s">
        <v>157</v>
      </c>
      <c r="V1879" t="s">
        <v>3157</v>
      </c>
      <c r="W1879" t="s">
        <v>11570</v>
      </c>
      <c r="X1879" t="s">
        <v>156</v>
      </c>
      <c r="Y1879" t="s">
        <v>110</v>
      </c>
      <c r="Z1879">
        <v>2809</v>
      </c>
      <c r="AA1879">
        <v>18</v>
      </c>
      <c r="AC1879" t="s">
        <v>3158</v>
      </c>
      <c r="AD1879" t="s">
        <v>3159</v>
      </c>
      <c r="AE1879" t="s">
        <v>3160</v>
      </c>
      <c r="AF1879" t="s">
        <v>3161</v>
      </c>
      <c r="AG1879" t="s">
        <v>3162</v>
      </c>
      <c r="AH1879" t="s">
        <v>3163</v>
      </c>
      <c r="AJ1879" s="2">
        <v>45335.667395833334</v>
      </c>
      <c r="AK1879" t="s">
        <v>100</v>
      </c>
      <c r="AL1879" t="s">
        <v>475</v>
      </c>
      <c r="AM1879" s="4">
        <v>0</v>
      </c>
      <c r="AN1879" t="s">
        <v>2857</v>
      </c>
      <c r="AO1879" t="s">
        <v>67</v>
      </c>
    </row>
    <row r="1880" spans="1:41" x14ac:dyDescent="0.2">
      <c r="A1880">
        <v>365998</v>
      </c>
      <c r="B1880" t="s">
        <v>12529</v>
      </c>
      <c r="C1880" t="s">
        <v>735</v>
      </c>
      <c r="D1880" t="s">
        <v>2790</v>
      </c>
      <c r="E1880" t="s">
        <v>12530</v>
      </c>
      <c r="G1880" s="1">
        <v>45526</v>
      </c>
      <c r="H1880" s="1">
        <v>45513</v>
      </c>
      <c r="J1880" t="s">
        <v>45</v>
      </c>
      <c r="K1880" t="s">
        <v>45</v>
      </c>
      <c r="L1880" t="s">
        <v>72</v>
      </c>
      <c r="N1880" t="s">
        <v>89</v>
      </c>
      <c r="O1880" t="s">
        <v>121</v>
      </c>
      <c r="P1880" t="s">
        <v>49</v>
      </c>
      <c r="Q1880" t="s">
        <v>12531</v>
      </c>
      <c r="R1880" t="s">
        <v>12532</v>
      </c>
      <c r="S1880">
        <v>5480</v>
      </c>
      <c r="T1880" t="s">
        <v>92</v>
      </c>
      <c r="U1880" t="s">
        <v>3192</v>
      </c>
      <c r="V1880" t="s">
        <v>3193</v>
      </c>
      <c r="W1880" t="s">
        <v>3194</v>
      </c>
      <c r="X1880" t="s">
        <v>76</v>
      </c>
      <c r="Y1880" t="s">
        <v>96</v>
      </c>
      <c r="Z1880">
        <v>12237</v>
      </c>
      <c r="AA1880">
        <v>6</v>
      </c>
      <c r="AB1880">
        <v>44</v>
      </c>
      <c r="AC1880" t="s">
        <v>3198</v>
      </c>
      <c r="AD1880" t="s">
        <v>3199</v>
      </c>
      <c r="AE1880" t="s">
        <v>12533</v>
      </c>
      <c r="AF1880" t="s">
        <v>12534</v>
      </c>
      <c r="AG1880" t="s">
        <v>12535</v>
      </c>
      <c r="AH1880" t="s">
        <v>12536</v>
      </c>
      <c r="AJ1880" s="2">
        <v>45600.699432870373</v>
      </c>
      <c r="AK1880" t="s">
        <v>800</v>
      </c>
      <c r="AL1880" t="s">
        <v>65</v>
      </c>
      <c r="AM1880" s="3">
        <v>1.5659722222222223</v>
      </c>
      <c r="AN1880" t="s">
        <v>66</v>
      </c>
      <c r="AO1880" t="s">
        <v>67</v>
      </c>
    </row>
    <row r="1881" spans="1:41" x14ac:dyDescent="0.2">
      <c r="A1881">
        <v>372198</v>
      </c>
      <c r="B1881" t="s">
        <v>12537</v>
      </c>
      <c r="C1881" t="s">
        <v>735</v>
      </c>
      <c r="D1881" t="s">
        <v>2922</v>
      </c>
      <c r="E1881" t="s">
        <v>12538</v>
      </c>
      <c r="G1881" s="1">
        <v>45548</v>
      </c>
      <c r="H1881" s="1">
        <v>45513</v>
      </c>
      <c r="J1881" t="s">
        <v>45</v>
      </c>
      <c r="K1881" t="s">
        <v>45</v>
      </c>
      <c r="L1881" t="s">
        <v>72</v>
      </c>
      <c r="N1881" t="s">
        <v>89</v>
      </c>
      <c r="O1881" t="s">
        <v>121</v>
      </c>
      <c r="P1881" t="s">
        <v>49</v>
      </c>
      <c r="Q1881" t="s">
        <v>12539</v>
      </c>
      <c r="R1881" t="s">
        <v>12540</v>
      </c>
      <c r="S1881">
        <v>6699</v>
      </c>
      <c r="T1881" t="s">
        <v>92</v>
      </c>
      <c r="U1881" t="s">
        <v>3192</v>
      </c>
      <c r="V1881" t="s">
        <v>3193</v>
      </c>
      <c r="W1881" t="s">
        <v>3194</v>
      </c>
      <c r="X1881" t="s">
        <v>76</v>
      </c>
      <c r="Y1881" t="s">
        <v>96</v>
      </c>
      <c r="Z1881">
        <v>12238</v>
      </c>
      <c r="AA1881">
        <v>5</v>
      </c>
      <c r="AB1881">
        <v>44</v>
      </c>
      <c r="AC1881" t="s">
        <v>3198</v>
      </c>
      <c r="AD1881" t="s">
        <v>3199</v>
      </c>
      <c r="AE1881" t="s">
        <v>12533</v>
      </c>
      <c r="AF1881" t="s">
        <v>12534</v>
      </c>
      <c r="AG1881" t="s">
        <v>12535</v>
      </c>
      <c r="AH1881" t="s">
        <v>12536</v>
      </c>
      <c r="AJ1881" s="2">
        <v>45833.646122685182</v>
      </c>
      <c r="AK1881" t="s">
        <v>84</v>
      </c>
      <c r="AL1881" t="s">
        <v>65</v>
      </c>
      <c r="AM1881" s="3">
        <v>1.5729166666666667</v>
      </c>
      <c r="AN1881" t="s">
        <v>66</v>
      </c>
      <c r="AO1881" t="s">
        <v>67</v>
      </c>
    </row>
    <row r="1882" spans="1:41" x14ac:dyDescent="0.2">
      <c r="A1882">
        <v>372785</v>
      </c>
      <c r="B1882" t="s">
        <v>12541</v>
      </c>
      <c r="C1882" t="s">
        <v>167</v>
      </c>
      <c r="D1882" t="s">
        <v>6822</v>
      </c>
      <c r="E1882" t="s">
        <v>12542</v>
      </c>
      <c r="G1882" s="1">
        <v>45645</v>
      </c>
      <c r="H1882" s="1">
        <v>45649</v>
      </c>
      <c r="I1882" s="1">
        <v>45976</v>
      </c>
      <c r="J1882" t="s">
        <v>45</v>
      </c>
      <c r="K1882" t="s">
        <v>45</v>
      </c>
      <c r="L1882" t="s">
        <v>72</v>
      </c>
      <c r="N1882" t="s">
        <v>89</v>
      </c>
      <c r="O1882" t="s">
        <v>121</v>
      </c>
      <c r="P1882" t="s">
        <v>49</v>
      </c>
      <c r="Q1882" t="s">
        <v>12543</v>
      </c>
      <c r="R1882" t="s">
        <v>12544</v>
      </c>
      <c r="S1882">
        <v>1040</v>
      </c>
      <c r="T1882" t="s">
        <v>52</v>
      </c>
      <c r="U1882">
        <v>6</v>
      </c>
      <c r="V1882" t="s">
        <v>11237</v>
      </c>
      <c r="W1882" t="s">
        <v>54</v>
      </c>
      <c r="X1882" t="s">
        <v>52</v>
      </c>
      <c r="Y1882" t="s">
        <v>125</v>
      </c>
      <c r="Z1882">
        <v>9686</v>
      </c>
      <c r="AA1882">
        <v>35</v>
      </c>
      <c r="AB1882">
        <v>52</v>
      </c>
      <c r="AC1882" t="s">
        <v>3548</v>
      </c>
      <c r="AD1882" t="s">
        <v>3549</v>
      </c>
      <c r="AE1882" t="s">
        <v>3550</v>
      </c>
      <c r="AF1882" t="s">
        <v>4330</v>
      </c>
      <c r="AG1882" t="s">
        <v>3552</v>
      </c>
      <c r="AH1882" t="s">
        <v>3553</v>
      </c>
      <c r="AJ1882" s="2">
        <v>45853.760520833333</v>
      </c>
      <c r="AK1882" t="s">
        <v>3554</v>
      </c>
      <c r="AL1882" t="s">
        <v>65</v>
      </c>
      <c r="AM1882" s="3">
        <v>2.2361111111111112</v>
      </c>
      <c r="AN1882" t="s">
        <v>66</v>
      </c>
      <c r="AO1882" t="s">
        <v>67</v>
      </c>
    </row>
    <row r="1883" spans="1:41" x14ac:dyDescent="0.2">
      <c r="A1883">
        <v>372786</v>
      </c>
      <c r="B1883" t="s">
        <v>12545</v>
      </c>
      <c r="C1883" t="s">
        <v>134</v>
      </c>
      <c r="D1883" t="s">
        <v>3543</v>
      </c>
      <c r="E1883" t="s">
        <v>12546</v>
      </c>
      <c r="G1883" s="1">
        <v>45645</v>
      </c>
      <c r="H1883" s="1">
        <v>45649</v>
      </c>
      <c r="I1883" s="1">
        <v>45976</v>
      </c>
      <c r="J1883" t="s">
        <v>45</v>
      </c>
      <c r="K1883" t="s">
        <v>45</v>
      </c>
      <c r="L1883" t="s">
        <v>72</v>
      </c>
      <c r="N1883" t="s">
        <v>89</v>
      </c>
      <c r="O1883" t="s">
        <v>121</v>
      </c>
      <c r="P1883" t="s">
        <v>49</v>
      </c>
      <c r="Q1883" t="s">
        <v>12547</v>
      </c>
      <c r="R1883" t="s">
        <v>12548</v>
      </c>
      <c r="S1883">
        <v>4202</v>
      </c>
      <c r="T1883" t="s">
        <v>52</v>
      </c>
      <c r="U1883">
        <v>6</v>
      </c>
      <c r="V1883" t="s">
        <v>11237</v>
      </c>
      <c r="W1883" t="s">
        <v>54</v>
      </c>
      <c r="X1883" t="s">
        <v>52</v>
      </c>
      <c r="Y1883" t="s">
        <v>125</v>
      </c>
      <c r="Z1883">
        <v>9687</v>
      </c>
      <c r="AA1883">
        <v>39</v>
      </c>
      <c r="AB1883">
        <v>52</v>
      </c>
      <c r="AC1883" t="s">
        <v>3548</v>
      </c>
      <c r="AD1883" t="s">
        <v>3549</v>
      </c>
      <c r="AE1883" t="s">
        <v>3550</v>
      </c>
      <c r="AF1883" t="s">
        <v>4330</v>
      </c>
      <c r="AG1883" t="s">
        <v>3552</v>
      </c>
      <c r="AH1883" t="s">
        <v>3553</v>
      </c>
      <c r="AJ1883" s="2">
        <v>45853.761469907404</v>
      </c>
      <c r="AK1883" t="s">
        <v>3554</v>
      </c>
      <c r="AL1883" t="s">
        <v>65</v>
      </c>
      <c r="AM1883" s="3">
        <v>2.3888888888888888</v>
      </c>
      <c r="AN1883" t="s">
        <v>66</v>
      </c>
      <c r="AO1883" t="s">
        <v>67</v>
      </c>
    </row>
    <row r="1884" spans="1:41" x14ac:dyDescent="0.2">
      <c r="A1884">
        <v>364028</v>
      </c>
      <c r="B1884" t="s">
        <v>12549</v>
      </c>
      <c r="C1884" t="s">
        <v>412</v>
      </c>
      <c r="D1884" t="s">
        <v>12550</v>
      </c>
      <c r="E1884" t="s">
        <v>12551</v>
      </c>
      <c r="F1884">
        <v>300312</v>
      </c>
      <c r="G1884" s="1">
        <v>38154</v>
      </c>
      <c r="H1884" s="1">
        <v>45492</v>
      </c>
      <c r="J1884" t="s">
        <v>45</v>
      </c>
      <c r="K1884" t="s">
        <v>72</v>
      </c>
      <c r="L1884" t="s">
        <v>72</v>
      </c>
      <c r="N1884" t="s">
        <v>47</v>
      </c>
      <c r="O1884" t="s">
        <v>48</v>
      </c>
      <c r="P1884" t="s">
        <v>49</v>
      </c>
      <c r="Q1884" t="s">
        <v>12552</v>
      </c>
      <c r="R1884" t="s">
        <v>12553</v>
      </c>
      <c r="S1884">
        <v>2000</v>
      </c>
      <c r="T1884" t="s">
        <v>92</v>
      </c>
      <c r="U1884" t="s">
        <v>417</v>
      </c>
      <c r="V1884" t="s">
        <v>418</v>
      </c>
      <c r="W1884" t="s">
        <v>419</v>
      </c>
      <c r="X1884" t="s">
        <v>92</v>
      </c>
      <c r="Y1884" t="s">
        <v>410</v>
      </c>
      <c r="Z1884">
        <v>2560</v>
      </c>
      <c r="AA1884">
        <v>32</v>
      </c>
      <c r="AB1884">
        <v>158</v>
      </c>
      <c r="AC1884" t="s">
        <v>420</v>
      </c>
      <c r="AD1884" t="s">
        <v>421</v>
      </c>
      <c r="AE1884" t="s">
        <v>422</v>
      </c>
      <c r="AF1884" t="s">
        <v>12554</v>
      </c>
      <c r="AG1884" t="s">
        <v>12555</v>
      </c>
      <c r="AH1884" t="s">
        <v>12556</v>
      </c>
      <c r="AJ1884" s="2">
        <v>45848.64607638889</v>
      </c>
      <c r="AK1884" t="s">
        <v>100</v>
      </c>
      <c r="AL1884" t="s">
        <v>65</v>
      </c>
      <c r="AM1884" s="4">
        <v>4.1666666666666664E-2</v>
      </c>
      <c r="AN1884" t="s">
        <v>66</v>
      </c>
      <c r="AO1884" t="s">
        <v>67</v>
      </c>
    </row>
    <row r="1885" spans="1:41" x14ac:dyDescent="0.2">
      <c r="A1885">
        <v>365176</v>
      </c>
      <c r="B1885" t="s">
        <v>12557</v>
      </c>
      <c r="C1885" t="s">
        <v>1107</v>
      </c>
      <c r="D1885" t="s">
        <v>1644</v>
      </c>
      <c r="E1885" t="s">
        <v>12558</v>
      </c>
      <c r="F1885">
        <v>236902</v>
      </c>
      <c r="G1885" s="1">
        <v>38124</v>
      </c>
      <c r="H1885" s="1">
        <v>45553</v>
      </c>
      <c r="I1885" s="1">
        <v>46266</v>
      </c>
      <c r="J1885" t="s">
        <v>45</v>
      </c>
      <c r="K1885" t="s">
        <v>45</v>
      </c>
      <c r="L1885" t="s">
        <v>72</v>
      </c>
      <c r="M1885" s="1">
        <v>45553</v>
      </c>
      <c r="N1885" t="s">
        <v>47</v>
      </c>
      <c r="O1885" t="s">
        <v>48</v>
      </c>
      <c r="P1885" t="s">
        <v>49</v>
      </c>
      <c r="Q1885" t="s">
        <v>12559</v>
      </c>
      <c r="R1885" t="s">
        <v>12560</v>
      </c>
      <c r="S1885">
        <v>1266</v>
      </c>
      <c r="T1885" t="s">
        <v>92</v>
      </c>
      <c r="U1885" t="s">
        <v>1111</v>
      </c>
      <c r="V1885" t="s">
        <v>1112</v>
      </c>
      <c r="W1885" t="s">
        <v>1113</v>
      </c>
      <c r="X1885" t="s">
        <v>52</v>
      </c>
      <c r="Y1885" t="s">
        <v>110</v>
      </c>
      <c r="Z1885">
        <v>1147</v>
      </c>
      <c r="AA1885">
        <v>40</v>
      </c>
      <c r="AB1885">
        <v>158</v>
      </c>
      <c r="AC1885" t="s">
        <v>1114</v>
      </c>
      <c r="AD1885" t="s">
        <v>4143</v>
      </c>
      <c r="AE1885" t="s">
        <v>1116</v>
      </c>
      <c r="AF1885" t="s">
        <v>12561</v>
      </c>
      <c r="AG1885" t="s">
        <v>12562</v>
      </c>
      <c r="AH1885" t="s">
        <v>12563</v>
      </c>
      <c r="AI1885" t="s">
        <v>12564</v>
      </c>
      <c r="AJ1885" s="2">
        <v>45572.849965277775</v>
      </c>
      <c r="AK1885" t="s">
        <v>1114</v>
      </c>
      <c r="AL1885" t="s">
        <v>65</v>
      </c>
      <c r="AM1885" s="4">
        <v>1.3888888888888888E-2</v>
      </c>
      <c r="AN1885" t="s">
        <v>66</v>
      </c>
      <c r="AO1885" t="s">
        <v>67</v>
      </c>
    </row>
    <row r="1886" spans="1:41" x14ac:dyDescent="0.2">
      <c r="A1886">
        <v>357462</v>
      </c>
      <c r="B1886" t="s">
        <v>12565</v>
      </c>
      <c r="C1886" t="s">
        <v>167</v>
      </c>
      <c r="D1886" t="s">
        <v>168</v>
      </c>
      <c r="E1886" t="s">
        <v>12566</v>
      </c>
      <c r="J1886" t="s">
        <v>45</v>
      </c>
      <c r="K1886" t="s">
        <v>45</v>
      </c>
      <c r="L1886" t="s">
        <v>72</v>
      </c>
      <c r="N1886" t="s">
        <v>89</v>
      </c>
      <c r="O1886" t="s">
        <v>48</v>
      </c>
      <c r="P1886" t="s">
        <v>49</v>
      </c>
      <c r="T1886" t="s">
        <v>449</v>
      </c>
      <c r="U1886" t="s">
        <v>3030</v>
      </c>
      <c r="V1886" t="s">
        <v>6945</v>
      </c>
      <c r="W1886" t="s">
        <v>6946</v>
      </c>
      <c r="X1886" t="s">
        <v>449</v>
      </c>
      <c r="Y1886" t="s">
        <v>96</v>
      </c>
      <c r="Z1886">
        <v>11427</v>
      </c>
      <c r="AA1886">
        <v>3</v>
      </c>
      <c r="AB1886">
        <v>210</v>
      </c>
      <c r="AC1886" t="s">
        <v>6947</v>
      </c>
      <c r="AD1886" t="s">
        <v>6948</v>
      </c>
      <c r="AE1886" t="s">
        <v>6949</v>
      </c>
      <c r="AF1886" t="s">
        <v>6950</v>
      </c>
      <c r="AG1886" t="s">
        <v>6951</v>
      </c>
      <c r="AH1886" t="s">
        <v>6952</v>
      </c>
      <c r="AJ1886" s="2">
        <v>45330.713136574072</v>
      </c>
      <c r="AK1886" t="s">
        <v>149</v>
      </c>
      <c r="AL1886" t="s">
        <v>65</v>
      </c>
      <c r="AM1886" s="4">
        <v>0.2986111111111111</v>
      </c>
      <c r="AN1886" t="s">
        <v>66</v>
      </c>
      <c r="AO1886" t="s">
        <v>67</v>
      </c>
    </row>
    <row r="1887" spans="1:41" x14ac:dyDescent="0.2">
      <c r="A1887">
        <v>356432</v>
      </c>
      <c r="B1887" t="s">
        <v>12567</v>
      </c>
      <c r="C1887" t="s">
        <v>103</v>
      </c>
      <c r="D1887" t="s">
        <v>12568</v>
      </c>
      <c r="E1887" t="s">
        <v>12569</v>
      </c>
      <c r="F1887">
        <v>316602</v>
      </c>
      <c r="G1887" s="1">
        <v>37785</v>
      </c>
      <c r="H1887" s="1">
        <v>45275</v>
      </c>
      <c r="I1887" s="1">
        <v>46310</v>
      </c>
      <c r="J1887" t="s">
        <v>45</v>
      </c>
      <c r="K1887" t="s">
        <v>45</v>
      </c>
      <c r="L1887" t="s">
        <v>72</v>
      </c>
      <c r="M1887" s="1">
        <v>42543</v>
      </c>
      <c r="N1887" t="s">
        <v>47</v>
      </c>
      <c r="O1887" t="s">
        <v>48</v>
      </c>
      <c r="P1887" t="s">
        <v>49</v>
      </c>
      <c r="Q1887" t="s">
        <v>12570</v>
      </c>
      <c r="R1887" t="s">
        <v>12571</v>
      </c>
      <c r="S1887">
        <v>676</v>
      </c>
      <c r="T1887" t="s">
        <v>92</v>
      </c>
      <c r="U1887" t="s">
        <v>107</v>
      </c>
      <c r="V1887" t="s">
        <v>108</v>
      </c>
      <c r="W1887" t="s">
        <v>109</v>
      </c>
      <c r="X1887" t="s">
        <v>52</v>
      </c>
      <c r="Y1887" t="s">
        <v>110</v>
      </c>
      <c r="Z1887">
        <v>2426</v>
      </c>
      <c r="AA1887">
        <v>41</v>
      </c>
      <c r="AB1887">
        <v>144</v>
      </c>
      <c r="AC1887" t="s">
        <v>12572</v>
      </c>
      <c r="AD1887" t="s">
        <v>12573</v>
      </c>
      <c r="AE1887" t="s">
        <v>12574</v>
      </c>
      <c r="AF1887" t="s">
        <v>12575</v>
      </c>
      <c r="AG1887" t="s">
        <v>12576</v>
      </c>
      <c r="AH1887" t="s">
        <v>12577</v>
      </c>
      <c r="AJ1887" s="2">
        <v>45818.719537037039</v>
      </c>
      <c r="AK1887" t="s">
        <v>100</v>
      </c>
      <c r="AL1887" t="s">
        <v>65</v>
      </c>
      <c r="AM1887" s="4">
        <v>0.4513888888888889</v>
      </c>
      <c r="AN1887" t="s">
        <v>66</v>
      </c>
      <c r="AO1887" t="s">
        <v>67</v>
      </c>
    </row>
    <row r="1888" spans="1:41" x14ac:dyDescent="0.2">
      <c r="A1888">
        <v>369608</v>
      </c>
      <c r="B1888" t="s">
        <v>12578</v>
      </c>
      <c r="C1888" t="s">
        <v>182</v>
      </c>
      <c r="D1888" t="s">
        <v>610</v>
      </c>
      <c r="E1888" t="s">
        <v>12579</v>
      </c>
      <c r="F1888">
        <v>45709</v>
      </c>
      <c r="G1888" s="1">
        <v>35110</v>
      </c>
      <c r="H1888" s="1">
        <v>45743</v>
      </c>
      <c r="I1888" s="1">
        <v>46113</v>
      </c>
      <c r="J1888" t="s">
        <v>45</v>
      </c>
      <c r="K1888" t="s">
        <v>326</v>
      </c>
      <c r="L1888" t="s">
        <v>72</v>
      </c>
      <c r="M1888" s="1">
        <v>42305</v>
      </c>
      <c r="N1888" t="s">
        <v>47</v>
      </c>
      <c r="O1888" t="s">
        <v>48</v>
      </c>
      <c r="P1888" t="s">
        <v>49</v>
      </c>
      <c r="Q1888" t="s">
        <v>12580</v>
      </c>
      <c r="R1888" t="s">
        <v>12581</v>
      </c>
      <c r="S1888">
        <v>5737</v>
      </c>
      <c r="T1888" t="s">
        <v>52</v>
      </c>
      <c r="U1888">
        <v>5</v>
      </c>
      <c r="V1888" t="s">
        <v>614</v>
      </c>
      <c r="W1888" t="s">
        <v>54</v>
      </c>
      <c r="X1888" t="s">
        <v>493</v>
      </c>
      <c r="Y1888" t="s">
        <v>434</v>
      </c>
      <c r="Z1888">
        <v>954</v>
      </c>
      <c r="AA1888">
        <v>56</v>
      </c>
      <c r="AB1888">
        <v>210</v>
      </c>
      <c r="AC1888" t="s">
        <v>615</v>
      </c>
      <c r="AD1888" t="s">
        <v>616</v>
      </c>
      <c r="AE1888" t="s">
        <v>617</v>
      </c>
      <c r="AF1888" t="s">
        <v>4148</v>
      </c>
      <c r="AG1888" t="s">
        <v>619</v>
      </c>
      <c r="AH1888" t="s">
        <v>617</v>
      </c>
      <c r="AI1888" t="s">
        <v>620</v>
      </c>
      <c r="AJ1888" s="2">
        <v>45747.634016203701</v>
      </c>
      <c r="AK1888" t="s">
        <v>540</v>
      </c>
      <c r="AL1888" t="s">
        <v>65</v>
      </c>
      <c r="AM1888" s="3">
        <v>2.1736111111111112</v>
      </c>
      <c r="AN1888" t="s">
        <v>66</v>
      </c>
      <c r="AO1888" t="s">
        <v>67</v>
      </c>
    </row>
    <row r="1889" spans="1:41" x14ac:dyDescent="0.2">
      <c r="A1889">
        <v>367910</v>
      </c>
      <c r="B1889" t="s">
        <v>12582</v>
      </c>
      <c r="C1889" t="s">
        <v>221</v>
      </c>
      <c r="E1889" t="s">
        <v>12583</v>
      </c>
      <c r="F1889">
        <v>12201</v>
      </c>
      <c r="G1889" s="1">
        <v>39120</v>
      </c>
      <c r="H1889" s="1">
        <v>45681</v>
      </c>
      <c r="J1889" t="s">
        <v>45</v>
      </c>
      <c r="K1889" t="s">
        <v>72</v>
      </c>
      <c r="L1889" t="s">
        <v>72</v>
      </c>
      <c r="M1889" s="1">
        <v>41395</v>
      </c>
      <c r="N1889" t="s">
        <v>47</v>
      </c>
      <c r="O1889" t="s">
        <v>48</v>
      </c>
      <c r="P1889" t="s">
        <v>49</v>
      </c>
      <c r="Q1889" t="s">
        <v>12584</v>
      </c>
      <c r="R1889" t="s">
        <v>12585</v>
      </c>
      <c r="S1889">
        <v>1050</v>
      </c>
      <c r="T1889" t="s">
        <v>156</v>
      </c>
      <c r="U1889" t="s">
        <v>157</v>
      </c>
      <c r="V1889" t="s">
        <v>12586</v>
      </c>
      <c r="W1889" t="s">
        <v>159</v>
      </c>
      <c r="X1889" t="s">
        <v>156</v>
      </c>
      <c r="Y1889" t="s">
        <v>450</v>
      </c>
      <c r="Z1889">
        <v>2869</v>
      </c>
      <c r="AA1889">
        <v>29</v>
      </c>
      <c r="AB1889">
        <v>166</v>
      </c>
      <c r="AC1889" t="s">
        <v>12587</v>
      </c>
      <c r="AD1889" t="s">
        <v>12588</v>
      </c>
      <c r="AE1889" t="s">
        <v>12589</v>
      </c>
      <c r="AJ1889" s="2">
        <v>45693.797858796293</v>
      </c>
      <c r="AK1889" t="s">
        <v>526</v>
      </c>
      <c r="AL1889" t="s">
        <v>65</v>
      </c>
      <c r="AM1889" s="3">
        <v>1.9444444444444444</v>
      </c>
      <c r="AN1889" t="s">
        <v>66</v>
      </c>
      <c r="AO1889" t="s">
        <v>67</v>
      </c>
    </row>
    <row r="1890" spans="1:41" x14ac:dyDescent="0.2">
      <c r="A1890">
        <v>371513</v>
      </c>
      <c r="B1890" t="s">
        <v>12590</v>
      </c>
      <c r="C1890" t="s">
        <v>323</v>
      </c>
      <c r="E1890">
        <v>39616110</v>
      </c>
      <c r="G1890" s="1">
        <v>40735</v>
      </c>
      <c r="H1890" s="1">
        <v>45806</v>
      </c>
      <c r="J1890" t="s">
        <v>72</v>
      </c>
      <c r="K1890" t="s">
        <v>72</v>
      </c>
      <c r="L1890" t="s">
        <v>72</v>
      </c>
      <c r="N1890" t="s">
        <v>47</v>
      </c>
      <c r="O1890" t="s">
        <v>48</v>
      </c>
      <c r="P1890" t="s">
        <v>406</v>
      </c>
      <c r="Q1890" t="s">
        <v>12591</v>
      </c>
      <c r="R1890" t="s">
        <v>12592</v>
      </c>
      <c r="S1890">
        <v>809</v>
      </c>
      <c r="T1890" t="s">
        <v>257</v>
      </c>
      <c r="U1890" t="s">
        <v>329</v>
      </c>
      <c r="W1890" t="s">
        <v>260</v>
      </c>
      <c r="X1890" t="s">
        <v>257</v>
      </c>
      <c r="Y1890" t="s">
        <v>642</v>
      </c>
      <c r="Z1890">
        <v>4908</v>
      </c>
      <c r="AA1890">
        <v>25</v>
      </c>
      <c r="AB1890">
        <v>152</v>
      </c>
      <c r="AC1890" t="s">
        <v>1164</v>
      </c>
      <c r="AD1890" t="s">
        <v>1165</v>
      </c>
      <c r="AE1890" t="s">
        <v>1166</v>
      </c>
      <c r="AF1890" t="s">
        <v>1164</v>
      </c>
      <c r="AG1890" t="s">
        <v>1165</v>
      </c>
      <c r="AH1890" t="s">
        <v>9106</v>
      </c>
      <c r="AJ1890" s="2">
        <v>45813.913657407407</v>
      </c>
      <c r="AK1890" t="s">
        <v>1164</v>
      </c>
      <c r="AL1890" t="s">
        <v>1168</v>
      </c>
      <c r="AM1890" s="3">
        <v>1.6527777777777777</v>
      </c>
      <c r="AN1890" t="s">
        <v>66</v>
      </c>
      <c r="AO1890" t="s">
        <v>67</v>
      </c>
    </row>
    <row r="1891" spans="1:41" x14ac:dyDescent="0.2">
      <c r="A1891">
        <v>368792</v>
      </c>
      <c r="B1891" t="s">
        <v>12593</v>
      </c>
      <c r="C1891" t="s">
        <v>1565</v>
      </c>
      <c r="D1891" t="s">
        <v>1566</v>
      </c>
      <c r="E1891" t="s">
        <v>12594</v>
      </c>
      <c r="F1891">
        <v>392603</v>
      </c>
      <c r="G1891" s="1">
        <v>38896</v>
      </c>
      <c r="H1891" s="1">
        <v>45721</v>
      </c>
      <c r="I1891" s="1">
        <v>46068</v>
      </c>
      <c r="J1891" t="s">
        <v>45</v>
      </c>
      <c r="K1891" t="s">
        <v>45</v>
      </c>
      <c r="L1891" t="s">
        <v>72</v>
      </c>
      <c r="M1891" s="1">
        <v>44036</v>
      </c>
      <c r="N1891" t="s">
        <v>47</v>
      </c>
      <c r="O1891" t="s">
        <v>48</v>
      </c>
      <c r="P1891" t="s">
        <v>49</v>
      </c>
      <c r="Q1891" t="s">
        <v>12595</v>
      </c>
      <c r="R1891" t="s">
        <v>12596</v>
      </c>
      <c r="S1891">
        <v>5071</v>
      </c>
      <c r="T1891" t="s">
        <v>257</v>
      </c>
      <c r="U1891" t="s">
        <v>258</v>
      </c>
      <c r="V1891" t="s">
        <v>12597</v>
      </c>
      <c r="W1891" t="s">
        <v>260</v>
      </c>
      <c r="X1891" t="s">
        <v>257</v>
      </c>
      <c r="Y1891" t="s">
        <v>110</v>
      </c>
      <c r="Z1891">
        <v>1405</v>
      </c>
      <c r="AA1891">
        <v>42</v>
      </c>
      <c r="AB1891">
        <v>158</v>
      </c>
      <c r="AC1891" t="s">
        <v>261</v>
      </c>
      <c r="AD1891" t="s">
        <v>12598</v>
      </c>
      <c r="AE1891" t="s">
        <v>263</v>
      </c>
      <c r="AF1891" t="s">
        <v>264</v>
      </c>
      <c r="AG1891" t="s">
        <v>265</v>
      </c>
      <c r="AH1891" t="s">
        <v>266</v>
      </c>
      <c r="AJ1891" s="2">
        <v>45721.966307870367</v>
      </c>
      <c r="AK1891" t="s">
        <v>6321</v>
      </c>
      <c r="AL1891" t="s">
        <v>65</v>
      </c>
      <c r="AM1891" s="4">
        <v>0.54861111111111116</v>
      </c>
      <c r="AN1891" t="s">
        <v>66</v>
      </c>
      <c r="AO1891" t="s">
        <v>67</v>
      </c>
    </row>
    <row r="1892" spans="1:41" x14ac:dyDescent="0.2">
      <c r="A1892">
        <v>370027</v>
      </c>
      <c r="B1892" t="s">
        <v>12599</v>
      </c>
      <c r="C1892" t="s">
        <v>182</v>
      </c>
      <c r="D1892" t="s">
        <v>779</v>
      </c>
      <c r="E1892" t="s">
        <v>12600</v>
      </c>
      <c r="F1892">
        <v>45625</v>
      </c>
      <c r="G1892" s="1">
        <v>39658</v>
      </c>
      <c r="H1892" s="1">
        <v>45296</v>
      </c>
      <c r="J1892" t="s">
        <v>45</v>
      </c>
      <c r="K1892" t="s">
        <v>326</v>
      </c>
      <c r="L1892" t="s">
        <v>72</v>
      </c>
      <c r="M1892" s="1">
        <v>44855</v>
      </c>
      <c r="N1892" t="s">
        <v>47</v>
      </c>
      <c r="O1892" t="s">
        <v>48</v>
      </c>
      <c r="P1892" t="s">
        <v>49</v>
      </c>
      <c r="Q1892" t="s">
        <v>12601</v>
      </c>
      <c r="R1892" t="s">
        <v>12602</v>
      </c>
      <c r="S1892">
        <v>8616</v>
      </c>
      <c r="T1892" t="s">
        <v>92</v>
      </c>
      <c r="U1892" t="s">
        <v>187</v>
      </c>
      <c r="V1892" t="s">
        <v>2750</v>
      </c>
      <c r="W1892" t="s">
        <v>448</v>
      </c>
      <c r="X1892" t="s">
        <v>92</v>
      </c>
      <c r="Y1892" t="s">
        <v>770</v>
      </c>
      <c r="Z1892">
        <v>2962</v>
      </c>
      <c r="AA1892">
        <v>23</v>
      </c>
      <c r="AB1892">
        <v>66</v>
      </c>
      <c r="AC1892" t="s">
        <v>12603</v>
      </c>
      <c r="AD1892" t="s">
        <v>12604</v>
      </c>
      <c r="AE1892" t="s">
        <v>12605</v>
      </c>
      <c r="AI1892" t="s">
        <v>12604</v>
      </c>
      <c r="AJ1892" s="2">
        <v>45761.934513888889</v>
      </c>
      <c r="AK1892" t="s">
        <v>650</v>
      </c>
      <c r="AL1892" t="s">
        <v>475</v>
      </c>
      <c r="AM1892" s="3">
        <v>2.2152777777777777</v>
      </c>
      <c r="AN1892" t="s">
        <v>66</v>
      </c>
      <c r="AO1892" t="s">
        <v>67</v>
      </c>
    </row>
    <row r="1893" spans="1:41" x14ac:dyDescent="0.2">
      <c r="A1893">
        <v>369034</v>
      </c>
      <c r="B1893" t="s">
        <v>12606</v>
      </c>
      <c r="C1893" t="s">
        <v>182</v>
      </c>
      <c r="D1893" t="s">
        <v>1064</v>
      </c>
      <c r="E1893">
        <v>32630026</v>
      </c>
      <c r="F1893">
        <v>40217</v>
      </c>
      <c r="G1893" s="1">
        <v>36349</v>
      </c>
      <c r="H1893" s="1">
        <v>45552</v>
      </c>
      <c r="I1893" s="1">
        <v>45931</v>
      </c>
      <c r="J1893" t="s">
        <v>45</v>
      </c>
      <c r="K1893" t="s">
        <v>45</v>
      </c>
      <c r="L1893" t="s">
        <v>429</v>
      </c>
      <c r="M1893" s="1">
        <v>45519</v>
      </c>
      <c r="N1893" t="s">
        <v>47</v>
      </c>
      <c r="O1893" t="s">
        <v>48</v>
      </c>
      <c r="P1893" t="s">
        <v>49</v>
      </c>
      <c r="Q1893" t="s">
        <v>12607</v>
      </c>
      <c r="R1893" t="s">
        <v>12608</v>
      </c>
      <c r="S1893">
        <v>3573</v>
      </c>
      <c r="T1893" t="s">
        <v>52</v>
      </c>
      <c r="U1893">
        <v>5</v>
      </c>
      <c r="V1893" t="s">
        <v>1068</v>
      </c>
      <c r="W1893" t="s">
        <v>54</v>
      </c>
      <c r="X1893" t="s">
        <v>493</v>
      </c>
      <c r="Y1893" t="s">
        <v>434</v>
      </c>
      <c r="Z1893">
        <v>834</v>
      </c>
      <c r="AA1893">
        <v>79</v>
      </c>
      <c r="AB1893">
        <v>158</v>
      </c>
      <c r="AC1893" t="s">
        <v>1069</v>
      </c>
      <c r="AD1893" t="s">
        <v>1070</v>
      </c>
      <c r="AE1893" t="s">
        <v>1071</v>
      </c>
      <c r="AF1893" t="s">
        <v>1072</v>
      </c>
      <c r="AG1893" t="s">
        <v>1073</v>
      </c>
      <c r="AH1893" t="s">
        <v>1071</v>
      </c>
      <c r="AI1893" t="s">
        <v>1074</v>
      </c>
      <c r="AJ1893" s="2">
        <v>45723.499884259261</v>
      </c>
      <c r="AK1893" t="s">
        <v>132</v>
      </c>
      <c r="AL1893" t="s">
        <v>65</v>
      </c>
      <c r="AM1893" s="3">
        <v>2.25</v>
      </c>
      <c r="AN1893" t="s">
        <v>66</v>
      </c>
      <c r="AO1893" t="s">
        <v>67</v>
      </c>
    </row>
    <row r="1894" spans="1:41" x14ac:dyDescent="0.2">
      <c r="A1894">
        <v>372941</v>
      </c>
      <c r="B1894" t="s">
        <v>12609</v>
      </c>
      <c r="C1894" t="s">
        <v>7022</v>
      </c>
      <c r="E1894">
        <v>32760078</v>
      </c>
      <c r="F1894">
        <v>431301</v>
      </c>
      <c r="G1894" s="1">
        <v>37025</v>
      </c>
      <c r="H1894" s="1">
        <v>45779</v>
      </c>
      <c r="I1894" s="1">
        <v>46143</v>
      </c>
      <c r="J1894" t="s">
        <v>45</v>
      </c>
      <c r="K1894" t="s">
        <v>45</v>
      </c>
      <c r="L1894" t="s">
        <v>3920</v>
      </c>
      <c r="M1894" s="1">
        <v>44544</v>
      </c>
      <c r="N1894" t="s">
        <v>47</v>
      </c>
      <c r="O1894" t="s">
        <v>48</v>
      </c>
      <c r="P1894" t="s">
        <v>49</v>
      </c>
      <c r="Q1894" t="s">
        <v>12610</v>
      </c>
      <c r="R1894" t="s">
        <v>12611</v>
      </c>
      <c r="S1894">
        <v>668</v>
      </c>
      <c r="T1894" t="s">
        <v>52</v>
      </c>
      <c r="U1894">
        <v>9</v>
      </c>
      <c r="V1894" t="s">
        <v>3122</v>
      </c>
      <c r="W1894" t="s">
        <v>54</v>
      </c>
      <c r="X1894" t="s">
        <v>76</v>
      </c>
      <c r="Y1894" t="s">
        <v>56</v>
      </c>
      <c r="Z1894">
        <v>1851</v>
      </c>
      <c r="AA1894">
        <v>46</v>
      </c>
      <c r="AB1894">
        <v>189</v>
      </c>
      <c r="AC1894" t="s">
        <v>3126</v>
      </c>
      <c r="AD1894" t="s">
        <v>12612</v>
      </c>
      <c r="AE1894" t="s">
        <v>12613</v>
      </c>
      <c r="AF1894" t="s">
        <v>12614</v>
      </c>
      <c r="AG1894" t="s">
        <v>12615</v>
      </c>
      <c r="AH1894" t="s">
        <v>12616</v>
      </c>
      <c r="AI1894" t="s">
        <v>12617</v>
      </c>
      <c r="AJ1894" s="2">
        <v>45855.93167824074</v>
      </c>
      <c r="AK1894" t="s">
        <v>556</v>
      </c>
      <c r="AL1894" t="s">
        <v>65</v>
      </c>
      <c r="AM1894" s="3">
        <v>1.4895833333333333</v>
      </c>
      <c r="AN1894" t="s">
        <v>66</v>
      </c>
      <c r="AO1894" t="s">
        <v>101</v>
      </c>
    </row>
    <row r="1895" spans="1:41" x14ac:dyDescent="0.2">
      <c r="A1895">
        <v>356594</v>
      </c>
      <c r="B1895" t="s">
        <v>12618</v>
      </c>
      <c r="C1895" t="s">
        <v>182</v>
      </c>
      <c r="D1895" t="s">
        <v>183</v>
      </c>
      <c r="E1895" s="5" t="s">
        <v>12619</v>
      </c>
      <c r="F1895">
        <v>45455</v>
      </c>
      <c r="G1895" s="1">
        <v>40120</v>
      </c>
      <c r="H1895" s="1">
        <v>40120</v>
      </c>
      <c r="J1895" t="s">
        <v>326</v>
      </c>
      <c r="K1895" t="s">
        <v>72</v>
      </c>
      <c r="L1895" t="s">
        <v>72</v>
      </c>
      <c r="N1895" t="s">
        <v>89</v>
      </c>
      <c r="O1895" t="s">
        <v>121</v>
      </c>
      <c r="P1895" t="s">
        <v>49</v>
      </c>
      <c r="Q1895" t="s">
        <v>12620</v>
      </c>
      <c r="R1895" t="s">
        <v>12621</v>
      </c>
      <c r="S1895">
        <v>920</v>
      </c>
      <c r="T1895" t="s">
        <v>92</v>
      </c>
      <c r="U1895" t="s">
        <v>187</v>
      </c>
      <c r="V1895" t="s">
        <v>188</v>
      </c>
      <c r="W1895" t="s">
        <v>189</v>
      </c>
      <c r="X1895" t="s">
        <v>92</v>
      </c>
      <c r="Y1895" t="s">
        <v>410</v>
      </c>
      <c r="Z1895">
        <v>3099</v>
      </c>
      <c r="AA1895">
        <v>16</v>
      </c>
      <c r="AB1895">
        <v>38</v>
      </c>
      <c r="AC1895" t="s">
        <v>12622</v>
      </c>
      <c r="AD1895" t="s">
        <v>12623</v>
      </c>
      <c r="AE1895" t="s">
        <v>12624</v>
      </c>
      <c r="AF1895" t="s">
        <v>12622</v>
      </c>
      <c r="AG1895" t="s">
        <v>12623</v>
      </c>
      <c r="AH1895" t="s">
        <v>12624</v>
      </c>
      <c r="AI1895" t="s">
        <v>12623</v>
      </c>
      <c r="AJ1895" s="2">
        <v>45313.655659722222</v>
      </c>
      <c r="AK1895" t="s">
        <v>149</v>
      </c>
      <c r="AL1895" t="s">
        <v>5305</v>
      </c>
      <c r="AM1895" s="3">
        <v>2.4236111111111112</v>
      </c>
      <c r="AN1895" t="s">
        <v>66</v>
      </c>
      <c r="AO1895" t="s">
        <v>67</v>
      </c>
    </row>
    <row r="1896" spans="1:41" x14ac:dyDescent="0.2">
      <c r="A1896">
        <v>372026</v>
      </c>
      <c r="B1896" t="s">
        <v>12625</v>
      </c>
      <c r="C1896" t="s">
        <v>167</v>
      </c>
      <c r="D1896" t="s">
        <v>8708</v>
      </c>
      <c r="E1896" t="s">
        <v>12626</v>
      </c>
      <c r="F1896">
        <v>350916</v>
      </c>
      <c r="G1896" s="1">
        <v>33563</v>
      </c>
      <c r="H1896" s="1">
        <v>45826</v>
      </c>
      <c r="I1896" s="1">
        <v>46174</v>
      </c>
      <c r="J1896" t="s">
        <v>45</v>
      </c>
      <c r="K1896" t="s">
        <v>45</v>
      </c>
      <c r="L1896" t="s">
        <v>429</v>
      </c>
      <c r="M1896" s="1">
        <v>39507</v>
      </c>
      <c r="N1896" t="s">
        <v>47</v>
      </c>
      <c r="O1896" t="s">
        <v>48</v>
      </c>
      <c r="P1896" t="s">
        <v>49</v>
      </c>
      <c r="Q1896" t="s">
        <v>12627</v>
      </c>
      <c r="R1896" t="s">
        <v>12628</v>
      </c>
      <c r="S1896">
        <v>4002</v>
      </c>
      <c r="T1896" t="s">
        <v>296</v>
      </c>
      <c r="U1896" t="s">
        <v>2267</v>
      </c>
      <c r="V1896" t="s">
        <v>8712</v>
      </c>
      <c r="W1896" t="s">
        <v>299</v>
      </c>
      <c r="X1896" t="s">
        <v>76</v>
      </c>
      <c r="Y1896" t="s">
        <v>56</v>
      </c>
      <c r="Z1896">
        <v>17</v>
      </c>
      <c r="AA1896">
        <v>61</v>
      </c>
      <c r="AB1896">
        <v>160</v>
      </c>
      <c r="AC1896" t="s">
        <v>8713</v>
      </c>
      <c r="AD1896" t="s">
        <v>8714</v>
      </c>
      <c r="AE1896" t="s">
        <v>8715</v>
      </c>
      <c r="AF1896" t="s">
        <v>8716</v>
      </c>
      <c r="AG1896" t="s">
        <v>8717</v>
      </c>
      <c r="AH1896" t="s">
        <v>8718</v>
      </c>
      <c r="AI1896" t="s">
        <v>2274</v>
      </c>
      <c r="AJ1896" s="2">
        <v>45827.239988425928</v>
      </c>
      <c r="AK1896" t="s">
        <v>717</v>
      </c>
      <c r="AL1896" t="s">
        <v>65</v>
      </c>
      <c r="AM1896" s="3">
        <v>1.4097222222222223</v>
      </c>
      <c r="AN1896" t="s">
        <v>66</v>
      </c>
      <c r="AO1896" t="s">
        <v>67</v>
      </c>
    </row>
    <row r="1897" spans="1:41" x14ac:dyDescent="0.2">
      <c r="A1897">
        <v>372880</v>
      </c>
      <c r="B1897" t="s">
        <v>12629</v>
      </c>
      <c r="C1897" t="s">
        <v>167</v>
      </c>
      <c r="D1897" t="s">
        <v>1315</v>
      </c>
      <c r="E1897" t="s">
        <v>12630</v>
      </c>
      <c r="F1897">
        <v>353043</v>
      </c>
      <c r="G1897" s="1">
        <v>31707</v>
      </c>
      <c r="H1897" s="1">
        <v>45855</v>
      </c>
      <c r="I1897" s="1">
        <v>46218</v>
      </c>
      <c r="J1897" t="s">
        <v>45</v>
      </c>
      <c r="K1897" t="s">
        <v>45</v>
      </c>
      <c r="L1897" t="s">
        <v>429</v>
      </c>
      <c r="M1897" s="1">
        <v>41668</v>
      </c>
      <c r="N1897" t="s">
        <v>47</v>
      </c>
      <c r="O1897" t="s">
        <v>48</v>
      </c>
      <c r="P1897" t="s">
        <v>49</v>
      </c>
      <c r="Q1897" t="s">
        <v>12631</v>
      </c>
      <c r="R1897" t="s">
        <v>12632</v>
      </c>
      <c r="S1897">
        <v>1822</v>
      </c>
      <c r="T1897" t="s">
        <v>365</v>
      </c>
      <c r="U1897" t="s">
        <v>532</v>
      </c>
      <c r="V1897" t="s">
        <v>12633</v>
      </c>
      <c r="W1897" t="s">
        <v>367</v>
      </c>
      <c r="X1897" t="s">
        <v>76</v>
      </c>
      <c r="Y1897" t="s">
        <v>434</v>
      </c>
      <c r="Z1897">
        <v>322</v>
      </c>
      <c r="AA1897">
        <v>79</v>
      </c>
      <c r="AB1897">
        <v>146</v>
      </c>
      <c r="AC1897" t="s">
        <v>3730</v>
      </c>
      <c r="AD1897" t="s">
        <v>12634</v>
      </c>
      <c r="AE1897" t="s">
        <v>3732</v>
      </c>
      <c r="AI1897" t="s">
        <v>12635</v>
      </c>
      <c r="AJ1897" s="2">
        <v>45855.73636574074</v>
      </c>
      <c r="AK1897" t="s">
        <v>501</v>
      </c>
      <c r="AL1897" t="s">
        <v>65</v>
      </c>
      <c r="AM1897" s="3">
        <v>2.4194444444444443</v>
      </c>
      <c r="AN1897" t="s">
        <v>66</v>
      </c>
      <c r="AO1897" t="s">
        <v>67</v>
      </c>
    </row>
    <row r="1898" spans="1:41" x14ac:dyDescent="0.2">
      <c r="A1898">
        <v>351515</v>
      </c>
      <c r="B1898" t="s">
        <v>12636</v>
      </c>
      <c r="C1898" t="s">
        <v>735</v>
      </c>
      <c r="D1898" t="s">
        <v>2245</v>
      </c>
      <c r="E1898" t="s">
        <v>12637</v>
      </c>
      <c r="G1898" s="1">
        <v>45170</v>
      </c>
      <c r="H1898" s="1">
        <v>45174</v>
      </c>
      <c r="I1898" s="1">
        <v>46266</v>
      </c>
      <c r="J1898" t="s">
        <v>45</v>
      </c>
      <c r="K1898" t="s">
        <v>45</v>
      </c>
      <c r="L1898" t="s">
        <v>72</v>
      </c>
      <c r="N1898" t="s">
        <v>89</v>
      </c>
      <c r="O1898" t="s">
        <v>121</v>
      </c>
      <c r="P1898" t="s">
        <v>49</v>
      </c>
      <c r="Q1898" t="s">
        <v>12638</v>
      </c>
      <c r="R1898" t="s">
        <v>12639</v>
      </c>
      <c r="S1898">
        <v>4062</v>
      </c>
      <c r="T1898" t="s">
        <v>296</v>
      </c>
      <c r="U1898" t="s">
        <v>1487</v>
      </c>
      <c r="V1898" t="s">
        <v>2510</v>
      </c>
      <c r="W1898" t="s">
        <v>299</v>
      </c>
      <c r="X1898" t="s">
        <v>296</v>
      </c>
      <c r="Y1898" t="s">
        <v>125</v>
      </c>
      <c r="Z1898">
        <v>2939</v>
      </c>
      <c r="AA1898">
        <v>41</v>
      </c>
      <c r="AB1898">
        <v>158</v>
      </c>
      <c r="AC1898" t="s">
        <v>2511</v>
      </c>
      <c r="AD1898" t="s">
        <v>2512</v>
      </c>
      <c r="AE1898" t="s">
        <v>2516</v>
      </c>
      <c r="AF1898" t="s">
        <v>2514</v>
      </c>
      <c r="AG1898" t="s">
        <v>11052</v>
      </c>
      <c r="AH1898" t="s">
        <v>2516</v>
      </c>
      <c r="AI1898" t="s">
        <v>1494</v>
      </c>
      <c r="AJ1898" s="2">
        <v>45174.475439814814</v>
      </c>
      <c r="AK1898" t="s">
        <v>132</v>
      </c>
      <c r="AL1898" t="s">
        <v>65</v>
      </c>
      <c r="AM1898" s="3">
        <v>1.3888888888888888</v>
      </c>
      <c r="AN1898" t="s">
        <v>66</v>
      </c>
      <c r="AO1898" t="s">
        <v>67</v>
      </c>
    </row>
    <row r="1899" spans="1:41" x14ac:dyDescent="0.2">
      <c r="A1899">
        <v>372256</v>
      </c>
      <c r="B1899" t="s">
        <v>12640</v>
      </c>
      <c r="C1899" t="s">
        <v>735</v>
      </c>
      <c r="D1899" t="s">
        <v>1628</v>
      </c>
      <c r="E1899" t="s">
        <v>12641</v>
      </c>
      <c r="G1899" s="1">
        <v>45168</v>
      </c>
      <c r="H1899" s="1">
        <v>45835</v>
      </c>
      <c r="I1899" s="1">
        <v>46188</v>
      </c>
      <c r="J1899" t="s">
        <v>45</v>
      </c>
      <c r="K1899" t="s">
        <v>45</v>
      </c>
      <c r="L1899" t="s">
        <v>72</v>
      </c>
      <c r="N1899" t="s">
        <v>89</v>
      </c>
      <c r="O1899" t="s">
        <v>121</v>
      </c>
      <c r="P1899" t="s">
        <v>49</v>
      </c>
      <c r="Q1899" t="s">
        <v>12642</v>
      </c>
      <c r="R1899" t="s">
        <v>12643</v>
      </c>
      <c r="S1899">
        <v>4130</v>
      </c>
      <c r="T1899" t="s">
        <v>296</v>
      </c>
      <c r="U1899" t="s">
        <v>2267</v>
      </c>
      <c r="V1899" t="s">
        <v>9084</v>
      </c>
      <c r="W1899" t="s">
        <v>299</v>
      </c>
      <c r="X1899" t="s">
        <v>296</v>
      </c>
      <c r="Y1899" t="s">
        <v>125</v>
      </c>
      <c r="Z1899">
        <v>2733</v>
      </c>
      <c r="AA1899">
        <v>49</v>
      </c>
      <c r="AB1899">
        <v>158</v>
      </c>
      <c r="AC1899" t="s">
        <v>9085</v>
      </c>
      <c r="AD1899" t="s">
        <v>9086</v>
      </c>
      <c r="AE1899" t="s">
        <v>9087</v>
      </c>
      <c r="AF1899" t="s">
        <v>9088</v>
      </c>
      <c r="AG1899" t="s">
        <v>9089</v>
      </c>
      <c r="AH1899" t="s">
        <v>9090</v>
      </c>
      <c r="AI1899" t="s">
        <v>2274</v>
      </c>
      <c r="AJ1899" s="2">
        <v>45835.518148148149</v>
      </c>
      <c r="AK1899" t="s">
        <v>800</v>
      </c>
      <c r="AL1899" t="s">
        <v>65</v>
      </c>
      <c r="AM1899" s="3">
        <v>1.2638888888888888</v>
      </c>
      <c r="AN1899" t="s">
        <v>66</v>
      </c>
      <c r="AO1899" t="s">
        <v>67</v>
      </c>
    </row>
    <row r="1900" spans="1:41" x14ac:dyDescent="0.2">
      <c r="A1900">
        <v>363193</v>
      </c>
      <c r="B1900" t="s">
        <v>12644</v>
      </c>
      <c r="C1900" t="s">
        <v>182</v>
      </c>
      <c r="D1900" t="s">
        <v>1086</v>
      </c>
      <c r="E1900" t="s">
        <v>12645</v>
      </c>
      <c r="F1900">
        <v>44734</v>
      </c>
      <c r="G1900" s="1">
        <v>43221</v>
      </c>
      <c r="H1900" s="1">
        <v>45505</v>
      </c>
      <c r="J1900" t="s">
        <v>45</v>
      </c>
      <c r="K1900" t="s">
        <v>45</v>
      </c>
      <c r="L1900" t="s">
        <v>72</v>
      </c>
      <c r="N1900" t="s">
        <v>47</v>
      </c>
      <c r="O1900" t="s">
        <v>48</v>
      </c>
      <c r="P1900" t="s">
        <v>49</v>
      </c>
      <c r="Q1900" t="s">
        <v>12646</v>
      </c>
      <c r="R1900" t="s">
        <v>12647</v>
      </c>
      <c r="S1900">
        <v>7030</v>
      </c>
      <c r="T1900" t="s">
        <v>92</v>
      </c>
      <c r="U1900" t="s">
        <v>187</v>
      </c>
      <c r="V1900" t="s">
        <v>447</v>
      </c>
      <c r="W1900" t="s">
        <v>448</v>
      </c>
      <c r="X1900" t="s">
        <v>449</v>
      </c>
      <c r="Y1900" t="s">
        <v>450</v>
      </c>
      <c r="Z1900">
        <v>9147</v>
      </c>
      <c r="AA1900">
        <v>20</v>
      </c>
      <c r="AB1900">
        <v>28</v>
      </c>
      <c r="AC1900" t="s">
        <v>451</v>
      </c>
      <c r="AD1900" t="s">
        <v>452</v>
      </c>
      <c r="AE1900" t="s">
        <v>453</v>
      </c>
      <c r="AF1900" t="s">
        <v>454</v>
      </c>
      <c r="AG1900" t="s">
        <v>473</v>
      </c>
      <c r="AH1900" t="s">
        <v>474</v>
      </c>
      <c r="AJ1900" s="2">
        <v>45506.693032407406</v>
      </c>
      <c r="AK1900" t="s">
        <v>526</v>
      </c>
      <c r="AL1900" t="s">
        <v>65</v>
      </c>
      <c r="AM1900" s="4">
        <v>0.84722222222222221</v>
      </c>
      <c r="AN1900" t="s">
        <v>66</v>
      </c>
      <c r="AO1900" t="s">
        <v>67</v>
      </c>
    </row>
    <row r="1901" spans="1:41" x14ac:dyDescent="0.2">
      <c r="A1901">
        <v>366358</v>
      </c>
      <c r="B1901" t="s">
        <v>12648</v>
      </c>
      <c r="C1901" t="s">
        <v>735</v>
      </c>
      <c r="D1901" t="s">
        <v>1483</v>
      </c>
      <c r="E1901">
        <v>52147340</v>
      </c>
      <c r="F1901">
        <v>243904</v>
      </c>
      <c r="G1901" s="1">
        <v>45566</v>
      </c>
      <c r="H1901" s="1">
        <v>45566</v>
      </c>
      <c r="I1901" s="1">
        <v>46204</v>
      </c>
      <c r="J1901" t="s">
        <v>45</v>
      </c>
      <c r="K1901" t="s">
        <v>45</v>
      </c>
      <c r="L1901" t="s">
        <v>72</v>
      </c>
      <c r="N1901" t="s">
        <v>89</v>
      </c>
      <c r="O1901" t="s">
        <v>121</v>
      </c>
      <c r="P1901" t="s">
        <v>49</v>
      </c>
      <c r="Q1901" t="s">
        <v>12649</v>
      </c>
      <c r="R1901" t="s">
        <v>12650</v>
      </c>
      <c r="S1901">
        <v>4258</v>
      </c>
      <c r="T1901" t="s">
        <v>296</v>
      </c>
      <c r="U1901" t="s">
        <v>1487</v>
      </c>
      <c r="V1901" t="s">
        <v>1488</v>
      </c>
      <c r="W1901" t="s">
        <v>299</v>
      </c>
      <c r="X1901" t="s">
        <v>296</v>
      </c>
      <c r="Y1901" t="s">
        <v>125</v>
      </c>
      <c r="Z1901">
        <v>1760</v>
      </c>
      <c r="AA1901">
        <v>55</v>
      </c>
      <c r="AB1901">
        <v>158</v>
      </c>
      <c r="AC1901" t="s">
        <v>12651</v>
      </c>
      <c r="AD1901" t="s">
        <v>1490</v>
      </c>
      <c r="AE1901" t="s">
        <v>12652</v>
      </c>
      <c r="AF1901" t="s">
        <v>12653</v>
      </c>
      <c r="AG1901" t="s">
        <v>12654</v>
      </c>
      <c r="AH1901" t="s">
        <v>1491</v>
      </c>
      <c r="AI1901" t="s">
        <v>1494</v>
      </c>
      <c r="AJ1901" s="2">
        <v>45615.913495370369</v>
      </c>
      <c r="AK1901" t="s">
        <v>2854</v>
      </c>
      <c r="AL1901" t="s">
        <v>65</v>
      </c>
      <c r="AM1901" s="3">
        <v>1.2152777777777777</v>
      </c>
      <c r="AN1901" t="s">
        <v>66</v>
      </c>
      <c r="AO1901" t="s">
        <v>67</v>
      </c>
    </row>
    <row r="1902" spans="1:41" x14ac:dyDescent="0.2">
      <c r="A1902">
        <v>351517</v>
      </c>
      <c r="B1902" t="s">
        <v>12655</v>
      </c>
      <c r="C1902" t="s">
        <v>735</v>
      </c>
      <c r="D1902" t="s">
        <v>1483</v>
      </c>
      <c r="E1902">
        <v>52121668</v>
      </c>
      <c r="G1902" s="1">
        <v>45170</v>
      </c>
      <c r="H1902" s="1">
        <v>45174</v>
      </c>
      <c r="I1902" s="1">
        <v>46266</v>
      </c>
      <c r="J1902" t="s">
        <v>45</v>
      </c>
      <c r="K1902" t="s">
        <v>45</v>
      </c>
      <c r="L1902" t="s">
        <v>72</v>
      </c>
      <c r="N1902" t="s">
        <v>89</v>
      </c>
      <c r="O1902" t="s">
        <v>121</v>
      </c>
      <c r="P1902" t="s">
        <v>49</v>
      </c>
      <c r="Q1902" t="s">
        <v>12656</v>
      </c>
      <c r="R1902" t="s">
        <v>12657</v>
      </c>
      <c r="S1902">
        <v>4218</v>
      </c>
      <c r="T1902" t="s">
        <v>296</v>
      </c>
      <c r="U1902" t="s">
        <v>1487</v>
      </c>
      <c r="V1902" t="s">
        <v>12658</v>
      </c>
      <c r="W1902" t="s">
        <v>299</v>
      </c>
      <c r="X1902" t="s">
        <v>296</v>
      </c>
      <c r="Y1902" t="s">
        <v>125</v>
      </c>
      <c r="Z1902">
        <v>2278</v>
      </c>
      <c r="AA1902">
        <v>43</v>
      </c>
      <c r="AB1902">
        <v>158</v>
      </c>
      <c r="AC1902" t="s">
        <v>12659</v>
      </c>
      <c r="AD1902" t="s">
        <v>12660</v>
      </c>
      <c r="AE1902" t="s">
        <v>6118</v>
      </c>
      <c r="AF1902" t="s">
        <v>12661</v>
      </c>
      <c r="AG1902" t="s">
        <v>6117</v>
      </c>
      <c r="AH1902" t="s">
        <v>6118</v>
      </c>
      <c r="AI1902" t="s">
        <v>1494</v>
      </c>
      <c r="AJ1902" s="2">
        <v>45174.476712962962</v>
      </c>
      <c r="AK1902" t="s">
        <v>132</v>
      </c>
      <c r="AL1902" t="s">
        <v>65</v>
      </c>
      <c r="AM1902" s="3">
        <v>1.3958333333333333</v>
      </c>
      <c r="AN1902" t="s">
        <v>66</v>
      </c>
      <c r="AO1902" t="s">
        <v>67</v>
      </c>
    </row>
    <row r="1903" spans="1:41" x14ac:dyDescent="0.2">
      <c r="A1903">
        <v>372898</v>
      </c>
      <c r="B1903" t="s">
        <v>12662</v>
      </c>
      <c r="C1903" t="s">
        <v>278</v>
      </c>
      <c r="D1903" t="s">
        <v>3165</v>
      </c>
      <c r="E1903">
        <v>32531520</v>
      </c>
      <c r="F1903">
        <v>421502</v>
      </c>
      <c r="G1903" s="1">
        <v>33123</v>
      </c>
      <c r="H1903" s="1">
        <v>45848</v>
      </c>
      <c r="I1903" s="1">
        <v>46204</v>
      </c>
      <c r="J1903" t="s">
        <v>45</v>
      </c>
      <c r="K1903" t="s">
        <v>45</v>
      </c>
      <c r="L1903" t="s">
        <v>429</v>
      </c>
      <c r="M1903" s="1">
        <v>40238</v>
      </c>
      <c r="N1903" t="s">
        <v>47</v>
      </c>
      <c r="O1903" t="s">
        <v>48</v>
      </c>
      <c r="P1903" t="s">
        <v>49</v>
      </c>
      <c r="Q1903" t="s">
        <v>12663</v>
      </c>
      <c r="R1903" t="s">
        <v>12664</v>
      </c>
      <c r="S1903">
        <v>5902</v>
      </c>
      <c r="T1903" t="s">
        <v>365</v>
      </c>
      <c r="U1903" t="s">
        <v>432</v>
      </c>
      <c r="V1903" t="s">
        <v>5393</v>
      </c>
      <c r="W1903" t="s">
        <v>367</v>
      </c>
      <c r="X1903" t="s">
        <v>76</v>
      </c>
      <c r="Y1903" t="s">
        <v>434</v>
      </c>
      <c r="Z1903">
        <v>349</v>
      </c>
      <c r="AA1903">
        <v>58</v>
      </c>
      <c r="AB1903">
        <v>166</v>
      </c>
      <c r="AC1903" t="s">
        <v>878</v>
      </c>
      <c r="AD1903" t="s">
        <v>879</v>
      </c>
      <c r="AE1903" t="s">
        <v>12665</v>
      </c>
      <c r="AI1903" t="s">
        <v>179</v>
      </c>
      <c r="AJ1903" s="2">
        <v>45855.874490740738</v>
      </c>
      <c r="AK1903" t="s">
        <v>556</v>
      </c>
      <c r="AL1903" t="s">
        <v>65</v>
      </c>
      <c r="AM1903" s="3">
        <v>1.5555555555555556</v>
      </c>
      <c r="AN1903" t="s">
        <v>66</v>
      </c>
      <c r="AO1903" t="s">
        <v>67</v>
      </c>
    </row>
    <row r="1904" spans="1:41" x14ac:dyDescent="0.2">
      <c r="A1904">
        <v>364396</v>
      </c>
      <c r="B1904" t="s">
        <v>12666</v>
      </c>
      <c r="C1904" t="s">
        <v>692</v>
      </c>
      <c r="D1904" t="s">
        <v>12667</v>
      </c>
      <c r="E1904" t="s">
        <v>12668</v>
      </c>
      <c r="F1904">
        <v>481801</v>
      </c>
      <c r="G1904" s="1">
        <v>32365</v>
      </c>
      <c r="H1904" s="1">
        <v>45544</v>
      </c>
      <c r="I1904" s="1">
        <v>46296</v>
      </c>
      <c r="J1904" t="s">
        <v>45</v>
      </c>
      <c r="K1904" t="s">
        <v>45</v>
      </c>
      <c r="L1904" t="s">
        <v>72</v>
      </c>
      <c r="M1904" s="1">
        <v>39003</v>
      </c>
      <c r="N1904" t="s">
        <v>47</v>
      </c>
      <c r="O1904" t="s">
        <v>48</v>
      </c>
      <c r="P1904" t="s">
        <v>49</v>
      </c>
      <c r="Q1904" t="s">
        <v>12669</v>
      </c>
      <c r="R1904" t="s">
        <v>12670</v>
      </c>
      <c r="S1904">
        <v>6970</v>
      </c>
      <c r="T1904" t="s">
        <v>365</v>
      </c>
      <c r="U1904" t="s">
        <v>432</v>
      </c>
      <c r="V1904" t="s">
        <v>696</v>
      </c>
      <c r="W1904" t="s">
        <v>367</v>
      </c>
      <c r="X1904" t="s">
        <v>76</v>
      </c>
      <c r="Y1904" t="s">
        <v>434</v>
      </c>
      <c r="Z1904">
        <v>383</v>
      </c>
      <c r="AA1904">
        <v>54</v>
      </c>
      <c r="AB1904">
        <v>158</v>
      </c>
      <c r="AC1904" t="s">
        <v>12066</v>
      </c>
      <c r="AD1904" t="s">
        <v>5711</v>
      </c>
      <c r="AE1904" t="s">
        <v>699</v>
      </c>
      <c r="AF1904" t="s">
        <v>700</v>
      </c>
      <c r="AG1904" t="s">
        <v>701</v>
      </c>
      <c r="AH1904" t="s">
        <v>702</v>
      </c>
      <c r="AI1904" t="s">
        <v>12671</v>
      </c>
      <c r="AJ1904" s="2">
        <v>45544.975844907407</v>
      </c>
      <c r="AK1904" t="s">
        <v>132</v>
      </c>
      <c r="AL1904" t="s">
        <v>65</v>
      </c>
      <c r="AM1904" s="3">
        <v>1.8263888888888888</v>
      </c>
      <c r="AN1904" t="s">
        <v>66</v>
      </c>
      <c r="AO1904" t="s">
        <v>67</v>
      </c>
    </row>
    <row r="1905" spans="1:41" x14ac:dyDescent="0.2">
      <c r="A1905">
        <v>360249</v>
      </c>
      <c r="B1905" t="s">
        <v>12672</v>
      </c>
      <c r="C1905" t="s">
        <v>182</v>
      </c>
      <c r="D1905" t="s">
        <v>894</v>
      </c>
      <c r="E1905" t="s">
        <v>12673</v>
      </c>
      <c r="F1905">
        <v>40637</v>
      </c>
      <c r="G1905" s="1">
        <v>39293</v>
      </c>
      <c r="H1905" s="1">
        <v>45413</v>
      </c>
      <c r="I1905" s="1">
        <v>46113</v>
      </c>
      <c r="J1905" t="s">
        <v>45</v>
      </c>
      <c r="K1905" t="s">
        <v>72</v>
      </c>
      <c r="L1905" t="s">
        <v>72</v>
      </c>
      <c r="M1905" s="1">
        <v>43965</v>
      </c>
      <c r="N1905" t="s">
        <v>47</v>
      </c>
      <c r="O1905" t="s">
        <v>48</v>
      </c>
      <c r="P1905" t="s">
        <v>49</v>
      </c>
      <c r="Q1905" t="s">
        <v>12674</v>
      </c>
      <c r="R1905" t="s">
        <v>12675</v>
      </c>
      <c r="S1905">
        <v>2044</v>
      </c>
      <c r="T1905" t="s">
        <v>257</v>
      </c>
      <c r="U1905" t="s">
        <v>640</v>
      </c>
      <c r="V1905" t="s">
        <v>12676</v>
      </c>
      <c r="W1905" t="s">
        <v>260</v>
      </c>
      <c r="X1905" t="s">
        <v>257</v>
      </c>
      <c r="Y1905" t="s">
        <v>110</v>
      </c>
      <c r="Z1905">
        <v>1327</v>
      </c>
      <c r="AA1905">
        <v>60</v>
      </c>
      <c r="AB1905">
        <v>34</v>
      </c>
      <c r="AC1905" t="s">
        <v>12677</v>
      </c>
      <c r="AD1905" t="s">
        <v>12678</v>
      </c>
      <c r="AE1905" t="s">
        <v>12679</v>
      </c>
      <c r="AF1905" t="s">
        <v>12680</v>
      </c>
      <c r="AG1905" t="s">
        <v>12681</v>
      </c>
      <c r="AH1905" t="s">
        <v>12682</v>
      </c>
      <c r="AI1905" t="s">
        <v>12678</v>
      </c>
      <c r="AJ1905" s="2">
        <v>45413.714618055557</v>
      </c>
      <c r="AK1905" t="s">
        <v>12680</v>
      </c>
      <c r="AL1905" t="s">
        <v>65</v>
      </c>
      <c r="AM1905" s="4">
        <v>2.0833333333333332E-2</v>
      </c>
      <c r="AN1905" t="s">
        <v>66</v>
      </c>
      <c r="AO1905" t="s">
        <v>67</v>
      </c>
    </row>
    <row r="1906" spans="1:41" x14ac:dyDescent="0.2">
      <c r="A1906">
        <v>367535</v>
      </c>
      <c r="B1906" t="s">
        <v>12683</v>
      </c>
      <c r="C1906" t="s">
        <v>118</v>
      </c>
      <c r="D1906" t="s">
        <v>4293</v>
      </c>
      <c r="E1906" t="s">
        <v>12684</v>
      </c>
      <c r="F1906">
        <v>21007</v>
      </c>
      <c r="G1906" s="1">
        <v>31503</v>
      </c>
      <c r="H1906" s="1">
        <v>45664</v>
      </c>
      <c r="I1906" s="1">
        <v>46054</v>
      </c>
      <c r="J1906" t="s">
        <v>45</v>
      </c>
      <c r="K1906" t="s">
        <v>45</v>
      </c>
      <c r="L1906" t="s">
        <v>429</v>
      </c>
      <c r="N1906" t="s">
        <v>47</v>
      </c>
      <c r="O1906" t="s">
        <v>48</v>
      </c>
      <c r="P1906" t="s">
        <v>49</v>
      </c>
      <c r="Q1906" t="s">
        <v>12685</v>
      </c>
      <c r="R1906" t="s">
        <v>12686</v>
      </c>
      <c r="S1906">
        <v>4560</v>
      </c>
      <c r="T1906" t="s">
        <v>365</v>
      </c>
      <c r="U1906" t="s">
        <v>815</v>
      </c>
      <c r="V1906" t="s">
        <v>2649</v>
      </c>
      <c r="W1906" t="s">
        <v>367</v>
      </c>
      <c r="X1906" t="s">
        <v>55</v>
      </c>
      <c r="Y1906" t="s">
        <v>434</v>
      </c>
      <c r="Z1906">
        <v>67</v>
      </c>
      <c r="AA1906">
        <v>54</v>
      </c>
      <c r="AB1906">
        <v>28</v>
      </c>
      <c r="AC1906" t="s">
        <v>8429</v>
      </c>
      <c r="AD1906" t="s">
        <v>2651</v>
      </c>
      <c r="AE1906" t="s">
        <v>2652</v>
      </c>
      <c r="AF1906" t="s">
        <v>2653</v>
      </c>
      <c r="AG1906" t="s">
        <v>2654</v>
      </c>
      <c r="AH1906" t="s">
        <v>2655</v>
      </c>
      <c r="AI1906" t="s">
        <v>179</v>
      </c>
      <c r="AJ1906" s="2">
        <v>45680.60260416667</v>
      </c>
      <c r="AK1906" t="s">
        <v>568</v>
      </c>
      <c r="AL1906" t="s">
        <v>65</v>
      </c>
      <c r="AM1906" s="4">
        <v>0.125</v>
      </c>
      <c r="AN1906" t="s">
        <v>66</v>
      </c>
      <c r="AO1906" t="s">
        <v>67</v>
      </c>
    </row>
    <row r="1907" spans="1:41" x14ac:dyDescent="0.2">
      <c r="A1907">
        <v>360282</v>
      </c>
      <c r="B1907" t="s">
        <v>12687</v>
      </c>
      <c r="C1907" t="s">
        <v>86</v>
      </c>
      <c r="D1907" t="s">
        <v>6479</v>
      </c>
      <c r="E1907" t="s">
        <v>12688</v>
      </c>
      <c r="F1907">
        <v>201004</v>
      </c>
      <c r="G1907" s="1">
        <v>39687</v>
      </c>
      <c r="H1907" s="1">
        <v>45155</v>
      </c>
      <c r="J1907" t="s">
        <v>45</v>
      </c>
      <c r="K1907" t="s">
        <v>326</v>
      </c>
      <c r="L1907" t="s">
        <v>72</v>
      </c>
      <c r="M1907" s="1">
        <v>45155</v>
      </c>
      <c r="N1907" t="s">
        <v>47</v>
      </c>
      <c r="O1907" t="s">
        <v>48</v>
      </c>
      <c r="P1907" t="s">
        <v>49</v>
      </c>
      <c r="Q1907" t="s">
        <v>12689</v>
      </c>
      <c r="R1907" t="s">
        <v>12690</v>
      </c>
      <c r="S1907">
        <v>771</v>
      </c>
      <c r="T1907" t="s">
        <v>257</v>
      </c>
      <c r="U1907" t="s">
        <v>258</v>
      </c>
      <c r="V1907" t="s">
        <v>12691</v>
      </c>
      <c r="W1907" t="s">
        <v>260</v>
      </c>
      <c r="X1907" t="s">
        <v>257</v>
      </c>
      <c r="Y1907" t="s">
        <v>642</v>
      </c>
      <c r="Z1907">
        <v>2990</v>
      </c>
      <c r="AA1907">
        <v>13</v>
      </c>
      <c r="AB1907">
        <v>166</v>
      </c>
      <c r="AC1907" t="s">
        <v>12692</v>
      </c>
      <c r="AD1907" t="s">
        <v>12693</v>
      </c>
      <c r="AE1907" t="s">
        <v>12694</v>
      </c>
      <c r="AF1907" t="s">
        <v>264</v>
      </c>
      <c r="AG1907" t="s">
        <v>265</v>
      </c>
      <c r="AH1907" t="s">
        <v>266</v>
      </c>
      <c r="AI1907" t="s">
        <v>12695</v>
      </c>
      <c r="AJ1907" s="2">
        <v>45414.844502314816</v>
      </c>
      <c r="AK1907" t="s">
        <v>100</v>
      </c>
      <c r="AL1907" t="s">
        <v>1168</v>
      </c>
      <c r="AM1907" s="3">
        <v>2.4652777777777777</v>
      </c>
      <c r="AN1907" t="s">
        <v>66</v>
      </c>
      <c r="AO1907" t="s">
        <v>67</v>
      </c>
    </row>
    <row r="1908" spans="1:41" x14ac:dyDescent="0.2">
      <c r="A1908">
        <v>356536</v>
      </c>
      <c r="B1908" t="s">
        <v>12696</v>
      </c>
      <c r="C1908" t="s">
        <v>69</v>
      </c>
      <c r="D1908" t="s">
        <v>3054</v>
      </c>
      <c r="E1908" t="s">
        <v>12697</v>
      </c>
      <c r="J1908" t="s">
        <v>326</v>
      </c>
      <c r="K1908" t="s">
        <v>326</v>
      </c>
      <c r="L1908" t="s">
        <v>72</v>
      </c>
      <c r="N1908" t="s">
        <v>89</v>
      </c>
      <c r="O1908" t="s">
        <v>48</v>
      </c>
      <c r="P1908" t="s">
        <v>1752</v>
      </c>
      <c r="T1908" t="s">
        <v>3098</v>
      </c>
      <c r="W1908" t="s">
        <v>3099</v>
      </c>
      <c r="X1908" t="s">
        <v>3098</v>
      </c>
      <c r="Y1908" t="s">
        <v>410</v>
      </c>
      <c r="Z1908">
        <v>7286</v>
      </c>
      <c r="AA1908">
        <v>1</v>
      </c>
      <c r="AB1908">
        <v>144</v>
      </c>
      <c r="AC1908" t="s">
        <v>646</v>
      </c>
      <c r="AD1908" t="s">
        <v>3100</v>
      </c>
      <c r="AE1908" t="s">
        <v>3101</v>
      </c>
      <c r="AF1908" t="s">
        <v>3102</v>
      </c>
      <c r="AG1908" t="s">
        <v>3103</v>
      </c>
      <c r="AH1908" t="s">
        <v>12698</v>
      </c>
      <c r="AJ1908" s="2">
        <v>45313.63082175926</v>
      </c>
      <c r="AK1908" t="s">
        <v>149</v>
      </c>
      <c r="AL1908" t="s">
        <v>3105</v>
      </c>
      <c r="AM1908" s="3">
        <v>2.4722222222222223</v>
      </c>
      <c r="AN1908" t="s">
        <v>66</v>
      </c>
      <c r="AO1908" t="s">
        <v>67</v>
      </c>
    </row>
    <row r="1909" spans="1:41" x14ac:dyDescent="0.2">
      <c r="A1909">
        <v>369618</v>
      </c>
      <c r="B1909" t="s">
        <v>12699</v>
      </c>
      <c r="C1909" t="s">
        <v>118</v>
      </c>
      <c r="D1909" t="s">
        <v>2713</v>
      </c>
      <c r="E1909" t="s">
        <v>12700</v>
      </c>
      <c r="F1909">
        <v>20119</v>
      </c>
      <c r="G1909" s="1">
        <v>35144</v>
      </c>
      <c r="H1909" s="1">
        <v>45741</v>
      </c>
      <c r="I1909" s="1">
        <v>46096</v>
      </c>
      <c r="J1909" t="s">
        <v>45</v>
      </c>
      <c r="K1909" t="s">
        <v>45</v>
      </c>
      <c r="L1909" t="s">
        <v>429</v>
      </c>
      <c r="N1909" t="s">
        <v>47</v>
      </c>
      <c r="O1909" t="s">
        <v>48</v>
      </c>
      <c r="P1909" t="s">
        <v>49</v>
      </c>
      <c r="Q1909" t="s">
        <v>12701</v>
      </c>
      <c r="R1909" t="s">
        <v>12702</v>
      </c>
      <c r="S1909">
        <v>5375</v>
      </c>
      <c r="T1909" t="s">
        <v>365</v>
      </c>
      <c r="U1909" t="s">
        <v>815</v>
      </c>
      <c r="V1909" t="s">
        <v>8067</v>
      </c>
      <c r="W1909" t="s">
        <v>367</v>
      </c>
      <c r="X1909" t="s">
        <v>55</v>
      </c>
      <c r="Y1909" t="s">
        <v>434</v>
      </c>
      <c r="Z1909">
        <v>58</v>
      </c>
      <c r="AA1909">
        <v>51</v>
      </c>
      <c r="AB1909">
        <v>166</v>
      </c>
      <c r="AC1909" t="s">
        <v>8068</v>
      </c>
      <c r="AD1909" t="s">
        <v>8069</v>
      </c>
      <c r="AE1909" t="s">
        <v>8070</v>
      </c>
      <c r="AF1909" t="s">
        <v>12703</v>
      </c>
      <c r="AG1909" t="s">
        <v>8072</v>
      </c>
      <c r="AH1909" t="s">
        <v>8073</v>
      </c>
      <c r="AI1909" t="s">
        <v>179</v>
      </c>
      <c r="AJ1909" s="2">
        <v>45747.670381944445</v>
      </c>
      <c r="AK1909" t="s">
        <v>307</v>
      </c>
      <c r="AL1909" t="s">
        <v>65</v>
      </c>
      <c r="AM1909" s="3">
        <v>2.2034722222222221</v>
      </c>
      <c r="AN1909" t="s">
        <v>66</v>
      </c>
      <c r="AO1909" t="s">
        <v>67</v>
      </c>
    </row>
    <row r="1910" spans="1:41" x14ac:dyDescent="0.2">
      <c r="A1910">
        <v>372043</v>
      </c>
      <c r="B1910" t="s">
        <v>12704</v>
      </c>
      <c r="C1910" t="s">
        <v>167</v>
      </c>
      <c r="D1910" t="s">
        <v>8708</v>
      </c>
      <c r="E1910" t="s">
        <v>12705</v>
      </c>
      <c r="F1910">
        <v>350917</v>
      </c>
      <c r="G1910" s="1">
        <v>33562</v>
      </c>
      <c r="H1910" s="1">
        <v>45827</v>
      </c>
      <c r="I1910" s="1">
        <v>46174</v>
      </c>
      <c r="J1910" t="s">
        <v>45</v>
      </c>
      <c r="K1910" t="s">
        <v>45</v>
      </c>
      <c r="L1910" t="s">
        <v>429</v>
      </c>
      <c r="M1910" s="1">
        <v>35752</v>
      </c>
      <c r="N1910" t="s">
        <v>47</v>
      </c>
      <c r="O1910" t="s">
        <v>48</v>
      </c>
      <c r="P1910" t="s">
        <v>49</v>
      </c>
      <c r="Q1910" t="s">
        <v>12706</v>
      </c>
      <c r="R1910" t="s">
        <v>12707</v>
      </c>
      <c r="S1910">
        <v>4011</v>
      </c>
      <c r="T1910" t="s">
        <v>296</v>
      </c>
      <c r="U1910" t="s">
        <v>2267</v>
      </c>
      <c r="V1910" t="s">
        <v>8712</v>
      </c>
      <c r="W1910" t="s">
        <v>299</v>
      </c>
      <c r="X1910" t="s">
        <v>76</v>
      </c>
      <c r="Y1910" t="s">
        <v>56</v>
      </c>
      <c r="Z1910">
        <v>16</v>
      </c>
      <c r="AA1910">
        <v>56</v>
      </c>
      <c r="AB1910">
        <v>160</v>
      </c>
      <c r="AC1910" t="s">
        <v>8713</v>
      </c>
      <c r="AD1910" t="s">
        <v>8714</v>
      </c>
      <c r="AE1910" t="s">
        <v>8715</v>
      </c>
      <c r="AF1910" t="s">
        <v>8716</v>
      </c>
      <c r="AG1910" t="s">
        <v>8717</v>
      </c>
      <c r="AH1910" t="s">
        <v>8718</v>
      </c>
      <c r="AI1910" t="s">
        <v>2274</v>
      </c>
      <c r="AJ1910" s="2">
        <v>45828.227662037039</v>
      </c>
      <c r="AK1910" t="s">
        <v>717</v>
      </c>
      <c r="AL1910" t="s">
        <v>65</v>
      </c>
      <c r="AM1910" s="3">
        <v>1.4375</v>
      </c>
      <c r="AN1910" t="s">
        <v>66</v>
      </c>
      <c r="AO1910" t="s">
        <v>67</v>
      </c>
    </row>
    <row r="1911" spans="1:41" x14ac:dyDescent="0.2">
      <c r="A1911">
        <v>368416</v>
      </c>
      <c r="B1911" t="s">
        <v>12708</v>
      </c>
      <c r="C1911" t="s">
        <v>309</v>
      </c>
      <c r="D1911" t="s">
        <v>8509</v>
      </c>
      <c r="E1911" t="s">
        <v>12709</v>
      </c>
      <c r="F1911">
        <v>498014</v>
      </c>
      <c r="G1911" s="1">
        <v>44970</v>
      </c>
      <c r="H1911" s="1">
        <v>45708</v>
      </c>
      <c r="I1911" s="1">
        <v>46023</v>
      </c>
      <c r="J1911" t="s">
        <v>45</v>
      </c>
      <c r="K1911" t="s">
        <v>45</v>
      </c>
      <c r="L1911" t="s">
        <v>72</v>
      </c>
      <c r="M1911" s="1">
        <v>40721</v>
      </c>
      <c r="N1911" t="s">
        <v>47</v>
      </c>
      <c r="O1911" t="s">
        <v>48</v>
      </c>
      <c r="P1911" t="s">
        <v>49</v>
      </c>
      <c r="Q1911" t="s">
        <v>12710</v>
      </c>
      <c r="R1911" t="s">
        <v>12711</v>
      </c>
      <c r="S1911">
        <v>917</v>
      </c>
      <c r="T1911" t="s">
        <v>257</v>
      </c>
      <c r="U1911" t="s">
        <v>640</v>
      </c>
      <c r="V1911" t="s">
        <v>12712</v>
      </c>
      <c r="W1911" t="s">
        <v>260</v>
      </c>
      <c r="X1911" t="s">
        <v>257</v>
      </c>
      <c r="Y1911" t="s">
        <v>110</v>
      </c>
      <c r="Z1911">
        <v>513</v>
      </c>
      <c r="AA1911">
        <v>61</v>
      </c>
      <c r="AB1911">
        <v>158</v>
      </c>
      <c r="AC1911" t="s">
        <v>646</v>
      </c>
      <c r="AD1911" t="s">
        <v>647</v>
      </c>
      <c r="AE1911" t="s">
        <v>648</v>
      </c>
      <c r="AF1911" t="s">
        <v>9953</v>
      </c>
      <c r="AG1911" t="s">
        <v>9954</v>
      </c>
      <c r="AH1911" t="s">
        <v>9955</v>
      </c>
      <c r="AI1911" t="s">
        <v>647</v>
      </c>
      <c r="AJ1911" s="2">
        <v>45709.776412037034</v>
      </c>
      <c r="AK1911" t="s">
        <v>646</v>
      </c>
      <c r="AL1911" t="s">
        <v>65</v>
      </c>
      <c r="AM1911" s="3">
        <v>1.4583333333333333</v>
      </c>
      <c r="AN1911" t="s">
        <v>66</v>
      </c>
      <c r="AO1911" t="s">
        <v>67</v>
      </c>
    </row>
    <row r="1912" spans="1:41" x14ac:dyDescent="0.2">
      <c r="A1912">
        <v>372976</v>
      </c>
      <c r="B1912" t="s">
        <v>12713</v>
      </c>
      <c r="C1912" t="s">
        <v>1687</v>
      </c>
      <c r="D1912" t="s">
        <v>12714</v>
      </c>
      <c r="E1912">
        <v>32623746</v>
      </c>
      <c r="F1912">
        <v>161803</v>
      </c>
      <c r="G1912" s="1">
        <v>36241</v>
      </c>
      <c r="H1912" s="1">
        <v>45686</v>
      </c>
      <c r="I1912" s="1">
        <v>46054</v>
      </c>
      <c r="J1912" t="s">
        <v>45</v>
      </c>
      <c r="K1912" t="s">
        <v>45</v>
      </c>
      <c r="L1912" t="s">
        <v>4306</v>
      </c>
      <c r="M1912" s="1">
        <v>44384</v>
      </c>
      <c r="N1912" t="s">
        <v>47</v>
      </c>
      <c r="O1912" t="s">
        <v>48</v>
      </c>
      <c r="P1912" t="s">
        <v>49</v>
      </c>
      <c r="Q1912" t="s">
        <v>12715</v>
      </c>
      <c r="R1912" t="s">
        <v>12716</v>
      </c>
      <c r="S1912">
        <v>200</v>
      </c>
      <c r="T1912" t="s">
        <v>52</v>
      </c>
      <c r="U1912">
        <v>8</v>
      </c>
      <c r="V1912" t="s">
        <v>4309</v>
      </c>
      <c r="W1912" t="s">
        <v>54</v>
      </c>
      <c r="X1912" t="s">
        <v>76</v>
      </c>
      <c r="Y1912" t="s">
        <v>56</v>
      </c>
      <c r="Z1912">
        <v>774</v>
      </c>
      <c r="AA1912">
        <v>59</v>
      </c>
      <c r="AB1912">
        <v>45</v>
      </c>
      <c r="AC1912" t="s">
        <v>4310</v>
      </c>
      <c r="AD1912" t="s">
        <v>4311</v>
      </c>
      <c r="AE1912" t="s">
        <v>4312</v>
      </c>
      <c r="AF1912" t="s">
        <v>4313</v>
      </c>
      <c r="AG1912" t="s">
        <v>4314</v>
      </c>
      <c r="AH1912" t="s">
        <v>4315</v>
      </c>
      <c r="AJ1912" s="2">
        <v>45855.972349537034</v>
      </c>
      <c r="AK1912" t="s">
        <v>556</v>
      </c>
      <c r="AL1912" t="s">
        <v>65</v>
      </c>
      <c r="AM1912" s="3">
        <v>1.7777777777777777</v>
      </c>
      <c r="AN1912" t="s">
        <v>66</v>
      </c>
      <c r="AO1912" t="s">
        <v>67</v>
      </c>
    </row>
    <row r="1913" spans="1:41" x14ac:dyDescent="0.2">
      <c r="A1913">
        <v>367924</v>
      </c>
      <c r="B1913" t="s">
        <v>12717</v>
      </c>
      <c r="C1913" t="s">
        <v>788</v>
      </c>
      <c r="D1913" t="s">
        <v>6040</v>
      </c>
      <c r="E1913" t="s">
        <v>12718</v>
      </c>
      <c r="F1913">
        <v>86501</v>
      </c>
      <c r="G1913" s="1">
        <v>39099</v>
      </c>
      <c r="H1913" s="1">
        <v>45684</v>
      </c>
      <c r="J1913" t="s">
        <v>45</v>
      </c>
      <c r="K1913" t="s">
        <v>72</v>
      </c>
      <c r="L1913" t="s">
        <v>72</v>
      </c>
      <c r="N1913" t="s">
        <v>47</v>
      </c>
      <c r="O1913" t="s">
        <v>48</v>
      </c>
      <c r="P1913" t="s">
        <v>49</v>
      </c>
      <c r="Q1913" t="s">
        <v>12719</v>
      </c>
      <c r="R1913" t="s">
        <v>12720</v>
      </c>
      <c r="S1913">
        <v>10</v>
      </c>
      <c r="T1913" t="s">
        <v>156</v>
      </c>
      <c r="U1913" t="s">
        <v>157</v>
      </c>
      <c r="V1913" t="s">
        <v>12721</v>
      </c>
      <c r="W1913" t="s">
        <v>159</v>
      </c>
      <c r="X1913" t="s">
        <v>156</v>
      </c>
      <c r="Y1913" t="s">
        <v>450</v>
      </c>
      <c r="Z1913">
        <v>2846</v>
      </c>
      <c r="AA1913">
        <v>25</v>
      </c>
      <c r="AB1913">
        <v>158</v>
      </c>
      <c r="AC1913" t="s">
        <v>6395</v>
      </c>
      <c r="AD1913" t="s">
        <v>6396</v>
      </c>
      <c r="AE1913" t="s">
        <v>8631</v>
      </c>
      <c r="AI1913" t="s">
        <v>12722</v>
      </c>
      <c r="AJ1913" s="2">
        <v>45693.815879629627</v>
      </c>
      <c r="AK1913" t="s">
        <v>526</v>
      </c>
      <c r="AL1913" t="s">
        <v>65</v>
      </c>
      <c r="AM1913" s="3">
        <v>1.6180555555555556</v>
      </c>
      <c r="AN1913" t="s">
        <v>66</v>
      </c>
      <c r="AO1913" t="s">
        <v>67</v>
      </c>
    </row>
    <row r="1914" spans="1:41" x14ac:dyDescent="0.2">
      <c r="A1914">
        <v>371396</v>
      </c>
      <c r="B1914" t="s">
        <v>12723</v>
      </c>
      <c r="C1914" t="s">
        <v>2298</v>
      </c>
      <c r="D1914" t="s">
        <v>6391</v>
      </c>
      <c r="E1914" t="s">
        <v>12724</v>
      </c>
      <c r="J1914" t="s">
        <v>45</v>
      </c>
      <c r="K1914" t="s">
        <v>45</v>
      </c>
      <c r="L1914" t="s">
        <v>72</v>
      </c>
      <c r="N1914" t="s">
        <v>89</v>
      </c>
      <c r="O1914" t="s">
        <v>121</v>
      </c>
      <c r="P1914" t="s">
        <v>49</v>
      </c>
      <c r="T1914" t="s">
        <v>257</v>
      </c>
      <c r="U1914" t="s">
        <v>1691</v>
      </c>
      <c r="V1914" t="s">
        <v>8838</v>
      </c>
      <c r="W1914" t="s">
        <v>260</v>
      </c>
      <c r="X1914" t="s">
        <v>257</v>
      </c>
      <c r="Y1914" t="s">
        <v>96</v>
      </c>
      <c r="Z1914">
        <v>8166</v>
      </c>
      <c r="AA1914">
        <v>4</v>
      </c>
      <c r="AB1914">
        <v>78</v>
      </c>
      <c r="AC1914" t="s">
        <v>8839</v>
      </c>
      <c r="AD1914" t="s">
        <v>8840</v>
      </c>
      <c r="AE1914" t="s">
        <v>8841</v>
      </c>
      <c r="AF1914" t="s">
        <v>8842</v>
      </c>
      <c r="AG1914" t="s">
        <v>8843</v>
      </c>
      <c r="AJ1914" s="2">
        <v>45807.681226851855</v>
      </c>
      <c r="AK1914" t="s">
        <v>8839</v>
      </c>
      <c r="AL1914" t="s">
        <v>65</v>
      </c>
      <c r="AM1914" s="4">
        <v>0.77083333333333337</v>
      </c>
      <c r="AN1914" t="s">
        <v>66</v>
      </c>
      <c r="AO1914" t="s">
        <v>67</v>
      </c>
    </row>
    <row r="1915" spans="1:41" x14ac:dyDescent="0.2">
      <c r="A1915">
        <v>371064</v>
      </c>
      <c r="B1915" t="s">
        <v>12725</v>
      </c>
      <c r="C1915" t="s">
        <v>103</v>
      </c>
      <c r="D1915" t="s">
        <v>12726</v>
      </c>
      <c r="E1915" t="s">
        <v>12727</v>
      </c>
      <c r="F1915">
        <v>319802</v>
      </c>
      <c r="G1915" s="1">
        <v>36872</v>
      </c>
      <c r="H1915" s="1">
        <v>45344</v>
      </c>
      <c r="I1915" s="1">
        <v>46327</v>
      </c>
      <c r="J1915" t="s">
        <v>45</v>
      </c>
      <c r="K1915" t="s">
        <v>45</v>
      </c>
      <c r="L1915" t="s">
        <v>72</v>
      </c>
      <c r="M1915" s="1">
        <v>44566</v>
      </c>
      <c r="N1915" t="s">
        <v>47</v>
      </c>
      <c r="O1915" t="s">
        <v>48</v>
      </c>
      <c r="P1915" t="s">
        <v>49</v>
      </c>
      <c r="Q1915" t="s">
        <v>12728</v>
      </c>
      <c r="R1915" t="s">
        <v>12729</v>
      </c>
      <c r="S1915">
        <v>60</v>
      </c>
      <c r="T1915" t="s">
        <v>92</v>
      </c>
      <c r="U1915" t="s">
        <v>107</v>
      </c>
      <c r="V1915" t="s">
        <v>108</v>
      </c>
      <c r="W1915" t="s">
        <v>109</v>
      </c>
      <c r="X1915" t="s">
        <v>52</v>
      </c>
      <c r="Y1915" t="s">
        <v>110</v>
      </c>
      <c r="Z1915">
        <v>1803</v>
      </c>
      <c r="AA1915">
        <v>55</v>
      </c>
      <c r="AB1915">
        <v>45</v>
      </c>
      <c r="AC1915" t="s">
        <v>1461</v>
      </c>
      <c r="AD1915" t="s">
        <v>1462</v>
      </c>
      <c r="AE1915" t="s">
        <v>1463</v>
      </c>
      <c r="AF1915" t="s">
        <v>1464</v>
      </c>
      <c r="AG1915" t="s">
        <v>4566</v>
      </c>
      <c r="AH1915" t="s">
        <v>1465</v>
      </c>
      <c r="AI1915" t="s">
        <v>1462</v>
      </c>
      <c r="AJ1915" s="2">
        <v>45818.719537037039</v>
      </c>
      <c r="AK1915" t="s">
        <v>100</v>
      </c>
      <c r="AL1915" t="s">
        <v>65</v>
      </c>
      <c r="AM1915" s="3">
        <v>2.2361111111111112</v>
      </c>
      <c r="AN1915" t="s">
        <v>66</v>
      </c>
      <c r="AO1915" t="s">
        <v>67</v>
      </c>
    </row>
    <row r="1916" spans="1:41" x14ac:dyDescent="0.2">
      <c r="A1916">
        <v>365303</v>
      </c>
      <c r="B1916" t="s">
        <v>12730</v>
      </c>
      <c r="C1916" t="s">
        <v>118</v>
      </c>
      <c r="D1916" t="s">
        <v>1389</v>
      </c>
      <c r="E1916" t="s">
        <v>12731</v>
      </c>
      <c r="F1916">
        <v>20307</v>
      </c>
      <c r="G1916" s="1">
        <v>41055</v>
      </c>
      <c r="H1916" s="1">
        <v>45573</v>
      </c>
      <c r="I1916" s="1">
        <v>46266</v>
      </c>
      <c r="J1916" t="s">
        <v>45</v>
      </c>
      <c r="K1916" t="s">
        <v>326</v>
      </c>
      <c r="L1916" t="s">
        <v>72</v>
      </c>
      <c r="N1916" t="s">
        <v>47</v>
      </c>
      <c r="O1916" t="s">
        <v>48</v>
      </c>
      <c r="P1916" t="s">
        <v>49</v>
      </c>
      <c r="Q1916" t="s">
        <v>12732</v>
      </c>
      <c r="R1916" t="s">
        <v>12733</v>
      </c>
      <c r="S1916">
        <v>7204</v>
      </c>
      <c r="T1916" t="s">
        <v>296</v>
      </c>
      <c r="U1916" t="s">
        <v>1389</v>
      </c>
      <c r="V1916" t="s">
        <v>1390</v>
      </c>
      <c r="W1916" t="s">
        <v>299</v>
      </c>
      <c r="X1916" t="s">
        <v>55</v>
      </c>
      <c r="Y1916" t="s">
        <v>56</v>
      </c>
      <c r="Z1916">
        <v>3726</v>
      </c>
      <c r="AA1916">
        <v>34</v>
      </c>
      <c r="AB1916">
        <v>34</v>
      </c>
      <c r="AC1916" t="s">
        <v>12734</v>
      </c>
      <c r="AD1916" t="s">
        <v>12735</v>
      </c>
      <c r="AE1916" t="s">
        <v>12736</v>
      </c>
      <c r="AF1916" t="s">
        <v>12737</v>
      </c>
      <c r="AH1916" t="s">
        <v>12738</v>
      </c>
      <c r="AI1916" t="s">
        <v>1394</v>
      </c>
      <c r="AJ1916" s="2">
        <v>45576.583993055552</v>
      </c>
      <c r="AK1916" t="s">
        <v>609</v>
      </c>
      <c r="AL1916" t="s">
        <v>65</v>
      </c>
      <c r="AM1916" s="3">
        <v>1.5208333333333333</v>
      </c>
      <c r="AN1916" t="s">
        <v>66</v>
      </c>
      <c r="AO1916" t="s">
        <v>67</v>
      </c>
    </row>
    <row r="1917" spans="1:41" x14ac:dyDescent="0.2">
      <c r="A1917">
        <v>367715</v>
      </c>
      <c r="B1917" t="s">
        <v>12739</v>
      </c>
      <c r="C1917" t="s">
        <v>788</v>
      </c>
      <c r="E1917" t="s">
        <v>12740</v>
      </c>
      <c r="F1917">
        <v>80202</v>
      </c>
      <c r="G1917" s="1">
        <v>39388</v>
      </c>
      <c r="H1917" s="1">
        <v>45685</v>
      </c>
      <c r="I1917" s="1">
        <v>46037</v>
      </c>
      <c r="J1917" t="s">
        <v>45</v>
      </c>
      <c r="K1917" t="s">
        <v>45</v>
      </c>
      <c r="L1917" t="s">
        <v>72</v>
      </c>
      <c r="M1917" s="1">
        <v>42586</v>
      </c>
      <c r="N1917" t="s">
        <v>47</v>
      </c>
      <c r="O1917" t="s">
        <v>48</v>
      </c>
      <c r="P1917" t="s">
        <v>49</v>
      </c>
      <c r="Q1917" t="s">
        <v>12741</v>
      </c>
      <c r="R1917" t="s">
        <v>12742</v>
      </c>
      <c r="S1917">
        <v>15</v>
      </c>
      <c r="T1917" t="s">
        <v>257</v>
      </c>
      <c r="U1917" t="s">
        <v>1691</v>
      </c>
      <c r="V1917" t="s">
        <v>12743</v>
      </c>
      <c r="W1917" t="s">
        <v>260</v>
      </c>
      <c r="X1917" t="s">
        <v>257</v>
      </c>
      <c r="Y1917" t="s">
        <v>110</v>
      </c>
      <c r="Z1917">
        <v>1211</v>
      </c>
      <c r="AA1917">
        <v>33</v>
      </c>
      <c r="AB1917">
        <v>160</v>
      </c>
      <c r="AC1917" t="s">
        <v>12744</v>
      </c>
      <c r="AD1917" t="s">
        <v>12745</v>
      </c>
      <c r="AE1917" t="s">
        <v>12746</v>
      </c>
      <c r="AF1917" t="s">
        <v>12747</v>
      </c>
      <c r="AG1917" t="s">
        <v>12748</v>
      </c>
      <c r="AH1917" t="s">
        <v>12749</v>
      </c>
      <c r="AJ1917" s="2">
        <v>45687.687627314815</v>
      </c>
      <c r="AK1917" t="s">
        <v>12747</v>
      </c>
      <c r="AL1917" t="s">
        <v>65</v>
      </c>
      <c r="AM1917" s="4">
        <v>0.95138888888888884</v>
      </c>
      <c r="AN1917" t="s">
        <v>66</v>
      </c>
      <c r="AO1917" t="s">
        <v>67</v>
      </c>
    </row>
    <row r="1918" spans="1:41" x14ac:dyDescent="0.2">
      <c r="A1918">
        <v>356239</v>
      </c>
      <c r="B1918" t="s">
        <v>12750</v>
      </c>
      <c r="C1918" t="s">
        <v>103</v>
      </c>
      <c r="D1918" t="s">
        <v>7634</v>
      </c>
      <c r="E1918">
        <v>40700618</v>
      </c>
      <c r="F1918">
        <v>314190</v>
      </c>
      <c r="G1918" s="1">
        <v>45301</v>
      </c>
      <c r="H1918" s="1">
        <v>45294</v>
      </c>
      <c r="I1918" s="1">
        <v>46310</v>
      </c>
      <c r="J1918" t="s">
        <v>45</v>
      </c>
      <c r="K1918" t="s">
        <v>45</v>
      </c>
      <c r="L1918" t="s">
        <v>72</v>
      </c>
      <c r="M1918" s="1">
        <v>45294</v>
      </c>
      <c r="N1918" t="s">
        <v>47</v>
      </c>
      <c r="O1918" t="s">
        <v>121</v>
      </c>
      <c r="P1918" t="s">
        <v>49</v>
      </c>
      <c r="Q1918" t="s">
        <v>12751</v>
      </c>
      <c r="R1918" t="s">
        <v>12752</v>
      </c>
      <c r="S1918">
        <v>500</v>
      </c>
      <c r="T1918" t="s">
        <v>92</v>
      </c>
      <c r="U1918" t="s">
        <v>107</v>
      </c>
      <c r="V1918" t="s">
        <v>108</v>
      </c>
      <c r="W1918" t="s">
        <v>109</v>
      </c>
      <c r="X1918" t="s">
        <v>52</v>
      </c>
      <c r="Y1918" t="s">
        <v>110</v>
      </c>
      <c r="Z1918">
        <v>2549</v>
      </c>
      <c r="AA1918">
        <v>73</v>
      </c>
      <c r="AB1918">
        <v>144</v>
      </c>
      <c r="AC1918" t="s">
        <v>4563</v>
      </c>
      <c r="AD1918" t="s">
        <v>4564</v>
      </c>
      <c r="AE1918" t="s">
        <v>6718</v>
      </c>
      <c r="AF1918" t="s">
        <v>1464</v>
      </c>
      <c r="AG1918" t="s">
        <v>4566</v>
      </c>
      <c r="AH1918" t="s">
        <v>1465</v>
      </c>
      <c r="AI1918" t="s">
        <v>4564</v>
      </c>
      <c r="AJ1918" s="2">
        <v>45818.719537037039</v>
      </c>
      <c r="AK1918" t="s">
        <v>100</v>
      </c>
      <c r="AL1918" t="s">
        <v>65</v>
      </c>
      <c r="AM1918" s="3">
        <v>2.0625</v>
      </c>
      <c r="AN1918" t="s">
        <v>66</v>
      </c>
      <c r="AO1918" t="s">
        <v>67</v>
      </c>
    </row>
    <row r="1919" spans="1:41" x14ac:dyDescent="0.2">
      <c r="A1919">
        <v>357560</v>
      </c>
      <c r="B1919" t="s">
        <v>12753</v>
      </c>
      <c r="C1919" t="s">
        <v>103</v>
      </c>
      <c r="E1919">
        <v>40717272</v>
      </c>
      <c r="F1919">
        <v>314890</v>
      </c>
      <c r="G1919" s="1">
        <v>40382</v>
      </c>
      <c r="H1919" s="1">
        <v>45322</v>
      </c>
      <c r="I1919" s="1">
        <v>46310</v>
      </c>
      <c r="J1919" t="s">
        <v>45</v>
      </c>
      <c r="K1919" t="s">
        <v>45</v>
      </c>
      <c r="L1919" t="s">
        <v>72</v>
      </c>
      <c r="M1919" s="1">
        <v>41610</v>
      </c>
      <c r="N1919" t="s">
        <v>89</v>
      </c>
      <c r="O1919" t="s">
        <v>121</v>
      </c>
      <c r="P1919" t="s">
        <v>49</v>
      </c>
      <c r="Q1919" t="s">
        <v>12754</v>
      </c>
      <c r="R1919" t="s">
        <v>12755</v>
      </c>
      <c r="S1919">
        <v>2800</v>
      </c>
      <c r="T1919" t="s">
        <v>92</v>
      </c>
      <c r="U1919" t="s">
        <v>107</v>
      </c>
      <c r="V1919" t="s">
        <v>108</v>
      </c>
      <c r="W1919" t="s">
        <v>109</v>
      </c>
      <c r="X1919" t="s">
        <v>52</v>
      </c>
      <c r="Y1919" t="s">
        <v>110</v>
      </c>
      <c r="Z1919">
        <v>2550</v>
      </c>
      <c r="AA1919">
        <v>44</v>
      </c>
      <c r="AB1919">
        <v>144</v>
      </c>
      <c r="AC1919" t="s">
        <v>114</v>
      </c>
      <c r="AD1919" t="s">
        <v>115</v>
      </c>
      <c r="AE1919" t="s">
        <v>116</v>
      </c>
      <c r="AF1919" t="s">
        <v>1464</v>
      </c>
      <c r="AG1919" t="s">
        <v>4566</v>
      </c>
      <c r="AH1919" t="s">
        <v>1465</v>
      </c>
      <c r="AI1919" t="s">
        <v>115</v>
      </c>
      <c r="AJ1919" s="2">
        <v>45818.719537037039</v>
      </c>
      <c r="AK1919" t="s">
        <v>100</v>
      </c>
      <c r="AL1919" t="s">
        <v>65</v>
      </c>
      <c r="AM1919" s="3">
        <v>2.0694444444444446</v>
      </c>
      <c r="AN1919" t="s">
        <v>66</v>
      </c>
      <c r="AO1919" t="s">
        <v>67</v>
      </c>
    </row>
    <row r="1920" spans="1:41" x14ac:dyDescent="0.2">
      <c r="A1920">
        <v>370967</v>
      </c>
      <c r="B1920" t="s">
        <v>12756</v>
      </c>
      <c r="C1920" t="s">
        <v>103</v>
      </c>
      <c r="D1920" t="s">
        <v>12757</v>
      </c>
      <c r="E1920" t="s">
        <v>12758</v>
      </c>
      <c r="F1920">
        <v>317990</v>
      </c>
      <c r="G1920" s="1">
        <v>45133</v>
      </c>
      <c r="H1920" s="1">
        <v>45264</v>
      </c>
      <c r="I1920" s="1">
        <v>46310</v>
      </c>
      <c r="J1920" t="s">
        <v>45</v>
      </c>
      <c r="K1920" t="s">
        <v>45</v>
      </c>
      <c r="L1920" t="s">
        <v>72</v>
      </c>
      <c r="M1920" s="1">
        <v>43103</v>
      </c>
      <c r="N1920" t="s">
        <v>47</v>
      </c>
      <c r="O1920" t="s">
        <v>121</v>
      </c>
      <c r="P1920" t="s">
        <v>49</v>
      </c>
      <c r="Q1920" t="s">
        <v>12759</v>
      </c>
      <c r="R1920" t="s">
        <v>12760</v>
      </c>
      <c r="S1920">
        <v>130</v>
      </c>
      <c r="T1920" t="s">
        <v>92</v>
      </c>
      <c r="U1920" t="s">
        <v>107</v>
      </c>
      <c r="V1920" t="s">
        <v>108</v>
      </c>
      <c r="W1920" t="s">
        <v>109</v>
      </c>
      <c r="X1920" t="s">
        <v>52</v>
      </c>
      <c r="Y1920" t="s">
        <v>110</v>
      </c>
      <c r="Z1920">
        <v>2551</v>
      </c>
      <c r="AA1920">
        <v>64</v>
      </c>
      <c r="AB1920">
        <v>45</v>
      </c>
      <c r="AC1920" t="s">
        <v>1461</v>
      </c>
      <c r="AD1920" t="s">
        <v>1462</v>
      </c>
      <c r="AE1920" t="s">
        <v>1463</v>
      </c>
      <c r="AF1920" t="s">
        <v>1464</v>
      </c>
      <c r="AG1920" t="s">
        <v>4566</v>
      </c>
      <c r="AH1920" t="s">
        <v>1465</v>
      </c>
      <c r="AI1920" t="s">
        <v>1462</v>
      </c>
      <c r="AJ1920" s="2">
        <v>45818.719537037039</v>
      </c>
      <c r="AK1920" t="s">
        <v>100</v>
      </c>
      <c r="AL1920" t="s">
        <v>65</v>
      </c>
      <c r="AM1920" s="4">
        <v>0.52777777777777779</v>
      </c>
      <c r="AN1920" t="s">
        <v>66</v>
      </c>
      <c r="AO1920" t="s">
        <v>101</v>
      </c>
    </row>
    <row r="1921" spans="1:41" x14ac:dyDescent="0.2">
      <c r="A1921">
        <v>372670</v>
      </c>
      <c r="B1921" t="s">
        <v>12761</v>
      </c>
      <c r="C1921" t="s">
        <v>103</v>
      </c>
      <c r="D1921" t="s">
        <v>2018</v>
      </c>
      <c r="E1921" t="s">
        <v>12762</v>
      </c>
      <c r="F1921">
        <v>314891</v>
      </c>
      <c r="G1921" s="1">
        <v>44999</v>
      </c>
      <c r="H1921" s="1">
        <v>45835</v>
      </c>
      <c r="I1921" s="1">
        <v>46310</v>
      </c>
      <c r="J1921" t="s">
        <v>45</v>
      </c>
      <c r="K1921" t="s">
        <v>45</v>
      </c>
      <c r="L1921" t="s">
        <v>72</v>
      </c>
      <c r="M1921" s="1">
        <v>41786</v>
      </c>
      <c r="N1921" t="s">
        <v>47</v>
      </c>
      <c r="O1921" t="s">
        <v>121</v>
      </c>
      <c r="P1921" t="s">
        <v>49</v>
      </c>
      <c r="Q1921" t="s">
        <v>12763</v>
      </c>
      <c r="R1921" t="s">
        <v>12764</v>
      </c>
      <c r="S1921">
        <v>48</v>
      </c>
      <c r="T1921" t="s">
        <v>92</v>
      </c>
      <c r="U1921" t="s">
        <v>107</v>
      </c>
      <c r="V1921" t="s">
        <v>108</v>
      </c>
      <c r="W1921" t="s">
        <v>109</v>
      </c>
      <c r="X1921" t="s">
        <v>52</v>
      </c>
      <c r="Y1921" t="s">
        <v>110</v>
      </c>
      <c r="Z1921">
        <v>2552</v>
      </c>
      <c r="AA1921">
        <v>65</v>
      </c>
      <c r="AB1921">
        <v>45</v>
      </c>
      <c r="AC1921" t="s">
        <v>1464</v>
      </c>
      <c r="AD1921" t="s">
        <v>4566</v>
      </c>
      <c r="AE1921" t="s">
        <v>1465</v>
      </c>
      <c r="AF1921" t="s">
        <v>12765</v>
      </c>
      <c r="AG1921" t="s">
        <v>12766</v>
      </c>
      <c r="AH1921" t="s">
        <v>12767</v>
      </c>
      <c r="AI1921" t="s">
        <v>12768</v>
      </c>
      <c r="AJ1921" s="2">
        <v>45849.668865740743</v>
      </c>
      <c r="AK1921" t="s">
        <v>132</v>
      </c>
      <c r="AL1921" t="s">
        <v>65</v>
      </c>
      <c r="AM1921" s="3">
        <v>1.9305555555555556</v>
      </c>
      <c r="AN1921" t="s">
        <v>66</v>
      </c>
      <c r="AO1921" t="s">
        <v>101</v>
      </c>
    </row>
    <row r="1922" spans="1:41" x14ac:dyDescent="0.2">
      <c r="A1922">
        <v>365791</v>
      </c>
      <c r="B1922" t="s">
        <v>12769</v>
      </c>
      <c r="C1922" t="s">
        <v>103</v>
      </c>
      <c r="D1922" t="s">
        <v>7002</v>
      </c>
      <c r="E1922" t="s">
        <v>12770</v>
      </c>
      <c r="F1922">
        <v>317490</v>
      </c>
      <c r="G1922" s="1">
        <v>44060</v>
      </c>
      <c r="H1922" s="1">
        <v>45322</v>
      </c>
      <c r="I1922" s="1">
        <v>46341</v>
      </c>
      <c r="J1922" t="s">
        <v>45</v>
      </c>
      <c r="K1922" t="s">
        <v>45</v>
      </c>
      <c r="L1922" t="s">
        <v>72</v>
      </c>
      <c r="M1922" s="1">
        <v>42668</v>
      </c>
      <c r="N1922" t="s">
        <v>89</v>
      </c>
      <c r="O1922" t="s">
        <v>121</v>
      </c>
      <c r="P1922" t="s">
        <v>49</v>
      </c>
      <c r="Q1922" t="s">
        <v>12771</v>
      </c>
      <c r="R1922" t="s">
        <v>12772</v>
      </c>
      <c r="S1922">
        <v>3534</v>
      </c>
      <c r="T1922" t="s">
        <v>92</v>
      </c>
      <c r="U1922" t="s">
        <v>107</v>
      </c>
      <c r="V1922" t="s">
        <v>108</v>
      </c>
      <c r="W1922" t="s">
        <v>109</v>
      </c>
      <c r="X1922" t="s">
        <v>92</v>
      </c>
      <c r="Y1922" t="s">
        <v>110</v>
      </c>
      <c r="Z1922">
        <v>2876</v>
      </c>
      <c r="AA1922">
        <v>37</v>
      </c>
      <c r="AB1922">
        <v>45</v>
      </c>
      <c r="AC1922" t="s">
        <v>114</v>
      </c>
      <c r="AD1922" t="s">
        <v>115</v>
      </c>
      <c r="AE1922" t="s">
        <v>116</v>
      </c>
      <c r="AF1922" t="s">
        <v>1464</v>
      </c>
      <c r="AG1922" t="s">
        <v>4566</v>
      </c>
      <c r="AH1922" t="s">
        <v>1465</v>
      </c>
      <c r="AI1922" t="s">
        <v>115</v>
      </c>
      <c r="AJ1922" s="2">
        <v>45818.719537037039</v>
      </c>
      <c r="AK1922" t="s">
        <v>100</v>
      </c>
      <c r="AL1922" t="s">
        <v>65</v>
      </c>
      <c r="AM1922" s="3">
        <v>1.9375</v>
      </c>
      <c r="AN1922" t="s">
        <v>66</v>
      </c>
      <c r="AO1922" t="s">
        <v>101</v>
      </c>
    </row>
    <row r="1923" spans="1:41" x14ac:dyDescent="0.2">
      <c r="A1923">
        <v>371070</v>
      </c>
      <c r="B1923" t="s">
        <v>12773</v>
      </c>
      <c r="C1923" t="s">
        <v>103</v>
      </c>
      <c r="D1923" t="s">
        <v>12774</v>
      </c>
      <c r="E1923" t="s">
        <v>12775</v>
      </c>
      <c r="F1923">
        <v>317491</v>
      </c>
      <c r="G1923" s="1">
        <v>44964</v>
      </c>
      <c r="H1923" s="1">
        <v>45337</v>
      </c>
      <c r="I1923" s="1">
        <v>46327</v>
      </c>
      <c r="J1923" t="s">
        <v>45</v>
      </c>
      <c r="K1923" t="s">
        <v>45</v>
      </c>
      <c r="L1923" t="s">
        <v>72</v>
      </c>
      <c r="N1923" t="s">
        <v>47</v>
      </c>
      <c r="O1923" t="s">
        <v>121</v>
      </c>
      <c r="P1923" t="s">
        <v>49</v>
      </c>
      <c r="Q1923" t="s">
        <v>12776</v>
      </c>
      <c r="R1923" t="s">
        <v>12777</v>
      </c>
      <c r="S1923">
        <v>12</v>
      </c>
      <c r="T1923" t="s">
        <v>92</v>
      </c>
      <c r="U1923" t="s">
        <v>107</v>
      </c>
      <c r="V1923" t="s">
        <v>108</v>
      </c>
      <c r="W1923" t="s">
        <v>109</v>
      </c>
      <c r="X1923" t="s">
        <v>92</v>
      </c>
      <c r="Y1923" t="s">
        <v>110</v>
      </c>
      <c r="Z1923">
        <v>2877</v>
      </c>
      <c r="AA1923">
        <v>27</v>
      </c>
      <c r="AB1923">
        <v>45</v>
      </c>
      <c r="AC1923" t="s">
        <v>7404</v>
      </c>
      <c r="AD1923" t="s">
        <v>7405</v>
      </c>
      <c r="AE1923" t="s">
        <v>7406</v>
      </c>
      <c r="AF1923" t="s">
        <v>7407</v>
      </c>
      <c r="AG1923" t="s">
        <v>7408</v>
      </c>
      <c r="AH1923" t="s">
        <v>7409</v>
      </c>
      <c r="AI1923" t="s">
        <v>7408</v>
      </c>
      <c r="AJ1923" s="2">
        <v>45818.719537037039</v>
      </c>
      <c r="AK1923" t="s">
        <v>100</v>
      </c>
      <c r="AL1923" t="s">
        <v>65</v>
      </c>
      <c r="AM1923" s="4">
        <v>0.77777777777777779</v>
      </c>
      <c r="AN1923" t="s">
        <v>66</v>
      </c>
      <c r="AO1923" t="s">
        <v>101</v>
      </c>
    </row>
    <row r="1924" spans="1:41" x14ac:dyDescent="0.2">
      <c r="A1924">
        <v>362634</v>
      </c>
      <c r="B1924" t="s">
        <v>12778</v>
      </c>
      <c r="C1924" t="s">
        <v>134</v>
      </c>
      <c r="D1924" t="s">
        <v>214</v>
      </c>
      <c r="E1924" t="s">
        <v>12779</v>
      </c>
      <c r="F1924">
        <v>452030</v>
      </c>
      <c r="G1924" s="1">
        <v>35150</v>
      </c>
      <c r="H1924" s="1">
        <v>45491</v>
      </c>
      <c r="I1924" s="1">
        <v>46204</v>
      </c>
      <c r="J1924" t="s">
        <v>45</v>
      </c>
      <c r="K1924" t="s">
        <v>45</v>
      </c>
      <c r="L1924" t="s">
        <v>429</v>
      </c>
      <c r="M1924" s="1">
        <v>43344</v>
      </c>
      <c r="N1924" t="s">
        <v>47</v>
      </c>
      <c r="O1924" t="s">
        <v>48</v>
      </c>
      <c r="P1924" t="s">
        <v>49</v>
      </c>
      <c r="Q1924" t="s">
        <v>12780</v>
      </c>
      <c r="R1924" t="s">
        <v>12781</v>
      </c>
      <c r="S1924">
        <v>1697</v>
      </c>
      <c r="T1924" t="s">
        <v>52</v>
      </c>
      <c r="U1924">
        <v>6</v>
      </c>
      <c r="V1924" t="s">
        <v>4158</v>
      </c>
      <c r="W1924" t="s">
        <v>54</v>
      </c>
      <c r="X1924" t="s">
        <v>76</v>
      </c>
      <c r="Y1924" t="s">
        <v>434</v>
      </c>
      <c r="Z1924">
        <v>803</v>
      </c>
      <c r="AA1924">
        <v>62</v>
      </c>
      <c r="AB1924">
        <v>34</v>
      </c>
      <c r="AC1924" t="s">
        <v>4159</v>
      </c>
      <c r="AD1924" t="s">
        <v>4160</v>
      </c>
      <c r="AE1924" t="s">
        <v>4161</v>
      </c>
      <c r="AF1924" t="s">
        <v>6568</v>
      </c>
      <c r="AG1924" t="s">
        <v>6569</v>
      </c>
      <c r="AH1924" t="s">
        <v>6570</v>
      </c>
      <c r="AI1924" t="s">
        <v>6571</v>
      </c>
      <c r="AJ1924" s="2">
        <v>45492.045590277776</v>
      </c>
      <c r="AK1924" t="s">
        <v>2517</v>
      </c>
      <c r="AL1924" t="s">
        <v>65</v>
      </c>
      <c r="AM1924" s="4">
        <v>0.2638888888888889</v>
      </c>
      <c r="AN1924" t="s">
        <v>66</v>
      </c>
      <c r="AO1924" t="s">
        <v>67</v>
      </c>
    </row>
    <row r="1925" spans="1:41" x14ac:dyDescent="0.2">
      <c r="A1925">
        <v>372742</v>
      </c>
      <c r="B1925" t="s">
        <v>12782</v>
      </c>
      <c r="C1925" t="s">
        <v>4770</v>
      </c>
      <c r="D1925" t="s">
        <v>10311</v>
      </c>
      <c r="E1925">
        <v>83763576</v>
      </c>
      <c r="F1925">
        <v>136101</v>
      </c>
      <c r="G1925" s="1">
        <v>37567</v>
      </c>
      <c r="H1925" s="1">
        <v>45762</v>
      </c>
      <c r="I1925" s="1">
        <v>46113</v>
      </c>
      <c r="J1925" t="s">
        <v>45</v>
      </c>
      <c r="K1925" t="s">
        <v>45</v>
      </c>
      <c r="L1925" t="s">
        <v>72</v>
      </c>
      <c r="M1925" s="1">
        <v>42381</v>
      </c>
      <c r="N1925" t="s">
        <v>47</v>
      </c>
      <c r="O1925" t="s">
        <v>48</v>
      </c>
      <c r="P1925" t="s">
        <v>49</v>
      </c>
      <c r="Q1925" t="s">
        <v>12783</v>
      </c>
      <c r="R1925" t="s">
        <v>12784</v>
      </c>
      <c r="S1925">
        <v>898</v>
      </c>
      <c r="T1925" t="s">
        <v>156</v>
      </c>
      <c r="U1925" t="s">
        <v>241</v>
      </c>
      <c r="V1925" t="s">
        <v>12785</v>
      </c>
      <c r="W1925" t="s">
        <v>159</v>
      </c>
      <c r="X1925" t="s">
        <v>156</v>
      </c>
      <c r="Y1925" t="s">
        <v>110</v>
      </c>
      <c r="Z1925">
        <v>2329</v>
      </c>
      <c r="AA1925">
        <v>33</v>
      </c>
      <c r="AB1925">
        <v>189</v>
      </c>
      <c r="AC1925" t="s">
        <v>12786</v>
      </c>
      <c r="AD1925" t="s">
        <v>12787</v>
      </c>
      <c r="AE1925" t="s">
        <v>12788</v>
      </c>
      <c r="AF1925" t="s">
        <v>6257</v>
      </c>
      <c r="AG1925" t="s">
        <v>6258</v>
      </c>
      <c r="AH1925" t="s">
        <v>6259</v>
      </c>
      <c r="AI1925" t="s">
        <v>2419</v>
      </c>
      <c r="AJ1925" s="2">
        <v>45852.893437500003</v>
      </c>
      <c r="AK1925" t="s">
        <v>2496</v>
      </c>
      <c r="AL1925" t="s">
        <v>65</v>
      </c>
      <c r="AM1925" s="3">
        <v>1.3194444444444444</v>
      </c>
      <c r="AN1925" t="s">
        <v>66</v>
      </c>
      <c r="AO1925" t="s">
        <v>101</v>
      </c>
    </row>
    <row r="1926" spans="1:41" x14ac:dyDescent="0.2">
      <c r="A1926">
        <v>371919</v>
      </c>
      <c r="B1926" t="s">
        <v>12789</v>
      </c>
      <c r="C1926" t="s">
        <v>662</v>
      </c>
      <c r="D1926" t="s">
        <v>12790</v>
      </c>
      <c r="E1926" t="s">
        <v>12791</v>
      </c>
      <c r="F1926">
        <v>416401</v>
      </c>
      <c r="G1926" s="1">
        <v>41794</v>
      </c>
      <c r="H1926" s="1">
        <v>45756</v>
      </c>
      <c r="I1926" s="1">
        <v>46127</v>
      </c>
      <c r="J1926" t="s">
        <v>45</v>
      </c>
      <c r="K1926" t="s">
        <v>45</v>
      </c>
      <c r="L1926" t="s">
        <v>72</v>
      </c>
      <c r="M1926" s="1">
        <v>44496</v>
      </c>
      <c r="N1926" t="s">
        <v>47</v>
      </c>
      <c r="O1926" t="s">
        <v>48</v>
      </c>
      <c r="P1926" t="s">
        <v>49</v>
      </c>
      <c r="Q1926" t="s">
        <v>12792</v>
      </c>
      <c r="R1926" t="s">
        <v>12793</v>
      </c>
      <c r="S1926">
        <v>357</v>
      </c>
      <c r="T1926" t="s">
        <v>92</v>
      </c>
      <c r="U1926" t="s">
        <v>1197</v>
      </c>
      <c r="V1926" t="s">
        <v>1198</v>
      </c>
      <c r="W1926" t="s">
        <v>1199</v>
      </c>
      <c r="X1926" t="s">
        <v>92</v>
      </c>
      <c r="Y1926" t="s">
        <v>110</v>
      </c>
      <c r="Z1926">
        <v>6427</v>
      </c>
      <c r="AA1926">
        <v>21</v>
      </c>
      <c r="AB1926">
        <v>28</v>
      </c>
      <c r="AC1926" t="s">
        <v>1200</v>
      </c>
      <c r="AD1926" t="s">
        <v>1201</v>
      </c>
      <c r="AE1926" t="s">
        <v>1202</v>
      </c>
      <c r="AF1926" t="s">
        <v>1786</v>
      </c>
      <c r="AG1926" t="s">
        <v>1787</v>
      </c>
      <c r="AH1926" t="s">
        <v>1788</v>
      </c>
      <c r="AJ1926" s="2">
        <v>45824.823946759258</v>
      </c>
      <c r="AK1926" t="s">
        <v>1200</v>
      </c>
      <c r="AL1926" t="s">
        <v>65</v>
      </c>
      <c r="AM1926" s="3">
        <v>2.1319444444444446</v>
      </c>
      <c r="AN1926" t="s">
        <v>66</v>
      </c>
      <c r="AO1926" t="s">
        <v>67</v>
      </c>
    </row>
    <row r="1927" spans="1:41" x14ac:dyDescent="0.2">
      <c r="A1927">
        <v>369559</v>
      </c>
      <c r="B1927" t="s">
        <v>12794</v>
      </c>
      <c r="C1927" t="s">
        <v>252</v>
      </c>
      <c r="D1927" t="s">
        <v>10275</v>
      </c>
      <c r="E1927" t="s">
        <v>12795</v>
      </c>
      <c r="G1927" s="1">
        <v>45687</v>
      </c>
      <c r="H1927" s="1">
        <v>45688</v>
      </c>
      <c r="I1927" s="1">
        <v>46054</v>
      </c>
      <c r="J1927" t="s">
        <v>45</v>
      </c>
      <c r="K1927" t="s">
        <v>45</v>
      </c>
      <c r="L1927" t="s">
        <v>72</v>
      </c>
      <c r="M1927" s="1">
        <v>43667</v>
      </c>
      <c r="N1927" t="s">
        <v>47</v>
      </c>
      <c r="O1927" t="s">
        <v>121</v>
      </c>
      <c r="P1927" t="s">
        <v>49</v>
      </c>
      <c r="Q1927" t="s">
        <v>12796</v>
      </c>
      <c r="R1927" t="s">
        <v>12797</v>
      </c>
      <c r="S1927">
        <v>4358</v>
      </c>
      <c r="T1927" t="s">
        <v>52</v>
      </c>
      <c r="U1927">
        <v>2</v>
      </c>
      <c r="V1927" t="s">
        <v>2204</v>
      </c>
      <c r="W1927" t="s">
        <v>54</v>
      </c>
      <c r="X1927" t="s">
        <v>52</v>
      </c>
      <c r="Y1927" t="s">
        <v>125</v>
      </c>
      <c r="Z1927">
        <v>9046</v>
      </c>
      <c r="AA1927">
        <v>25</v>
      </c>
      <c r="AB1927">
        <v>28</v>
      </c>
      <c r="AC1927" t="s">
        <v>10278</v>
      </c>
      <c r="AD1927" t="s">
        <v>10279</v>
      </c>
      <c r="AE1927" t="s">
        <v>10280</v>
      </c>
      <c r="AF1927" t="s">
        <v>1570</v>
      </c>
      <c r="AG1927" t="s">
        <v>1571</v>
      </c>
      <c r="AH1927" t="s">
        <v>1572</v>
      </c>
      <c r="AI1927" t="s">
        <v>12798</v>
      </c>
      <c r="AJ1927" s="2">
        <v>45743.813599537039</v>
      </c>
      <c r="AK1927" t="s">
        <v>84</v>
      </c>
      <c r="AL1927" t="s">
        <v>65</v>
      </c>
      <c r="AM1927" s="4">
        <v>0.52083333333333337</v>
      </c>
      <c r="AN1927" t="s">
        <v>66</v>
      </c>
      <c r="AO1927" t="s">
        <v>67</v>
      </c>
    </row>
    <row r="1928" spans="1:41" x14ac:dyDescent="0.2">
      <c r="A1928">
        <v>367978</v>
      </c>
      <c r="B1928" t="s">
        <v>12799</v>
      </c>
      <c r="C1928" t="s">
        <v>763</v>
      </c>
      <c r="D1928" t="s">
        <v>2188</v>
      </c>
      <c r="E1928" t="s">
        <v>12800</v>
      </c>
      <c r="F1928">
        <v>474301</v>
      </c>
      <c r="G1928" s="1">
        <v>37565</v>
      </c>
      <c r="H1928" s="1">
        <v>45402</v>
      </c>
      <c r="J1928" t="s">
        <v>45</v>
      </c>
      <c r="K1928" t="s">
        <v>326</v>
      </c>
      <c r="L1928" t="s">
        <v>72</v>
      </c>
      <c r="M1928" s="1">
        <v>41031</v>
      </c>
      <c r="N1928" t="s">
        <v>47</v>
      </c>
      <c r="O1928" t="s">
        <v>48</v>
      </c>
      <c r="P1928" t="s">
        <v>49</v>
      </c>
      <c r="Q1928" t="s">
        <v>12801</v>
      </c>
      <c r="R1928" t="s">
        <v>12802</v>
      </c>
      <c r="S1928">
        <v>950</v>
      </c>
      <c r="T1928" t="s">
        <v>92</v>
      </c>
      <c r="U1928" t="s">
        <v>767</v>
      </c>
      <c r="V1928" t="s">
        <v>768</v>
      </c>
      <c r="W1928" t="s">
        <v>769</v>
      </c>
      <c r="X1928" t="s">
        <v>92</v>
      </c>
      <c r="Y1928" t="s">
        <v>770</v>
      </c>
      <c r="Z1928">
        <v>2327</v>
      </c>
      <c r="AA1928">
        <v>40</v>
      </c>
      <c r="AB1928">
        <v>158</v>
      </c>
      <c r="AC1928" t="s">
        <v>1263</v>
      </c>
      <c r="AD1928" t="s">
        <v>7844</v>
      </c>
      <c r="AE1928" t="s">
        <v>1265</v>
      </c>
      <c r="AF1928" t="s">
        <v>774</v>
      </c>
      <c r="AG1928" t="s">
        <v>775</v>
      </c>
      <c r="AH1928" t="s">
        <v>776</v>
      </c>
      <c r="AI1928" t="s">
        <v>10593</v>
      </c>
      <c r="AJ1928" s="2">
        <v>45695.581435185188</v>
      </c>
      <c r="AK1928" t="s">
        <v>1263</v>
      </c>
      <c r="AL1928" t="s">
        <v>65</v>
      </c>
      <c r="AM1928" s="3">
        <v>2.0069444444444446</v>
      </c>
      <c r="AN1928" t="s">
        <v>66</v>
      </c>
      <c r="AO1928" t="s">
        <v>67</v>
      </c>
    </row>
    <row r="1929" spans="1:41" x14ac:dyDescent="0.2">
      <c r="A1929">
        <v>373082</v>
      </c>
      <c r="B1929" t="s">
        <v>12803</v>
      </c>
      <c r="C1929" t="s">
        <v>345</v>
      </c>
      <c r="D1929" t="s">
        <v>8405</v>
      </c>
      <c r="E1929">
        <v>32405868</v>
      </c>
      <c r="F1929">
        <v>54704</v>
      </c>
      <c r="G1929" s="1">
        <v>37504</v>
      </c>
      <c r="H1929" s="1">
        <v>45856</v>
      </c>
      <c r="I1929" s="1">
        <v>46235</v>
      </c>
      <c r="J1929" t="s">
        <v>45</v>
      </c>
      <c r="K1929" t="s">
        <v>45</v>
      </c>
      <c r="L1929" t="s">
        <v>429</v>
      </c>
      <c r="M1929" s="1">
        <v>38569</v>
      </c>
      <c r="N1929" t="s">
        <v>47</v>
      </c>
      <c r="O1929" t="s">
        <v>48</v>
      </c>
      <c r="P1929" t="s">
        <v>49</v>
      </c>
      <c r="Q1929" t="s">
        <v>12804</v>
      </c>
      <c r="R1929" t="s">
        <v>12805</v>
      </c>
      <c r="S1929">
        <v>8993</v>
      </c>
      <c r="T1929" t="s">
        <v>52</v>
      </c>
      <c r="U1929">
        <v>2</v>
      </c>
      <c r="V1929" t="s">
        <v>8005</v>
      </c>
      <c r="W1929" t="s">
        <v>54</v>
      </c>
      <c r="X1929" t="s">
        <v>55</v>
      </c>
      <c r="Y1929" t="s">
        <v>56</v>
      </c>
      <c r="Z1929">
        <v>574</v>
      </c>
      <c r="AA1929">
        <v>63</v>
      </c>
      <c r="AB1929">
        <v>30</v>
      </c>
      <c r="AC1929" t="s">
        <v>8412</v>
      </c>
      <c r="AD1929" t="s">
        <v>8413</v>
      </c>
      <c r="AE1929" t="s">
        <v>11526</v>
      </c>
      <c r="AF1929" t="s">
        <v>8409</v>
      </c>
      <c r="AG1929" t="s">
        <v>8410</v>
      </c>
      <c r="AH1929" t="s">
        <v>8411</v>
      </c>
      <c r="AI1929" t="s">
        <v>11527</v>
      </c>
      <c r="AJ1929" s="2">
        <v>45856.892824074072</v>
      </c>
      <c r="AK1929" t="s">
        <v>132</v>
      </c>
      <c r="AL1929" t="s">
        <v>65</v>
      </c>
      <c r="AM1929" s="4">
        <v>0.9375</v>
      </c>
      <c r="AN1929" t="s">
        <v>66</v>
      </c>
      <c r="AO1929" t="s">
        <v>67</v>
      </c>
    </row>
    <row r="1930" spans="1:41" x14ac:dyDescent="0.2">
      <c r="A1930">
        <v>370956</v>
      </c>
      <c r="B1930" t="s">
        <v>12806</v>
      </c>
      <c r="C1930" t="s">
        <v>9662</v>
      </c>
      <c r="D1930" t="s">
        <v>584</v>
      </c>
      <c r="E1930" t="s">
        <v>12807</v>
      </c>
      <c r="F1930">
        <v>431302</v>
      </c>
      <c r="G1930" s="1">
        <v>45530</v>
      </c>
      <c r="H1930" s="1">
        <v>45791</v>
      </c>
      <c r="I1930" s="1">
        <v>46006</v>
      </c>
      <c r="J1930" t="s">
        <v>45</v>
      </c>
      <c r="K1930" t="s">
        <v>45</v>
      </c>
      <c r="L1930" t="s">
        <v>72</v>
      </c>
      <c r="M1930" s="1">
        <v>43224</v>
      </c>
      <c r="N1930" t="s">
        <v>89</v>
      </c>
      <c r="O1930" t="s">
        <v>121</v>
      </c>
      <c r="P1930" t="s">
        <v>7488</v>
      </c>
      <c r="Q1930" t="s">
        <v>12808</v>
      </c>
      <c r="R1930" t="s">
        <v>12809</v>
      </c>
      <c r="S1930">
        <v>82</v>
      </c>
      <c r="T1930" t="s">
        <v>92</v>
      </c>
      <c r="U1930" t="s">
        <v>12810</v>
      </c>
      <c r="V1930" t="s">
        <v>12811</v>
      </c>
      <c r="W1930" t="s">
        <v>12812</v>
      </c>
      <c r="X1930" t="s">
        <v>92</v>
      </c>
      <c r="Y1930" t="s">
        <v>110</v>
      </c>
      <c r="Z1930">
        <v>3104</v>
      </c>
      <c r="AA1930">
        <v>74</v>
      </c>
      <c r="AB1930">
        <v>67</v>
      </c>
      <c r="AC1930" t="s">
        <v>12813</v>
      </c>
      <c r="AD1930" t="s">
        <v>12814</v>
      </c>
      <c r="AE1930" t="s">
        <v>12815</v>
      </c>
      <c r="AF1930" t="s">
        <v>2897</v>
      </c>
      <c r="AG1930" t="s">
        <v>12816</v>
      </c>
      <c r="AH1930" t="s">
        <v>2899</v>
      </c>
      <c r="AJ1930" s="2">
        <v>45791.620474537034</v>
      </c>
      <c r="AK1930" t="s">
        <v>12813</v>
      </c>
      <c r="AL1930" t="s">
        <v>65</v>
      </c>
      <c r="AM1930" s="4">
        <v>9.7222222222222224E-2</v>
      </c>
      <c r="AN1930" t="s">
        <v>66</v>
      </c>
      <c r="AO1930" t="s">
        <v>101</v>
      </c>
    </row>
    <row r="1931" spans="1:41" x14ac:dyDescent="0.2">
      <c r="A1931">
        <v>368001</v>
      </c>
      <c r="B1931" t="s">
        <v>12817</v>
      </c>
      <c r="C1931" t="s">
        <v>1911</v>
      </c>
      <c r="D1931" t="s">
        <v>1912</v>
      </c>
      <c r="E1931" t="s">
        <v>12818</v>
      </c>
      <c r="F1931">
        <v>270132</v>
      </c>
      <c r="G1931" s="1">
        <v>42216</v>
      </c>
      <c r="H1931" s="1">
        <v>45663</v>
      </c>
      <c r="I1931" s="1">
        <v>46006</v>
      </c>
      <c r="J1931" t="s">
        <v>45</v>
      </c>
      <c r="K1931" t="s">
        <v>45</v>
      </c>
      <c r="L1931" t="s">
        <v>72</v>
      </c>
      <c r="M1931" s="1">
        <v>41803</v>
      </c>
      <c r="N1931" t="s">
        <v>89</v>
      </c>
      <c r="O1931" t="s">
        <v>121</v>
      </c>
      <c r="P1931" t="s">
        <v>586</v>
      </c>
      <c r="Q1931" t="s">
        <v>12819</v>
      </c>
      <c r="R1931" t="s">
        <v>12820</v>
      </c>
      <c r="S1931">
        <v>1023</v>
      </c>
      <c r="T1931" t="s">
        <v>92</v>
      </c>
      <c r="U1931" t="s">
        <v>1916</v>
      </c>
      <c r="V1931" t="s">
        <v>12811</v>
      </c>
      <c r="W1931" t="s">
        <v>12812</v>
      </c>
      <c r="X1931" t="s">
        <v>92</v>
      </c>
      <c r="Y1931" t="s">
        <v>110</v>
      </c>
      <c r="Z1931">
        <v>6486</v>
      </c>
      <c r="AA1931">
        <v>34</v>
      </c>
      <c r="AB1931">
        <v>71</v>
      </c>
      <c r="AC1931" t="s">
        <v>1919</v>
      </c>
      <c r="AD1931" t="s">
        <v>1920</v>
      </c>
      <c r="AE1931" t="s">
        <v>1921</v>
      </c>
      <c r="AF1931" t="s">
        <v>12821</v>
      </c>
      <c r="AG1931" t="s">
        <v>1923</v>
      </c>
      <c r="AH1931" t="s">
        <v>12323</v>
      </c>
      <c r="AI1931" t="s">
        <v>12822</v>
      </c>
      <c r="AJ1931" s="2">
        <v>45697.844224537039</v>
      </c>
      <c r="AK1931" t="s">
        <v>132</v>
      </c>
      <c r="AL1931" t="s">
        <v>65</v>
      </c>
      <c r="AM1931" s="3">
        <v>1.25</v>
      </c>
      <c r="AN1931" t="s">
        <v>66</v>
      </c>
      <c r="AO1931" t="s">
        <v>101</v>
      </c>
    </row>
    <row r="1932" spans="1:41" x14ac:dyDescent="0.2">
      <c r="A1932">
        <v>369047</v>
      </c>
      <c r="B1932" t="s">
        <v>12823</v>
      </c>
      <c r="C1932" t="s">
        <v>12824</v>
      </c>
      <c r="D1932" t="s">
        <v>12825</v>
      </c>
      <c r="E1932" t="s">
        <v>12826</v>
      </c>
      <c r="F1932">
        <v>430134</v>
      </c>
      <c r="G1932" s="1">
        <v>45595</v>
      </c>
      <c r="H1932" s="1">
        <v>45722</v>
      </c>
      <c r="I1932" s="1">
        <v>46006</v>
      </c>
      <c r="J1932" t="s">
        <v>45</v>
      </c>
      <c r="K1932" t="s">
        <v>45</v>
      </c>
      <c r="L1932" t="s">
        <v>72</v>
      </c>
      <c r="N1932" t="s">
        <v>89</v>
      </c>
      <c r="O1932" t="s">
        <v>121</v>
      </c>
      <c r="P1932" t="s">
        <v>49</v>
      </c>
      <c r="Q1932" t="s">
        <v>12827</v>
      </c>
      <c r="R1932" t="s">
        <v>12828</v>
      </c>
      <c r="S1932">
        <v>358</v>
      </c>
      <c r="T1932" t="s">
        <v>92</v>
      </c>
      <c r="U1932" t="s">
        <v>12829</v>
      </c>
      <c r="V1932" t="s">
        <v>12811</v>
      </c>
      <c r="W1932" t="s">
        <v>12812</v>
      </c>
      <c r="X1932" t="s">
        <v>92</v>
      </c>
      <c r="Y1932" t="s">
        <v>110</v>
      </c>
      <c r="Z1932">
        <v>6446</v>
      </c>
      <c r="AA1932">
        <v>33</v>
      </c>
      <c r="AB1932">
        <v>71</v>
      </c>
      <c r="AC1932" t="s">
        <v>7027</v>
      </c>
      <c r="AD1932" t="s">
        <v>7028</v>
      </c>
      <c r="AE1932" t="s">
        <v>7029</v>
      </c>
      <c r="AF1932" t="s">
        <v>2897</v>
      </c>
      <c r="AG1932" t="s">
        <v>2898</v>
      </c>
      <c r="AH1932" t="s">
        <v>2899</v>
      </c>
      <c r="AI1932" t="s">
        <v>7028</v>
      </c>
      <c r="AJ1932" s="2">
        <v>45726.581018518518</v>
      </c>
      <c r="AK1932" t="s">
        <v>7027</v>
      </c>
      <c r="AL1932" t="s">
        <v>65</v>
      </c>
      <c r="AM1932" s="3">
        <v>1.2569444444444444</v>
      </c>
      <c r="AN1932" t="s">
        <v>66</v>
      </c>
      <c r="AO1932" t="s">
        <v>101</v>
      </c>
    </row>
    <row r="1933" spans="1:41" x14ac:dyDescent="0.2">
      <c r="A1933">
        <v>370921</v>
      </c>
      <c r="B1933" t="s">
        <v>12830</v>
      </c>
      <c r="C1933" t="s">
        <v>1911</v>
      </c>
      <c r="E1933" t="s">
        <v>12831</v>
      </c>
      <c r="F1933">
        <v>370071</v>
      </c>
      <c r="G1933" s="1">
        <v>43350</v>
      </c>
      <c r="H1933" s="1">
        <v>45421</v>
      </c>
      <c r="I1933" s="1">
        <v>46006</v>
      </c>
      <c r="J1933" t="s">
        <v>45</v>
      </c>
      <c r="K1933" t="s">
        <v>45</v>
      </c>
      <c r="L1933" t="s">
        <v>72</v>
      </c>
      <c r="N1933" t="s">
        <v>89</v>
      </c>
      <c r="O1933" t="s">
        <v>121</v>
      </c>
      <c r="P1933" t="s">
        <v>49</v>
      </c>
      <c r="Q1933" t="s">
        <v>12832</v>
      </c>
      <c r="R1933" t="s">
        <v>12833</v>
      </c>
      <c r="S1933">
        <v>248</v>
      </c>
      <c r="T1933" t="s">
        <v>92</v>
      </c>
      <c r="U1933" t="s">
        <v>2894</v>
      </c>
      <c r="V1933" t="s">
        <v>12811</v>
      </c>
      <c r="W1933" t="s">
        <v>12812</v>
      </c>
      <c r="X1933" t="s">
        <v>92</v>
      </c>
      <c r="Y1933" t="s">
        <v>110</v>
      </c>
      <c r="Z1933">
        <v>7026</v>
      </c>
      <c r="AA1933">
        <v>26</v>
      </c>
      <c r="AB1933">
        <v>71</v>
      </c>
      <c r="AC1933" t="s">
        <v>1919</v>
      </c>
      <c r="AD1933" t="s">
        <v>1925</v>
      </c>
      <c r="AE1933" t="s">
        <v>12834</v>
      </c>
      <c r="AF1933" t="s">
        <v>12813</v>
      </c>
      <c r="AG1933" t="s">
        <v>12814</v>
      </c>
      <c r="AH1933" t="s">
        <v>12815</v>
      </c>
      <c r="AI1933" t="s">
        <v>12835</v>
      </c>
      <c r="AJ1933" s="2">
        <v>45790.688032407408</v>
      </c>
      <c r="AK1933" t="s">
        <v>1919</v>
      </c>
      <c r="AL1933" t="s">
        <v>65</v>
      </c>
      <c r="AM1933" s="3">
        <v>1.2638888888888888</v>
      </c>
      <c r="AN1933" t="s">
        <v>66</v>
      </c>
      <c r="AO1933" t="s">
        <v>101</v>
      </c>
    </row>
    <row r="1934" spans="1:41" x14ac:dyDescent="0.2">
      <c r="A1934">
        <v>373027</v>
      </c>
      <c r="B1934" t="s">
        <v>12836</v>
      </c>
      <c r="C1934" t="s">
        <v>1565</v>
      </c>
      <c r="D1934" t="s">
        <v>1644</v>
      </c>
      <c r="E1934" t="s">
        <v>12837</v>
      </c>
      <c r="F1934">
        <v>392506</v>
      </c>
      <c r="G1934" s="1">
        <v>34093</v>
      </c>
      <c r="H1934" s="1">
        <v>45547</v>
      </c>
      <c r="I1934" s="1">
        <v>46266</v>
      </c>
      <c r="J1934" t="s">
        <v>45</v>
      </c>
      <c r="K1934" t="s">
        <v>45</v>
      </c>
      <c r="L1934" t="s">
        <v>429</v>
      </c>
      <c r="N1934" t="s">
        <v>47</v>
      </c>
      <c r="O1934" t="s">
        <v>48</v>
      </c>
      <c r="P1934" t="s">
        <v>49</v>
      </c>
      <c r="Q1934" t="s">
        <v>12838</v>
      </c>
      <c r="R1934" t="s">
        <v>12839</v>
      </c>
      <c r="S1934">
        <v>4644</v>
      </c>
      <c r="T1934" t="s">
        <v>52</v>
      </c>
      <c r="U1934">
        <v>2</v>
      </c>
      <c r="V1934" t="s">
        <v>1569</v>
      </c>
      <c r="W1934" t="s">
        <v>54</v>
      </c>
      <c r="X1934" t="s">
        <v>76</v>
      </c>
      <c r="Y1934" t="s">
        <v>56</v>
      </c>
      <c r="Z1934">
        <v>570</v>
      </c>
      <c r="AA1934">
        <v>56</v>
      </c>
      <c r="AB1934">
        <v>158</v>
      </c>
      <c r="AC1934" t="s">
        <v>1570</v>
      </c>
      <c r="AD1934" t="s">
        <v>1571</v>
      </c>
      <c r="AE1934" t="s">
        <v>1572</v>
      </c>
      <c r="AF1934" t="s">
        <v>1974</v>
      </c>
      <c r="AG1934" t="s">
        <v>1975</v>
      </c>
      <c r="AH1934" t="s">
        <v>12840</v>
      </c>
      <c r="AI1934" t="s">
        <v>1576</v>
      </c>
      <c r="AJ1934" s="2">
        <v>45856.033761574072</v>
      </c>
      <c r="AK1934" t="s">
        <v>556</v>
      </c>
      <c r="AL1934" t="s">
        <v>65</v>
      </c>
      <c r="AM1934" s="3">
        <v>2.3958333333333335</v>
      </c>
      <c r="AN1934" t="s">
        <v>66</v>
      </c>
      <c r="AO1934" t="s">
        <v>67</v>
      </c>
    </row>
    <row r="1935" spans="1:41" x14ac:dyDescent="0.2">
      <c r="A1935">
        <v>371321</v>
      </c>
      <c r="B1935" t="s">
        <v>12841</v>
      </c>
      <c r="C1935" t="s">
        <v>309</v>
      </c>
      <c r="D1935" t="s">
        <v>309</v>
      </c>
      <c r="E1935" t="s">
        <v>12842</v>
      </c>
      <c r="F1935">
        <v>496035</v>
      </c>
      <c r="G1935" s="1">
        <v>40961</v>
      </c>
      <c r="H1935" s="1">
        <v>45796</v>
      </c>
      <c r="J1935" t="s">
        <v>45</v>
      </c>
      <c r="K1935" t="s">
        <v>45</v>
      </c>
      <c r="L1935" t="s">
        <v>72</v>
      </c>
      <c r="M1935" s="1">
        <v>45320</v>
      </c>
      <c r="N1935" t="s">
        <v>47</v>
      </c>
      <c r="O1935" t="s">
        <v>48</v>
      </c>
      <c r="P1935" t="s">
        <v>406</v>
      </c>
      <c r="Q1935" t="s">
        <v>12843</v>
      </c>
      <c r="R1935" t="s">
        <v>12844</v>
      </c>
      <c r="S1935">
        <v>6581</v>
      </c>
      <c r="T1935" t="s">
        <v>257</v>
      </c>
      <c r="U1935" t="s">
        <v>640</v>
      </c>
      <c r="V1935" t="s">
        <v>9952</v>
      </c>
      <c r="W1935" t="s">
        <v>260</v>
      </c>
      <c r="X1935" t="s">
        <v>257</v>
      </c>
      <c r="Y1935" t="s">
        <v>642</v>
      </c>
      <c r="Z1935">
        <v>5370</v>
      </c>
      <c r="AA1935">
        <v>26</v>
      </c>
      <c r="AB1935">
        <v>34</v>
      </c>
      <c r="AC1935" t="s">
        <v>643</v>
      </c>
      <c r="AD1935" t="s">
        <v>644</v>
      </c>
      <c r="AE1935" t="s">
        <v>645</v>
      </c>
      <c r="AF1935" t="s">
        <v>646</v>
      </c>
      <c r="AG1935" t="s">
        <v>647</v>
      </c>
      <c r="AH1935" t="s">
        <v>648</v>
      </c>
      <c r="AI1935" t="s">
        <v>11418</v>
      </c>
      <c r="AJ1935" s="2">
        <v>45805.023275462961</v>
      </c>
      <c r="AK1935" t="s">
        <v>643</v>
      </c>
      <c r="AL1935" t="s">
        <v>651</v>
      </c>
      <c r="AM1935" s="4">
        <v>0.97222222222222221</v>
      </c>
      <c r="AN1935" t="s">
        <v>66</v>
      </c>
      <c r="AO1935" t="s">
        <v>67</v>
      </c>
    </row>
    <row r="1936" spans="1:41" x14ac:dyDescent="0.2">
      <c r="A1936">
        <v>368750</v>
      </c>
      <c r="B1936" t="s">
        <v>12845</v>
      </c>
      <c r="C1936" t="s">
        <v>2298</v>
      </c>
      <c r="D1936" t="s">
        <v>12846</v>
      </c>
      <c r="E1936">
        <v>39107530</v>
      </c>
      <c r="F1936">
        <v>224601</v>
      </c>
      <c r="G1936" s="1">
        <v>38008</v>
      </c>
      <c r="H1936" s="1">
        <v>45706</v>
      </c>
      <c r="J1936" t="s">
        <v>45</v>
      </c>
      <c r="K1936" t="s">
        <v>45</v>
      </c>
      <c r="L1936" t="s">
        <v>72</v>
      </c>
      <c r="N1936" t="s">
        <v>47</v>
      </c>
      <c r="O1936" t="s">
        <v>48</v>
      </c>
      <c r="P1936" t="s">
        <v>49</v>
      </c>
      <c r="Q1936" t="s">
        <v>12847</v>
      </c>
      <c r="R1936" t="s">
        <v>12848</v>
      </c>
      <c r="S1936">
        <v>459</v>
      </c>
      <c r="T1936" t="s">
        <v>92</v>
      </c>
      <c r="U1936" t="s">
        <v>5509</v>
      </c>
      <c r="V1936" t="s">
        <v>5510</v>
      </c>
      <c r="W1936" t="s">
        <v>5511</v>
      </c>
      <c r="X1936" t="s">
        <v>52</v>
      </c>
      <c r="Y1936" t="s">
        <v>770</v>
      </c>
      <c r="Z1936">
        <v>2441</v>
      </c>
      <c r="AA1936">
        <v>29</v>
      </c>
      <c r="AB1936">
        <v>144</v>
      </c>
      <c r="AC1936" t="s">
        <v>5512</v>
      </c>
      <c r="AD1936" t="s">
        <v>5513</v>
      </c>
      <c r="AE1936" t="s">
        <v>5514</v>
      </c>
      <c r="AF1936" t="s">
        <v>5515</v>
      </c>
      <c r="AG1936" t="s">
        <v>5516</v>
      </c>
      <c r="AH1936" t="s">
        <v>5517</v>
      </c>
      <c r="AI1936" t="s">
        <v>5518</v>
      </c>
      <c r="AJ1936" s="2">
        <v>45824.58525462963</v>
      </c>
      <c r="AK1936" t="s">
        <v>5519</v>
      </c>
      <c r="AL1936" t="s">
        <v>65</v>
      </c>
      <c r="AM1936" s="4">
        <v>0.57638888888888884</v>
      </c>
      <c r="AN1936" t="s">
        <v>66</v>
      </c>
      <c r="AO1936" t="s">
        <v>67</v>
      </c>
    </row>
    <row r="1937" spans="1:41" x14ac:dyDescent="0.2">
      <c r="A1937">
        <v>371715</v>
      </c>
      <c r="B1937" t="s">
        <v>12849</v>
      </c>
      <c r="C1937" t="s">
        <v>134</v>
      </c>
      <c r="D1937" t="s">
        <v>214</v>
      </c>
      <c r="E1937">
        <v>52119772</v>
      </c>
      <c r="F1937">
        <v>452009</v>
      </c>
      <c r="G1937" s="1">
        <v>33113</v>
      </c>
      <c r="H1937" s="1">
        <v>45811</v>
      </c>
      <c r="I1937" s="1">
        <v>46174</v>
      </c>
      <c r="J1937" t="s">
        <v>45</v>
      </c>
      <c r="K1937" t="s">
        <v>45</v>
      </c>
      <c r="L1937" t="s">
        <v>429</v>
      </c>
      <c r="M1937" s="1">
        <v>38777</v>
      </c>
      <c r="N1937" t="s">
        <v>47</v>
      </c>
      <c r="O1937" t="s">
        <v>48</v>
      </c>
      <c r="P1937" t="s">
        <v>49</v>
      </c>
      <c r="Q1937" t="s">
        <v>12850</v>
      </c>
      <c r="R1937" t="s">
        <v>12851</v>
      </c>
      <c r="S1937">
        <v>1900</v>
      </c>
      <c r="T1937" t="s">
        <v>296</v>
      </c>
      <c r="U1937" t="s">
        <v>2267</v>
      </c>
      <c r="V1937" t="s">
        <v>8036</v>
      </c>
      <c r="W1937" t="s">
        <v>299</v>
      </c>
      <c r="X1937" t="s">
        <v>76</v>
      </c>
      <c r="Y1937" t="s">
        <v>56</v>
      </c>
      <c r="Z1937">
        <v>24</v>
      </c>
      <c r="AA1937">
        <v>67</v>
      </c>
      <c r="AB1937">
        <v>152</v>
      </c>
      <c r="AC1937" t="s">
        <v>8037</v>
      </c>
      <c r="AD1937" t="s">
        <v>8038</v>
      </c>
      <c r="AE1937" t="s">
        <v>8039</v>
      </c>
      <c r="AF1937" t="s">
        <v>8040</v>
      </c>
      <c r="AG1937" t="s">
        <v>12852</v>
      </c>
      <c r="AH1937" t="s">
        <v>8042</v>
      </c>
      <c r="AI1937" t="s">
        <v>2274</v>
      </c>
      <c r="AJ1937" s="2">
        <v>45818.719675925924</v>
      </c>
      <c r="AK1937" t="s">
        <v>717</v>
      </c>
      <c r="AL1937" t="s">
        <v>65</v>
      </c>
      <c r="AM1937" s="3">
        <v>2.3888888888888888</v>
      </c>
      <c r="AN1937" t="s">
        <v>66</v>
      </c>
      <c r="AO1937" t="s">
        <v>67</v>
      </c>
    </row>
    <row r="1938" spans="1:41" x14ac:dyDescent="0.2">
      <c r="A1938">
        <v>369513</v>
      </c>
      <c r="B1938" t="s">
        <v>12853</v>
      </c>
      <c r="C1938" t="s">
        <v>182</v>
      </c>
      <c r="D1938" t="s">
        <v>6734</v>
      </c>
      <c r="E1938" t="s">
        <v>12854</v>
      </c>
      <c r="G1938" s="1">
        <v>45742</v>
      </c>
      <c r="H1938" s="1">
        <v>45446</v>
      </c>
      <c r="J1938" t="s">
        <v>45</v>
      </c>
      <c r="K1938" t="s">
        <v>45</v>
      </c>
      <c r="L1938" t="s">
        <v>72</v>
      </c>
      <c r="N1938" t="s">
        <v>47</v>
      </c>
      <c r="O1938" t="s">
        <v>121</v>
      </c>
      <c r="P1938" t="s">
        <v>49</v>
      </c>
      <c r="Q1938" t="s">
        <v>12855</v>
      </c>
      <c r="R1938" t="s">
        <v>12856</v>
      </c>
      <c r="S1938">
        <v>372</v>
      </c>
      <c r="T1938" t="s">
        <v>92</v>
      </c>
      <c r="U1938" t="s">
        <v>187</v>
      </c>
      <c r="V1938" t="s">
        <v>447</v>
      </c>
      <c r="W1938" t="s">
        <v>448</v>
      </c>
      <c r="X1938" t="s">
        <v>92</v>
      </c>
      <c r="Y1938" t="s">
        <v>96</v>
      </c>
      <c r="Z1938">
        <v>12236</v>
      </c>
      <c r="AA1938">
        <v>6</v>
      </c>
      <c r="AB1938">
        <v>44</v>
      </c>
      <c r="AC1938" t="s">
        <v>8931</v>
      </c>
      <c r="AD1938" t="s">
        <v>8932</v>
      </c>
      <c r="AE1938" t="s">
        <v>8933</v>
      </c>
      <c r="AF1938" t="s">
        <v>12857</v>
      </c>
      <c r="AG1938" t="s">
        <v>12858</v>
      </c>
      <c r="AH1938" t="s">
        <v>12859</v>
      </c>
      <c r="AJ1938" s="2">
        <v>45742.78528935185</v>
      </c>
      <c r="AK1938" t="s">
        <v>660</v>
      </c>
      <c r="AL1938" t="s">
        <v>65</v>
      </c>
      <c r="AM1938" s="3">
        <v>1.5590277777777777</v>
      </c>
      <c r="AN1938" t="s">
        <v>66</v>
      </c>
      <c r="AO1938" t="s">
        <v>67</v>
      </c>
    </row>
    <row r="1939" spans="1:41" x14ac:dyDescent="0.2">
      <c r="A1939">
        <v>364655</v>
      </c>
      <c r="B1939" t="s">
        <v>12860</v>
      </c>
      <c r="C1939" t="s">
        <v>118</v>
      </c>
      <c r="D1939" t="s">
        <v>2713</v>
      </c>
      <c r="E1939" t="s">
        <v>12861</v>
      </c>
      <c r="G1939" s="1">
        <v>41621</v>
      </c>
      <c r="H1939" s="1">
        <v>45526</v>
      </c>
      <c r="J1939" t="s">
        <v>45</v>
      </c>
      <c r="K1939" t="s">
        <v>45</v>
      </c>
      <c r="L1939" t="s">
        <v>72</v>
      </c>
      <c r="M1939" s="1">
        <v>44757</v>
      </c>
      <c r="N1939" t="s">
        <v>47</v>
      </c>
      <c r="O1939" t="s">
        <v>48</v>
      </c>
      <c r="P1939" t="s">
        <v>406</v>
      </c>
      <c r="Q1939" t="s">
        <v>12862</v>
      </c>
      <c r="R1939" t="s">
        <v>12863</v>
      </c>
      <c r="S1939">
        <v>2165</v>
      </c>
      <c r="T1939" t="s">
        <v>257</v>
      </c>
      <c r="U1939" t="s">
        <v>640</v>
      </c>
      <c r="W1939" t="s">
        <v>260</v>
      </c>
      <c r="X1939" t="s">
        <v>257</v>
      </c>
      <c r="Y1939" t="s">
        <v>642</v>
      </c>
      <c r="Z1939">
        <v>6071</v>
      </c>
      <c r="AA1939">
        <v>19</v>
      </c>
      <c r="AB1939">
        <v>78</v>
      </c>
      <c r="AC1939" t="s">
        <v>6100</v>
      </c>
      <c r="AD1939" t="s">
        <v>6101</v>
      </c>
      <c r="AE1939" t="s">
        <v>6102</v>
      </c>
      <c r="AF1939" t="s">
        <v>6103</v>
      </c>
      <c r="AG1939" t="s">
        <v>7179</v>
      </c>
      <c r="AH1939" t="s">
        <v>6105</v>
      </c>
      <c r="AI1939" t="s">
        <v>6106</v>
      </c>
      <c r="AJ1939" s="2">
        <v>45554.001319444447</v>
      </c>
      <c r="AK1939" t="s">
        <v>6107</v>
      </c>
      <c r="AL1939" t="s">
        <v>1168</v>
      </c>
      <c r="AM1939" s="4">
        <v>0.15972222222222221</v>
      </c>
      <c r="AN1939" t="s">
        <v>66</v>
      </c>
      <c r="AO1939" t="s">
        <v>67</v>
      </c>
    </row>
    <row r="1940" spans="1:41" x14ac:dyDescent="0.2">
      <c r="A1940">
        <v>371074</v>
      </c>
      <c r="B1940" t="s">
        <v>12864</v>
      </c>
      <c r="C1940" t="s">
        <v>103</v>
      </c>
      <c r="D1940" t="s">
        <v>5876</v>
      </c>
      <c r="E1940" t="s">
        <v>12865</v>
      </c>
      <c r="F1940">
        <v>319004</v>
      </c>
      <c r="G1940" s="1">
        <v>38674</v>
      </c>
      <c r="H1940" s="1">
        <v>45138</v>
      </c>
      <c r="I1940" s="1">
        <v>46327</v>
      </c>
      <c r="J1940" t="s">
        <v>45</v>
      </c>
      <c r="K1940" t="s">
        <v>45</v>
      </c>
      <c r="L1940" t="s">
        <v>72</v>
      </c>
      <c r="M1940" s="1">
        <v>42675</v>
      </c>
      <c r="N1940" t="s">
        <v>47</v>
      </c>
      <c r="O1940" t="s">
        <v>48</v>
      </c>
      <c r="P1940" t="s">
        <v>49</v>
      </c>
      <c r="Q1940" t="s">
        <v>12866</v>
      </c>
      <c r="R1940" t="s">
        <v>12867</v>
      </c>
      <c r="S1940">
        <v>20</v>
      </c>
      <c r="T1940" t="s">
        <v>92</v>
      </c>
      <c r="U1940" t="s">
        <v>107</v>
      </c>
      <c r="V1940" t="s">
        <v>108</v>
      </c>
      <c r="W1940" t="s">
        <v>109</v>
      </c>
      <c r="X1940" t="s">
        <v>52</v>
      </c>
      <c r="Y1940" t="s">
        <v>110</v>
      </c>
      <c r="Z1940">
        <v>1200</v>
      </c>
      <c r="AA1940">
        <v>35</v>
      </c>
      <c r="AB1940">
        <v>160</v>
      </c>
      <c r="AC1940" t="s">
        <v>2022</v>
      </c>
      <c r="AD1940" t="s">
        <v>2023</v>
      </c>
      <c r="AE1940" t="s">
        <v>2024</v>
      </c>
      <c r="AF1940" t="s">
        <v>2025</v>
      </c>
      <c r="AG1940" t="s">
        <v>2026</v>
      </c>
      <c r="AH1940" t="s">
        <v>2027</v>
      </c>
      <c r="AI1940" t="s">
        <v>12868</v>
      </c>
      <c r="AJ1940" s="2">
        <v>45818.719537037039</v>
      </c>
      <c r="AK1940" t="s">
        <v>100</v>
      </c>
      <c r="AL1940" t="s">
        <v>65</v>
      </c>
      <c r="AM1940" s="4">
        <v>0.74305555555555558</v>
      </c>
      <c r="AN1940" t="s">
        <v>66</v>
      </c>
      <c r="AO1940" t="s">
        <v>67</v>
      </c>
    </row>
    <row r="1941" spans="1:41" x14ac:dyDescent="0.2">
      <c r="A1941">
        <v>367104</v>
      </c>
      <c r="B1941" t="s">
        <v>12869</v>
      </c>
      <c r="C1941" t="s">
        <v>676</v>
      </c>
      <c r="D1941" t="s">
        <v>12870</v>
      </c>
      <c r="E1941" t="s">
        <v>12871</v>
      </c>
      <c r="F1941">
        <v>280231</v>
      </c>
      <c r="G1941" s="1">
        <v>38491</v>
      </c>
      <c r="H1941" s="1">
        <v>45583</v>
      </c>
      <c r="I1941" s="1">
        <v>45931</v>
      </c>
      <c r="J1941" t="s">
        <v>45</v>
      </c>
      <c r="K1941" t="s">
        <v>45</v>
      </c>
      <c r="L1941" t="s">
        <v>72</v>
      </c>
      <c r="M1941" s="1">
        <v>43759</v>
      </c>
      <c r="N1941" t="s">
        <v>47</v>
      </c>
      <c r="O1941" t="s">
        <v>48</v>
      </c>
      <c r="P1941" t="s">
        <v>49</v>
      </c>
      <c r="Q1941" t="s">
        <v>12872</v>
      </c>
      <c r="R1941" t="s">
        <v>12873</v>
      </c>
      <c r="S1941">
        <v>94</v>
      </c>
      <c r="T1941" t="s">
        <v>92</v>
      </c>
      <c r="U1941" t="s">
        <v>681</v>
      </c>
      <c r="V1941" t="s">
        <v>682</v>
      </c>
      <c r="W1941" t="s">
        <v>683</v>
      </c>
      <c r="X1941" t="s">
        <v>52</v>
      </c>
      <c r="Y1941" t="s">
        <v>110</v>
      </c>
      <c r="Z1941">
        <v>2404</v>
      </c>
      <c r="AA1941">
        <v>46</v>
      </c>
      <c r="AB1941">
        <v>174</v>
      </c>
      <c r="AC1941" t="s">
        <v>684</v>
      </c>
      <c r="AD1941" t="s">
        <v>685</v>
      </c>
      <c r="AE1941" t="s">
        <v>686</v>
      </c>
      <c r="AF1941" t="s">
        <v>687</v>
      </c>
      <c r="AG1941" t="s">
        <v>688</v>
      </c>
      <c r="AH1941" t="s">
        <v>689</v>
      </c>
      <c r="AI1941" t="s">
        <v>690</v>
      </c>
      <c r="AJ1941" s="2">
        <v>45660.795208333337</v>
      </c>
      <c r="AK1941" t="s">
        <v>684</v>
      </c>
      <c r="AL1941" t="s">
        <v>65</v>
      </c>
      <c r="AM1941" s="4">
        <v>0.4375</v>
      </c>
      <c r="AN1941" t="s">
        <v>66</v>
      </c>
      <c r="AO1941" t="s">
        <v>67</v>
      </c>
    </row>
    <row r="1942" spans="1:41" x14ac:dyDescent="0.2">
      <c r="A1942">
        <v>320484</v>
      </c>
      <c r="B1942" t="s">
        <v>12874</v>
      </c>
      <c r="C1942" t="s">
        <v>788</v>
      </c>
      <c r="E1942" t="s">
        <v>12875</v>
      </c>
      <c r="J1942" t="s">
        <v>45</v>
      </c>
      <c r="K1942" t="s">
        <v>45</v>
      </c>
      <c r="L1942" t="s">
        <v>72</v>
      </c>
      <c r="N1942" t="s">
        <v>89</v>
      </c>
      <c r="O1942" t="s">
        <v>121</v>
      </c>
      <c r="P1942" t="s">
        <v>49</v>
      </c>
      <c r="T1942" t="s">
        <v>92</v>
      </c>
      <c r="U1942" t="s">
        <v>2815</v>
      </c>
      <c r="V1942" t="s">
        <v>590</v>
      </c>
      <c r="W1942" t="s">
        <v>2817</v>
      </c>
      <c r="X1942" t="s">
        <v>92</v>
      </c>
      <c r="Y1942" t="s">
        <v>96</v>
      </c>
      <c r="Z1942">
        <v>11746</v>
      </c>
      <c r="AA1942">
        <v>1</v>
      </c>
      <c r="AB1942">
        <v>189</v>
      </c>
      <c r="AC1942" t="s">
        <v>2821</v>
      </c>
      <c r="AD1942" t="s">
        <v>2822</v>
      </c>
      <c r="AE1942" t="s">
        <v>2823</v>
      </c>
      <c r="AJ1942" s="2">
        <v>44351.910532407404</v>
      </c>
      <c r="AK1942" t="s">
        <v>100</v>
      </c>
      <c r="AL1942" t="s">
        <v>65</v>
      </c>
      <c r="AM1942" s="3">
        <v>1.2916666666666667</v>
      </c>
      <c r="AN1942" t="s">
        <v>66</v>
      </c>
      <c r="AO1942" t="s">
        <v>101</v>
      </c>
    </row>
    <row r="1943" spans="1:41" x14ac:dyDescent="0.2">
      <c r="A1943">
        <v>372855</v>
      </c>
      <c r="B1943" t="s">
        <v>12876</v>
      </c>
      <c r="C1943" t="s">
        <v>236</v>
      </c>
      <c r="D1943" t="s">
        <v>12877</v>
      </c>
      <c r="E1943" t="s">
        <v>12878</v>
      </c>
      <c r="G1943" s="1">
        <v>45161</v>
      </c>
      <c r="H1943" s="1">
        <v>45078</v>
      </c>
      <c r="I1943" s="1">
        <v>46296</v>
      </c>
      <c r="J1943" t="s">
        <v>45</v>
      </c>
      <c r="K1943" t="s">
        <v>45</v>
      </c>
      <c r="L1943" t="s">
        <v>72</v>
      </c>
      <c r="N1943" t="s">
        <v>47</v>
      </c>
      <c r="O1943" t="s">
        <v>48</v>
      </c>
      <c r="P1943" t="s">
        <v>49</v>
      </c>
      <c r="Q1943" t="s">
        <v>12879</v>
      </c>
      <c r="R1943" t="s">
        <v>12880</v>
      </c>
      <c r="S1943">
        <v>950</v>
      </c>
      <c r="T1943" t="s">
        <v>92</v>
      </c>
      <c r="U1943" t="s">
        <v>1509</v>
      </c>
      <c r="V1943" t="s">
        <v>506</v>
      </c>
      <c r="W1943" t="s">
        <v>1510</v>
      </c>
      <c r="X1943" t="s">
        <v>92</v>
      </c>
      <c r="Y1943" t="s">
        <v>110</v>
      </c>
      <c r="Z1943">
        <v>12155</v>
      </c>
      <c r="AA1943">
        <v>12</v>
      </c>
      <c r="AB1943">
        <v>44</v>
      </c>
      <c r="AC1943" t="s">
        <v>1511</v>
      </c>
      <c r="AD1943" t="s">
        <v>1512</v>
      </c>
      <c r="AE1943" t="s">
        <v>1513</v>
      </c>
      <c r="AF1943" t="s">
        <v>12881</v>
      </c>
      <c r="AG1943" t="s">
        <v>12882</v>
      </c>
      <c r="AH1943" t="s">
        <v>12883</v>
      </c>
      <c r="AJ1943" s="2">
        <v>45854.867442129631</v>
      </c>
      <c r="AK1943" t="s">
        <v>1511</v>
      </c>
      <c r="AL1943" t="s">
        <v>65</v>
      </c>
      <c r="AM1943" s="4">
        <v>0.93402777777777779</v>
      </c>
      <c r="AN1943" t="s">
        <v>66</v>
      </c>
      <c r="AO1943" t="s">
        <v>67</v>
      </c>
    </row>
    <row r="1944" spans="1:41" x14ac:dyDescent="0.2">
      <c r="A1944">
        <v>359306</v>
      </c>
      <c r="B1944" t="s">
        <v>12884</v>
      </c>
      <c r="C1944" t="s">
        <v>182</v>
      </c>
      <c r="D1944" t="s">
        <v>183</v>
      </c>
      <c r="E1944" t="s">
        <v>12885</v>
      </c>
      <c r="F1944">
        <v>45454</v>
      </c>
      <c r="G1944" s="1">
        <v>38623</v>
      </c>
      <c r="H1944" s="1">
        <v>45363</v>
      </c>
      <c r="I1944" s="1">
        <v>46068</v>
      </c>
      <c r="J1944" t="s">
        <v>45</v>
      </c>
      <c r="K1944" t="s">
        <v>45</v>
      </c>
      <c r="L1944" t="s">
        <v>72</v>
      </c>
      <c r="M1944" s="1">
        <v>42611</v>
      </c>
      <c r="N1944" t="s">
        <v>47</v>
      </c>
      <c r="O1944" t="s">
        <v>48</v>
      </c>
      <c r="P1944" t="s">
        <v>49</v>
      </c>
      <c r="Q1944" t="s">
        <v>12886</v>
      </c>
      <c r="R1944" t="s">
        <v>12887</v>
      </c>
      <c r="S1944">
        <v>2135</v>
      </c>
      <c r="T1944" t="s">
        <v>92</v>
      </c>
      <c r="U1944" t="s">
        <v>187</v>
      </c>
      <c r="V1944" t="s">
        <v>188</v>
      </c>
      <c r="W1944" t="s">
        <v>189</v>
      </c>
      <c r="X1944" t="s">
        <v>92</v>
      </c>
      <c r="Y1944" t="s">
        <v>110</v>
      </c>
      <c r="Z1944">
        <v>2778</v>
      </c>
      <c r="AA1944">
        <v>49</v>
      </c>
      <c r="AB1944">
        <v>38</v>
      </c>
      <c r="AC1944" t="s">
        <v>190</v>
      </c>
      <c r="AD1944" t="s">
        <v>191</v>
      </c>
      <c r="AE1944" t="s">
        <v>192</v>
      </c>
      <c r="AF1944" t="s">
        <v>4170</v>
      </c>
      <c r="AG1944" t="s">
        <v>4171</v>
      </c>
      <c r="AH1944" t="s">
        <v>4172</v>
      </c>
      <c r="AJ1944" s="2">
        <v>45386.820775462962</v>
      </c>
      <c r="AK1944" t="s">
        <v>149</v>
      </c>
      <c r="AL1944" t="s">
        <v>65</v>
      </c>
      <c r="AM1944" s="3">
        <v>2.3472222222222223</v>
      </c>
      <c r="AN1944" t="s">
        <v>66</v>
      </c>
      <c r="AO1944" t="s">
        <v>67</v>
      </c>
    </row>
    <row r="1945" spans="1:41" x14ac:dyDescent="0.2">
      <c r="A1945">
        <v>373034</v>
      </c>
      <c r="B1945" t="s">
        <v>12888</v>
      </c>
      <c r="C1945" t="s">
        <v>735</v>
      </c>
      <c r="D1945" t="s">
        <v>10923</v>
      </c>
      <c r="E1945" t="s">
        <v>12889</v>
      </c>
      <c r="F1945">
        <v>243404</v>
      </c>
      <c r="G1945" s="1">
        <v>41794</v>
      </c>
      <c r="H1945" s="1">
        <v>45525</v>
      </c>
      <c r="I1945" s="1">
        <v>46249</v>
      </c>
      <c r="J1945" t="s">
        <v>45</v>
      </c>
      <c r="K1945" t="s">
        <v>45</v>
      </c>
      <c r="L1945" t="s">
        <v>46</v>
      </c>
      <c r="N1945" t="s">
        <v>47</v>
      </c>
      <c r="O1945" t="s">
        <v>48</v>
      </c>
      <c r="P1945" t="s">
        <v>49</v>
      </c>
      <c r="Q1945" t="s">
        <v>12890</v>
      </c>
      <c r="R1945" t="s">
        <v>12891</v>
      </c>
      <c r="S1945">
        <v>5635</v>
      </c>
      <c r="T1945" t="s">
        <v>52</v>
      </c>
      <c r="U1945">
        <v>1</v>
      </c>
      <c r="V1945" t="s">
        <v>2162</v>
      </c>
      <c r="W1945" t="s">
        <v>54</v>
      </c>
      <c r="X1945" t="s">
        <v>76</v>
      </c>
      <c r="Y1945" t="s">
        <v>56</v>
      </c>
      <c r="Z1945">
        <v>6746</v>
      </c>
      <c r="AA1945">
        <v>19</v>
      </c>
      <c r="AB1945">
        <v>78</v>
      </c>
      <c r="AC1945" t="s">
        <v>2163</v>
      </c>
      <c r="AD1945" t="s">
        <v>2164</v>
      </c>
      <c r="AE1945" t="s">
        <v>12892</v>
      </c>
      <c r="AF1945" t="s">
        <v>12893</v>
      </c>
      <c r="AG1945" t="s">
        <v>12894</v>
      </c>
      <c r="AH1945" t="s">
        <v>12895</v>
      </c>
      <c r="AI1945" t="s">
        <v>12896</v>
      </c>
      <c r="AJ1945" s="2">
        <v>45856.041527777779</v>
      </c>
      <c r="AK1945" t="s">
        <v>556</v>
      </c>
      <c r="AL1945" t="s">
        <v>65</v>
      </c>
      <c r="AM1945" s="4">
        <v>0.35416666666666669</v>
      </c>
      <c r="AN1945" t="s">
        <v>66</v>
      </c>
      <c r="AO1945" t="s">
        <v>67</v>
      </c>
    </row>
    <row r="1946" spans="1:41" x14ac:dyDescent="0.2">
      <c r="A1946">
        <v>368067</v>
      </c>
      <c r="B1946" t="s">
        <v>12897</v>
      </c>
      <c r="C1946" t="s">
        <v>197</v>
      </c>
      <c r="D1946" t="s">
        <v>12898</v>
      </c>
      <c r="E1946" t="s">
        <v>12899</v>
      </c>
      <c r="F1946">
        <v>92901</v>
      </c>
      <c r="G1946" s="1">
        <v>37721</v>
      </c>
      <c r="H1946" s="1">
        <v>45561</v>
      </c>
      <c r="I1946" s="1">
        <v>45945</v>
      </c>
      <c r="J1946" t="s">
        <v>45</v>
      </c>
      <c r="K1946" t="s">
        <v>45</v>
      </c>
      <c r="L1946" t="s">
        <v>72</v>
      </c>
      <c r="N1946" t="s">
        <v>47</v>
      </c>
      <c r="O1946" t="s">
        <v>48</v>
      </c>
      <c r="P1946" t="s">
        <v>49</v>
      </c>
      <c r="Q1946" t="s">
        <v>12900</v>
      </c>
      <c r="R1946" t="s">
        <v>12901</v>
      </c>
      <c r="S1946">
        <v>873</v>
      </c>
      <c r="T1946" t="s">
        <v>92</v>
      </c>
      <c r="U1946" t="s">
        <v>202</v>
      </c>
      <c r="V1946" t="s">
        <v>203</v>
      </c>
      <c r="W1946" t="s">
        <v>204</v>
      </c>
      <c r="X1946" t="s">
        <v>52</v>
      </c>
      <c r="Y1946" t="s">
        <v>110</v>
      </c>
      <c r="Z1946">
        <v>2141</v>
      </c>
      <c r="AA1946">
        <v>32</v>
      </c>
      <c r="AB1946">
        <v>144</v>
      </c>
      <c r="AC1946" t="s">
        <v>205</v>
      </c>
      <c r="AD1946" t="s">
        <v>206</v>
      </c>
      <c r="AE1946" t="s">
        <v>1547</v>
      </c>
      <c r="AF1946" t="s">
        <v>12902</v>
      </c>
      <c r="AG1946" t="s">
        <v>3374</v>
      </c>
      <c r="AH1946" t="s">
        <v>3375</v>
      </c>
      <c r="AI1946" t="s">
        <v>211</v>
      </c>
      <c r="AJ1946" s="2">
        <v>45699.776898148149</v>
      </c>
      <c r="AK1946" t="s">
        <v>149</v>
      </c>
      <c r="AL1946" t="s">
        <v>65</v>
      </c>
      <c r="AM1946" s="4">
        <v>0.1111111111111111</v>
      </c>
      <c r="AN1946" t="s">
        <v>66</v>
      </c>
      <c r="AO1946" t="s">
        <v>67</v>
      </c>
    </row>
    <row r="1947" spans="1:41" x14ac:dyDescent="0.2">
      <c r="A1947">
        <v>365856</v>
      </c>
      <c r="B1947" t="s">
        <v>12903</v>
      </c>
      <c r="C1947" t="s">
        <v>1565</v>
      </c>
      <c r="D1947" t="s">
        <v>3131</v>
      </c>
      <c r="E1947">
        <v>32916220</v>
      </c>
      <c r="G1947" s="1">
        <v>44169</v>
      </c>
      <c r="H1947" s="1">
        <v>45593</v>
      </c>
      <c r="I1947" s="1">
        <v>45931</v>
      </c>
      <c r="J1947" t="s">
        <v>45</v>
      </c>
      <c r="K1947" t="s">
        <v>45</v>
      </c>
      <c r="L1947" t="s">
        <v>72</v>
      </c>
      <c r="M1947" s="1">
        <v>45098</v>
      </c>
      <c r="N1947" t="s">
        <v>47</v>
      </c>
      <c r="O1947" t="s">
        <v>121</v>
      </c>
      <c r="P1947" t="s">
        <v>49</v>
      </c>
      <c r="Q1947" t="s">
        <v>12904</v>
      </c>
      <c r="R1947" t="s">
        <v>12905</v>
      </c>
      <c r="S1947">
        <v>5671</v>
      </c>
      <c r="T1947" t="s">
        <v>257</v>
      </c>
      <c r="U1947" t="s">
        <v>258</v>
      </c>
      <c r="V1947" t="s">
        <v>12906</v>
      </c>
      <c r="W1947" t="s">
        <v>260</v>
      </c>
      <c r="X1947" t="s">
        <v>257</v>
      </c>
      <c r="Y1947" t="s">
        <v>110</v>
      </c>
      <c r="Z1947">
        <v>1350</v>
      </c>
      <c r="AA1947">
        <v>49</v>
      </c>
      <c r="AB1947">
        <v>166</v>
      </c>
      <c r="AC1947" t="s">
        <v>264</v>
      </c>
      <c r="AD1947" t="s">
        <v>265</v>
      </c>
      <c r="AE1947" t="s">
        <v>266</v>
      </c>
      <c r="AF1947" t="s">
        <v>6321</v>
      </c>
      <c r="AG1947" t="s">
        <v>12598</v>
      </c>
      <c r="AH1947" t="s">
        <v>263</v>
      </c>
      <c r="AJ1947" s="2">
        <v>45594.680497685185</v>
      </c>
      <c r="AK1947" t="s">
        <v>6321</v>
      </c>
      <c r="AL1947" t="s">
        <v>65</v>
      </c>
      <c r="AM1947" s="3">
        <v>2.3194444444444446</v>
      </c>
      <c r="AN1947" t="s">
        <v>66</v>
      </c>
      <c r="AO1947" t="s">
        <v>67</v>
      </c>
    </row>
    <row r="1948" spans="1:41" x14ac:dyDescent="0.2">
      <c r="A1948">
        <v>364122</v>
      </c>
      <c r="B1948" t="s">
        <v>12907</v>
      </c>
      <c r="C1948" t="s">
        <v>735</v>
      </c>
      <c r="D1948" t="s">
        <v>2922</v>
      </c>
      <c r="E1948" t="s">
        <v>12908</v>
      </c>
      <c r="F1948">
        <v>241507</v>
      </c>
      <c r="G1948" s="1">
        <v>38951</v>
      </c>
      <c r="H1948" s="1">
        <v>45528</v>
      </c>
      <c r="I1948" s="1">
        <v>46235</v>
      </c>
      <c r="J1948" t="s">
        <v>45</v>
      </c>
      <c r="K1948" t="s">
        <v>45</v>
      </c>
      <c r="L1948" t="s">
        <v>429</v>
      </c>
      <c r="N1948" t="s">
        <v>47</v>
      </c>
      <c r="O1948" t="s">
        <v>48</v>
      </c>
      <c r="P1948" t="s">
        <v>49</v>
      </c>
      <c r="Q1948" t="s">
        <v>12909</v>
      </c>
      <c r="R1948" t="s">
        <v>12910</v>
      </c>
      <c r="S1948">
        <v>3314</v>
      </c>
      <c r="T1948" t="s">
        <v>52</v>
      </c>
      <c r="U1948">
        <v>1</v>
      </c>
      <c r="V1948" t="s">
        <v>2926</v>
      </c>
      <c r="W1948" t="s">
        <v>54</v>
      </c>
      <c r="X1948" t="s">
        <v>76</v>
      </c>
      <c r="Y1948" t="s">
        <v>56</v>
      </c>
      <c r="Z1948">
        <v>1009</v>
      </c>
      <c r="AA1948">
        <v>58</v>
      </c>
      <c r="AB1948">
        <v>166</v>
      </c>
      <c r="AC1948" t="s">
        <v>2927</v>
      </c>
      <c r="AD1948" t="s">
        <v>2928</v>
      </c>
      <c r="AE1948" t="s">
        <v>2929</v>
      </c>
      <c r="AF1948" t="s">
        <v>11287</v>
      </c>
      <c r="AG1948" t="s">
        <v>11247</v>
      </c>
      <c r="AH1948" t="s">
        <v>12911</v>
      </c>
      <c r="AI1948" t="s">
        <v>12912</v>
      </c>
      <c r="AJ1948" s="2">
        <v>45533.602812500001</v>
      </c>
      <c r="AK1948" t="s">
        <v>568</v>
      </c>
      <c r="AL1948" t="s">
        <v>65</v>
      </c>
      <c r="AM1948" s="3">
        <v>2.4861111111111112</v>
      </c>
      <c r="AN1948" t="s">
        <v>66</v>
      </c>
      <c r="AO1948" t="s">
        <v>67</v>
      </c>
    </row>
    <row r="1949" spans="1:41" x14ac:dyDescent="0.2">
      <c r="A1949">
        <v>372906</v>
      </c>
      <c r="B1949" t="s">
        <v>12913</v>
      </c>
      <c r="C1949" t="s">
        <v>12914</v>
      </c>
      <c r="D1949" t="s">
        <v>134</v>
      </c>
      <c r="E1949">
        <v>83779774</v>
      </c>
      <c r="F1949">
        <v>370450</v>
      </c>
      <c r="G1949" s="1">
        <v>37742</v>
      </c>
      <c r="H1949" s="1">
        <v>45776</v>
      </c>
      <c r="I1949" s="1">
        <v>46143</v>
      </c>
      <c r="J1949" t="s">
        <v>45</v>
      </c>
      <c r="K1949" t="s">
        <v>45</v>
      </c>
      <c r="L1949" t="s">
        <v>46</v>
      </c>
      <c r="M1949" s="1">
        <v>44456</v>
      </c>
      <c r="N1949" t="s">
        <v>47</v>
      </c>
      <c r="O1949" t="s">
        <v>48</v>
      </c>
      <c r="P1949" t="s">
        <v>49</v>
      </c>
      <c r="Q1949" t="s">
        <v>12915</v>
      </c>
      <c r="R1949" t="s">
        <v>12916</v>
      </c>
      <c r="S1949">
        <v>39</v>
      </c>
      <c r="T1949" t="s">
        <v>156</v>
      </c>
      <c r="U1949" t="s">
        <v>1446</v>
      </c>
      <c r="V1949" t="s">
        <v>12917</v>
      </c>
      <c r="W1949" t="s">
        <v>159</v>
      </c>
      <c r="X1949" t="s">
        <v>76</v>
      </c>
      <c r="Y1949" t="s">
        <v>434</v>
      </c>
      <c r="Z1949">
        <v>1568</v>
      </c>
      <c r="AA1949">
        <v>56</v>
      </c>
      <c r="AB1949">
        <v>189</v>
      </c>
      <c r="AC1949" t="s">
        <v>12391</v>
      </c>
      <c r="AD1949" t="s">
        <v>1454</v>
      </c>
      <c r="AE1949" t="s">
        <v>12392</v>
      </c>
      <c r="AF1949" t="s">
        <v>12918</v>
      </c>
      <c r="AG1949" t="s">
        <v>12919</v>
      </c>
      <c r="AH1949" t="s">
        <v>12920</v>
      </c>
      <c r="AJ1949" s="2">
        <v>45855.885763888888</v>
      </c>
      <c r="AK1949" t="s">
        <v>556</v>
      </c>
      <c r="AL1949" t="s">
        <v>65</v>
      </c>
      <c r="AM1949" s="3">
        <v>1.3472222222222223</v>
      </c>
      <c r="AN1949" t="s">
        <v>66</v>
      </c>
      <c r="AO1949" t="s">
        <v>101</v>
      </c>
    </row>
    <row r="1950" spans="1:41" x14ac:dyDescent="0.2">
      <c r="A1950">
        <v>371411</v>
      </c>
      <c r="B1950" t="s">
        <v>12921</v>
      </c>
      <c r="C1950" t="s">
        <v>323</v>
      </c>
      <c r="D1950" t="s">
        <v>3429</v>
      </c>
      <c r="E1950" t="s">
        <v>12922</v>
      </c>
      <c r="F1950">
        <v>500962</v>
      </c>
      <c r="G1950" s="1">
        <v>33761</v>
      </c>
      <c r="H1950" s="1">
        <v>45807</v>
      </c>
      <c r="I1950" s="1">
        <v>46037</v>
      </c>
      <c r="J1950" t="s">
        <v>45</v>
      </c>
      <c r="K1950" t="s">
        <v>45</v>
      </c>
      <c r="L1950" t="s">
        <v>72</v>
      </c>
      <c r="M1950" s="1">
        <v>44692</v>
      </c>
      <c r="N1950" t="s">
        <v>47</v>
      </c>
      <c r="O1950" t="s">
        <v>48</v>
      </c>
      <c r="P1950" t="s">
        <v>49</v>
      </c>
      <c r="Q1950" t="s">
        <v>12923</v>
      </c>
      <c r="R1950" t="s">
        <v>12924</v>
      </c>
      <c r="S1950">
        <v>361</v>
      </c>
      <c r="T1950" t="s">
        <v>92</v>
      </c>
      <c r="U1950" t="s">
        <v>329</v>
      </c>
      <c r="V1950" t="s">
        <v>722</v>
      </c>
      <c r="W1950" t="s">
        <v>723</v>
      </c>
      <c r="Y1950" t="s">
        <v>110</v>
      </c>
      <c r="Z1950">
        <v>463</v>
      </c>
      <c r="AA1950">
        <v>43</v>
      </c>
      <c r="AB1950">
        <v>152</v>
      </c>
      <c r="AC1950" t="s">
        <v>331</v>
      </c>
      <c r="AD1950" t="s">
        <v>332</v>
      </c>
      <c r="AE1950" t="s">
        <v>333</v>
      </c>
      <c r="AF1950" t="s">
        <v>334</v>
      </c>
      <c r="AG1950" t="s">
        <v>335</v>
      </c>
      <c r="AH1950" t="s">
        <v>336</v>
      </c>
      <c r="AJ1950" s="2">
        <v>45810.000243055554</v>
      </c>
      <c r="AK1950" t="s">
        <v>331</v>
      </c>
      <c r="AL1950" t="s">
        <v>65</v>
      </c>
      <c r="AM1950" s="3">
        <v>2.1805555555555554</v>
      </c>
      <c r="AN1950" t="s">
        <v>66</v>
      </c>
      <c r="AO1950" t="s">
        <v>67</v>
      </c>
    </row>
    <row r="1951" spans="1:41" x14ac:dyDescent="0.2">
      <c r="A1951">
        <v>369625</v>
      </c>
      <c r="B1951" t="s">
        <v>12925</v>
      </c>
      <c r="C1951" t="s">
        <v>118</v>
      </c>
      <c r="D1951" t="s">
        <v>2713</v>
      </c>
      <c r="E1951" t="s">
        <v>12926</v>
      </c>
      <c r="F1951">
        <v>20113</v>
      </c>
      <c r="G1951" s="1">
        <v>31525</v>
      </c>
      <c r="H1951" s="1">
        <v>45567</v>
      </c>
      <c r="I1951" s="1">
        <v>46249</v>
      </c>
      <c r="J1951" t="s">
        <v>45</v>
      </c>
      <c r="K1951" t="s">
        <v>45</v>
      </c>
      <c r="L1951" t="s">
        <v>429</v>
      </c>
      <c r="M1951" s="1">
        <v>45743</v>
      </c>
      <c r="N1951" t="s">
        <v>47</v>
      </c>
      <c r="O1951" t="s">
        <v>48</v>
      </c>
      <c r="P1951" t="s">
        <v>49</v>
      </c>
      <c r="Q1951" t="s">
        <v>12927</v>
      </c>
      <c r="R1951" t="s">
        <v>12928</v>
      </c>
      <c r="S1951">
        <v>6500</v>
      </c>
      <c r="T1951" t="s">
        <v>365</v>
      </c>
      <c r="U1951" t="s">
        <v>815</v>
      </c>
      <c r="V1951" t="s">
        <v>958</v>
      </c>
      <c r="W1951" t="s">
        <v>367</v>
      </c>
      <c r="X1951" t="s">
        <v>55</v>
      </c>
      <c r="Y1951" t="s">
        <v>434</v>
      </c>
      <c r="Z1951">
        <v>52</v>
      </c>
      <c r="AA1951">
        <v>56</v>
      </c>
      <c r="AB1951">
        <v>166</v>
      </c>
      <c r="AC1951" t="s">
        <v>2717</v>
      </c>
      <c r="AD1951" t="s">
        <v>2718</v>
      </c>
      <c r="AE1951" t="s">
        <v>2719</v>
      </c>
      <c r="AF1951" t="s">
        <v>2720</v>
      </c>
      <c r="AG1951" t="s">
        <v>963</v>
      </c>
      <c r="AH1951" t="s">
        <v>2721</v>
      </c>
      <c r="AI1951" t="s">
        <v>179</v>
      </c>
      <c r="AJ1951" s="2">
        <v>45747.682187500002</v>
      </c>
      <c r="AK1951" t="s">
        <v>307</v>
      </c>
      <c r="AL1951" t="s">
        <v>65</v>
      </c>
      <c r="AM1951" s="3">
        <v>2.0902777777777777</v>
      </c>
      <c r="AN1951" t="s">
        <v>66</v>
      </c>
      <c r="AO1951" t="s">
        <v>67</v>
      </c>
    </row>
    <row r="1952" spans="1:41" x14ac:dyDescent="0.2">
      <c r="A1952">
        <v>372597</v>
      </c>
      <c r="B1952" t="s">
        <v>12929</v>
      </c>
      <c r="C1952" t="s">
        <v>42</v>
      </c>
      <c r="E1952">
        <v>32641164</v>
      </c>
      <c r="G1952" s="1">
        <v>44930</v>
      </c>
      <c r="H1952" s="1">
        <v>45667</v>
      </c>
      <c r="I1952" s="1">
        <v>46023</v>
      </c>
      <c r="J1952" t="s">
        <v>45</v>
      </c>
      <c r="K1952" t="s">
        <v>326</v>
      </c>
      <c r="L1952" t="s">
        <v>72</v>
      </c>
      <c r="N1952" t="s">
        <v>89</v>
      </c>
      <c r="O1952" t="s">
        <v>121</v>
      </c>
      <c r="P1952" t="s">
        <v>49</v>
      </c>
      <c r="Q1952" t="s">
        <v>12930</v>
      </c>
      <c r="R1952" t="s">
        <v>12931</v>
      </c>
      <c r="S1952">
        <v>7902</v>
      </c>
      <c r="T1952" t="s">
        <v>296</v>
      </c>
      <c r="U1952" t="s">
        <v>2674</v>
      </c>
      <c r="V1952" t="s">
        <v>6722</v>
      </c>
      <c r="W1952" t="s">
        <v>299</v>
      </c>
      <c r="X1952" t="s">
        <v>296</v>
      </c>
      <c r="Y1952" t="s">
        <v>125</v>
      </c>
      <c r="Z1952">
        <v>2306</v>
      </c>
      <c r="AA1952">
        <v>38</v>
      </c>
      <c r="AB1952">
        <v>30</v>
      </c>
      <c r="AC1952" t="s">
        <v>12932</v>
      </c>
      <c r="AD1952" t="s">
        <v>12933</v>
      </c>
      <c r="AE1952" t="s">
        <v>12934</v>
      </c>
      <c r="AF1952" t="s">
        <v>5601</v>
      </c>
      <c r="AG1952" t="s">
        <v>5602</v>
      </c>
      <c r="AH1952" t="s">
        <v>5603</v>
      </c>
      <c r="AI1952" t="s">
        <v>12935</v>
      </c>
      <c r="AJ1952" s="2">
        <v>45846.845914351848</v>
      </c>
      <c r="AK1952" t="s">
        <v>800</v>
      </c>
      <c r="AL1952" t="s">
        <v>65</v>
      </c>
      <c r="AM1952" s="3">
        <v>1.4305555555555556</v>
      </c>
      <c r="AN1952" t="s">
        <v>66</v>
      </c>
      <c r="AO1952" t="s">
        <v>67</v>
      </c>
    </row>
    <row r="1953" spans="1:41" x14ac:dyDescent="0.2">
      <c r="A1953">
        <v>372207</v>
      </c>
      <c r="B1953" t="s">
        <v>12936</v>
      </c>
      <c r="C1953" t="s">
        <v>42</v>
      </c>
      <c r="D1953" t="s">
        <v>4380</v>
      </c>
      <c r="E1953">
        <v>32643788</v>
      </c>
      <c r="G1953" s="1">
        <v>45175</v>
      </c>
      <c r="H1953" s="1">
        <v>45176</v>
      </c>
      <c r="I1953" s="1">
        <v>46249</v>
      </c>
      <c r="J1953" t="s">
        <v>45</v>
      </c>
      <c r="K1953" t="s">
        <v>45</v>
      </c>
      <c r="L1953" t="s">
        <v>72</v>
      </c>
      <c r="N1953" t="s">
        <v>89</v>
      </c>
      <c r="O1953" t="s">
        <v>121</v>
      </c>
      <c r="P1953" t="s">
        <v>49</v>
      </c>
      <c r="Q1953" t="s">
        <v>12937</v>
      </c>
      <c r="R1953" t="s">
        <v>12938</v>
      </c>
      <c r="S1953">
        <v>7913</v>
      </c>
      <c r="T1953" t="s">
        <v>296</v>
      </c>
      <c r="U1953" t="s">
        <v>2674</v>
      </c>
      <c r="V1953" t="s">
        <v>12034</v>
      </c>
      <c r="W1953" t="s">
        <v>299</v>
      </c>
      <c r="X1953" t="s">
        <v>296</v>
      </c>
      <c r="Y1953" t="s">
        <v>125</v>
      </c>
      <c r="Z1953">
        <v>2345</v>
      </c>
      <c r="AA1953">
        <v>46</v>
      </c>
      <c r="AB1953">
        <v>28</v>
      </c>
      <c r="AC1953" t="s">
        <v>12939</v>
      </c>
      <c r="AD1953" t="s">
        <v>12036</v>
      </c>
      <c r="AE1953" t="s">
        <v>12037</v>
      </c>
      <c r="AF1953" t="s">
        <v>12940</v>
      </c>
      <c r="AG1953" t="s">
        <v>2680</v>
      </c>
      <c r="AH1953" t="s">
        <v>12941</v>
      </c>
      <c r="AI1953" t="s">
        <v>12942</v>
      </c>
      <c r="AJ1953" s="2">
        <v>45833.835335648146</v>
      </c>
      <c r="AK1953" t="s">
        <v>84</v>
      </c>
      <c r="AL1953" t="s">
        <v>65</v>
      </c>
      <c r="AM1953" s="4">
        <v>0.76388888888888884</v>
      </c>
      <c r="AN1953" t="s">
        <v>66</v>
      </c>
      <c r="AO1953" t="s">
        <v>67</v>
      </c>
    </row>
    <row r="1954" spans="1:41" x14ac:dyDescent="0.2">
      <c r="A1954">
        <v>367495</v>
      </c>
      <c r="B1954" t="s">
        <v>12943</v>
      </c>
      <c r="C1954" t="s">
        <v>42</v>
      </c>
      <c r="D1954" t="s">
        <v>5911</v>
      </c>
      <c r="E1954" t="s">
        <v>12944</v>
      </c>
      <c r="G1954" s="1">
        <v>45678</v>
      </c>
      <c r="H1954" s="1">
        <v>45659</v>
      </c>
      <c r="I1954" s="1">
        <v>46266</v>
      </c>
      <c r="J1954" t="s">
        <v>45</v>
      </c>
      <c r="K1954" t="s">
        <v>45</v>
      </c>
      <c r="L1954" t="s">
        <v>72</v>
      </c>
      <c r="N1954" t="s">
        <v>47</v>
      </c>
      <c r="O1954" t="s">
        <v>121</v>
      </c>
      <c r="P1954" t="s">
        <v>49</v>
      </c>
      <c r="Q1954" t="s">
        <v>12945</v>
      </c>
      <c r="R1954" t="s">
        <v>12946</v>
      </c>
      <c r="S1954">
        <v>6430</v>
      </c>
      <c r="T1954" t="s">
        <v>296</v>
      </c>
      <c r="U1954" t="s">
        <v>2674</v>
      </c>
      <c r="V1954" t="s">
        <v>3527</v>
      </c>
      <c r="W1954" t="s">
        <v>299</v>
      </c>
      <c r="X1954" t="s">
        <v>296</v>
      </c>
      <c r="Y1954" t="s">
        <v>125</v>
      </c>
      <c r="Z1954">
        <v>3028</v>
      </c>
      <c r="AA1954">
        <v>55</v>
      </c>
      <c r="AB1954">
        <v>158</v>
      </c>
      <c r="AC1954" t="s">
        <v>3528</v>
      </c>
      <c r="AD1954" t="s">
        <v>12947</v>
      </c>
      <c r="AE1954" t="s">
        <v>3530</v>
      </c>
      <c r="AF1954" t="s">
        <v>12948</v>
      </c>
      <c r="AG1954" t="s">
        <v>12949</v>
      </c>
      <c r="AH1954" t="s">
        <v>12039</v>
      </c>
      <c r="AI1954" t="s">
        <v>12950</v>
      </c>
      <c r="AJ1954" s="2">
        <v>45678.83384259259</v>
      </c>
      <c r="AK1954" t="s">
        <v>660</v>
      </c>
      <c r="AL1954" t="s">
        <v>65</v>
      </c>
      <c r="AM1954" s="3">
        <v>2.2152777777777777</v>
      </c>
      <c r="AN1954" t="s">
        <v>66</v>
      </c>
      <c r="AO1954" t="s">
        <v>67</v>
      </c>
    </row>
    <row r="1955" spans="1:41" x14ac:dyDescent="0.2">
      <c r="A1955">
        <v>371761</v>
      </c>
      <c r="B1955" t="s">
        <v>12951</v>
      </c>
      <c r="C1955" t="s">
        <v>323</v>
      </c>
      <c r="D1955" t="s">
        <v>3603</v>
      </c>
      <c r="E1955" t="s">
        <v>12952</v>
      </c>
      <c r="F1955">
        <v>500102</v>
      </c>
      <c r="G1955" s="1">
        <v>31609</v>
      </c>
      <c r="H1955" s="1">
        <v>45793</v>
      </c>
      <c r="I1955" s="1">
        <v>46037</v>
      </c>
      <c r="J1955" t="s">
        <v>45</v>
      </c>
      <c r="K1955" t="s">
        <v>45</v>
      </c>
      <c r="L1955" t="s">
        <v>72</v>
      </c>
      <c r="M1955" s="1">
        <v>45443</v>
      </c>
      <c r="N1955" t="s">
        <v>47</v>
      </c>
      <c r="O1955" t="s">
        <v>48</v>
      </c>
      <c r="P1955" t="s">
        <v>49</v>
      </c>
      <c r="Q1955" t="s">
        <v>12953</v>
      </c>
      <c r="R1955" t="s">
        <v>12954</v>
      </c>
      <c r="S1955">
        <v>985</v>
      </c>
      <c r="T1955" t="s">
        <v>257</v>
      </c>
      <c r="U1955" t="s">
        <v>329</v>
      </c>
      <c r="V1955" t="s">
        <v>1163</v>
      </c>
      <c r="W1955" t="s">
        <v>260</v>
      </c>
      <c r="X1955" t="s">
        <v>76</v>
      </c>
      <c r="Y1955" t="s">
        <v>110</v>
      </c>
      <c r="Z1955">
        <v>495</v>
      </c>
      <c r="AA1955">
        <v>51</v>
      </c>
      <c r="AB1955">
        <v>152</v>
      </c>
      <c r="AC1955" t="s">
        <v>331</v>
      </c>
      <c r="AD1955" t="s">
        <v>332</v>
      </c>
      <c r="AE1955" t="s">
        <v>333</v>
      </c>
      <c r="AF1955" t="s">
        <v>368</v>
      </c>
      <c r="AG1955" t="s">
        <v>369</v>
      </c>
      <c r="AH1955" t="s">
        <v>370</v>
      </c>
      <c r="AI1955" t="s">
        <v>343</v>
      </c>
      <c r="AJ1955" s="2">
        <v>45818.880416666667</v>
      </c>
      <c r="AK1955" t="s">
        <v>727</v>
      </c>
      <c r="AL1955" t="s">
        <v>65</v>
      </c>
      <c r="AM1955" s="3">
        <v>2.3958333333333335</v>
      </c>
      <c r="AN1955" t="s">
        <v>66</v>
      </c>
      <c r="AO1955" t="s">
        <v>67</v>
      </c>
    </row>
    <row r="1956" spans="1:41" x14ac:dyDescent="0.2">
      <c r="A1956">
        <v>371173</v>
      </c>
      <c r="B1956" t="s">
        <v>12955</v>
      </c>
      <c r="C1956" t="s">
        <v>1000</v>
      </c>
      <c r="D1956" t="s">
        <v>6780</v>
      </c>
      <c r="E1956" t="s">
        <v>12956</v>
      </c>
      <c r="F1956">
        <v>403602</v>
      </c>
      <c r="G1956" s="1">
        <v>32286</v>
      </c>
      <c r="H1956" s="1">
        <v>45790</v>
      </c>
      <c r="I1956" s="1">
        <v>46143</v>
      </c>
      <c r="J1956" t="s">
        <v>45</v>
      </c>
      <c r="K1956" t="s">
        <v>45</v>
      </c>
      <c r="L1956" t="s">
        <v>46</v>
      </c>
      <c r="M1956" s="1">
        <v>45198</v>
      </c>
      <c r="N1956" t="s">
        <v>47</v>
      </c>
      <c r="O1956" t="s">
        <v>48</v>
      </c>
      <c r="P1956" t="s">
        <v>49</v>
      </c>
      <c r="Q1956" t="s">
        <v>12957</v>
      </c>
      <c r="R1956" t="s">
        <v>12958</v>
      </c>
      <c r="S1956">
        <v>2300</v>
      </c>
      <c r="T1956" t="s">
        <v>52</v>
      </c>
      <c r="U1956">
        <v>8</v>
      </c>
      <c r="V1956" t="s">
        <v>12959</v>
      </c>
      <c r="W1956" t="s">
        <v>54</v>
      </c>
      <c r="X1956" t="s">
        <v>76</v>
      </c>
      <c r="Y1956" t="s">
        <v>56</v>
      </c>
      <c r="Z1956">
        <v>1093</v>
      </c>
      <c r="AA1956">
        <v>56</v>
      </c>
      <c r="AB1956">
        <v>39</v>
      </c>
      <c r="AC1956" t="s">
        <v>12960</v>
      </c>
      <c r="AD1956" t="s">
        <v>12961</v>
      </c>
      <c r="AE1956" t="s">
        <v>12962</v>
      </c>
      <c r="AF1956" t="s">
        <v>12963</v>
      </c>
      <c r="AG1956" t="s">
        <v>12964</v>
      </c>
      <c r="AH1956" t="s">
        <v>12965</v>
      </c>
      <c r="AJ1956" s="2">
        <v>45797.867118055554</v>
      </c>
      <c r="AK1956" t="s">
        <v>717</v>
      </c>
      <c r="AL1956" t="s">
        <v>65</v>
      </c>
      <c r="AM1956" s="3">
        <v>2.0381944444444446</v>
      </c>
      <c r="AN1956" t="s">
        <v>66</v>
      </c>
      <c r="AO1956" t="s">
        <v>101</v>
      </c>
    </row>
    <row r="1957" spans="1:41" x14ac:dyDescent="0.2">
      <c r="A1957">
        <v>356506</v>
      </c>
      <c r="B1957" t="s">
        <v>12966</v>
      </c>
      <c r="C1957" t="s">
        <v>323</v>
      </c>
      <c r="E1957" t="s">
        <v>12967</v>
      </c>
      <c r="G1957" s="1">
        <v>38526</v>
      </c>
      <c r="H1957" s="1">
        <v>38526</v>
      </c>
      <c r="J1957" t="s">
        <v>326</v>
      </c>
      <c r="K1957" t="s">
        <v>326</v>
      </c>
      <c r="L1957" t="s">
        <v>72</v>
      </c>
      <c r="N1957" t="s">
        <v>89</v>
      </c>
      <c r="O1957" t="s">
        <v>48</v>
      </c>
      <c r="P1957" t="s">
        <v>406</v>
      </c>
      <c r="Q1957" t="s">
        <v>12968</v>
      </c>
      <c r="R1957" t="s">
        <v>12969</v>
      </c>
      <c r="S1957">
        <v>100</v>
      </c>
      <c r="T1957" t="s">
        <v>365</v>
      </c>
      <c r="U1957" t="s">
        <v>366</v>
      </c>
      <c r="V1957" t="s">
        <v>12970</v>
      </c>
      <c r="W1957" t="s">
        <v>409</v>
      </c>
      <c r="X1957" t="s">
        <v>76</v>
      </c>
      <c r="Y1957" t="s">
        <v>410</v>
      </c>
      <c r="Z1957">
        <v>2735</v>
      </c>
      <c r="AA1957">
        <v>6</v>
      </c>
      <c r="AB1957">
        <v>158</v>
      </c>
      <c r="AC1957" t="s">
        <v>12971</v>
      </c>
      <c r="AD1957" t="s">
        <v>12972</v>
      </c>
      <c r="AE1957" t="s">
        <v>12973</v>
      </c>
      <c r="AI1957" t="s">
        <v>12972</v>
      </c>
      <c r="AJ1957" s="2">
        <v>45313.613981481481</v>
      </c>
      <c r="AK1957" t="s">
        <v>149</v>
      </c>
      <c r="AL1957" t="s">
        <v>475</v>
      </c>
      <c r="AM1957" s="3">
        <v>1.1527777777777777</v>
      </c>
      <c r="AN1957" t="s">
        <v>2857</v>
      </c>
      <c r="AO1957" t="s">
        <v>67</v>
      </c>
    </row>
    <row r="1958" spans="1:41" x14ac:dyDescent="0.2">
      <c r="A1958">
        <v>366232</v>
      </c>
      <c r="B1958" t="s">
        <v>12974</v>
      </c>
      <c r="C1958" t="s">
        <v>118</v>
      </c>
      <c r="D1958" t="s">
        <v>2645</v>
      </c>
      <c r="E1958">
        <v>32330464</v>
      </c>
      <c r="F1958">
        <v>21010</v>
      </c>
      <c r="G1958" s="1">
        <v>31701</v>
      </c>
      <c r="H1958" s="1">
        <v>45580</v>
      </c>
      <c r="I1958" s="1">
        <v>45945</v>
      </c>
      <c r="J1958" t="s">
        <v>45</v>
      </c>
      <c r="K1958" t="s">
        <v>45</v>
      </c>
      <c r="L1958" t="s">
        <v>429</v>
      </c>
      <c r="M1958" s="1">
        <v>45609</v>
      </c>
      <c r="N1958" t="s">
        <v>47</v>
      </c>
      <c r="O1958" t="s">
        <v>48</v>
      </c>
      <c r="P1958" t="s">
        <v>49</v>
      </c>
      <c r="Q1958" t="s">
        <v>12975</v>
      </c>
      <c r="R1958" t="s">
        <v>12976</v>
      </c>
      <c r="S1958">
        <v>4925</v>
      </c>
      <c r="T1958" t="s">
        <v>52</v>
      </c>
      <c r="U1958">
        <v>3</v>
      </c>
      <c r="V1958" t="s">
        <v>4297</v>
      </c>
      <c r="W1958" t="s">
        <v>54</v>
      </c>
      <c r="X1958" t="s">
        <v>55</v>
      </c>
      <c r="Y1958" t="s">
        <v>56</v>
      </c>
      <c r="Z1958">
        <v>613</v>
      </c>
      <c r="AA1958">
        <v>61</v>
      </c>
      <c r="AB1958">
        <v>160</v>
      </c>
      <c r="AC1958" t="s">
        <v>4438</v>
      </c>
      <c r="AD1958" t="s">
        <v>4299</v>
      </c>
      <c r="AE1958" t="s">
        <v>4300</v>
      </c>
      <c r="AF1958" t="s">
        <v>4301</v>
      </c>
      <c r="AG1958" t="s">
        <v>4302</v>
      </c>
      <c r="AH1958" t="s">
        <v>4303</v>
      </c>
      <c r="AI1958" t="s">
        <v>1809</v>
      </c>
      <c r="AJ1958" s="2">
        <v>45609.958310185182</v>
      </c>
      <c r="AK1958" t="s">
        <v>4438</v>
      </c>
      <c r="AL1958" t="s">
        <v>65</v>
      </c>
      <c r="AM1958" s="3">
        <v>1.5416666666666667</v>
      </c>
      <c r="AN1958" t="s">
        <v>66</v>
      </c>
      <c r="AO1958" t="s">
        <v>67</v>
      </c>
    </row>
    <row r="1959" spans="1:41" x14ac:dyDescent="0.2">
      <c r="A1959">
        <v>372921</v>
      </c>
      <c r="B1959" t="s">
        <v>12977</v>
      </c>
      <c r="C1959" t="s">
        <v>167</v>
      </c>
      <c r="D1959" t="s">
        <v>1315</v>
      </c>
      <c r="E1959" t="s">
        <v>12978</v>
      </c>
      <c r="F1959">
        <v>353048</v>
      </c>
      <c r="G1959" s="1">
        <v>38876</v>
      </c>
      <c r="H1959" s="1">
        <v>45699</v>
      </c>
      <c r="I1959" s="1">
        <v>46054</v>
      </c>
      <c r="J1959" t="s">
        <v>45</v>
      </c>
      <c r="K1959" t="s">
        <v>45</v>
      </c>
      <c r="L1959" t="s">
        <v>429</v>
      </c>
      <c r="M1959" s="1">
        <v>42097</v>
      </c>
      <c r="N1959" t="s">
        <v>47</v>
      </c>
      <c r="O1959" t="s">
        <v>48</v>
      </c>
      <c r="P1959" t="s">
        <v>49</v>
      </c>
      <c r="Q1959" t="s">
        <v>12979</v>
      </c>
      <c r="R1959" t="s">
        <v>12980</v>
      </c>
      <c r="S1959">
        <v>1913</v>
      </c>
      <c r="T1959" t="s">
        <v>365</v>
      </c>
      <c r="U1959" t="s">
        <v>532</v>
      </c>
      <c r="V1959" t="s">
        <v>12633</v>
      </c>
      <c r="W1959" t="s">
        <v>367</v>
      </c>
      <c r="X1959" t="s">
        <v>76</v>
      </c>
      <c r="Y1959" t="s">
        <v>434</v>
      </c>
      <c r="Z1959">
        <v>2796</v>
      </c>
      <c r="AA1959">
        <v>47</v>
      </c>
      <c r="AB1959">
        <v>160</v>
      </c>
      <c r="AC1959" t="s">
        <v>3730</v>
      </c>
      <c r="AD1959" t="s">
        <v>12634</v>
      </c>
      <c r="AE1959" t="s">
        <v>3732</v>
      </c>
      <c r="AI1959" t="s">
        <v>12635</v>
      </c>
      <c r="AJ1959" s="2">
        <v>45855.902175925927</v>
      </c>
      <c r="AK1959" t="s">
        <v>556</v>
      </c>
      <c r="AL1959" t="s">
        <v>65</v>
      </c>
      <c r="AM1959" s="4">
        <v>0.45833333333333331</v>
      </c>
      <c r="AN1959" t="s">
        <v>66</v>
      </c>
      <c r="AO1959" t="s">
        <v>67</v>
      </c>
    </row>
    <row r="1960" spans="1:41" x14ac:dyDescent="0.2">
      <c r="A1960">
        <v>372896</v>
      </c>
      <c r="B1960" t="s">
        <v>12981</v>
      </c>
      <c r="C1960" t="s">
        <v>103</v>
      </c>
      <c r="D1960" t="s">
        <v>11406</v>
      </c>
      <c r="E1960" t="s">
        <v>12982</v>
      </c>
      <c r="F1960">
        <v>314301</v>
      </c>
      <c r="G1960" s="1">
        <v>38364</v>
      </c>
      <c r="H1960" s="1">
        <v>45855</v>
      </c>
      <c r="I1960" s="1">
        <v>45931</v>
      </c>
      <c r="J1960" t="s">
        <v>45</v>
      </c>
      <c r="K1960" t="s">
        <v>45</v>
      </c>
      <c r="L1960" t="s">
        <v>72</v>
      </c>
      <c r="M1960" s="1">
        <v>41425</v>
      </c>
      <c r="N1960" t="s">
        <v>47</v>
      </c>
      <c r="O1960" t="s">
        <v>48</v>
      </c>
      <c r="P1960" t="s">
        <v>7488</v>
      </c>
      <c r="Q1960" t="s">
        <v>12983</v>
      </c>
      <c r="R1960" t="s">
        <v>12984</v>
      </c>
      <c r="S1960">
        <v>2560</v>
      </c>
      <c r="T1960" t="s">
        <v>92</v>
      </c>
      <c r="U1960" t="s">
        <v>107</v>
      </c>
      <c r="V1960" t="s">
        <v>108</v>
      </c>
      <c r="W1960" t="s">
        <v>109</v>
      </c>
      <c r="X1960" t="s">
        <v>52</v>
      </c>
      <c r="Y1960" t="s">
        <v>110</v>
      </c>
      <c r="Z1960">
        <v>2670</v>
      </c>
      <c r="AA1960">
        <v>60</v>
      </c>
      <c r="AB1960">
        <v>78</v>
      </c>
      <c r="AC1960" t="s">
        <v>111</v>
      </c>
      <c r="AD1960" t="s">
        <v>112</v>
      </c>
      <c r="AE1960" t="s">
        <v>113</v>
      </c>
      <c r="AF1960" t="s">
        <v>114</v>
      </c>
      <c r="AG1960" t="s">
        <v>115</v>
      </c>
      <c r="AH1960" t="s">
        <v>116</v>
      </c>
      <c r="AI1960" t="s">
        <v>112</v>
      </c>
      <c r="AJ1960" s="2">
        <v>45855.864571759259</v>
      </c>
      <c r="AK1960" t="s">
        <v>111</v>
      </c>
      <c r="AL1960" t="s">
        <v>65</v>
      </c>
      <c r="AM1960" s="4">
        <v>0.69444444444444442</v>
      </c>
      <c r="AN1960" t="s">
        <v>66</v>
      </c>
      <c r="AO1960" t="s">
        <v>67</v>
      </c>
    </row>
    <row r="1961" spans="1:41" x14ac:dyDescent="0.2">
      <c r="A1961">
        <v>369197</v>
      </c>
      <c r="B1961" t="s">
        <v>12985</v>
      </c>
      <c r="C1961" t="s">
        <v>182</v>
      </c>
      <c r="D1961" t="s">
        <v>1813</v>
      </c>
      <c r="E1961" t="s">
        <v>12986</v>
      </c>
      <c r="F1961">
        <v>44204</v>
      </c>
      <c r="G1961" s="1">
        <v>36028</v>
      </c>
      <c r="H1961" s="1">
        <v>45728</v>
      </c>
      <c r="I1961" s="1">
        <v>46096</v>
      </c>
      <c r="J1961" t="s">
        <v>45</v>
      </c>
      <c r="K1961" t="s">
        <v>45</v>
      </c>
      <c r="L1961" t="s">
        <v>429</v>
      </c>
      <c r="M1961" s="1">
        <v>43152</v>
      </c>
      <c r="N1961" t="s">
        <v>47</v>
      </c>
      <c r="O1961" t="s">
        <v>48</v>
      </c>
      <c r="P1961" t="s">
        <v>49</v>
      </c>
      <c r="Q1961" t="s">
        <v>12987</v>
      </c>
      <c r="R1961" t="s">
        <v>12988</v>
      </c>
      <c r="S1961">
        <v>2721</v>
      </c>
      <c r="T1961" t="s">
        <v>52</v>
      </c>
      <c r="U1961">
        <v>5</v>
      </c>
      <c r="V1961" t="s">
        <v>1817</v>
      </c>
      <c r="W1961" t="s">
        <v>54</v>
      </c>
      <c r="X1961" t="s">
        <v>493</v>
      </c>
      <c r="Y1961" t="s">
        <v>434</v>
      </c>
      <c r="Z1961">
        <v>1323</v>
      </c>
      <c r="AA1961">
        <v>88</v>
      </c>
      <c r="AB1961">
        <v>144</v>
      </c>
      <c r="AC1961" t="s">
        <v>1818</v>
      </c>
      <c r="AD1961" t="s">
        <v>1819</v>
      </c>
      <c r="AE1961" t="s">
        <v>1820</v>
      </c>
      <c r="AF1961" t="s">
        <v>1821</v>
      </c>
      <c r="AG1961" t="s">
        <v>1822</v>
      </c>
      <c r="AH1961" t="s">
        <v>1823</v>
      </c>
      <c r="AI1961" t="s">
        <v>500</v>
      </c>
      <c r="AJ1961" s="2">
        <v>45728.961192129631</v>
      </c>
      <c r="AK1961" t="s">
        <v>1472</v>
      </c>
      <c r="AL1961" t="s">
        <v>65</v>
      </c>
      <c r="AM1961" s="3">
        <v>2.2986111111111112</v>
      </c>
      <c r="AN1961" t="s">
        <v>66</v>
      </c>
      <c r="AO1961" t="s">
        <v>67</v>
      </c>
    </row>
    <row r="1962" spans="1:41" x14ac:dyDescent="0.2">
      <c r="A1962">
        <v>364293</v>
      </c>
      <c r="B1962" t="s">
        <v>12985</v>
      </c>
      <c r="C1962" t="s">
        <v>69</v>
      </c>
      <c r="D1962" t="s">
        <v>7603</v>
      </c>
      <c r="E1962" t="s">
        <v>12989</v>
      </c>
      <c r="F1962">
        <v>102903</v>
      </c>
      <c r="G1962" s="1">
        <v>37025</v>
      </c>
      <c r="H1962" s="1">
        <v>45539</v>
      </c>
      <c r="I1962" s="1">
        <v>46249</v>
      </c>
      <c r="J1962" t="s">
        <v>45</v>
      </c>
      <c r="K1962" t="s">
        <v>45</v>
      </c>
      <c r="L1962" t="s">
        <v>72</v>
      </c>
      <c r="N1962" t="s">
        <v>47</v>
      </c>
      <c r="O1962" t="s">
        <v>48</v>
      </c>
      <c r="P1962" t="s">
        <v>49</v>
      </c>
      <c r="Q1962" t="s">
        <v>12990</v>
      </c>
      <c r="R1962" t="s">
        <v>12991</v>
      </c>
      <c r="S1962">
        <v>6300</v>
      </c>
      <c r="T1962" t="s">
        <v>52</v>
      </c>
      <c r="U1962">
        <v>4</v>
      </c>
      <c r="V1962" t="s">
        <v>5619</v>
      </c>
      <c r="W1962" t="s">
        <v>54</v>
      </c>
      <c r="X1962" t="s">
        <v>76</v>
      </c>
      <c r="Y1962" t="s">
        <v>56</v>
      </c>
      <c r="Z1962">
        <v>1670</v>
      </c>
      <c r="AA1962">
        <v>47</v>
      </c>
      <c r="AB1962">
        <v>158</v>
      </c>
      <c r="AC1962" t="s">
        <v>5620</v>
      </c>
      <c r="AD1962" t="s">
        <v>5621</v>
      </c>
      <c r="AE1962" t="s">
        <v>5622</v>
      </c>
      <c r="AF1962" t="s">
        <v>3690</v>
      </c>
      <c r="AG1962" t="s">
        <v>3691</v>
      </c>
      <c r="AH1962" t="s">
        <v>3692</v>
      </c>
      <c r="AI1962" t="s">
        <v>7571</v>
      </c>
      <c r="AJ1962" s="2">
        <v>45539.973506944443</v>
      </c>
      <c r="AK1962" t="s">
        <v>704</v>
      </c>
      <c r="AL1962" t="s">
        <v>65</v>
      </c>
      <c r="AM1962" s="3">
        <v>1.6388888888888888</v>
      </c>
      <c r="AN1962" t="s">
        <v>66</v>
      </c>
      <c r="AO1962" t="s">
        <v>67</v>
      </c>
    </row>
    <row r="1963" spans="1:41" x14ac:dyDescent="0.2">
      <c r="A1963">
        <v>372573</v>
      </c>
      <c r="B1963" t="s">
        <v>12992</v>
      </c>
      <c r="C1963" t="s">
        <v>278</v>
      </c>
      <c r="D1963" t="s">
        <v>427</v>
      </c>
      <c r="E1963" t="s">
        <v>12993</v>
      </c>
      <c r="F1963">
        <v>422710</v>
      </c>
      <c r="G1963" s="1">
        <v>35655</v>
      </c>
      <c r="H1963" s="1">
        <v>45449</v>
      </c>
      <c r="I1963" s="1">
        <v>46188</v>
      </c>
      <c r="J1963" t="s">
        <v>45</v>
      </c>
      <c r="K1963" t="s">
        <v>45</v>
      </c>
      <c r="L1963" t="s">
        <v>429</v>
      </c>
      <c r="M1963" s="1">
        <v>41943</v>
      </c>
      <c r="N1963" t="s">
        <v>47</v>
      </c>
      <c r="O1963" t="s">
        <v>48</v>
      </c>
      <c r="P1963" t="s">
        <v>49</v>
      </c>
      <c r="Q1963" t="s">
        <v>12994</v>
      </c>
      <c r="R1963" t="s">
        <v>12995</v>
      </c>
      <c r="S1963">
        <v>8640</v>
      </c>
      <c r="T1963" t="s">
        <v>52</v>
      </c>
      <c r="U1963">
        <v>4</v>
      </c>
      <c r="V1963" t="s">
        <v>2102</v>
      </c>
      <c r="W1963" t="s">
        <v>54</v>
      </c>
      <c r="X1963" t="s">
        <v>55</v>
      </c>
      <c r="Y1963" t="s">
        <v>56</v>
      </c>
      <c r="Z1963">
        <v>658</v>
      </c>
      <c r="AA1963">
        <v>58</v>
      </c>
      <c r="AB1963">
        <v>160</v>
      </c>
      <c r="AC1963" t="s">
        <v>2103</v>
      </c>
      <c r="AD1963" t="s">
        <v>2104</v>
      </c>
      <c r="AE1963" t="s">
        <v>2105</v>
      </c>
      <c r="AF1963" t="s">
        <v>4414</v>
      </c>
      <c r="AG1963" t="s">
        <v>4415</v>
      </c>
      <c r="AH1963" t="s">
        <v>4416</v>
      </c>
      <c r="AI1963" t="s">
        <v>179</v>
      </c>
      <c r="AJ1963" s="2">
        <v>45845.819548611114</v>
      </c>
      <c r="AK1963" t="s">
        <v>609</v>
      </c>
      <c r="AL1963" t="s">
        <v>65</v>
      </c>
      <c r="AM1963" s="3">
        <v>1.625</v>
      </c>
      <c r="AN1963" t="s">
        <v>66</v>
      </c>
      <c r="AO1963" t="s">
        <v>67</v>
      </c>
    </row>
    <row r="1964" spans="1:41" x14ac:dyDescent="0.2">
      <c r="A1964">
        <v>360283</v>
      </c>
      <c r="B1964" t="s">
        <v>12996</v>
      </c>
      <c r="C1964" t="s">
        <v>86</v>
      </c>
      <c r="D1964" t="s">
        <v>1901</v>
      </c>
      <c r="E1964" t="s">
        <v>12997</v>
      </c>
      <c r="G1964" s="1">
        <v>41533</v>
      </c>
      <c r="H1964" s="1">
        <v>44719</v>
      </c>
      <c r="J1964" t="s">
        <v>72</v>
      </c>
      <c r="K1964" t="s">
        <v>326</v>
      </c>
      <c r="L1964" t="s">
        <v>72</v>
      </c>
      <c r="M1964" s="1">
        <v>44719</v>
      </c>
      <c r="N1964" t="s">
        <v>47</v>
      </c>
      <c r="O1964" t="s">
        <v>48</v>
      </c>
      <c r="P1964" t="s">
        <v>586</v>
      </c>
      <c r="Q1964" t="s">
        <v>12998</v>
      </c>
      <c r="R1964" t="s">
        <v>12999</v>
      </c>
      <c r="S1964">
        <v>607</v>
      </c>
      <c r="T1964" t="s">
        <v>257</v>
      </c>
      <c r="U1964" t="s">
        <v>258</v>
      </c>
      <c r="V1964" t="s">
        <v>1905</v>
      </c>
      <c r="W1964" t="s">
        <v>260</v>
      </c>
      <c r="Y1964" t="s">
        <v>642</v>
      </c>
      <c r="Z1964">
        <v>5946</v>
      </c>
      <c r="AA1964">
        <v>10</v>
      </c>
      <c r="AB1964">
        <v>28</v>
      </c>
      <c r="AC1964" t="s">
        <v>12692</v>
      </c>
      <c r="AD1964" t="s">
        <v>12693</v>
      </c>
      <c r="AE1964" t="s">
        <v>12694</v>
      </c>
      <c r="AF1964" t="s">
        <v>264</v>
      </c>
      <c r="AG1964" t="s">
        <v>265</v>
      </c>
      <c r="AH1964" t="s">
        <v>266</v>
      </c>
      <c r="AI1964" t="s">
        <v>12695</v>
      </c>
      <c r="AJ1964" s="2">
        <v>45414.846168981479</v>
      </c>
      <c r="AK1964" t="s">
        <v>100</v>
      </c>
      <c r="AL1964" t="s">
        <v>1168</v>
      </c>
      <c r="AM1964" s="3">
        <v>1.1666666666666667</v>
      </c>
      <c r="AN1964" t="s">
        <v>66</v>
      </c>
      <c r="AO1964" t="s">
        <v>67</v>
      </c>
    </row>
    <row r="1965" spans="1:41" x14ac:dyDescent="0.2">
      <c r="A1965">
        <v>369806</v>
      </c>
      <c r="B1965" t="s">
        <v>13000</v>
      </c>
      <c r="C1965" t="s">
        <v>167</v>
      </c>
      <c r="D1965" t="s">
        <v>8708</v>
      </c>
      <c r="E1965" t="s">
        <v>13001</v>
      </c>
      <c r="F1965">
        <v>350915</v>
      </c>
      <c r="G1965" s="1">
        <v>33086</v>
      </c>
      <c r="H1965" s="1">
        <v>45748</v>
      </c>
      <c r="I1965" s="1">
        <v>46143</v>
      </c>
      <c r="J1965" t="s">
        <v>45</v>
      </c>
      <c r="K1965" t="s">
        <v>45</v>
      </c>
      <c r="L1965" t="s">
        <v>72</v>
      </c>
      <c r="M1965" s="1">
        <v>42013</v>
      </c>
      <c r="N1965" t="s">
        <v>47</v>
      </c>
      <c r="O1965" t="s">
        <v>48</v>
      </c>
      <c r="P1965" t="s">
        <v>49</v>
      </c>
      <c r="Q1965" t="s">
        <v>13002</v>
      </c>
      <c r="R1965" t="s">
        <v>13003</v>
      </c>
      <c r="S1965">
        <v>3480</v>
      </c>
      <c r="T1965" t="s">
        <v>365</v>
      </c>
      <c r="U1965" t="s">
        <v>532</v>
      </c>
      <c r="V1965" t="s">
        <v>3483</v>
      </c>
      <c r="W1965" t="s">
        <v>367</v>
      </c>
      <c r="X1965" t="s">
        <v>76</v>
      </c>
      <c r="Y1965" t="s">
        <v>434</v>
      </c>
      <c r="Z1965">
        <v>317</v>
      </c>
      <c r="AA1965">
        <v>54</v>
      </c>
      <c r="AB1965">
        <v>158</v>
      </c>
      <c r="AC1965" t="s">
        <v>3484</v>
      </c>
      <c r="AD1965" t="s">
        <v>3485</v>
      </c>
      <c r="AE1965" t="s">
        <v>3486</v>
      </c>
      <c r="AF1965" t="s">
        <v>3487</v>
      </c>
      <c r="AG1965" t="s">
        <v>3488</v>
      </c>
      <c r="AH1965" t="s">
        <v>3489</v>
      </c>
      <c r="AI1965" t="s">
        <v>179</v>
      </c>
      <c r="AJ1965" s="2">
        <v>45754.666655092595</v>
      </c>
      <c r="AK1965" t="s">
        <v>1999</v>
      </c>
      <c r="AL1965" t="s">
        <v>65</v>
      </c>
      <c r="AM1965" s="3">
        <v>2.0277777777777777</v>
      </c>
      <c r="AN1965" t="s">
        <v>66</v>
      </c>
      <c r="AO1965" t="s">
        <v>67</v>
      </c>
    </row>
    <row r="1966" spans="1:41" x14ac:dyDescent="0.2">
      <c r="A1966">
        <v>357429</v>
      </c>
      <c r="B1966" t="s">
        <v>13004</v>
      </c>
      <c r="C1966" t="s">
        <v>345</v>
      </c>
      <c r="D1966" t="s">
        <v>3174</v>
      </c>
      <c r="E1966" t="s">
        <v>13005</v>
      </c>
      <c r="F1966">
        <v>50901</v>
      </c>
      <c r="G1966" s="1">
        <v>43776</v>
      </c>
      <c r="H1966" s="1">
        <v>45216</v>
      </c>
      <c r="I1966" s="1">
        <v>45915</v>
      </c>
      <c r="J1966" t="s">
        <v>45</v>
      </c>
      <c r="K1966" t="s">
        <v>45</v>
      </c>
      <c r="L1966" t="s">
        <v>72</v>
      </c>
      <c r="N1966" t="s">
        <v>47</v>
      </c>
      <c r="O1966" t="s">
        <v>48</v>
      </c>
      <c r="P1966" t="s">
        <v>49</v>
      </c>
      <c r="Q1966" t="s">
        <v>13006</v>
      </c>
      <c r="R1966" t="s">
        <v>13007</v>
      </c>
      <c r="S1966">
        <v>4066</v>
      </c>
      <c r="T1966" t="s">
        <v>92</v>
      </c>
      <c r="U1966" t="s">
        <v>350</v>
      </c>
      <c r="V1966" t="s">
        <v>351</v>
      </c>
      <c r="W1966" t="s">
        <v>352</v>
      </c>
      <c r="X1966" t="s">
        <v>92</v>
      </c>
      <c r="Y1966" t="s">
        <v>110</v>
      </c>
      <c r="Z1966">
        <v>10168</v>
      </c>
      <c r="AA1966">
        <v>13</v>
      </c>
      <c r="AB1966">
        <v>78</v>
      </c>
      <c r="AC1966" t="s">
        <v>353</v>
      </c>
      <c r="AD1966" t="s">
        <v>354</v>
      </c>
      <c r="AE1966" t="s">
        <v>355</v>
      </c>
      <c r="AF1966" t="s">
        <v>356</v>
      </c>
      <c r="AG1966" t="s">
        <v>357</v>
      </c>
      <c r="AH1966" t="s">
        <v>358</v>
      </c>
      <c r="AJ1966" s="2">
        <v>45330.693749999999</v>
      </c>
      <c r="AK1966" t="s">
        <v>149</v>
      </c>
      <c r="AL1966" t="s">
        <v>65</v>
      </c>
      <c r="AM1966" s="3">
        <v>1.8819444444444444</v>
      </c>
      <c r="AN1966" t="s">
        <v>66</v>
      </c>
      <c r="AO1966" t="s">
        <v>67</v>
      </c>
    </row>
    <row r="1967" spans="1:41" x14ac:dyDescent="0.2">
      <c r="A1967">
        <v>370532</v>
      </c>
      <c r="B1967" t="s">
        <v>13008</v>
      </c>
      <c r="C1967" t="s">
        <v>831</v>
      </c>
      <c r="D1967" t="s">
        <v>13009</v>
      </c>
      <c r="E1967" t="s">
        <v>13010</v>
      </c>
      <c r="G1967" s="1">
        <v>45729</v>
      </c>
      <c r="H1967" s="1">
        <v>45687</v>
      </c>
      <c r="I1967" s="1">
        <v>46054</v>
      </c>
      <c r="J1967" t="s">
        <v>45</v>
      </c>
      <c r="K1967" t="s">
        <v>45</v>
      </c>
      <c r="L1967" t="s">
        <v>72</v>
      </c>
      <c r="N1967" t="s">
        <v>89</v>
      </c>
      <c r="O1967" t="s">
        <v>121</v>
      </c>
      <c r="P1967" t="s">
        <v>49</v>
      </c>
      <c r="Q1967" t="s">
        <v>13011</v>
      </c>
      <c r="R1967" t="s">
        <v>13012</v>
      </c>
      <c r="S1967">
        <v>3670</v>
      </c>
      <c r="T1967" t="s">
        <v>52</v>
      </c>
      <c r="U1967">
        <v>8</v>
      </c>
      <c r="V1967" t="s">
        <v>4806</v>
      </c>
      <c r="W1967" t="s">
        <v>54</v>
      </c>
      <c r="X1967" t="s">
        <v>52</v>
      </c>
      <c r="Y1967" t="s">
        <v>125</v>
      </c>
      <c r="Z1967">
        <v>8387</v>
      </c>
      <c r="AA1967">
        <v>58</v>
      </c>
      <c r="AB1967">
        <v>45</v>
      </c>
      <c r="AC1967" t="s">
        <v>5770</v>
      </c>
      <c r="AD1967" t="s">
        <v>5771</v>
      </c>
      <c r="AE1967" t="s">
        <v>13013</v>
      </c>
      <c r="AF1967" t="s">
        <v>13014</v>
      </c>
      <c r="AG1967" t="s">
        <v>13015</v>
      </c>
      <c r="AH1967" t="s">
        <v>13016</v>
      </c>
      <c r="AJ1967" s="2">
        <v>45777.712048611109</v>
      </c>
      <c r="AK1967" t="s">
        <v>132</v>
      </c>
      <c r="AL1967" t="s">
        <v>65</v>
      </c>
      <c r="AM1967" s="4">
        <v>0.53472222222222221</v>
      </c>
      <c r="AN1967" t="s">
        <v>66</v>
      </c>
      <c r="AO1967" t="s">
        <v>101</v>
      </c>
    </row>
    <row r="1968" spans="1:41" x14ac:dyDescent="0.2">
      <c r="A1968">
        <v>367094</v>
      </c>
      <c r="B1968" t="s">
        <v>13017</v>
      </c>
      <c r="C1968" t="s">
        <v>1000</v>
      </c>
      <c r="D1968" t="s">
        <v>1336</v>
      </c>
      <c r="E1968" t="s">
        <v>13018</v>
      </c>
      <c r="G1968" s="1">
        <v>45555</v>
      </c>
      <c r="H1968" s="1">
        <v>45660</v>
      </c>
      <c r="I1968" s="1">
        <v>46266</v>
      </c>
      <c r="J1968" t="s">
        <v>45</v>
      </c>
      <c r="K1968" t="s">
        <v>45</v>
      </c>
      <c r="L1968" t="s">
        <v>72</v>
      </c>
      <c r="N1968" t="s">
        <v>89</v>
      </c>
      <c r="O1968" t="s">
        <v>121</v>
      </c>
      <c r="P1968" t="s">
        <v>49</v>
      </c>
      <c r="Q1968" t="s">
        <v>13019</v>
      </c>
      <c r="R1968" t="s">
        <v>13020</v>
      </c>
      <c r="S1968">
        <v>1830</v>
      </c>
      <c r="T1968" t="s">
        <v>52</v>
      </c>
      <c r="U1968">
        <v>8</v>
      </c>
      <c r="V1968" t="s">
        <v>12959</v>
      </c>
      <c r="W1968" t="s">
        <v>54</v>
      </c>
      <c r="X1968" t="s">
        <v>52</v>
      </c>
      <c r="Y1968" t="s">
        <v>125</v>
      </c>
      <c r="Z1968">
        <v>10926</v>
      </c>
      <c r="AA1968">
        <v>25</v>
      </c>
      <c r="AB1968">
        <v>45</v>
      </c>
      <c r="AC1968" t="s">
        <v>12960</v>
      </c>
      <c r="AD1968" t="s">
        <v>12961</v>
      </c>
      <c r="AE1968" t="s">
        <v>12962</v>
      </c>
      <c r="AF1968" t="s">
        <v>13021</v>
      </c>
      <c r="AG1968" t="s">
        <v>12961</v>
      </c>
      <c r="AH1968" t="s">
        <v>12962</v>
      </c>
      <c r="AJ1968" s="2">
        <v>45660.497349537036</v>
      </c>
      <c r="AK1968" t="s">
        <v>132</v>
      </c>
      <c r="AL1968" t="s">
        <v>65</v>
      </c>
      <c r="AM1968" s="3">
        <v>1.8333333333333333</v>
      </c>
      <c r="AN1968" t="s">
        <v>66</v>
      </c>
      <c r="AO1968" t="s">
        <v>101</v>
      </c>
    </row>
    <row r="1969" spans="1:41" x14ac:dyDescent="0.2">
      <c r="A1969">
        <v>371811</v>
      </c>
      <c r="B1969" t="s">
        <v>13022</v>
      </c>
      <c r="C1969" t="s">
        <v>323</v>
      </c>
      <c r="D1969" t="s">
        <v>3603</v>
      </c>
      <c r="E1969" t="s">
        <v>13023</v>
      </c>
      <c r="F1969">
        <v>500317</v>
      </c>
      <c r="G1969" s="1">
        <v>31902</v>
      </c>
      <c r="H1969" s="1">
        <v>45775</v>
      </c>
      <c r="I1969" s="1">
        <v>46037</v>
      </c>
      <c r="J1969" t="s">
        <v>45</v>
      </c>
      <c r="K1969" t="s">
        <v>326</v>
      </c>
      <c r="L1969" t="s">
        <v>72</v>
      </c>
      <c r="M1969" s="1">
        <v>44683</v>
      </c>
      <c r="N1969" t="s">
        <v>47</v>
      </c>
      <c r="O1969" t="s">
        <v>48</v>
      </c>
      <c r="P1969" t="s">
        <v>49</v>
      </c>
      <c r="Q1969" t="s">
        <v>13024</v>
      </c>
      <c r="R1969" t="s">
        <v>13025</v>
      </c>
      <c r="S1969">
        <v>800</v>
      </c>
      <c r="T1969" t="s">
        <v>257</v>
      </c>
      <c r="U1969" t="s">
        <v>329</v>
      </c>
      <c r="V1969" t="s">
        <v>5032</v>
      </c>
      <c r="W1969" t="s">
        <v>260</v>
      </c>
      <c r="X1969" t="s">
        <v>76</v>
      </c>
      <c r="Y1969" t="s">
        <v>110</v>
      </c>
      <c r="Z1969">
        <v>491</v>
      </c>
      <c r="AA1969">
        <v>41</v>
      </c>
      <c r="AB1969">
        <v>158</v>
      </c>
      <c r="AC1969" t="s">
        <v>6803</v>
      </c>
      <c r="AD1969" t="s">
        <v>337</v>
      </c>
      <c r="AE1969" t="s">
        <v>6804</v>
      </c>
      <c r="AF1969" t="s">
        <v>368</v>
      </c>
      <c r="AG1969" t="s">
        <v>369</v>
      </c>
      <c r="AH1969" t="s">
        <v>370</v>
      </c>
      <c r="AI1969" t="s">
        <v>337</v>
      </c>
      <c r="AJ1969" s="2">
        <v>45819.917442129627</v>
      </c>
      <c r="AK1969" t="s">
        <v>727</v>
      </c>
      <c r="AL1969" t="s">
        <v>65</v>
      </c>
      <c r="AM1969" s="4">
        <v>0.90972222222222221</v>
      </c>
      <c r="AN1969" t="s">
        <v>66</v>
      </c>
      <c r="AO1969" t="s">
        <v>67</v>
      </c>
    </row>
    <row r="1970" spans="1:41" x14ac:dyDescent="0.2">
      <c r="A1970">
        <v>372680</v>
      </c>
      <c r="B1970" t="s">
        <v>13026</v>
      </c>
      <c r="C1970" t="s">
        <v>278</v>
      </c>
      <c r="D1970" t="s">
        <v>1987</v>
      </c>
      <c r="E1970" s="5">
        <v>3241490000</v>
      </c>
      <c r="F1970">
        <v>420706</v>
      </c>
      <c r="G1970" s="1">
        <v>35970</v>
      </c>
      <c r="H1970" s="1">
        <v>45849</v>
      </c>
      <c r="I1970" s="1">
        <v>46204</v>
      </c>
      <c r="J1970" t="s">
        <v>45</v>
      </c>
      <c r="K1970" t="s">
        <v>45</v>
      </c>
      <c r="L1970" t="s">
        <v>72</v>
      </c>
      <c r="M1970" s="1">
        <v>43670</v>
      </c>
      <c r="N1970" t="s">
        <v>47</v>
      </c>
      <c r="O1970" t="s">
        <v>48</v>
      </c>
      <c r="P1970" t="s">
        <v>49</v>
      </c>
      <c r="Q1970" t="s">
        <v>13027</v>
      </c>
      <c r="R1970" t="s">
        <v>13028</v>
      </c>
      <c r="S1970">
        <v>8280</v>
      </c>
      <c r="T1970" t="s">
        <v>52</v>
      </c>
      <c r="U1970">
        <v>4</v>
      </c>
      <c r="V1970" t="s">
        <v>1991</v>
      </c>
      <c r="W1970" t="s">
        <v>54</v>
      </c>
      <c r="X1970" t="s">
        <v>76</v>
      </c>
      <c r="Y1970" t="s">
        <v>56</v>
      </c>
      <c r="Z1970">
        <v>675</v>
      </c>
      <c r="AA1970">
        <v>52</v>
      </c>
      <c r="AB1970">
        <v>152</v>
      </c>
      <c r="AC1970" t="s">
        <v>1992</v>
      </c>
      <c r="AD1970" t="s">
        <v>1993</v>
      </c>
      <c r="AE1970" t="s">
        <v>1994</v>
      </c>
      <c r="AF1970" t="s">
        <v>1995</v>
      </c>
      <c r="AG1970" t="s">
        <v>1996</v>
      </c>
      <c r="AH1970" t="s">
        <v>1997</v>
      </c>
      <c r="AI1970" t="s">
        <v>1998</v>
      </c>
      <c r="AJ1970" s="2">
        <v>45849.852881944447</v>
      </c>
      <c r="AK1970" t="s">
        <v>375</v>
      </c>
      <c r="AL1970" t="s">
        <v>65</v>
      </c>
      <c r="AM1970" s="4">
        <v>0.18055555555555555</v>
      </c>
      <c r="AN1970" t="s">
        <v>66</v>
      </c>
      <c r="AO1970" t="s">
        <v>67</v>
      </c>
    </row>
    <row r="1971" spans="1:41" x14ac:dyDescent="0.2">
      <c r="A1971">
        <v>370535</v>
      </c>
      <c r="B1971" t="s">
        <v>13029</v>
      </c>
      <c r="C1971" t="s">
        <v>345</v>
      </c>
      <c r="D1971" t="s">
        <v>8394</v>
      </c>
      <c r="E1971" t="s">
        <v>13030</v>
      </c>
      <c r="G1971" s="1">
        <v>45728</v>
      </c>
      <c r="H1971" s="1">
        <v>45590</v>
      </c>
      <c r="I1971" s="1">
        <v>45976</v>
      </c>
      <c r="J1971" t="s">
        <v>45</v>
      </c>
      <c r="K1971" t="s">
        <v>45</v>
      </c>
      <c r="L1971" t="s">
        <v>72</v>
      </c>
      <c r="M1971" s="1">
        <v>44679</v>
      </c>
      <c r="N1971" t="s">
        <v>47</v>
      </c>
      <c r="O1971" t="s">
        <v>121</v>
      </c>
      <c r="P1971" t="s">
        <v>49</v>
      </c>
      <c r="Q1971" t="s">
        <v>13031</v>
      </c>
      <c r="R1971" t="s">
        <v>13032</v>
      </c>
      <c r="S1971">
        <v>8045</v>
      </c>
      <c r="T1971" t="s">
        <v>52</v>
      </c>
      <c r="U1971">
        <v>2</v>
      </c>
      <c r="V1971" t="s">
        <v>8005</v>
      </c>
      <c r="W1971" t="s">
        <v>54</v>
      </c>
      <c r="X1971" t="s">
        <v>52</v>
      </c>
      <c r="Y1971" t="s">
        <v>125</v>
      </c>
      <c r="Z1971">
        <v>3126</v>
      </c>
      <c r="AA1971">
        <v>71</v>
      </c>
      <c r="AB1971">
        <v>52</v>
      </c>
      <c r="AC1971" t="s">
        <v>8006</v>
      </c>
      <c r="AD1971" t="s">
        <v>8007</v>
      </c>
      <c r="AE1971" t="s">
        <v>8008</v>
      </c>
      <c r="AF1971" t="s">
        <v>8009</v>
      </c>
      <c r="AG1971" t="s">
        <v>8010</v>
      </c>
      <c r="AH1971" t="s">
        <v>8011</v>
      </c>
      <c r="AJ1971" s="2">
        <v>45777.762916666667</v>
      </c>
      <c r="AK1971" t="s">
        <v>8012</v>
      </c>
      <c r="AL1971" t="s">
        <v>65</v>
      </c>
      <c r="AM1971" s="3">
        <v>2.3402777777777777</v>
      </c>
      <c r="AN1971" t="s">
        <v>66</v>
      </c>
      <c r="AO1971" t="s">
        <v>67</v>
      </c>
    </row>
    <row r="1972" spans="1:41" x14ac:dyDescent="0.2">
      <c r="A1972">
        <v>368937</v>
      </c>
      <c r="B1972" t="s">
        <v>13033</v>
      </c>
      <c r="C1972" t="s">
        <v>182</v>
      </c>
      <c r="D1972" t="s">
        <v>468</v>
      </c>
      <c r="E1972" t="s">
        <v>13034</v>
      </c>
      <c r="F1972">
        <v>40427</v>
      </c>
      <c r="G1972" s="1">
        <v>37546</v>
      </c>
      <c r="H1972" s="1">
        <v>45511</v>
      </c>
      <c r="I1972" s="1">
        <v>46174</v>
      </c>
      <c r="J1972" t="s">
        <v>45</v>
      </c>
      <c r="K1972" t="s">
        <v>45</v>
      </c>
      <c r="L1972" t="s">
        <v>429</v>
      </c>
      <c r="M1972" s="1">
        <v>39542</v>
      </c>
      <c r="N1972" t="s">
        <v>47</v>
      </c>
      <c r="O1972" t="s">
        <v>48</v>
      </c>
      <c r="P1972" t="s">
        <v>49</v>
      </c>
      <c r="Q1972" t="s">
        <v>13035</v>
      </c>
      <c r="R1972" t="s">
        <v>13036</v>
      </c>
      <c r="S1972">
        <v>477</v>
      </c>
      <c r="T1972" t="s">
        <v>296</v>
      </c>
      <c r="U1972" t="s">
        <v>2366</v>
      </c>
      <c r="V1972" t="s">
        <v>13037</v>
      </c>
      <c r="W1972" t="s">
        <v>299</v>
      </c>
      <c r="X1972" t="s">
        <v>493</v>
      </c>
      <c r="Y1972" t="s">
        <v>56</v>
      </c>
      <c r="Z1972">
        <v>2270</v>
      </c>
      <c r="AA1972">
        <v>43</v>
      </c>
      <c r="AB1972">
        <v>172</v>
      </c>
      <c r="AC1972" t="s">
        <v>13038</v>
      </c>
      <c r="AD1972" t="s">
        <v>13039</v>
      </c>
      <c r="AE1972" t="s">
        <v>13040</v>
      </c>
      <c r="AF1972" t="s">
        <v>13038</v>
      </c>
      <c r="AG1972" t="s">
        <v>13039</v>
      </c>
      <c r="AH1972" t="s">
        <v>13041</v>
      </c>
      <c r="AI1972" t="s">
        <v>2374</v>
      </c>
      <c r="AJ1972" s="2">
        <v>45722.917083333334</v>
      </c>
      <c r="AK1972" t="s">
        <v>1472</v>
      </c>
      <c r="AL1972" t="s">
        <v>65</v>
      </c>
      <c r="AM1972" s="3">
        <v>1.875</v>
      </c>
      <c r="AN1972" t="s">
        <v>66</v>
      </c>
      <c r="AO1972" t="s">
        <v>67</v>
      </c>
    </row>
    <row r="1973" spans="1:41" x14ac:dyDescent="0.2">
      <c r="A1973">
        <v>372551</v>
      </c>
      <c r="B1973" t="s">
        <v>13042</v>
      </c>
      <c r="C1973" t="s">
        <v>182</v>
      </c>
      <c r="D1973" t="s">
        <v>1702</v>
      </c>
      <c r="E1973">
        <v>52014684</v>
      </c>
      <c r="F1973">
        <v>42313</v>
      </c>
      <c r="G1973" s="1">
        <v>42389</v>
      </c>
      <c r="H1973" s="1">
        <v>45841</v>
      </c>
      <c r="J1973" t="s">
        <v>45</v>
      </c>
      <c r="K1973" t="s">
        <v>45</v>
      </c>
      <c r="L1973" t="s">
        <v>72</v>
      </c>
      <c r="N1973" t="s">
        <v>47</v>
      </c>
      <c r="O1973" t="s">
        <v>48</v>
      </c>
      <c r="P1973" t="s">
        <v>49</v>
      </c>
      <c r="Q1973" t="s">
        <v>13043</v>
      </c>
      <c r="R1973" t="s">
        <v>13044</v>
      </c>
      <c r="S1973">
        <v>482</v>
      </c>
      <c r="T1973" t="s">
        <v>92</v>
      </c>
      <c r="U1973" t="s">
        <v>187</v>
      </c>
      <c r="V1973" t="s">
        <v>2454</v>
      </c>
      <c r="W1973" t="s">
        <v>2455</v>
      </c>
      <c r="X1973" t="s">
        <v>92</v>
      </c>
      <c r="Y1973" t="s">
        <v>770</v>
      </c>
      <c r="Z1973">
        <v>8346</v>
      </c>
      <c r="AA1973">
        <v>17</v>
      </c>
      <c r="AB1973">
        <v>78</v>
      </c>
      <c r="AC1973" t="s">
        <v>2456</v>
      </c>
      <c r="AD1973" t="s">
        <v>13045</v>
      </c>
      <c r="AE1973" t="s">
        <v>2458</v>
      </c>
      <c r="AJ1973" s="2">
        <v>45845.582430555558</v>
      </c>
      <c r="AK1973" t="s">
        <v>456</v>
      </c>
      <c r="AL1973" t="s">
        <v>65</v>
      </c>
      <c r="AM1973" s="3">
        <v>1.3055555555555556</v>
      </c>
      <c r="AN1973" t="s">
        <v>66</v>
      </c>
      <c r="AO1973" t="s">
        <v>67</v>
      </c>
    </row>
    <row r="1974" spans="1:41" x14ac:dyDescent="0.2">
      <c r="A1974">
        <v>367743</v>
      </c>
      <c r="B1974" t="s">
        <v>13046</v>
      </c>
      <c r="C1974" t="s">
        <v>2298</v>
      </c>
      <c r="D1974" t="s">
        <v>13047</v>
      </c>
      <c r="E1974">
        <v>83786162</v>
      </c>
      <c r="F1974">
        <v>224101</v>
      </c>
      <c r="G1974" s="1">
        <v>40515</v>
      </c>
      <c r="H1974" s="1">
        <v>45680</v>
      </c>
      <c r="I1974" s="1">
        <v>46068</v>
      </c>
      <c r="J1974" t="s">
        <v>45</v>
      </c>
      <c r="K1974" t="s">
        <v>45</v>
      </c>
      <c r="L1974" t="s">
        <v>72</v>
      </c>
      <c r="M1974" s="1">
        <v>41011</v>
      </c>
      <c r="N1974" t="s">
        <v>47</v>
      </c>
      <c r="O1974" t="s">
        <v>48</v>
      </c>
      <c r="P1974" t="s">
        <v>49</v>
      </c>
      <c r="Q1974" t="s">
        <v>13048</v>
      </c>
      <c r="R1974" t="s">
        <v>13049</v>
      </c>
      <c r="S1974">
        <v>250</v>
      </c>
      <c r="T1974" t="s">
        <v>156</v>
      </c>
      <c r="U1974" t="s">
        <v>157</v>
      </c>
      <c r="V1974" t="s">
        <v>13050</v>
      </c>
      <c r="W1974" t="s">
        <v>159</v>
      </c>
      <c r="X1974" t="s">
        <v>156</v>
      </c>
      <c r="Y1974" t="s">
        <v>110</v>
      </c>
      <c r="Z1974">
        <v>1470</v>
      </c>
      <c r="AA1974">
        <v>33</v>
      </c>
      <c r="AB1974">
        <v>45</v>
      </c>
      <c r="AC1974" t="s">
        <v>13051</v>
      </c>
      <c r="AD1974" t="s">
        <v>13052</v>
      </c>
      <c r="AE1974" t="s">
        <v>13053</v>
      </c>
      <c r="AG1974" t="s">
        <v>13052</v>
      </c>
      <c r="AI1974" t="s">
        <v>13052</v>
      </c>
      <c r="AJ1974" s="2">
        <v>45688.552604166667</v>
      </c>
      <c r="AK1974" t="s">
        <v>13054</v>
      </c>
      <c r="AL1974" t="s">
        <v>65</v>
      </c>
      <c r="AM1974" s="3">
        <v>2.4236111111111112</v>
      </c>
      <c r="AN1974" t="s">
        <v>66</v>
      </c>
      <c r="AO1974" t="s">
        <v>101</v>
      </c>
    </row>
    <row r="1975" spans="1:41" x14ac:dyDescent="0.2">
      <c r="A1975">
        <v>371677</v>
      </c>
      <c r="B1975" t="s">
        <v>13055</v>
      </c>
      <c r="C1975" t="s">
        <v>134</v>
      </c>
      <c r="D1975" t="s">
        <v>427</v>
      </c>
      <c r="E1975" t="s">
        <v>13056</v>
      </c>
      <c r="F1975">
        <v>450603</v>
      </c>
      <c r="G1975" s="1">
        <v>40247</v>
      </c>
      <c r="H1975" s="1">
        <v>45805</v>
      </c>
      <c r="J1975" t="s">
        <v>326</v>
      </c>
      <c r="K1975" t="s">
        <v>72</v>
      </c>
      <c r="L1975" t="s">
        <v>72</v>
      </c>
      <c r="M1975" s="1">
        <v>44699</v>
      </c>
      <c r="N1975" t="s">
        <v>47</v>
      </c>
      <c r="O1975" t="s">
        <v>48</v>
      </c>
      <c r="P1975" t="s">
        <v>1752</v>
      </c>
      <c r="Q1975" t="s">
        <v>13057</v>
      </c>
      <c r="R1975" t="s">
        <v>13058</v>
      </c>
      <c r="S1975">
        <v>60</v>
      </c>
      <c r="T1975" t="s">
        <v>257</v>
      </c>
      <c r="U1975" t="s">
        <v>640</v>
      </c>
      <c r="V1975" t="s">
        <v>13059</v>
      </c>
      <c r="W1975" t="s">
        <v>260</v>
      </c>
      <c r="X1975" t="s">
        <v>257</v>
      </c>
      <c r="Y1975" t="s">
        <v>410</v>
      </c>
      <c r="Z1975">
        <v>3246</v>
      </c>
      <c r="AA1975">
        <v>20</v>
      </c>
      <c r="AB1975">
        <v>30</v>
      </c>
      <c r="AC1975" t="s">
        <v>13060</v>
      </c>
      <c r="AD1975" t="s">
        <v>13061</v>
      </c>
      <c r="AE1975" t="s">
        <v>13062</v>
      </c>
      <c r="AI1975" t="s">
        <v>13061</v>
      </c>
      <c r="AJ1975" s="2">
        <v>45817.918287037035</v>
      </c>
      <c r="AK1975" t="s">
        <v>13063</v>
      </c>
      <c r="AL1975" t="s">
        <v>1168</v>
      </c>
      <c r="AM1975" s="3">
        <v>1.5416666666666667</v>
      </c>
      <c r="AN1975" t="s">
        <v>66</v>
      </c>
      <c r="AO1975" t="s">
        <v>67</v>
      </c>
    </row>
    <row r="1976" spans="1:41" x14ac:dyDescent="0.2">
      <c r="A1976">
        <v>239817</v>
      </c>
      <c r="B1976" t="s">
        <v>13064</v>
      </c>
      <c r="C1976" t="s">
        <v>558</v>
      </c>
      <c r="D1976" t="s">
        <v>13065</v>
      </c>
      <c r="E1976" t="s">
        <v>13066</v>
      </c>
      <c r="G1976" s="1">
        <v>42163</v>
      </c>
      <c r="H1976" s="1">
        <v>42583</v>
      </c>
      <c r="J1976" t="s">
        <v>326</v>
      </c>
      <c r="K1976" t="s">
        <v>326</v>
      </c>
      <c r="L1976" t="s">
        <v>72</v>
      </c>
      <c r="N1976" t="s">
        <v>89</v>
      </c>
      <c r="O1976" t="s">
        <v>121</v>
      </c>
      <c r="P1976" t="s">
        <v>1752</v>
      </c>
      <c r="Q1976" t="s">
        <v>13067</v>
      </c>
      <c r="R1976" t="s">
        <v>13068</v>
      </c>
      <c r="S1976">
        <v>5450</v>
      </c>
      <c r="T1976" t="s">
        <v>3098</v>
      </c>
      <c r="W1976" t="s">
        <v>3099</v>
      </c>
      <c r="X1976" t="s">
        <v>3098</v>
      </c>
      <c r="Y1976" t="s">
        <v>410</v>
      </c>
      <c r="Z1976">
        <v>4306</v>
      </c>
      <c r="AA1976">
        <v>61</v>
      </c>
      <c r="AB1976">
        <v>208</v>
      </c>
      <c r="AC1976" t="s">
        <v>646</v>
      </c>
      <c r="AD1976" t="s">
        <v>3100</v>
      </c>
      <c r="AE1976" t="s">
        <v>3101</v>
      </c>
      <c r="AF1976" t="s">
        <v>13069</v>
      </c>
      <c r="AG1976" t="s">
        <v>13070</v>
      </c>
      <c r="AH1976" t="s">
        <v>13071</v>
      </c>
      <c r="AJ1976" s="2">
        <v>43266.719675925924</v>
      </c>
      <c r="AK1976" t="s">
        <v>100</v>
      </c>
      <c r="AL1976" t="s">
        <v>3105</v>
      </c>
      <c r="AM1976" t="s">
        <v>13072</v>
      </c>
      <c r="AN1976" t="s">
        <v>66</v>
      </c>
      <c r="AO1976" t="s">
        <v>67</v>
      </c>
    </row>
    <row r="1977" spans="1:41" x14ac:dyDescent="0.2">
      <c r="A1977">
        <v>357251</v>
      </c>
      <c r="B1977" t="s">
        <v>13073</v>
      </c>
      <c r="C1977" t="s">
        <v>69</v>
      </c>
      <c r="D1977" t="s">
        <v>3824</v>
      </c>
      <c r="E1977" t="s">
        <v>13074</v>
      </c>
      <c r="G1977" s="1">
        <v>43895</v>
      </c>
      <c r="H1977" s="1">
        <v>45301</v>
      </c>
      <c r="J1977" t="s">
        <v>326</v>
      </c>
      <c r="K1977" t="s">
        <v>326</v>
      </c>
      <c r="L1977" t="s">
        <v>72</v>
      </c>
      <c r="N1977" t="s">
        <v>47</v>
      </c>
      <c r="O1977" t="s">
        <v>121</v>
      </c>
      <c r="P1977" t="s">
        <v>1752</v>
      </c>
      <c r="Q1977" t="s">
        <v>13075</v>
      </c>
      <c r="R1977" t="s">
        <v>13076</v>
      </c>
      <c r="S1977">
        <v>4744</v>
      </c>
      <c r="T1977" t="s">
        <v>3098</v>
      </c>
      <c r="W1977" t="s">
        <v>3099</v>
      </c>
      <c r="X1977" t="s">
        <v>3098</v>
      </c>
      <c r="Y1977" t="s">
        <v>642</v>
      </c>
      <c r="Z1977">
        <v>4546</v>
      </c>
      <c r="AA1977">
        <v>55</v>
      </c>
      <c r="AB1977">
        <v>160</v>
      </c>
      <c r="AC1977" t="s">
        <v>646</v>
      </c>
      <c r="AD1977" t="s">
        <v>3100</v>
      </c>
      <c r="AE1977" t="s">
        <v>3101</v>
      </c>
      <c r="AH1977" t="s">
        <v>13077</v>
      </c>
      <c r="AI1977" t="s">
        <v>13078</v>
      </c>
      <c r="AJ1977" s="2">
        <v>45324.924884259257</v>
      </c>
      <c r="AK1977" t="s">
        <v>13079</v>
      </c>
      <c r="AL1977" t="s">
        <v>3105</v>
      </c>
      <c r="AM1977" s="3">
        <v>1.9722222222222223</v>
      </c>
      <c r="AN1977" t="s">
        <v>66</v>
      </c>
      <c r="AO1977" t="s">
        <v>67</v>
      </c>
    </row>
    <row r="1978" spans="1:41" x14ac:dyDescent="0.2">
      <c r="A1978">
        <v>140315</v>
      </c>
      <c r="B1978" t="s">
        <v>13080</v>
      </c>
      <c r="C1978" t="s">
        <v>69</v>
      </c>
      <c r="D1978" t="s">
        <v>3081</v>
      </c>
      <c r="E1978" t="s">
        <v>13081</v>
      </c>
      <c r="G1978" s="1">
        <v>41886</v>
      </c>
      <c r="H1978" s="1">
        <v>41571</v>
      </c>
      <c r="J1978" t="s">
        <v>326</v>
      </c>
      <c r="K1978" t="s">
        <v>72</v>
      </c>
      <c r="L1978" t="s">
        <v>72</v>
      </c>
      <c r="N1978" t="s">
        <v>89</v>
      </c>
      <c r="O1978" t="s">
        <v>121</v>
      </c>
      <c r="P1978" t="s">
        <v>1752</v>
      </c>
      <c r="Q1978" t="s">
        <v>13082</v>
      </c>
      <c r="R1978" t="s">
        <v>13083</v>
      </c>
      <c r="S1978">
        <v>2865</v>
      </c>
      <c r="T1978" t="s">
        <v>3098</v>
      </c>
      <c r="W1978" t="s">
        <v>3099</v>
      </c>
      <c r="X1978" t="s">
        <v>3098</v>
      </c>
      <c r="Y1978" t="s">
        <v>642</v>
      </c>
      <c r="Z1978">
        <v>4547</v>
      </c>
      <c r="AA1978">
        <v>46</v>
      </c>
      <c r="AB1978">
        <v>160</v>
      </c>
      <c r="AC1978" t="s">
        <v>646</v>
      </c>
      <c r="AD1978" t="s">
        <v>3100</v>
      </c>
      <c r="AE1978" t="s">
        <v>3101</v>
      </c>
      <c r="AJ1978" s="2">
        <v>42166.629444444443</v>
      </c>
      <c r="AK1978" t="s">
        <v>660</v>
      </c>
      <c r="AL1978" t="s">
        <v>3105</v>
      </c>
      <c r="AM1978" s="3">
        <v>1.9791666666666667</v>
      </c>
      <c r="AN1978" t="s">
        <v>66</v>
      </c>
      <c r="AO1978" t="s">
        <v>67</v>
      </c>
    </row>
    <row r="1979" spans="1:41" x14ac:dyDescent="0.2">
      <c r="A1979">
        <v>356545</v>
      </c>
      <c r="B1979" t="s">
        <v>13084</v>
      </c>
      <c r="C1979" t="s">
        <v>69</v>
      </c>
      <c r="D1979" t="s">
        <v>3081</v>
      </c>
      <c r="E1979" t="s">
        <v>13085</v>
      </c>
      <c r="G1979" s="1">
        <v>41621</v>
      </c>
      <c r="H1979" s="1">
        <v>41571</v>
      </c>
      <c r="J1979" t="s">
        <v>326</v>
      </c>
      <c r="K1979" t="s">
        <v>326</v>
      </c>
      <c r="L1979" t="s">
        <v>72</v>
      </c>
      <c r="M1979" s="1">
        <v>41480</v>
      </c>
      <c r="N1979" t="s">
        <v>89</v>
      </c>
      <c r="O1979" t="s">
        <v>121</v>
      </c>
      <c r="P1979" t="s">
        <v>1752</v>
      </c>
      <c r="Q1979" t="s">
        <v>13086</v>
      </c>
      <c r="R1979" t="s">
        <v>13087</v>
      </c>
      <c r="S1979">
        <v>1974</v>
      </c>
      <c r="T1979" t="s">
        <v>3098</v>
      </c>
      <c r="W1979" t="s">
        <v>3099</v>
      </c>
      <c r="X1979" t="s">
        <v>3098</v>
      </c>
      <c r="Y1979" t="s">
        <v>642</v>
      </c>
      <c r="Z1979">
        <v>4548</v>
      </c>
      <c r="AA1979">
        <v>41</v>
      </c>
      <c r="AB1979">
        <v>160</v>
      </c>
      <c r="AC1979" t="s">
        <v>646</v>
      </c>
      <c r="AD1979" t="s">
        <v>3100</v>
      </c>
      <c r="AE1979" t="s">
        <v>3101</v>
      </c>
      <c r="AJ1979" s="2">
        <v>45313.633564814816</v>
      </c>
      <c r="AK1979" t="s">
        <v>149</v>
      </c>
      <c r="AL1979" t="s">
        <v>3105</v>
      </c>
      <c r="AM1979" s="3">
        <v>1.9861111111111112</v>
      </c>
      <c r="AN1979" t="s">
        <v>66</v>
      </c>
      <c r="AO1979" t="s">
        <v>67</v>
      </c>
    </row>
    <row r="1980" spans="1:41" x14ac:dyDescent="0.2">
      <c r="A1980">
        <v>364573</v>
      </c>
      <c r="B1980" t="s">
        <v>13088</v>
      </c>
      <c r="C1980" t="s">
        <v>69</v>
      </c>
      <c r="D1980" t="s">
        <v>6123</v>
      </c>
      <c r="E1980" t="s">
        <v>13089</v>
      </c>
      <c r="G1980" s="1">
        <v>44403</v>
      </c>
      <c r="H1980" s="1">
        <v>45548</v>
      </c>
      <c r="J1980" t="s">
        <v>45</v>
      </c>
      <c r="K1980" t="s">
        <v>326</v>
      </c>
      <c r="L1980" t="s">
        <v>72</v>
      </c>
      <c r="M1980" s="1">
        <v>45548</v>
      </c>
      <c r="N1980" t="s">
        <v>47</v>
      </c>
      <c r="O1980" t="s">
        <v>121</v>
      </c>
      <c r="P1980" t="s">
        <v>1752</v>
      </c>
      <c r="Q1980" t="s">
        <v>13090</v>
      </c>
      <c r="R1980" t="s">
        <v>13091</v>
      </c>
      <c r="S1980">
        <v>4904</v>
      </c>
      <c r="T1980" t="s">
        <v>3098</v>
      </c>
      <c r="W1980" t="s">
        <v>3099</v>
      </c>
      <c r="X1980" t="s">
        <v>3098</v>
      </c>
      <c r="Y1980" t="s">
        <v>642</v>
      </c>
      <c r="Z1980">
        <v>4606</v>
      </c>
      <c r="AA1980">
        <v>71</v>
      </c>
      <c r="AB1980">
        <v>68</v>
      </c>
      <c r="AC1980" t="s">
        <v>646</v>
      </c>
      <c r="AD1980" t="s">
        <v>3100</v>
      </c>
      <c r="AE1980" t="s">
        <v>3101</v>
      </c>
      <c r="AF1980" t="s">
        <v>13092</v>
      </c>
      <c r="AG1980" t="s">
        <v>13093</v>
      </c>
      <c r="AH1980" t="s">
        <v>13094</v>
      </c>
      <c r="AI1980" t="s">
        <v>13095</v>
      </c>
      <c r="AJ1980" s="2">
        <v>45552.681712962964</v>
      </c>
      <c r="AK1980" t="s">
        <v>646</v>
      </c>
      <c r="AL1980" t="s">
        <v>3105</v>
      </c>
      <c r="AM1980" t="s">
        <v>13096</v>
      </c>
      <c r="AN1980" t="s">
        <v>66</v>
      </c>
      <c r="AO1980" t="s">
        <v>67</v>
      </c>
    </row>
    <row r="1981" spans="1:41" x14ac:dyDescent="0.2">
      <c r="A1981">
        <v>140318</v>
      </c>
      <c r="B1981" t="s">
        <v>13097</v>
      </c>
      <c r="C1981" t="s">
        <v>69</v>
      </c>
      <c r="D1981" t="s">
        <v>3081</v>
      </c>
      <c r="E1981" t="s">
        <v>13098</v>
      </c>
      <c r="G1981" s="1">
        <v>41765</v>
      </c>
      <c r="H1981" s="1">
        <v>41944</v>
      </c>
      <c r="J1981" t="s">
        <v>326</v>
      </c>
      <c r="K1981" t="s">
        <v>72</v>
      </c>
      <c r="L1981" t="s">
        <v>72</v>
      </c>
      <c r="N1981" t="s">
        <v>89</v>
      </c>
      <c r="O1981" t="s">
        <v>121</v>
      </c>
      <c r="P1981" t="s">
        <v>1752</v>
      </c>
      <c r="Q1981" t="s">
        <v>13082</v>
      </c>
      <c r="R1981" t="s">
        <v>13083</v>
      </c>
      <c r="S1981">
        <v>2865</v>
      </c>
      <c r="T1981" t="s">
        <v>3098</v>
      </c>
      <c r="W1981" t="s">
        <v>3099</v>
      </c>
      <c r="X1981" t="s">
        <v>3098</v>
      </c>
      <c r="Y1981" t="s">
        <v>642</v>
      </c>
      <c r="Z1981">
        <v>4607</v>
      </c>
      <c r="AA1981">
        <v>32</v>
      </c>
      <c r="AB1981">
        <v>160</v>
      </c>
      <c r="AC1981" t="s">
        <v>646</v>
      </c>
      <c r="AD1981" t="s">
        <v>3100</v>
      </c>
      <c r="AE1981" t="s">
        <v>3101</v>
      </c>
      <c r="AJ1981" s="2">
        <v>42166.636365740742</v>
      </c>
      <c r="AK1981" t="s">
        <v>660</v>
      </c>
      <c r="AL1981" t="s">
        <v>3105</v>
      </c>
      <c r="AM1981" s="3">
        <v>1.3888888888888888</v>
      </c>
      <c r="AN1981" t="s">
        <v>66</v>
      </c>
      <c r="AO1981" t="s">
        <v>67</v>
      </c>
    </row>
    <row r="1982" spans="1:41" x14ac:dyDescent="0.2">
      <c r="A1982">
        <v>140319</v>
      </c>
      <c r="B1982" t="s">
        <v>13099</v>
      </c>
      <c r="C1982" t="s">
        <v>69</v>
      </c>
      <c r="D1982" t="s">
        <v>3081</v>
      </c>
      <c r="E1982" t="s">
        <v>13100</v>
      </c>
      <c r="G1982" s="1">
        <v>41868</v>
      </c>
      <c r="H1982" s="1">
        <v>41579</v>
      </c>
      <c r="J1982" t="s">
        <v>326</v>
      </c>
      <c r="K1982" t="s">
        <v>72</v>
      </c>
      <c r="L1982" t="s">
        <v>72</v>
      </c>
      <c r="N1982" t="s">
        <v>89</v>
      </c>
      <c r="O1982" t="s">
        <v>121</v>
      </c>
      <c r="P1982" t="s">
        <v>1752</v>
      </c>
      <c r="Q1982" t="s">
        <v>13082</v>
      </c>
      <c r="R1982" t="s">
        <v>13083</v>
      </c>
      <c r="S1982">
        <v>2865</v>
      </c>
      <c r="T1982" t="s">
        <v>3098</v>
      </c>
      <c r="W1982" t="s">
        <v>3099</v>
      </c>
      <c r="X1982" t="s">
        <v>3098</v>
      </c>
      <c r="Y1982" t="s">
        <v>642</v>
      </c>
      <c r="Z1982">
        <v>4608</v>
      </c>
      <c r="AA1982">
        <v>47</v>
      </c>
      <c r="AB1982">
        <v>34</v>
      </c>
      <c r="AC1982" t="s">
        <v>646</v>
      </c>
      <c r="AD1982" t="s">
        <v>3100</v>
      </c>
      <c r="AE1982" t="s">
        <v>3101</v>
      </c>
      <c r="AJ1982" s="2">
        <v>42166.636643518519</v>
      </c>
      <c r="AK1982" t="s">
        <v>660</v>
      </c>
      <c r="AL1982" t="s">
        <v>3105</v>
      </c>
      <c r="AM1982" s="3">
        <v>1.0416666666666667</v>
      </c>
      <c r="AN1982" t="s">
        <v>66</v>
      </c>
      <c r="AO1982" t="s">
        <v>67</v>
      </c>
    </row>
    <row r="1983" spans="1:41" x14ac:dyDescent="0.2">
      <c r="A1983">
        <v>370680</v>
      </c>
      <c r="B1983" t="s">
        <v>13101</v>
      </c>
      <c r="C1983" t="s">
        <v>69</v>
      </c>
      <c r="D1983" t="s">
        <v>3054</v>
      </c>
      <c r="E1983" t="s">
        <v>13102</v>
      </c>
      <c r="G1983" s="1">
        <v>41576</v>
      </c>
      <c r="H1983" s="1">
        <v>45469</v>
      </c>
      <c r="J1983" t="s">
        <v>326</v>
      </c>
      <c r="K1983" t="s">
        <v>326</v>
      </c>
      <c r="L1983" t="s">
        <v>3920</v>
      </c>
      <c r="M1983" s="1">
        <v>45644</v>
      </c>
      <c r="N1983" t="s">
        <v>47</v>
      </c>
      <c r="O1983" t="s">
        <v>121</v>
      </c>
      <c r="P1983" t="s">
        <v>1752</v>
      </c>
      <c r="Q1983" t="s">
        <v>13103</v>
      </c>
      <c r="R1983" t="s">
        <v>13104</v>
      </c>
      <c r="S1983">
        <v>4226</v>
      </c>
      <c r="T1983" t="s">
        <v>3098</v>
      </c>
      <c r="W1983" t="s">
        <v>3099</v>
      </c>
      <c r="X1983" t="s">
        <v>3098</v>
      </c>
      <c r="Y1983" t="s">
        <v>410</v>
      </c>
      <c r="Z1983">
        <v>6687</v>
      </c>
      <c r="AA1983">
        <v>28</v>
      </c>
      <c r="AB1983">
        <v>68</v>
      </c>
      <c r="AC1983" t="s">
        <v>13105</v>
      </c>
      <c r="AD1983" t="s">
        <v>3100</v>
      </c>
      <c r="AE1983" t="s">
        <v>13106</v>
      </c>
      <c r="AF1983" t="s">
        <v>3103</v>
      </c>
      <c r="AG1983" t="s">
        <v>3103</v>
      </c>
      <c r="AH1983" t="s">
        <v>13107</v>
      </c>
      <c r="AI1983" t="s">
        <v>13108</v>
      </c>
      <c r="AJ1983" s="2">
        <v>45782.956319444442</v>
      </c>
      <c r="AK1983" t="s">
        <v>375</v>
      </c>
      <c r="AL1983" t="s">
        <v>3105</v>
      </c>
      <c r="AM1983" t="s">
        <v>13109</v>
      </c>
      <c r="AN1983" t="s">
        <v>66</v>
      </c>
      <c r="AO1983" t="s">
        <v>67</v>
      </c>
    </row>
    <row r="1984" spans="1:41" x14ac:dyDescent="0.2">
      <c r="A1984">
        <v>370324</v>
      </c>
      <c r="B1984" t="s">
        <v>13110</v>
      </c>
      <c r="C1984" t="s">
        <v>69</v>
      </c>
      <c r="D1984" t="s">
        <v>13111</v>
      </c>
      <c r="E1984" t="s">
        <v>13112</v>
      </c>
      <c r="G1984" s="1">
        <v>45029</v>
      </c>
      <c r="H1984" s="1">
        <v>45734</v>
      </c>
      <c r="J1984" t="s">
        <v>326</v>
      </c>
      <c r="K1984" t="s">
        <v>326</v>
      </c>
      <c r="L1984" t="s">
        <v>72</v>
      </c>
      <c r="M1984" s="1">
        <v>45734</v>
      </c>
      <c r="N1984" t="s">
        <v>47</v>
      </c>
      <c r="O1984" t="s">
        <v>121</v>
      </c>
      <c r="P1984" t="s">
        <v>1752</v>
      </c>
      <c r="Q1984" t="s">
        <v>13113</v>
      </c>
      <c r="R1984" t="s">
        <v>13114</v>
      </c>
      <c r="S1984">
        <v>3058</v>
      </c>
      <c r="T1984" t="s">
        <v>3098</v>
      </c>
      <c r="W1984" t="s">
        <v>3099</v>
      </c>
      <c r="X1984" t="s">
        <v>3098</v>
      </c>
      <c r="Y1984" t="s">
        <v>410</v>
      </c>
      <c r="Z1984">
        <v>6688</v>
      </c>
      <c r="AA1984">
        <v>25</v>
      </c>
      <c r="AB1984">
        <v>68</v>
      </c>
      <c r="AC1984" t="s">
        <v>13105</v>
      </c>
      <c r="AD1984" t="s">
        <v>3100</v>
      </c>
      <c r="AE1984" t="s">
        <v>13115</v>
      </c>
      <c r="AF1984" t="s">
        <v>13116</v>
      </c>
      <c r="AG1984" t="s">
        <v>13117</v>
      </c>
      <c r="AH1984" t="s">
        <v>13118</v>
      </c>
      <c r="AI1984" t="s">
        <v>13119</v>
      </c>
      <c r="AJ1984" s="2">
        <v>45770.687210648146</v>
      </c>
      <c r="AK1984" t="s">
        <v>660</v>
      </c>
      <c r="AL1984" t="s">
        <v>3105</v>
      </c>
      <c r="AM1984" t="s">
        <v>13120</v>
      </c>
      <c r="AN1984" t="s">
        <v>66</v>
      </c>
      <c r="AO1984" t="s">
        <v>67</v>
      </c>
    </row>
    <row r="1985" spans="1:41" x14ac:dyDescent="0.2">
      <c r="A1985">
        <v>366922</v>
      </c>
      <c r="B1985" t="s">
        <v>13121</v>
      </c>
      <c r="C1985" t="s">
        <v>69</v>
      </c>
      <c r="E1985" t="s">
        <v>13122</v>
      </c>
      <c r="G1985" s="1">
        <v>44434</v>
      </c>
      <c r="H1985" s="1">
        <v>45587</v>
      </c>
      <c r="J1985" t="s">
        <v>72</v>
      </c>
      <c r="K1985" t="s">
        <v>72</v>
      </c>
      <c r="L1985" t="s">
        <v>72</v>
      </c>
      <c r="M1985" s="1">
        <v>44434</v>
      </c>
      <c r="N1985" t="s">
        <v>47</v>
      </c>
      <c r="O1985" t="s">
        <v>121</v>
      </c>
      <c r="P1985" t="s">
        <v>586</v>
      </c>
      <c r="Q1985" t="s">
        <v>13123</v>
      </c>
      <c r="R1985" t="s">
        <v>13124</v>
      </c>
      <c r="S1985">
        <v>8142</v>
      </c>
      <c r="T1985" t="s">
        <v>3098</v>
      </c>
      <c r="W1985" t="s">
        <v>3099</v>
      </c>
      <c r="X1985" t="s">
        <v>3098</v>
      </c>
      <c r="Y1985" t="s">
        <v>410</v>
      </c>
      <c r="Z1985">
        <v>8526</v>
      </c>
      <c r="AA1985">
        <v>19</v>
      </c>
      <c r="AB1985">
        <v>68</v>
      </c>
      <c r="AC1985" t="s">
        <v>646</v>
      </c>
      <c r="AD1985" t="s">
        <v>3100</v>
      </c>
      <c r="AE1985" t="s">
        <v>3101</v>
      </c>
      <c r="AF1985" t="s">
        <v>3102</v>
      </c>
      <c r="AG1985" t="s">
        <v>3103</v>
      </c>
      <c r="AH1985" t="s">
        <v>13125</v>
      </c>
      <c r="AI1985" t="s">
        <v>13126</v>
      </c>
      <c r="AJ1985" s="2">
        <v>45644.859571759262</v>
      </c>
      <c r="AK1985" t="s">
        <v>646</v>
      </c>
      <c r="AL1985" t="s">
        <v>1168</v>
      </c>
      <c r="AM1985" t="s">
        <v>13127</v>
      </c>
      <c r="AN1985" t="s">
        <v>66</v>
      </c>
      <c r="AO1985" t="s">
        <v>67</v>
      </c>
    </row>
    <row r="1986" spans="1:41" x14ac:dyDescent="0.2">
      <c r="A1986">
        <v>370669</v>
      </c>
      <c r="B1986" t="s">
        <v>13128</v>
      </c>
      <c r="C1986" t="s">
        <v>118</v>
      </c>
      <c r="D1986" t="s">
        <v>7071</v>
      </c>
      <c r="E1986">
        <v>32699416</v>
      </c>
      <c r="G1986" s="1">
        <v>42248</v>
      </c>
      <c r="H1986" s="1">
        <v>42513</v>
      </c>
      <c r="J1986" t="s">
        <v>326</v>
      </c>
      <c r="K1986" t="s">
        <v>72</v>
      </c>
      <c r="L1986" t="s">
        <v>72</v>
      </c>
      <c r="N1986" t="s">
        <v>89</v>
      </c>
      <c r="O1986" t="s">
        <v>121</v>
      </c>
      <c r="P1986" t="s">
        <v>1752</v>
      </c>
      <c r="Q1986" t="s">
        <v>13129</v>
      </c>
      <c r="R1986" t="s">
        <v>13130</v>
      </c>
      <c r="S1986">
        <v>2450</v>
      </c>
      <c r="T1986" t="s">
        <v>3098</v>
      </c>
      <c r="W1986" t="s">
        <v>3099</v>
      </c>
      <c r="X1986" t="s">
        <v>3098</v>
      </c>
      <c r="Y1986" t="s">
        <v>642</v>
      </c>
      <c r="Z1986">
        <v>4307</v>
      </c>
      <c r="AA1986">
        <v>86</v>
      </c>
      <c r="AB1986">
        <v>160</v>
      </c>
      <c r="AC1986" t="s">
        <v>646</v>
      </c>
      <c r="AD1986" t="s">
        <v>3100</v>
      </c>
      <c r="AE1986" t="s">
        <v>3101</v>
      </c>
      <c r="AF1986" t="s">
        <v>13131</v>
      </c>
      <c r="AG1986" t="s">
        <v>13132</v>
      </c>
      <c r="AH1986" t="s">
        <v>13133</v>
      </c>
      <c r="AI1986" t="s">
        <v>13134</v>
      </c>
      <c r="AJ1986" s="2">
        <v>45782.94358796296</v>
      </c>
      <c r="AK1986" t="s">
        <v>375</v>
      </c>
      <c r="AL1986" t="s">
        <v>3105</v>
      </c>
      <c r="AM1986" s="4">
        <v>0.9194444444444444</v>
      </c>
      <c r="AN1986" t="s">
        <v>66</v>
      </c>
      <c r="AO1986" t="s">
        <v>67</v>
      </c>
    </row>
    <row r="1987" spans="1:41" x14ac:dyDescent="0.2">
      <c r="A1987">
        <v>364689</v>
      </c>
      <c r="B1987" t="s">
        <v>13135</v>
      </c>
      <c r="C1987" t="s">
        <v>167</v>
      </c>
      <c r="D1987" t="s">
        <v>8948</v>
      </c>
      <c r="E1987" t="s">
        <v>13136</v>
      </c>
      <c r="G1987" s="1">
        <v>42993</v>
      </c>
      <c r="H1987" s="1">
        <v>43608</v>
      </c>
      <c r="J1987" t="s">
        <v>326</v>
      </c>
      <c r="K1987" t="s">
        <v>72</v>
      </c>
      <c r="L1987" t="s">
        <v>72</v>
      </c>
      <c r="N1987" t="s">
        <v>89</v>
      </c>
      <c r="O1987" t="s">
        <v>121</v>
      </c>
      <c r="P1987" t="s">
        <v>1752</v>
      </c>
      <c r="Q1987" t="s">
        <v>13137</v>
      </c>
      <c r="R1987" t="s">
        <v>13138</v>
      </c>
      <c r="S1987">
        <v>51</v>
      </c>
      <c r="T1987" t="s">
        <v>3098</v>
      </c>
      <c r="W1987" t="s">
        <v>3099</v>
      </c>
      <c r="X1987" t="s">
        <v>3098</v>
      </c>
      <c r="Y1987" t="s">
        <v>642</v>
      </c>
      <c r="Z1987">
        <v>4308</v>
      </c>
      <c r="AA1987">
        <v>60</v>
      </c>
      <c r="AB1987">
        <v>160</v>
      </c>
      <c r="AC1987" t="s">
        <v>646</v>
      </c>
      <c r="AD1987" t="s">
        <v>3100</v>
      </c>
      <c r="AE1987" t="s">
        <v>3101</v>
      </c>
      <c r="AF1987" t="s">
        <v>13139</v>
      </c>
      <c r="AG1987" t="s">
        <v>13140</v>
      </c>
      <c r="AH1987" t="s">
        <v>13141</v>
      </c>
      <c r="AI1987" t="s">
        <v>13142</v>
      </c>
      <c r="AJ1987" s="2">
        <v>45555.782881944448</v>
      </c>
      <c r="AK1987" t="s">
        <v>375</v>
      </c>
      <c r="AL1987" t="s">
        <v>3105</v>
      </c>
      <c r="AM1987" s="4">
        <v>0.92361111111111116</v>
      </c>
      <c r="AN1987" t="s">
        <v>66</v>
      </c>
      <c r="AO1987" t="s">
        <v>67</v>
      </c>
    </row>
    <row r="1988" spans="1:41" x14ac:dyDescent="0.2">
      <c r="A1988">
        <v>327355</v>
      </c>
      <c r="B1988" t="s">
        <v>13143</v>
      </c>
      <c r="C1988" t="s">
        <v>167</v>
      </c>
      <c r="D1988" t="s">
        <v>11233</v>
      </c>
      <c r="E1988">
        <v>32698760</v>
      </c>
      <c r="G1988" s="1">
        <v>43039</v>
      </c>
      <c r="H1988" s="1">
        <v>43692</v>
      </c>
      <c r="J1988" t="s">
        <v>326</v>
      </c>
      <c r="K1988" t="s">
        <v>326</v>
      </c>
      <c r="L1988" t="s">
        <v>72</v>
      </c>
      <c r="N1988" t="s">
        <v>89</v>
      </c>
      <c r="O1988" t="s">
        <v>121</v>
      </c>
      <c r="P1988" t="s">
        <v>1752</v>
      </c>
      <c r="Q1988" t="s">
        <v>13144</v>
      </c>
      <c r="R1988" t="s">
        <v>13145</v>
      </c>
      <c r="S1988">
        <v>1600</v>
      </c>
      <c r="T1988" t="s">
        <v>3098</v>
      </c>
      <c r="W1988" t="s">
        <v>3099</v>
      </c>
      <c r="X1988" t="s">
        <v>3098</v>
      </c>
      <c r="Y1988" t="s">
        <v>642</v>
      </c>
      <c r="Z1988">
        <v>4326</v>
      </c>
      <c r="AA1988">
        <v>71</v>
      </c>
      <c r="AB1988">
        <v>160</v>
      </c>
      <c r="AC1988" t="s">
        <v>646</v>
      </c>
      <c r="AD1988" t="s">
        <v>3100</v>
      </c>
      <c r="AE1988" t="s">
        <v>3101</v>
      </c>
      <c r="AF1988" t="s">
        <v>13139</v>
      </c>
      <c r="AG1988" t="s">
        <v>13140</v>
      </c>
      <c r="AH1988" t="s">
        <v>13141</v>
      </c>
      <c r="AI1988" t="s">
        <v>13146</v>
      </c>
      <c r="AJ1988" s="2">
        <v>44435.711550925924</v>
      </c>
      <c r="AK1988" t="s">
        <v>646</v>
      </c>
      <c r="AL1988" t="s">
        <v>3105</v>
      </c>
      <c r="AM1988" s="4">
        <v>0.90972222222222221</v>
      </c>
      <c r="AN1988" t="s">
        <v>66</v>
      </c>
      <c r="AO1988" t="s">
        <v>67</v>
      </c>
    </row>
    <row r="1989" spans="1:41" x14ac:dyDescent="0.2">
      <c r="A1989">
        <v>362870</v>
      </c>
      <c r="B1989" t="s">
        <v>13147</v>
      </c>
      <c r="C1989" t="s">
        <v>69</v>
      </c>
      <c r="D1989" t="s">
        <v>6123</v>
      </c>
      <c r="E1989" t="s">
        <v>13148</v>
      </c>
      <c r="G1989" s="1">
        <v>42263</v>
      </c>
      <c r="H1989" s="1">
        <v>45497</v>
      </c>
      <c r="J1989" t="s">
        <v>326</v>
      </c>
      <c r="K1989" t="s">
        <v>326</v>
      </c>
      <c r="L1989" t="s">
        <v>72</v>
      </c>
      <c r="M1989" s="1">
        <v>43769</v>
      </c>
      <c r="N1989" t="s">
        <v>47</v>
      </c>
      <c r="O1989" t="s">
        <v>121</v>
      </c>
      <c r="P1989" t="s">
        <v>1752</v>
      </c>
      <c r="Q1989" t="s">
        <v>13149</v>
      </c>
      <c r="R1989" t="s">
        <v>13150</v>
      </c>
      <c r="S1989">
        <v>3416</v>
      </c>
      <c r="T1989" t="s">
        <v>3098</v>
      </c>
      <c r="W1989" t="s">
        <v>3099</v>
      </c>
      <c r="X1989" t="s">
        <v>3098</v>
      </c>
      <c r="Y1989" t="s">
        <v>642</v>
      </c>
      <c r="Z1989">
        <v>4346</v>
      </c>
      <c r="AA1989">
        <v>59</v>
      </c>
      <c r="AB1989">
        <v>68</v>
      </c>
      <c r="AC1989" t="s">
        <v>646</v>
      </c>
      <c r="AD1989" t="s">
        <v>3100</v>
      </c>
      <c r="AE1989" t="s">
        <v>3101</v>
      </c>
      <c r="AF1989" t="s">
        <v>3102</v>
      </c>
      <c r="AG1989" t="s">
        <v>3103</v>
      </c>
      <c r="AH1989" t="s">
        <v>3101</v>
      </c>
      <c r="AI1989" t="s">
        <v>13151</v>
      </c>
      <c r="AJ1989" s="2">
        <v>45497.847638888888</v>
      </c>
      <c r="AK1989" t="s">
        <v>646</v>
      </c>
      <c r="AL1989" t="s">
        <v>1168</v>
      </c>
      <c r="AM1989" t="s">
        <v>13152</v>
      </c>
      <c r="AN1989" t="s">
        <v>66</v>
      </c>
      <c r="AO1989" t="s">
        <v>67</v>
      </c>
    </row>
    <row r="1990" spans="1:41" x14ac:dyDescent="0.2">
      <c r="A1990">
        <v>370370</v>
      </c>
      <c r="B1990" t="s">
        <v>13153</v>
      </c>
      <c r="C1990" t="s">
        <v>69</v>
      </c>
      <c r="D1990" t="s">
        <v>3081</v>
      </c>
      <c r="E1990" t="s">
        <v>13154</v>
      </c>
      <c r="G1990" s="1">
        <v>44336</v>
      </c>
      <c r="H1990" s="1">
        <v>45637</v>
      </c>
      <c r="J1990" t="s">
        <v>45</v>
      </c>
      <c r="K1990" t="s">
        <v>326</v>
      </c>
      <c r="L1990" t="s">
        <v>72</v>
      </c>
      <c r="M1990" s="1">
        <v>45637</v>
      </c>
      <c r="N1990" t="s">
        <v>47</v>
      </c>
      <c r="O1990" t="s">
        <v>121</v>
      </c>
      <c r="P1990" t="s">
        <v>1752</v>
      </c>
      <c r="Q1990" t="s">
        <v>13155</v>
      </c>
      <c r="R1990" t="s">
        <v>13156</v>
      </c>
      <c r="S1990">
        <v>4291</v>
      </c>
      <c r="T1990" t="s">
        <v>3098</v>
      </c>
      <c r="W1990" t="s">
        <v>3099</v>
      </c>
      <c r="X1990" t="s">
        <v>3098</v>
      </c>
      <c r="Y1990" t="s">
        <v>642</v>
      </c>
      <c r="Z1990">
        <v>4347</v>
      </c>
      <c r="AA1990">
        <v>70</v>
      </c>
      <c r="AB1990">
        <v>68</v>
      </c>
      <c r="AC1990" t="s">
        <v>646</v>
      </c>
      <c r="AD1990" t="s">
        <v>3100</v>
      </c>
      <c r="AE1990" t="s">
        <v>3101</v>
      </c>
      <c r="AI1990" t="s">
        <v>13157</v>
      </c>
      <c r="AJ1990" s="2">
        <v>45772.589328703703</v>
      </c>
      <c r="AK1990" t="s">
        <v>646</v>
      </c>
      <c r="AL1990" t="s">
        <v>3105</v>
      </c>
      <c r="AM1990" t="s">
        <v>13158</v>
      </c>
      <c r="AN1990" t="s">
        <v>66</v>
      </c>
      <c r="AO1990" t="s">
        <v>67</v>
      </c>
    </row>
    <row r="1991" spans="1:41" x14ac:dyDescent="0.2">
      <c r="A1991">
        <v>370670</v>
      </c>
      <c r="B1991" t="s">
        <v>13159</v>
      </c>
      <c r="C1991" t="s">
        <v>118</v>
      </c>
      <c r="D1991" t="s">
        <v>4293</v>
      </c>
      <c r="E1991" t="s">
        <v>13160</v>
      </c>
      <c r="G1991" s="1">
        <v>44602</v>
      </c>
      <c r="H1991" s="1">
        <v>41926</v>
      </c>
      <c r="J1991" t="s">
        <v>326</v>
      </c>
      <c r="K1991" t="s">
        <v>326</v>
      </c>
      <c r="L1991" t="s">
        <v>72</v>
      </c>
      <c r="N1991" t="s">
        <v>47</v>
      </c>
      <c r="O1991" t="s">
        <v>121</v>
      </c>
      <c r="P1991" t="s">
        <v>1752</v>
      </c>
      <c r="Q1991" t="s">
        <v>13161</v>
      </c>
      <c r="R1991" t="s">
        <v>13162</v>
      </c>
      <c r="S1991">
        <v>4147</v>
      </c>
      <c r="T1991" t="s">
        <v>3098</v>
      </c>
      <c r="W1991" t="s">
        <v>3099</v>
      </c>
      <c r="X1991" t="s">
        <v>3098</v>
      </c>
      <c r="Y1991" t="s">
        <v>642</v>
      </c>
      <c r="Z1991">
        <v>4387</v>
      </c>
      <c r="AA1991">
        <v>95</v>
      </c>
      <c r="AB1991">
        <v>68</v>
      </c>
      <c r="AC1991" t="s">
        <v>646</v>
      </c>
      <c r="AD1991" t="s">
        <v>3100</v>
      </c>
      <c r="AE1991" t="s">
        <v>3101</v>
      </c>
      <c r="AF1991" t="s">
        <v>13131</v>
      </c>
      <c r="AG1991" t="s">
        <v>13132</v>
      </c>
      <c r="AH1991" t="s">
        <v>13163</v>
      </c>
      <c r="AI1991" t="s">
        <v>13164</v>
      </c>
      <c r="AJ1991" s="2">
        <v>45782.945138888892</v>
      </c>
      <c r="AK1991" t="s">
        <v>375</v>
      </c>
      <c r="AL1991" t="s">
        <v>3105</v>
      </c>
      <c r="AM1991" t="s">
        <v>13165</v>
      </c>
      <c r="AN1991" t="s">
        <v>66</v>
      </c>
      <c r="AO1991" t="s">
        <v>67</v>
      </c>
    </row>
    <row r="1992" spans="1:41" x14ac:dyDescent="0.2">
      <c r="A1992">
        <v>370671</v>
      </c>
      <c r="B1992" t="s">
        <v>13166</v>
      </c>
      <c r="C1992" t="s">
        <v>118</v>
      </c>
      <c r="D1992" t="s">
        <v>4293</v>
      </c>
      <c r="E1992" t="s">
        <v>13167</v>
      </c>
      <c r="G1992" s="1">
        <v>44685</v>
      </c>
      <c r="H1992" s="1">
        <v>42495</v>
      </c>
      <c r="J1992" t="s">
        <v>326</v>
      </c>
      <c r="K1992" t="s">
        <v>72</v>
      </c>
      <c r="L1992" t="s">
        <v>72</v>
      </c>
      <c r="N1992" t="s">
        <v>89</v>
      </c>
      <c r="O1992" t="s">
        <v>121</v>
      </c>
      <c r="P1992" t="s">
        <v>1752</v>
      </c>
      <c r="Q1992" t="s">
        <v>13168</v>
      </c>
      <c r="R1992" t="s">
        <v>13169</v>
      </c>
      <c r="S1992">
        <v>4032</v>
      </c>
      <c r="T1992" t="s">
        <v>3098</v>
      </c>
      <c r="W1992" t="s">
        <v>3099</v>
      </c>
      <c r="X1992" t="s">
        <v>3098</v>
      </c>
      <c r="Y1992" t="s">
        <v>642</v>
      </c>
      <c r="Z1992">
        <v>4406</v>
      </c>
      <c r="AA1992">
        <v>61</v>
      </c>
      <c r="AB1992">
        <v>160</v>
      </c>
      <c r="AC1992" t="s">
        <v>646</v>
      </c>
      <c r="AD1992" t="s">
        <v>3100</v>
      </c>
      <c r="AE1992" t="s">
        <v>13094</v>
      </c>
      <c r="AF1992" t="s">
        <v>13131</v>
      </c>
      <c r="AG1992" t="s">
        <v>13132</v>
      </c>
      <c r="AH1992" t="s">
        <v>13133</v>
      </c>
      <c r="AI1992" t="s">
        <v>13170</v>
      </c>
      <c r="AJ1992" s="2">
        <v>45782.946296296293</v>
      </c>
      <c r="AK1992" t="s">
        <v>375</v>
      </c>
      <c r="AL1992" t="s">
        <v>3105</v>
      </c>
      <c r="AM1992" s="3">
        <v>1.0138888888888888</v>
      </c>
      <c r="AN1992" t="s">
        <v>66</v>
      </c>
      <c r="AO1992" t="s">
        <v>67</v>
      </c>
    </row>
    <row r="1993" spans="1:41" x14ac:dyDescent="0.2">
      <c r="A1993">
        <v>372228</v>
      </c>
      <c r="B1993" t="s">
        <v>13171</v>
      </c>
      <c r="C1993" t="s">
        <v>69</v>
      </c>
      <c r="D1993" t="s">
        <v>3054</v>
      </c>
      <c r="E1993" t="s">
        <v>13172</v>
      </c>
      <c r="G1993" s="1">
        <v>41876</v>
      </c>
      <c r="H1993" s="1">
        <v>45832</v>
      </c>
      <c r="J1993" t="s">
        <v>45</v>
      </c>
      <c r="K1993" t="s">
        <v>326</v>
      </c>
      <c r="L1993" t="s">
        <v>4306</v>
      </c>
      <c r="M1993" s="1">
        <v>43692</v>
      </c>
      <c r="N1993" t="s">
        <v>47</v>
      </c>
      <c r="O1993" t="s">
        <v>121</v>
      </c>
      <c r="P1993" t="s">
        <v>1752</v>
      </c>
      <c r="Q1993" t="s">
        <v>13173</v>
      </c>
      <c r="R1993" t="s">
        <v>13174</v>
      </c>
      <c r="S1993">
        <v>4842</v>
      </c>
      <c r="T1993" t="s">
        <v>3098</v>
      </c>
      <c r="W1993" t="s">
        <v>3099</v>
      </c>
      <c r="X1993" t="s">
        <v>3098</v>
      </c>
      <c r="Y1993" t="s">
        <v>642</v>
      </c>
      <c r="Z1993">
        <v>4407</v>
      </c>
      <c r="AA1993">
        <v>60</v>
      </c>
      <c r="AB1993">
        <v>68</v>
      </c>
      <c r="AC1993" t="s">
        <v>646</v>
      </c>
      <c r="AD1993" t="s">
        <v>3100</v>
      </c>
      <c r="AE1993" t="s">
        <v>13115</v>
      </c>
      <c r="AF1993" t="s">
        <v>13175</v>
      </c>
      <c r="AG1993" t="s">
        <v>13151</v>
      </c>
      <c r="AH1993" t="s">
        <v>13094</v>
      </c>
      <c r="AI1993" t="s">
        <v>13176</v>
      </c>
      <c r="AJ1993" s="2">
        <v>45834.762280092589</v>
      </c>
      <c r="AK1993" t="s">
        <v>375</v>
      </c>
      <c r="AL1993" t="s">
        <v>3105</v>
      </c>
      <c r="AM1993" t="s">
        <v>13177</v>
      </c>
      <c r="AN1993" t="s">
        <v>66</v>
      </c>
      <c r="AO1993" t="s">
        <v>67</v>
      </c>
    </row>
    <row r="1994" spans="1:41" x14ac:dyDescent="0.2">
      <c r="A1994">
        <v>373053</v>
      </c>
      <c r="B1994" t="s">
        <v>13178</v>
      </c>
      <c r="C1994" t="s">
        <v>69</v>
      </c>
      <c r="D1994" t="s">
        <v>7458</v>
      </c>
      <c r="E1994" t="s">
        <v>13179</v>
      </c>
      <c r="F1994">
        <v>100423</v>
      </c>
      <c r="G1994" s="1">
        <v>37877</v>
      </c>
      <c r="H1994" s="1">
        <v>45855</v>
      </c>
      <c r="I1994" s="1">
        <v>46204</v>
      </c>
      <c r="J1994" t="s">
        <v>45</v>
      </c>
      <c r="K1994" t="s">
        <v>45</v>
      </c>
      <c r="L1994" t="s">
        <v>72</v>
      </c>
      <c r="M1994" s="1">
        <v>44047</v>
      </c>
      <c r="N1994" t="s">
        <v>47</v>
      </c>
      <c r="O1994" t="s">
        <v>48</v>
      </c>
      <c r="P1994" t="s">
        <v>49</v>
      </c>
      <c r="Q1994" t="s">
        <v>13180</v>
      </c>
      <c r="R1994" t="s">
        <v>13181</v>
      </c>
      <c r="S1994">
        <v>4000</v>
      </c>
      <c r="T1994" t="s">
        <v>52</v>
      </c>
      <c r="U1994">
        <v>1</v>
      </c>
      <c r="V1994" t="s">
        <v>3148</v>
      </c>
      <c r="W1994" t="s">
        <v>54</v>
      </c>
      <c r="X1994" t="s">
        <v>76</v>
      </c>
      <c r="Y1994" t="s">
        <v>56</v>
      </c>
      <c r="Z1994">
        <v>564</v>
      </c>
      <c r="AA1994">
        <v>67</v>
      </c>
      <c r="AB1994">
        <v>146</v>
      </c>
      <c r="AC1994" t="s">
        <v>3149</v>
      </c>
      <c r="AD1994" t="s">
        <v>4665</v>
      </c>
      <c r="AE1994" t="s">
        <v>3151</v>
      </c>
      <c r="AI1994" t="s">
        <v>179</v>
      </c>
      <c r="AJ1994" s="2">
        <v>45856.155115740738</v>
      </c>
      <c r="AK1994" t="s">
        <v>568</v>
      </c>
      <c r="AL1994" t="s">
        <v>65</v>
      </c>
      <c r="AM1994" s="4">
        <v>0.34027777777777779</v>
      </c>
      <c r="AN1994" t="s">
        <v>66</v>
      </c>
      <c r="AO1994" t="s">
        <v>67</v>
      </c>
    </row>
    <row r="1995" spans="1:41" x14ac:dyDescent="0.2">
      <c r="A1995">
        <v>361530</v>
      </c>
      <c r="B1995" t="s">
        <v>13182</v>
      </c>
      <c r="C1995" t="s">
        <v>345</v>
      </c>
      <c r="D1995" t="s">
        <v>2607</v>
      </c>
      <c r="E1995" t="s">
        <v>13183</v>
      </c>
      <c r="F1995">
        <v>53807</v>
      </c>
      <c r="G1995" s="1">
        <v>35936</v>
      </c>
      <c r="H1995" s="1">
        <v>45447</v>
      </c>
      <c r="I1995" s="1">
        <v>46113</v>
      </c>
      <c r="J1995" t="s">
        <v>45</v>
      </c>
      <c r="K1995" t="s">
        <v>45</v>
      </c>
      <c r="L1995" t="s">
        <v>429</v>
      </c>
      <c r="M1995" s="1">
        <v>39285</v>
      </c>
      <c r="N1995" t="s">
        <v>47</v>
      </c>
      <c r="O1995" t="s">
        <v>48</v>
      </c>
      <c r="P1995" t="s">
        <v>49</v>
      </c>
      <c r="Q1995" t="s">
        <v>13184</v>
      </c>
      <c r="R1995" t="s">
        <v>13185</v>
      </c>
      <c r="S1995">
        <v>5884</v>
      </c>
      <c r="T1995" t="s">
        <v>365</v>
      </c>
      <c r="U1995" t="s">
        <v>432</v>
      </c>
      <c r="V1995" t="s">
        <v>2611</v>
      </c>
      <c r="W1995" t="s">
        <v>367</v>
      </c>
      <c r="X1995" t="s">
        <v>55</v>
      </c>
      <c r="Y1995" t="s">
        <v>434</v>
      </c>
      <c r="Z1995">
        <v>1439</v>
      </c>
      <c r="AA1995">
        <v>54</v>
      </c>
      <c r="AB1995">
        <v>66</v>
      </c>
      <c r="AC1995" t="s">
        <v>2612</v>
      </c>
      <c r="AD1995" t="s">
        <v>2613</v>
      </c>
      <c r="AE1995" t="s">
        <v>13186</v>
      </c>
      <c r="AF1995" t="s">
        <v>2612</v>
      </c>
      <c r="AG1995" t="s">
        <v>2613</v>
      </c>
      <c r="AH1995" t="s">
        <v>2614</v>
      </c>
      <c r="AI1995" t="s">
        <v>179</v>
      </c>
      <c r="AJ1995" s="2">
        <v>45455.951203703706</v>
      </c>
      <c r="AK1995" t="s">
        <v>609</v>
      </c>
      <c r="AL1995" t="s">
        <v>65</v>
      </c>
      <c r="AM1995" s="3">
        <v>2.4166666666666665</v>
      </c>
      <c r="AN1995" t="s">
        <v>66</v>
      </c>
      <c r="AO1995" t="s">
        <v>67</v>
      </c>
    </row>
    <row r="1996" spans="1:41" x14ac:dyDescent="0.2">
      <c r="A1996">
        <v>372010</v>
      </c>
      <c r="B1996" t="s">
        <v>13187</v>
      </c>
      <c r="C1996" t="s">
        <v>7022</v>
      </c>
      <c r="D1996" t="s">
        <v>12550</v>
      </c>
      <c r="E1996">
        <v>83782268</v>
      </c>
      <c r="F1996">
        <v>430402</v>
      </c>
      <c r="G1996" s="1">
        <v>37826</v>
      </c>
      <c r="H1996" s="1">
        <v>45826</v>
      </c>
      <c r="I1996" s="1">
        <v>46127</v>
      </c>
      <c r="J1996" t="s">
        <v>45</v>
      </c>
      <c r="K1996" t="s">
        <v>326</v>
      </c>
      <c r="L1996" t="s">
        <v>72</v>
      </c>
      <c r="M1996" s="1">
        <v>45583</v>
      </c>
      <c r="N1996" t="s">
        <v>47</v>
      </c>
      <c r="O1996" t="s">
        <v>48</v>
      </c>
      <c r="P1996" t="s">
        <v>49</v>
      </c>
      <c r="Q1996" t="s">
        <v>13188</v>
      </c>
      <c r="R1996" t="s">
        <v>13189</v>
      </c>
      <c r="S1996">
        <v>1245</v>
      </c>
      <c r="T1996" t="s">
        <v>92</v>
      </c>
      <c r="U1996" t="s">
        <v>12829</v>
      </c>
      <c r="V1996" t="s">
        <v>12811</v>
      </c>
      <c r="W1996" t="s">
        <v>12812</v>
      </c>
      <c r="X1996" t="s">
        <v>92</v>
      </c>
      <c r="Y1996" t="s">
        <v>110</v>
      </c>
      <c r="Z1996">
        <v>2322</v>
      </c>
      <c r="AA1996">
        <v>41</v>
      </c>
      <c r="AB1996">
        <v>158</v>
      </c>
      <c r="AC1996" t="s">
        <v>13190</v>
      </c>
      <c r="AD1996" t="s">
        <v>7028</v>
      </c>
      <c r="AE1996" t="s">
        <v>7029</v>
      </c>
      <c r="AF1996" t="s">
        <v>7030</v>
      </c>
      <c r="AG1996" t="s">
        <v>7031</v>
      </c>
      <c r="AH1996" t="s">
        <v>7032</v>
      </c>
      <c r="AI1996" t="s">
        <v>7033</v>
      </c>
      <c r="AJ1996" s="2">
        <v>45826.797256944446</v>
      </c>
      <c r="AK1996" t="s">
        <v>7027</v>
      </c>
      <c r="AL1996" t="s">
        <v>65</v>
      </c>
      <c r="AM1996" s="3">
        <v>1.0625</v>
      </c>
      <c r="AN1996" t="s">
        <v>66</v>
      </c>
      <c r="AO1996" t="s">
        <v>67</v>
      </c>
    </row>
    <row r="1997" spans="1:41" x14ac:dyDescent="0.2">
      <c r="A1997">
        <v>370688</v>
      </c>
      <c r="B1997" t="s">
        <v>13191</v>
      </c>
      <c r="C1997" t="s">
        <v>323</v>
      </c>
      <c r="E1997" t="s">
        <v>13192</v>
      </c>
      <c r="G1997" s="1">
        <v>42241</v>
      </c>
      <c r="H1997" s="1">
        <v>45453</v>
      </c>
      <c r="J1997" t="s">
        <v>326</v>
      </c>
      <c r="K1997" t="s">
        <v>326</v>
      </c>
      <c r="L1997" t="s">
        <v>72</v>
      </c>
      <c r="N1997" t="s">
        <v>47</v>
      </c>
      <c r="O1997" t="s">
        <v>48</v>
      </c>
      <c r="P1997" t="s">
        <v>406</v>
      </c>
      <c r="Q1997" t="s">
        <v>13193</v>
      </c>
      <c r="R1997" t="s">
        <v>13194</v>
      </c>
      <c r="S1997">
        <v>15</v>
      </c>
      <c r="T1997" t="s">
        <v>257</v>
      </c>
      <c r="U1997" t="s">
        <v>329</v>
      </c>
      <c r="V1997" t="s">
        <v>3302</v>
      </c>
      <c r="W1997" t="s">
        <v>3303</v>
      </c>
      <c r="X1997" t="s">
        <v>3098</v>
      </c>
      <c r="Y1997" t="s">
        <v>410</v>
      </c>
      <c r="Z1997">
        <v>7647</v>
      </c>
      <c r="AA1997">
        <v>29</v>
      </c>
      <c r="AB1997">
        <v>108</v>
      </c>
      <c r="AC1997" t="s">
        <v>3304</v>
      </c>
      <c r="AD1997" t="s">
        <v>3305</v>
      </c>
      <c r="AE1997" t="s">
        <v>5011</v>
      </c>
      <c r="AF1997" t="s">
        <v>3307</v>
      </c>
      <c r="AG1997" t="s">
        <v>3308</v>
      </c>
      <c r="AH1997" t="s">
        <v>3309</v>
      </c>
      <c r="AI1997" t="s">
        <v>5012</v>
      </c>
      <c r="AJ1997" s="2">
        <v>45782.988553240742</v>
      </c>
      <c r="AK1997" t="s">
        <v>3304</v>
      </c>
      <c r="AL1997" t="s">
        <v>1168</v>
      </c>
      <c r="AM1997" s="3">
        <v>1.0486111111111112</v>
      </c>
      <c r="AN1997" t="s">
        <v>66</v>
      </c>
      <c r="AO1997" t="s">
        <v>67</v>
      </c>
    </row>
    <row r="1998" spans="1:41" x14ac:dyDescent="0.2">
      <c r="A1998">
        <v>370689</v>
      </c>
      <c r="B1998" t="s">
        <v>13195</v>
      </c>
      <c r="C1998" t="s">
        <v>323</v>
      </c>
      <c r="E1998" t="s">
        <v>13196</v>
      </c>
      <c r="G1998" s="1">
        <v>42577</v>
      </c>
      <c r="H1998" s="1">
        <v>45453</v>
      </c>
      <c r="J1998" t="s">
        <v>326</v>
      </c>
      <c r="K1998" t="s">
        <v>326</v>
      </c>
      <c r="L1998" t="s">
        <v>72</v>
      </c>
      <c r="N1998" t="s">
        <v>47</v>
      </c>
      <c r="O1998" t="s">
        <v>48</v>
      </c>
      <c r="P1998" t="s">
        <v>406</v>
      </c>
      <c r="Q1998" t="s">
        <v>13197</v>
      </c>
      <c r="R1998" t="s">
        <v>13198</v>
      </c>
      <c r="S1998">
        <v>941</v>
      </c>
      <c r="T1998" t="s">
        <v>257</v>
      </c>
      <c r="U1998" t="s">
        <v>329</v>
      </c>
      <c r="V1998" t="s">
        <v>3302</v>
      </c>
      <c r="W1998" t="s">
        <v>3303</v>
      </c>
      <c r="X1998" t="s">
        <v>257</v>
      </c>
      <c r="Y1998" t="s">
        <v>410</v>
      </c>
      <c r="Z1998">
        <v>8487</v>
      </c>
      <c r="AA1998">
        <v>25</v>
      </c>
      <c r="AB1998">
        <v>108</v>
      </c>
      <c r="AC1998" t="s">
        <v>3304</v>
      </c>
      <c r="AD1998" t="s">
        <v>3305</v>
      </c>
      <c r="AE1998" t="s">
        <v>5011</v>
      </c>
      <c r="AF1998" t="s">
        <v>3307</v>
      </c>
      <c r="AG1998" t="s">
        <v>3308</v>
      </c>
      <c r="AH1998" t="s">
        <v>3309</v>
      </c>
      <c r="AI1998" t="s">
        <v>5012</v>
      </c>
      <c r="AJ1998" s="2">
        <v>45782.993587962963</v>
      </c>
      <c r="AK1998" t="s">
        <v>3304</v>
      </c>
      <c r="AL1998" t="s">
        <v>1168</v>
      </c>
      <c r="AM1998" s="3">
        <v>1.0555555555555556</v>
      </c>
      <c r="AN1998" t="s">
        <v>66</v>
      </c>
      <c r="AO1998" t="s">
        <v>67</v>
      </c>
    </row>
    <row r="1999" spans="1:41" x14ac:dyDescent="0.2">
      <c r="A1999">
        <v>356547</v>
      </c>
      <c r="B1999" t="s">
        <v>13199</v>
      </c>
      <c r="C1999" t="s">
        <v>69</v>
      </c>
      <c r="D1999" t="s">
        <v>3081</v>
      </c>
      <c r="E1999" t="s">
        <v>13200</v>
      </c>
      <c r="G1999" s="1">
        <v>42261</v>
      </c>
      <c r="H1999" s="1">
        <v>44489</v>
      </c>
      <c r="J1999" t="s">
        <v>326</v>
      </c>
      <c r="K1999" t="s">
        <v>72</v>
      </c>
      <c r="L1999" t="s">
        <v>72</v>
      </c>
      <c r="M1999" s="1">
        <v>43680</v>
      </c>
      <c r="N1999" t="s">
        <v>47</v>
      </c>
      <c r="O1999" t="s">
        <v>48</v>
      </c>
      <c r="P1999" t="s">
        <v>1752</v>
      </c>
      <c r="Q1999" t="s">
        <v>13201</v>
      </c>
      <c r="R1999" t="s">
        <v>13202</v>
      </c>
      <c r="S1999">
        <v>5017</v>
      </c>
      <c r="T1999" t="s">
        <v>3098</v>
      </c>
      <c r="W1999" t="s">
        <v>3099</v>
      </c>
      <c r="X1999" t="s">
        <v>3098</v>
      </c>
      <c r="Y1999" t="s">
        <v>642</v>
      </c>
      <c r="Z1999">
        <v>7686</v>
      </c>
      <c r="AA1999">
        <v>15</v>
      </c>
      <c r="AB1999">
        <v>28</v>
      </c>
      <c r="AC1999" t="s">
        <v>646</v>
      </c>
      <c r="AD1999" t="s">
        <v>3100</v>
      </c>
      <c r="AE1999" t="s">
        <v>3101</v>
      </c>
      <c r="AF1999" t="s">
        <v>3102</v>
      </c>
      <c r="AG1999" t="s">
        <v>3103</v>
      </c>
      <c r="AH1999" t="s">
        <v>3101</v>
      </c>
      <c r="AI1999" t="s">
        <v>13203</v>
      </c>
      <c r="AJ1999" s="2">
        <v>45313.634166666663</v>
      </c>
      <c r="AK1999" t="s">
        <v>149</v>
      </c>
      <c r="AL1999" t="s">
        <v>5305</v>
      </c>
      <c r="AM1999" s="3">
        <v>1.9375</v>
      </c>
      <c r="AN1999" t="s">
        <v>66</v>
      </c>
      <c r="AO1999" t="s">
        <v>67</v>
      </c>
    </row>
    <row r="2000" spans="1:41" x14ac:dyDescent="0.2">
      <c r="A2000">
        <v>370666</v>
      </c>
      <c r="B2000" t="s">
        <v>13204</v>
      </c>
      <c r="C2000" t="s">
        <v>69</v>
      </c>
      <c r="D2000" t="s">
        <v>3676</v>
      </c>
      <c r="E2000" t="s">
        <v>13205</v>
      </c>
      <c r="G2000" s="1">
        <v>45572</v>
      </c>
      <c r="H2000" s="1">
        <v>45664</v>
      </c>
      <c r="J2000" t="s">
        <v>326</v>
      </c>
      <c r="K2000" t="s">
        <v>326</v>
      </c>
      <c r="L2000" t="s">
        <v>72</v>
      </c>
      <c r="M2000" s="1">
        <v>44532</v>
      </c>
      <c r="N2000" t="s">
        <v>47</v>
      </c>
      <c r="O2000" t="s">
        <v>121</v>
      </c>
      <c r="P2000" t="s">
        <v>1752</v>
      </c>
      <c r="Q2000" t="s">
        <v>13206</v>
      </c>
      <c r="R2000" t="s">
        <v>13207</v>
      </c>
      <c r="S2000">
        <v>4445</v>
      </c>
      <c r="T2000" t="s">
        <v>3098</v>
      </c>
      <c r="W2000" t="s">
        <v>3099</v>
      </c>
      <c r="X2000" t="s">
        <v>3098</v>
      </c>
      <c r="Y2000" t="s">
        <v>410</v>
      </c>
      <c r="Z2000">
        <v>2797</v>
      </c>
      <c r="AA2000">
        <v>45</v>
      </c>
      <c r="AB2000">
        <v>160</v>
      </c>
      <c r="AC2000" t="s">
        <v>646</v>
      </c>
      <c r="AD2000" t="s">
        <v>3100</v>
      </c>
      <c r="AE2000" t="s">
        <v>3101</v>
      </c>
      <c r="AF2000" t="s">
        <v>13208</v>
      </c>
      <c r="AG2000" t="s">
        <v>13209</v>
      </c>
      <c r="AH2000" t="s">
        <v>13077</v>
      </c>
      <c r="AI2000" t="s">
        <v>13210</v>
      </c>
      <c r="AJ2000" s="2">
        <v>45782.894432870373</v>
      </c>
      <c r="AK2000" t="s">
        <v>375</v>
      </c>
      <c r="AL2000" t="s">
        <v>5305</v>
      </c>
      <c r="AM2000" s="3">
        <v>1.0972222222222223</v>
      </c>
      <c r="AN2000" t="s">
        <v>66</v>
      </c>
      <c r="AO2000" t="s">
        <v>67</v>
      </c>
    </row>
    <row r="2001" spans="1:41" x14ac:dyDescent="0.2">
      <c r="A2001">
        <v>370381</v>
      </c>
      <c r="B2001" t="s">
        <v>13211</v>
      </c>
      <c r="C2001" t="s">
        <v>69</v>
      </c>
      <c r="D2001" t="s">
        <v>3081</v>
      </c>
      <c r="E2001" t="s">
        <v>13212</v>
      </c>
      <c r="F2001">
        <v>41298</v>
      </c>
      <c r="G2001" s="1">
        <v>43634</v>
      </c>
      <c r="H2001" s="1">
        <v>44456</v>
      </c>
      <c r="J2001" t="s">
        <v>326</v>
      </c>
      <c r="K2001" t="s">
        <v>326</v>
      </c>
      <c r="L2001" t="s">
        <v>72</v>
      </c>
      <c r="M2001" s="1">
        <v>44120</v>
      </c>
      <c r="N2001" t="s">
        <v>89</v>
      </c>
      <c r="O2001" t="s">
        <v>121</v>
      </c>
      <c r="P2001" t="s">
        <v>1752</v>
      </c>
      <c r="Q2001" t="s">
        <v>13213</v>
      </c>
      <c r="R2001" t="s">
        <v>13214</v>
      </c>
      <c r="S2001">
        <v>2710</v>
      </c>
      <c r="T2001" t="s">
        <v>3098</v>
      </c>
      <c r="W2001" t="s">
        <v>3099</v>
      </c>
      <c r="X2001" t="s">
        <v>3098</v>
      </c>
      <c r="Y2001" t="s">
        <v>410</v>
      </c>
      <c r="Z2001">
        <v>2798</v>
      </c>
      <c r="AA2001">
        <v>45</v>
      </c>
      <c r="AB2001">
        <v>160</v>
      </c>
      <c r="AC2001" t="s">
        <v>646</v>
      </c>
      <c r="AD2001" t="s">
        <v>3100</v>
      </c>
      <c r="AE2001" t="s">
        <v>3101</v>
      </c>
      <c r="AF2001" t="s">
        <v>3102</v>
      </c>
      <c r="AG2001" t="s">
        <v>3103</v>
      </c>
      <c r="AH2001" t="s">
        <v>3101</v>
      </c>
      <c r="AI2001" t="s">
        <v>13203</v>
      </c>
      <c r="AJ2001" s="2">
        <v>45772.759108796294</v>
      </c>
      <c r="AK2001" t="s">
        <v>100</v>
      </c>
      <c r="AL2001" t="s">
        <v>5305</v>
      </c>
      <c r="AM2001" s="3">
        <v>1.1041666666666667</v>
      </c>
      <c r="AN2001" t="s">
        <v>66</v>
      </c>
      <c r="AO2001" t="s">
        <v>67</v>
      </c>
    </row>
    <row r="2002" spans="1:41" x14ac:dyDescent="0.2">
      <c r="A2002">
        <v>366947</v>
      </c>
      <c r="B2002" t="s">
        <v>13215</v>
      </c>
      <c r="C2002" t="s">
        <v>69</v>
      </c>
      <c r="D2002" t="s">
        <v>3081</v>
      </c>
      <c r="E2002" t="s">
        <v>13216</v>
      </c>
      <c r="G2002" s="1">
        <v>44457</v>
      </c>
      <c r="H2002" s="1">
        <v>45602</v>
      </c>
      <c r="J2002" t="s">
        <v>72</v>
      </c>
      <c r="K2002" t="s">
        <v>72</v>
      </c>
      <c r="L2002" t="s">
        <v>72</v>
      </c>
      <c r="M2002" s="1">
        <v>45646</v>
      </c>
      <c r="N2002" t="s">
        <v>47</v>
      </c>
      <c r="O2002" t="s">
        <v>121</v>
      </c>
      <c r="P2002" t="s">
        <v>1752</v>
      </c>
      <c r="Q2002" t="s">
        <v>13213</v>
      </c>
      <c r="R2002" t="s">
        <v>13214</v>
      </c>
      <c r="S2002">
        <v>2710</v>
      </c>
      <c r="T2002" t="s">
        <v>3098</v>
      </c>
      <c r="W2002" t="s">
        <v>3099</v>
      </c>
      <c r="X2002" t="s">
        <v>3098</v>
      </c>
      <c r="Y2002" t="s">
        <v>410</v>
      </c>
      <c r="Z2002">
        <v>2858</v>
      </c>
      <c r="AA2002">
        <v>34</v>
      </c>
      <c r="AB2002">
        <v>144</v>
      </c>
      <c r="AC2002" t="s">
        <v>3102</v>
      </c>
      <c r="AD2002" t="s">
        <v>3103</v>
      </c>
      <c r="AE2002" t="s">
        <v>13217</v>
      </c>
      <c r="AI2002" t="s">
        <v>13218</v>
      </c>
      <c r="AJ2002" s="2">
        <v>45646.877939814818</v>
      </c>
      <c r="AK2002" t="s">
        <v>646</v>
      </c>
      <c r="AL2002" t="s">
        <v>5305</v>
      </c>
      <c r="AM2002" s="3">
        <v>2.2430555555555554</v>
      </c>
      <c r="AN2002" t="s">
        <v>66</v>
      </c>
      <c r="AO2002" t="s">
        <v>67</v>
      </c>
    </row>
    <row r="2003" spans="1:41" x14ac:dyDescent="0.2">
      <c r="A2003">
        <v>349655</v>
      </c>
      <c r="B2003" t="s">
        <v>13219</v>
      </c>
      <c r="C2003" t="s">
        <v>69</v>
      </c>
      <c r="D2003" t="s">
        <v>3081</v>
      </c>
      <c r="E2003" t="s">
        <v>13220</v>
      </c>
      <c r="G2003" s="1">
        <v>42965</v>
      </c>
      <c r="H2003" s="1">
        <v>45035</v>
      </c>
      <c r="J2003" t="s">
        <v>72</v>
      </c>
      <c r="K2003" t="s">
        <v>72</v>
      </c>
      <c r="L2003" t="s">
        <v>72</v>
      </c>
      <c r="M2003" s="1">
        <v>45035</v>
      </c>
      <c r="N2003" t="s">
        <v>89</v>
      </c>
      <c r="O2003" t="s">
        <v>121</v>
      </c>
      <c r="P2003" t="s">
        <v>1752</v>
      </c>
      <c r="Q2003" t="s">
        <v>3096</v>
      </c>
      <c r="R2003" t="s">
        <v>3097</v>
      </c>
      <c r="S2003">
        <v>2865</v>
      </c>
      <c r="T2003" t="s">
        <v>3098</v>
      </c>
      <c r="W2003" t="s">
        <v>3099</v>
      </c>
      <c r="X2003" t="s">
        <v>3098</v>
      </c>
      <c r="Y2003" t="s">
        <v>410</v>
      </c>
      <c r="Z2003">
        <v>2859</v>
      </c>
      <c r="AA2003">
        <v>18</v>
      </c>
      <c r="AB2003">
        <v>144</v>
      </c>
      <c r="AC2003" t="s">
        <v>3103</v>
      </c>
      <c r="AD2003" t="s">
        <v>3103</v>
      </c>
      <c r="AE2003" t="s">
        <v>13217</v>
      </c>
      <c r="AF2003" t="s">
        <v>646</v>
      </c>
      <c r="AG2003" t="s">
        <v>3100</v>
      </c>
      <c r="AI2003" t="s">
        <v>3103</v>
      </c>
      <c r="AJ2003" s="2">
        <v>45099.809560185182</v>
      </c>
      <c r="AK2003" t="s">
        <v>646</v>
      </c>
      <c r="AL2003" t="s">
        <v>5305</v>
      </c>
      <c r="AM2003" s="3">
        <v>2.25</v>
      </c>
      <c r="AN2003" t="s">
        <v>66</v>
      </c>
      <c r="AO2003" t="s">
        <v>67</v>
      </c>
    </row>
    <row r="2004" spans="1:41" x14ac:dyDescent="0.2">
      <c r="A2004">
        <v>356560</v>
      </c>
      <c r="B2004" t="s">
        <v>13221</v>
      </c>
      <c r="C2004" t="s">
        <v>69</v>
      </c>
      <c r="D2004" t="s">
        <v>3081</v>
      </c>
      <c r="E2004" t="s">
        <v>13222</v>
      </c>
      <c r="G2004" s="1">
        <v>41753</v>
      </c>
      <c r="H2004" s="1">
        <v>41769</v>
      </c>
      <c r="J2004" t="s">
        <v>326</v>
      </c>
      <c r="K2004" t="s">
        <v>326</v>
      </c>
      <c r="L2004" t="s">
        <v>72</v>
      </c>
      <c r="N2004" t="s">
        <v>89</v>
      </c>
      <c r="O2004" t="s">
        <v>121</v>
      </c>
      <c r="P2004" t="s">
        <v>406</v>
      </c>
      <c r="Q2004" t="s">
        <v>3096</v>
      </c>
      <c r="R2004" t="s">
        <v>3097</v>
      </c>
      <c r="S2004">
        <v>2992</v>
      </c>
      <c r="T2004" t="s">
        <v>3098</v>
      </c>
      <c r="W2004" t="s">
        <v>3099</v>
      </c>
      <c r="X2004" t="s">
        <v>3098</v>
      </c>
      <c r="Y2004" t="s">
        <v>410</v>
      </c>
      <c r="Z2004">
        <v>6906</v>
      </c>
      <c r="AA2004">
        <v>5</v>
      </c>
      <c r="AB2004">
        <v>166</v>
      </c>
      <c r="AC2004" t="s">
        <v>646</v>
      </c>
      <c r="AD2004" t="s">
        <v>3100</v>
      </c>
      <c r="AE2004" t="s">
        <v>13125</v>
      </c>
      <c r="AF2004" t="s">
        <v>3102</v>
      </c>
      <c r="AG2004" t="s">
        <v>3103</v>
      </c>
      <c r="AH2004" t="s">
        <v>13125</v>
      </c>
      <c r="AJ2004" s="2">
        <v>45313.63853009259</v>
      </c>
      <c r="AK2004" t="s">
        <v>149</v>
      </c>
      <c r="AL2004" t="s">
        <v>3105</v>
      </c>
      <c r="AM2004" s="3">
        <v>1.5069444444444444</v>
      </c>
      <c r="AN2004" t="s">
        <v>66</v>
      </c>
      <c r="AO2004" t="s">
        <v>67</v>
      </c>
    </row>
    <row r="2005" spans="1:41" x14ac:dyDescent="0.2">
      <c r="A2005">
        <v>364031</v>
      </c>
      <c r="B2005" t="s">
        <v>13223</v>
      </c>
      <c r="C2005" t="s">
        <v>412</v>
      </c>
      <c r="D2005" t="s">
        <v>6862</v>
      </c>
      <c r="E2005" t="s">
        <v>13224</v>
      </c>
      <c r="G2005" s="1">
        <v>44740</v>
      </c>
      <c r="H2005" s="1">
        <v>45482</v>
      </c>
      <c r="I2005" s="1">
        <v>46174</v>
      </c>
      <c r="J2005" t="s">
        <v>45</v>
      </c>
      <c r="K2005" t="s">
        <v>45</v>
      </c>
      <c r="L2005" t="s">
        <v>72</v>
      </c>
      <c r="M2005" s="1">
        <v>44741</v>
      </c>
      <c r="N2005" t="s">
        <v>89</v>
      </c>
      <c r="O2005" t="s">
        <v>121</v>
      </c>
      <c r="P2005" t="s">
        <v>49</v>
      </c>
      <c r="Q2005" t="s">
        <v>13225</v>
      </c>
      <c r="R2005" t="s">
        <v>13226</v>
      </c>
      <c r="S2005">
        <v>130</v>
      </c>
      <c r="T2005" t="s">
        <v>92</v>
      </c>
      <c r="U2005" t="s">
        <v>417</v>
      </c>
      <c r="V2005" t="s">
        <v>418</v>
      </c>
      <c r="W2005" t="s">
        <v>419</v>
      </c>
      <c r="X2005" t="s">
        <v>92</v>
      </c>
      <c r="Y2005" t="s">
        <v>110</v>
      </c>
      <c r="Z2005">
        <v>7126</v>
      </c>
      <c r="AA2005">
        <v>11</v>
      </c>
      <c r="AB2005">
        <v>45</v>
      </c>
      <c r="AC2005" t="s">
        <v>420</v>
      </c>
      <c r="AD2005" t="s">
        <v>421</v>
      </c>
      <c r="AE2005" t="s">
        <v>422</v>
      </c>
      <c r="AF2005" t="s">
        <v>13227</v>
      </c>
      <c r="AG2005" t="s">
        <v>13228</v>
      </c>
      <c r="AH2005" t="s">
        <v>13229</v>
      </c>
      <c r="AI2005" t="s">
        <v>13230</v>
      </c>
      <c r="AJ2005" s="2">
        <v>45531.624872685185</v>
      </c>
      <c r="AK2005" t="s">
        <v>420</v>
      </c>
      <c r="AL2005" t="s">
        <v>65</v>
      </c>
      <c r="AM2005" s="3">
        <v>2.2777777777777777</v>
      </c>
      <c r="AN2005" t="s">
        <v>66</v>
      </c>
      <c r="AO2005" t="s">
        <v>67</v>
      </c>
    </row>
    <row r="2006" spans="1:41" x14ac:dyDescent="0.2">
      <c r="A2006">
        <v>357463</v>
      </c>
      <c r="B2006" t="s">
        <v>13231</v>
      </c>
      <c r="C2006" t="s">
        <v>167</v>
      </c>
      <c r="D2006" t="s">
        <v>6941</v>
      </c>
      <c r="E2006" t="s">
        <v>13232</v>
      </c>
      <c r="J2006" t="s">
        <v>45</v>
      </c>
      <c r="K2006" t="s">
        <v>45</v>
      </c>
      <c r="L2006" t="s">
        <v>72</v>
      </c>
      <c r="N2006" t="s">
        <v>89</v>
      </c>
      <c r="O2006" t="s">
        <v>48</v>
      </c>
      <c r="P2006" t="s">
        <v>49</v>
      </c>
      <c r="Q2006" t="s">
        <v>13233</v>
      </c>
      <c r="R2006" t="s">
        <v>13234</v>
      </c>
      <c r="T2006" t="s">
        <v>449</v>
      </c>
      <c r="U2006" t="s">
        <v>3030</v>
      </c>
      <c r="V2006" t="s">
        <v>6945</v>
      </c>
      <c r="W2006" t="s">
        <v>6946</v>
      </c>
      <c r="X2006" t="s">
        <v>449</v>
      </c>
      <c r="Y2006" t="s">
        <v>96</v>
      </c>
      <c r="Z2006">
        <v>11367</v>
      </c>
      <c r="AA2006">
        <v>3</v>
      </c>
      <c r="AB2006">
        <v>210</v>
      </c>
      <c r="AC2006" t="s">
        <v>13235</v>
      </c>
      <c r="AD2006" t="s">
        <v>13236</v>
      </c>
      <c r="AE2006" t="s">
        <v>13237</v>
      </c>
      <c r="AJ2006" s="2">
        <v>45330.713449074072</v>
      </c>
      <c r="AK2006" t="s">
        <v>149</v>
      </c>
      <c r="AL2006" t="s">
        <v>65</v>
      </c>
      <c r="AM2006" s="4">
        <v>0.3125</v>
      </c>
      <c r="AN2006" t="s">
        <v>66</v>
      </c>
      <c r="AO2006" t="s">
        <v>67</v>
      </c>
    </row>
    <row r="2007" spans="1:41" x14ac:dyDescent="0.2">
      <c r="A2007">
        <v>372020</v>
      </c>
      <c r="B2007" t="s">
        <v>13238</v>
      </c>
      <c r="C2007" t="s">
        <v>309</v>
      </c>
      <c r="D2007" t="s">
        <v>6367</v>
      </c>
      <c r="E2007" t="s">
        <v>13239</v>
      </c>
      <c r="F2007">
        <v>499911</v>
      </c>
      <c r="G2007" s="1">
        <v>38952</v>
      </c>
      <c r="H2007" s="1">
        <v>45825</v>
      </c>
      <c r="I2007" s="1">
        <v>46188</v>
      </c>
      <c r="J2007" t="s">
        <v>45</v>
      </c>
      <c r="K2007" t="s">
        <v>45</v>
      </c>
      <c r="L2007" t="s">
        <v>72</v>
      </c>
      <c r="M2007" s="1">
        <v>45413</v>
      </c>
      <c r="N2007" t="s">
        <v>47</v>
      </c>
      <c r="O2007" t="s">
        <v>48</v>
      </c>
      <c r="P2007" t="s">
        <v>49</v>
      </c>
      <c r="Q2007" t="s">
        <v>13240</v>
      </c>
      <c r="R2007" t="s">
        <v>13241</v>
      </c>
      <c r="S2007">
        <v>1666</v>
      </c>
      <c r="T2007" t="s">
        <v>156</v>
      </c>
      <c r="U2007" t="s">
        <v>4608</v>
      </c>
      <c r="V2007" t="s">
        <v>13242</v>
      </c>
      <c r="W2007" t="s">
        <v>159</v>
      </c>
      <c r="X2007" t="s">
        <v>156</v>
      </c>
      <c r="Y2007" t="s">
        <v>110</v>
      </c>
      <c r="Z2007">
        <v>2845</v>
      </c>
      <c r="AA2007">
        <v>39</v>
      </c>
      <c r="AB2007">
        <v>158</v>
      </c>
      <c r="AC2007" t="s">
        <v>646</v>
      </c>
      <c r="AD2007" t="s">
        <v>8507</v>
      </c>
      <c r="AE2007" t="s">
        <v>648</v>
      </c>
      <c r="AF2007" t="s">
        <v>4613</v>
      </c>
      <c r="AG2007" t="s">
        <v>4614</v>
      </c>
      <c r="AH2007" t="s">
        <v>4615</v>
      </c>
      <c r="AJ2007" s="2">
        <v>45827.092233796298</v>
      </c>
      <c r="AK2007" t="s">
        <v>646</v>
      </c>
      <c r="AL2007" t="s">
        <v>65</v>
      </c>
      <c r="AM2007" s="3">
        <v>1.5277777777777777</v>
      </c>
      <c r="AN2007" t="s">
        <v>66</v>
      </c>
      <c r="AO2007" t="s">
        <v>67</v>
      </c>
    </row>
    <row r="2008" spans="1:41" x14ac:dyDescent="0.2">
      <c r="A2008">
        <v>368890</v>
      </c>
      <c r="B2008" t="s">
        <v>13243</v>
      </c>
      <c r="C2008" t="s">
        <v>182</v>
      </c>
      <c r="D2008" t="s">
        <v>4074</v>
      </c>
      <c r="E2008" t="s">
        <v>13244</v>
      </c>
      <c r="F2008">
        <v>44804</v>
      </c>
      <c r="G2008" s="1">
        <v>34456</v>
      </c>
      <c r="H2008" s="1">
        <v>45642</v>
      </c>
      <c r="I2008" s="1">
        <v>45915</v>
      </c>
      <c r="J2008" t="s">
        <v>45</v>
      </c>
      <c r="K2008" t="s">
        <v>45</v>
      </c>
      <c r="L2008" t="s">
        <v>429</v>
      </c>
      <c r="M2008" s="1">
        <v>39577</v>
      </c>
      <c r="N2008" t="s">
        <v>47</v>
      </c>
      <c r="O2008" t="s">
        <v>48</v>
      </c>
      <c r="P2008" t="s">
        <v>49</v>
      </c>
      <c r="Q2008" t="s">
        <v>13245</v>
      </c>
      <c r="R2008" t="s">
        <v>13246</v>
      </c>
      <c r="S2008">
        <v>4900</v>
      </c>
      <c r="T2008" t="s">
        <v>365</v>
      </c>
      <c r="U2008" t="s">
        <v>562</v>
      </c>
      <c r="V2008" t="s">
        <v>1980</v>
      </c>
      <c r="W2008" t="s">
        <v>367</v>
      </c>
      <c r="X2008" t="s">
        <v>493</v>
      </c>
      <c r="Y2008" t="s">
        <v>434</v>
      </c>
      <c r="Z2008">
        <v>897</v>
      </c>
      <c r="AA2008">
        <v>69</v>
      </c>
      <c r="AB2008">
        <v>142</v>
      </c>
      <c r="AC2008" t="s">
        <v>1981</v>
      </c>
      <c r="AD2008" t="s">
        <v>1982</v>
      </c>
      <c r="AE2008" t="s">
        <v>1983</v>
      </c>
      <c r="AI2008" t="s">
        <v>500</v>
      </c>
      <c r="AJ2008" s="2">
        <v>45722.893680555557</v>
      </c>
      <c r="AK2008" t="s">
        <v>501</v>
      </c>
      <c r="AL2008" t="s">
        <v>65</v>
      </c>
      <c r="AM2008" s="3">
        <v>1.7777777777777777</v>
      </c>
      <c r="AN2008" t="s">
        <v>66</v>
      </c>
      <c r="AO2008" t="s">
        <v>67</v>
      </c>
    </row>
    <row r="2009" spans="1:41" x14ac:dyDescent="0.2">
      <c r="A2009">
        <v>367307</v>
      </c>
      <c r="B2009" t="s">
        <v>13243</v>
      </c>
      <c r="C2009" t="s">
        <v>118</v>
      </c>
      <c r="D2009" t="s">
        <v>1410</v>
      </c>
      <c r="E2009" t="s">
        <v>13247</v>
      </c>
      <c r="F2009">
        <v>20219</v>
      </c>
      <c r="G2009" s="1">
        <v>33953</v>
      </c>
      <c r="H2009" s="1">
        <v>45670</v>
      </c>
      <c r="I2009" s="1">
        <v>45931</v>
      </c>
      <c r="J2009" t="s">
        <v>45</v>
      </c>
      <c r="K2009" t="s">
        <v>45</v>
      </c>
      <c r="L2009" t="s">
        <v>429</v>
      </c>
      <c r="M2009" s="1">
        <v>42271</v>
      </c>
      <c r="N2009" t="s">
        <v>47</v>
      </c>
      <c r="O2009" t="s">
        <v>48</v>
      </c>
      <c r="P2009" t="s">
        <v>49</v>
      </c>
      <c r="Q2009" t="s">
        <v>13248</v>
      </c>
      <c r="R2009" t="s">
        <v>13249</v>
      </c>
      <c r="S2009">
        <v>4804</v>
      </c>
      <c r="T2009" t="s">
        <v>52</v>
      </c>
      <c r="U2009">
        <v>3</v>
      </c>
      <c r="V2009" t="s">
        <v>5310</v>
      </c>
      <c r="W2009" t="s">
        <v>54</v>
      </c>
      <c r="X2009" t="s">
        <v>55</v>
      </c>
      <c r="Y2009" t="s">
        <v>56</v>
      </c>
      <c r="Z2009">
        <v>611</v>
      </c>
      <c r="AA2009">
        <v>44</v>
      </c>
      <c r="AB2009">
        <v>160</v>
      </c>
      <c r="AC2009" t="s">
        <v>5311</v>
      </c>
      <c r="AD2009" t="s">
        <v>5312</v>
      </c>
      <c r="AE2009" t="s">
        <v>5313</v>
      </c>
      <c r="AI2009" t="s">
        <v>1809</v>
      </c>
      <c r="AJ2009" s="2">
        <v>45671.590381944443</v>
      </c>
      <c r="AK2009" t="s">
        <v>64</v>
      </c>
      <c r="AL2009" t="s">
        <v>65</v>
      </c>
      <c r="AM2009" s="4">
        <v>0.125</v>
      </c>
      <c r="AN2009" t="s">
        <v>66</v>
      </c>
      <c r="AO2009" t="s">
        <v>67</v>
      </c>
    </row>
    <row r="2010" spans="1:41" x14ac:dyDescent="0.2">
      <c r="A2010">
        <v>371591</v>
      </c>
      <c r="B2010" t="s">
        <v>13250</v>
      </c>
      <c r="C2010" t="s">
        <v>42</v>
      </c>
      <c r="D2010" t="s">
        <v>43</v>
      </c>
      <c r="E2010" t="s">
        <v>13251</v>
      </c>
      <c r="F2010">
        <v>291402</v>
      </c>
      <c r="G2010" s="1">
        <v>31332</v>
      </c>
      <c r="H2010" s="1">
        <v>45811</v>
      </c>
      <c r="I2010" s="1">
        <v>46143</v>
      </c>
      <c r="J2010" t="s">
        <v>45</v>
      </c>
      <c r="K2010" t="s">
        <v>45</v>
      </c>
      <c r="L2010" t="s">
        <v>429</v>
      </c>
      <c r="M2010" s="1">
        <v>41298</v>
      </c>
      <c r="N2010" t="s">
        <v>47</v>
      </c>
      <c r="O2010" t="s">
        <v>48</v>
      </c>
      <c r="P2010" t="s">
        <v>49</v>
      </c>
      <c r="Q2010" t="s">
        <v>13252</v>
      </c>
      <c r="R2010" t="s">
        <v>13253</v>
      </c>
      <c r="S2010">
        <v>7650</v>
      </c>
      <c r="T2010" t="s">
        <v>52</v>
      </c>
      <c r="U2010">
        <v>3</v>
      </c>
      <c r="V2010" t="s">
        <v>53</v>
      </c>
      <c r="W2010" t="s">
        <v>54</v>
      </c>
      <c r="X2010" t="s">
        <v>55</v>
      </c>
      <c r="Y2010" t="s">
        <v>56</v>
      </c>
      <c r="Z2010">
        <v>608</v>
      </c>
      <c r="AA2010">
        <v>57</v>
      </c>
      <c r="AB2010">
        <v>176</v>
      </c>
      <c r="AC2010" t="s">
        <v>57</v>
      </c>
      <c r="AD2010" t="s">
        <v>58</v>
      </c>
      <c r="AE2010" t="s">
        <v>4968</v>
      </c>
      <c r="AF2010" t="s">
        <v>60</v>
      </c>
      <c r="AG2010" t="s">
        <v>61</v>
      </c>
      <c r="AH2010" t="s">
        <v>62</v>
      </c>
      <c r="AI2010" t="s">
        <v>1809</v>
      </c>
      <c r="AJ2010" s="2">
        <v>45817.667534722219</v>
      </c>
      <c r="AK2010" t="s">
        <v>64</v>
      </c>
      <c r="AL2010" t="s">
        <v>65</v>
      </c>
      <c r="AM2010" s="4">
        <v>0.16666666666666666</v>
      </c>
      <c r="AN2010" t="s">
        <v>66</v>
      </c>
      <c r="AO2010" t="s">
        <v>67</v>
      </c>
    </row>
    <row r="2011" spans="1:41" x14ac:dyDescent="0.2">
      <c r="A2011">
        <v>368866</v>
      </c>
      <c r="B2011" t="s">
        <v>13254</v>
      </c>
      <c r="C2011" t="s">
        <v>182</v>
      </c>
      <c r="D2011" t="s">
        <v>610</v>
      </c>
      <c r="E2011">
        <v>32309608</v>
      </c>
      <c r="F2011">
        <v>45710</v>
      </c>
      <c r="G2011" s="1">
        <v>34772</v>
      </c>
      <c r="H2011" s="1">
        <v>45713</v>
      </c>
      <c r="I2011" s="1">
        <v>45992</v>
      </c>
      <c r="J2011" t="s">
        <v>45</v>
      </c>
      <c r="K2011" t="s">
        <v>45</v>
      </c>
      <c r="L2011" t="s">
        <v>429</v>
      </c>
      <c r="M2011" s="1">
        <v>44570</v>
      </c>
      <c r="N2011" t="s">
        <v>47</v>
      </c>
      <c r="O2011" t="s">
        <v>48</v>
      </c>
      <c r="P2011" t="s">
        <v>49</v>
      </c>
      <c r="Q2011" t="s">
        <v>13255</v>
      </c>
      <c r="R2011" t="s">
        <v>13256</v>
      </c>
      <c r="S2011">
        <v>2781</v>
      </c>
      <c r="T2011" t="s">
        <v>52</v>
      </c>
      <c r="U2011">
        <v>5</v>
      </c>
      <c r="V2011" t="s">
        <v>614</v>
      </c>
      <c r="W2011" t="s">
        <v>54</v>
      </c>
      <c r="X2011" t="s">
        <v>493</v>
      </c>
      <c r="Y2011" t="s">
        <v>434</v>
      </c>
      <c r="Z2011">
        <v>935</v>
      </c>
      <c r="AA2011">
        <v>53</v>
      </c>
      <c r="AB2011">
        <v>34</v>
      </c>
      <c r="AC2011" t="s">
        <v>615</v>
      </c>
      <c r="AD2011" t="s">
        <v>616</v>
      </c>
      <c r="AE2011" t="s">
        <v>617</v>
      </c>
      <c r="AF2011" t="s">
        <v>4148</v>
      </c>
      <c r="AG2011" t="s">
        <v>619</v>
      </c>
      <c r="AH2011" t="s">
        <v>617</v>
      </c>
      <c r="AI2011" t="s">
        <v>620</v>
      </c>
      <c r="AJ2011" s="2">
        <v>45722.882291666669</v>
      </c>
      <c r="AK2011" t="s">
        <v>1472</v>
      </c>
      <c r="AL2011" t="s">
        <v>65</v>
      </c>
      <c r="AM2011" s="4">
        <v>0.375</v>
      </c>
      <c r="AN2011" t="s">
        <v>66</v>
      </c>
      <c r="AO2011" t="s">
        <v>67</v>
      </c>
    </row>
    <row r="2012" spans="1:41" x14ac:dyDescent="0.2">
      <c r="A2012">
        <v>372309</v>
      </c>
      <c r="B2012" t="s">
        <v>13257</v>
      </c>
      <c r="C2012" t="s">
        <v>182</v>
      </c>
      <c r="D2012" t="s">
        <v>1064</v>
      </c>
      <c r="E2012" t="s">
        <v>13258</v>
      </c>
      <c r="F2012">
        <v>40218</v>
      </c>
      <c r="G2012" s="1">
        <v>36783</v>
      </c>
      <c r="H2012" s="1">
        <v>45834</v>
      </c>
      <c r="I2012" s="1">
        <v>46113</v>
      </c>
      <c r="J2012" t="s">
        <v>45</v>
      </c>
      <c r="K2012" t="s">
        <v>45</v>
      </c>
      <c r="L2012" t="s">
        <v>429</v>
      </c>
      <c r="M2012" s="1">
        <v>45449</v>
      </c>
      <c r="N2012" t="s">
        <v>47</v>
      </c>
      <c r="O2012" t="s">
        <v>48</v>
      </c>
      <c r="P2012" t="s">
        <v>49</v>
      </c>
      <c r="Q2012" t="s">
        <v>13259</v>
      </c>
      <c r="R2012" t="s">
        <v>13260</v>
      </c>
      <c r="S2012">
        <v>1953</v>
      </c>
      <c r="T2012" t="s">
        <v>52</v>
      </c>
      <c r="U2012">
        <v>5</v>
      </c>
      <c r="V2012" t="s">
        <v>2947</v>
      </c>
      <c r="W2012" t="s">
        <v>54</v>
      </c>
      <c r="X2012" t="s">
        <v>493</v>
      </c>
      <c r="Y2012" t="s">
        <v>434</v>
      </c>
      <c r="Z2012">
        <v>692</v>
      </c>
      <c r="AA2012">
        <v>78</v>
      </c>
      <c r="AB2012">
        <v>34</v>
      </c>
      <c r="AC2012" t="s">
        <v>2948</v>
      </c>
      <c r="AD2012" t="s">
        <v>2949</v>
      </c>
      <c r="AE2012" t="s">
        <v>2950</v>
      </c>
      <c r="AF2012" t="s">
        <v>5386</v>
      </c>
      <c r="AG2012" t="s">
        <v>5387</v>
      </c>
      <c r="AH2012" t="s">
        <v>5388</v>
      </c>
      <c r="AI2012" t="s">
        <v>500</v>
      </c>
      <c r="AJ2012" s="2">
        <v>45837.939872685187</v>
      </c>
      <c r="AK2012" t="s">
        <v>180</v>
      </c>
      <c r="AL2012" t="s">
        <v>65</v>
      </c>
      <c r="AM2012" s="4">
        <v>0.93055555555555558</v>
      </c>
      <c r="AN2012" t="s">
        <v>66</v>
      </c>
      <c r="AO2012" t="s">
        <v>67</v>
      </c>
    </row>
    <row r="2013" spans="1:41" x14ac:dyDescent="0.2">
      <c r="A2013">
        <v>368853</v>
      </c>
      <c r="B2013" t="s">
        <v>13261</v>
      </c>
      <c r="C2013" t="s">
        <v>182</v>
      </c>
      <c r="D2013" t="s">
        <v>894</v>
      </c>
      <c r="E2013" t="s">
        <v>13262</v>
      </c>
      <c r="F2013">
        <v>40635</v>
      </c>
      <c r="G2013" s="1">
        <v>32637</v>
      </c>
      <c r="H2013" s="1">
        <v>45698</v>
      </c>
      <c r="I2013" s="1">
        <v>45931</v>
      </c>
      <c r="J2013" t="s">
        <v>45</v>
      </c>
      <c r="K2013" t="s">
        <v>45</v>
      </c>
      <c r="L2013" t="s">
        <v>429</v>
      </c>
      <c r="M2013" s="1">
        <v>41037</v>
      </c>
      <c r="N2013" t="s">
        <v>47</v>
      </c>
      <c r="O2013" t="s">
        <v>48</v>
      </c>
      <c r="P2013" t="s">
        <v>49</v>
      </c>
      <c r="Q2013" t="s">
        <v>13263</v>
      </c>
      <c r="R2013" t="s">
        <v>13264</v>
      </c>
      <c r="S2013">
        <v>2646</v>
      </c>
      <c r="T2013" t="s">
        <v>52</v>
      </c>
      <c r="U2013">
        <v>5</v>
      </c>
      <c r="V2013" t="s">
        <v>1068</v>
      </c>
      <c r="W2013" t="s">
        <v>54</v>
      </c>
      <c r="X2013" t="s">
        <v>493</v>
      </c>
      <c r="Y2013" t="s">
        <v>434</v>
      </c>
      <c r="Z2013">
        <v>733</v>
      </c>
      <c r="AA2013">
        <v>62</v>
      </c>
      <c r="AB2013">
        <v>34</v>
      </c>
      <c r="AC2013" t="s">
        <v>13265</v>
      </c>
      <c r="AD2013" t="s">
        <v>13266</v>
      </c>
      <c r="AE2013" t="s">
        <v>1071</v>
      </c>
      <c r="AF2013" t="s">
        <v>13267</v>
      </c>
      <c r="AG2013" t="s">
        <v>13268</v>
      </c>
      <c r="AH2013" t="s">
        <v>13269</v>
      </c>
      <c r="AI2013" t="s">
        <v>13270</v>
      </c>
      <c r="AJ2013" s="2">
        <v>45722.876898148148</v>
      </c>
      <c r="AK2013" t="s">
        <v>501</v>
      </c>
      <c r="AL2013" t="s">
        <v>65</v>
      </c>
      <c r="AM2013" s="3">
        <v>1.1180555555555556</v>
      </c>
      <c r="AN2013" t="s">
        <v>66</v>
      </c>
      <c r="AO2013" t="s">
        <v>67</v>
      </c>
    </row>
    <row r="2014" spans="1:41" x14ac:dyDescent="0.2">
      <c r="A2014">
        <v>370151</v>
      </c>
      <c r="B2014" t="s">
        <v>13271</v>
      </c>
      <c r="C2014" t="s">
        <v>182</v>
      </c>
      <c r="D2014" t="s">
        <v>1086</v>
      </c>
      <c r="E2014">
        <v>32371228</v>
      </c>
      <c r="F2014">
        <v>44717</v>
      </c>
      <c r="G2014" s="1">
        <v>35233</v>
      </c>
      <c r="H2014" s="1">
        <v>45762</v>
      </c>
      <c r="I2014" s="1">
        <v>46113</v>
      </c>
      <c r="J2014" t="s">
        <v>45</v>
      </c>
      <c r="K2014" t="s">
        <v>45</v>
      </c>
      <c r="L2014" t="s">
        <v>429</v>
      </c>
      <c r="M2014" s="1">
        <v>37422</v>
      </c>
      <c r="N2014" t="s">
        <v>47</v>
      </c>
      <c r="O2014" t="s">
        <v>48</v>
      </c>
      <c r="P2014" t="s">
        <v>49</v>
      </c>
      <c r="Q2014" t="s">
        <v>13272</v>
      </c>
      <c r="R2014" t="s">
        <v>13273</v>
      </c>
      <c r="S2014">
        <v>3091</v>
      </c>
      <c r="T2014" t="s">
        <v>52</v>
      </c>
      <c r="U2014">
        <v>5</v>
      </c>
      <c r="V2014" t="s">
        <v>2763</v>
      </c>
      <c r="W2014" t="s">
        <v>54</v>
      </c>
      <c r="X2014" t="s">
        <v>493</v>
      </c>
      <c r="Y2014" t="s">
        <v>434</v>
      </c>
      <c r="Z2014">
        <v>786</v>
      </c>
      <c r="AA2014">
        <v>60</v>
      </c>
      <c r="AB2014">
        <v>166</v>
      </c>
      <c r="AC2014" t="s">
        <v>9848</v>
      </c>
      <c r="AD2014" t="s">
        <v>9849</v>
      </c>
      <c r="AE2014" t="s">
        <v>9850</v>
      </c>
      <c r="AF2014" t="s">
        <v>9851</v>
      </c>
      <c r="AG2014" t="s">
        <v>9852</v>
      </c>
      <c r="AH2014" t="s">
        <v>9853</v>
      </c>
      <c r="AI2014" t="s">
        <v>9854</v>
      </c>
      <c r="AJ2014" s="2">
        <v>45763.986076388886</v>
      </c>
      <c r="AK2014" t="s">
        <v>2668</v>
      </c>
      <c r="AL2014" t="s">
        <v>65</v>
      </c>
      <c r="AM2014" s="4">
        <v>0.50694444444444442</v>
      </c>
      <c r="AN2014" t="s">
        <v>66</v>
      </c>
      <c r="AO2014" t="s">
        <v>67</v>
      </c>
    </row>
    <row r="2015" spans="1:41" x14ac:dyDescent="0.2">
      <c r="A2015">
        <v>370481</v>
      </c>
      <c r="B2015" t="s">
        <v>13274</v>
      </c>
      <c r="C2015" t="s">
        <v>182</v>
      </c>
      <c r="D2015" t="s">
        <v>8640</v>
      </c>
      <c r="E2015" t="s">
        <v>13275</v>
      </c>
      <c r="F2015">
        <v>42012</v>
      </c>
      <c r="G2015" s="1">
        <v>42614</v>
      </c>
      <c r="H2015" s="1">
        <v>45770</v>
      </c>
      <c r="J2015" t="s">
        <v>45</v>
      </c>
      <c r="K2015" t="s">
        <v>45</v>
      </c>
      <c r="L2015" t="s">
        <v>72</v>
      </c>
      <c r="M2015" s="1">
        <v>42614</v>
      </c>
      <c r="N2015" t="s">
        <v>47</v>
      </c>
      <c r="O2015" t="s">
        <v>48</v>
      </c>
      <c r="P2015" t="s">
        <v>49</v>
      </c>
      <c r="Q2015" t="s">
        <v>13276</v>
      </c>
      <c r="R2015" t="s">
        <v>13277</v>
      </c>
      <c r="S2015">
        <v>1890</v>
      </c>
      <c r="T2015" t="s">
        <v>92</v>
      </c>
      <c r="U2015" t="s">
        <v>187</v>
      </c>
      <c r="V2015" t="s">
        <v>447</v>
      </c>
      <c r="W2015" t="s">
        <v>448</v>
      </c>
      <c r="X2015" t="s">
        <v>92</v>
      </c>
      <c r="Y2015" t="s">
        <v>450</v>
      </c>
      <c r="Z2015">
        <v>8589</v>
      </c>
      <c r="AA2015">
        <v>20</v>
      </c>
      <c r="AB2015">
        <v>78</v>
      </c>
      <c r="AC2015" t="s">
        <v>451</v>
      </c>
      <c r="AD2015" t="s">
        <v>452</v>
      </c>
      <c r="AE2015" t="s">
        <v>453</v>
      </c>
      <c r="AF2015" t="s">
        <v>454</v>
      </c>
      <c r="AG2015" t="s">
        <v>473</v>
      </c>
      <c r="AH2015" t="s">
        <v>474</v>
      </c>
      <c r="AJ2015" s="2">
        <v>45776.672754629632</v>
      </c>
      <c r="AK2015" t="s">
        <v>456</v>
      </c>
      <c r="AL2015" t="s">
        <v>65</v>
      </c>
      <c r="AM2015" s="3">
        <v>1.3819444444444444</v>
      </c>
      <c r="AN2015" t="s">
        <v>66</v>
      </c>
      <c r="AO2015" t="s">
        <v>67</v>
      </c>
    </row>
    <row r="2016" spans="1:41" x14ac:dyDescent="0.2">
      <c r="A2016">
        <v>351603</v>
      </c>
      <c r="B2016" t="s">
        <v>13278</v>
      </c>
      <c r="C2016" t="s">
        <v>278</v>
      </c>
      <c r="D2016" t="s">
        <v>278</v>
      </c>
      <c r="E2016" t="s">
        <v>13279</v>
      </c>
      <c r="F2016">
        <v>421105</v>
      </c>
      <c r="G2016" s="1">
        <v>41544</v>
      </c>
      <c r="H2016" s="1">
        <v>41787</v>
      </c>
      <c r="J2016" t="s">
        <v>45</v>
      </c>
      <c r="K2016" t="s">
        <v>45</v>
      </c>
      <c r="L2016" t="s">
        <v>72</v>
      </c>
      <c r="N2016" t="s">
        <v>47</v>
      </c>
      <c r="O2016" t="s">
        <v>48</v>
      </c>
      <c r="P2016" t="s">
        <v>49</v>
      </c>
      <c r="Q2016" t="s">
        <v>13280</v>
      </c>
      <c r="R2016" t="s">
        <v>13281</v>
      </c>
      <c r="S2016">
        <v>5469</v>
      </c>
      <c r="T2016" t="s">
        <v>1328</v>
      </c>
      <c r="U2016" t="s">
        <v>3114</v>
      </c>
      <c r="V2016" t="s">
        <v>13282</v>
      </c>
      <c r="W2016" t="s">
        <v>3116</v>
      </c>
      <c r="X2016" t="s">
        <v>1328</v>
      </c>
      <c r="Y2016" t="s">
        <v>642</v>
      </c>
      <c r="Z2016">
        <v>6806</v>
      </c>
      <c r="AA2016">
        <v>10</v>
      </c>
      <c r="AB2016">
        <v>14</v>
      </c>
      <c r="AC2016" t="s">
        <v>13283</v>
      </c>
      <c r="AD2016" t="s">
        <v>13284</v>
      </c>
      <c r="AE2016" t="s">
        <v>13285</v>
      </c>
      <c r="AF2016" t="s">
        <v>13286</v>
      </c>
      <c r="AH2016" t="s">
        <v>13287</v>
      </c>
      <c r="AI2016" t="s">
        <v>13284</v>
      </c>
      <c r="AJ2016" s="2">
        <v>45174.634247685186</v>
      </c>
      <c r="AK2016" t="s">
        <v>6497</v>
      </c>
      <c r="AL2016" t="s">
        <v>1168</v>
      </c>
      <c r="AM2016" s="4">
        <v>0.99305555555555558</v>
      </c>
      <c r="AN2016" t="s">
        <v>66</v>
      </c>
      <c r="AO2016" t="s">
        <v>67</v>
      </c>
    </row>
    <row r="2017" spans="1:41" x14ac:dyDescent="0.2">
      <c r="A2017">
        <v>368068</v>
      </c>
      <c r="B2017" t="s">
        <v>13288</v>
      </c>
      <c r="C2017" t="s">
        <v>197</v>
      </c>
      <c r="D2017" t="s">
        <v>3250</v>
      </c>
      <c r="E2017" t="s">
        <v>13289</v>
      </c>
      <c r="F2017">
        <v>95101</v>
      </c>
      <c r="G2017" s="1">
        <v>44299</v>
      </c>
      <c r="H2017" s="1">
        <v>45561</v>
      </c>
      <c r="I2017" s="1">
        <v>46266</v>
      </c>
      <c r="J2017" t="s">
        <v>45</v>
      </c>
      <c r="K2017" t="s">
        <v>45</v>
      </c>
      <c r="L2017" t="s">
        <v>72</v>
      </c>
      <c r="N2017" t="s">
        <v>47</v>
      </c>
      <c r="O2017" t="s">
        <v>48</v>
      </c>
      <c r="P2017" t="s">
        <v>49</v>
      </c>
      <c r="Q2017" t="s">
        <v>13290</v>
      </c>
      <c r="R2017" t="s">
        <v>13291</v>
      </c>
      <c r="S2017">
        <v>645</v>
      </c>
      <c r="T2017" t="s">
        <v>92</v>
      </c>
      <c r="U2017" t="s">
        <v>202</v>
      </c>
      <c r="V2017" t="s">
        <v>203</v>
      </c>
      <c r="W2017" t="s">
        <v>204</v>
      </c>
      <c r="X2017" t="s">
        <v>92</v>
      </c>
      <c r="Y2017" t="s">
        <v>110</v>
      </c>
      <c r="Z2017">
        <v>11548</v>
      </c>
      <c r="AA2017">
        <v>13</v>
      </c>
      <c r="AB2017">
        <v>45</v>
      </c>
      <c r="AC2017" t="s">
        <v>1546</v>
      </c>
      <c r="AD2017" t="s">
        <v>206</v>
      </c>
      <c r="AE2017" t="s">
        <v>1547</v>
      </c>
      <c r="AF2017" t="s">
        <v>3373</v>
      </c>
      <c r="AG2017" t="s">
        <v>3374</v>
      </c>
      <c r="AH2017" t="s">
        <v>3375</v>
      </c>
      <c r="AI2017" t="s">
        <v>211</v>
      </c>
      <c r="AJ2017" s="2">
        <v>45699.777326388888</v>
      </c>
      <c r="AK2017" t="s">
        <v>149</v>
      </c>
      <c r="AL2017" t="s">
        <v>65</v>
      </c>
      <c r="AM2017" s="3">
        <v>2.4513888888888888</v>
      </c>
      <c r="AN2017" t="s">
        <v>66</v>
      </c>
      <c r="AO2017" t="s">
        <v>101</v>
      </c>
    </row>
    <row r="2018" spans="1:41" x14ac:dyDescent="0.2">
      <c r="A2018">
        <v>359259</v>
      </c>
      <c r="B2018" t="s">
        <v>13292</v>
      </c>
      <c r="C2018" t="s">
        <v>182</v>
      </c>
      <c r="D2018" t="s">
        <v>622</v>
      </c>
      <c r="E2018" t="s">
        <v>13293</v>
      </c>
      <c r="F2018">
        <v>43402</v>
      </c>
      <c r="G2018" s="1">
        <v>34029</v>
      </c>
      <c r="H2018" s="1">
        <v>45152</v>
      </c>
      <c r="J2018" t="s">
        <v>45</v>
      </c>
      <c r="K2018" t="s">
        <v>72</v>
      </c>
      <c r="L2018" t="s">
        <v>72</v>
      </c>
      <c r="M2018" s="1">
        <v>38902</v>
      </c>
      <c r="N2018" t="s">
        <v>47</v>
      </c>
      <c r="O2018" t="s">
        <v>48</v>
      </c>
      <c r="P2018" t="s">
        <v>49</v>
      </c>
      <c r="Q2018" t="s">
        <v>13294</v>
      </c>
      <c r="R2018" t="s">
        <v>13295</v>
      </c>
      <c r="S2018">
        <v>1403</v>
      </c>
      <c r="T2018" t="s">
        <v>92</v>
      </c>
      <c r="U2018" t="s">
        <v>187</v>
      </c>
      <c r="V2018" t="s">
        <v>8910</v>
      </c>
      <c r="W2018" t="s">
        <v>448</v>
      </c>
      <c r="X2018" t="s">
        <v>449</v>
      </c>
      <c r="Y2018" t="s">
        <v>770</v>
      </c>
      <c r="Z2018">
        <v>1120</v>
      </c>
      <c r="AA2018">
        <v>27</v>
      </c>
      <c r="AB2018">
        <v>74</v>
      </c>
      <c r="AC2018" t="s">
        <v>13296</v>
      </c>
      <c r="AD2018" t="s">
        <v>13297</v>
      </c>
      <c r="AE2018" t="s">
        <v>13298</v>
      </c>
      <c r="AI2018" t="s">
        <v>13297</v>
      </c>
      <c r="AJ2018" s="2">
        <v>45386.802499999998</v>
      </c>
      <c r="AK2018" t="s">
        <v>149</v>
      </c>
      <c r="AL2018" t="s">
        <v>65</v>
      </c>
      <c r="AM2018" s="3">
        <v>1.3958333333333333</v>
      </c>
      <c r="AN2018" t="s">
        <v>66</v>
      </c>
      <c r="AO2018" t="s">
        <v>67</v>
      </c>
    </row>
    <row r="2019" spans="1:41" x14ac:dyDescent="0.2">
      <c r="A2019">
        <v>359260</v>
      </c>
      <c r="B2019" t="s">
        <v>13299</v>
      </c>
      <c r="C2019" t="s">
        <v>182</v>
      </c>
      <c r="D2019" t="s">
        <v>622</v>
      </c>
      <c r="E2019" t="s">
        <v>13300</v>
      </c>
      <c r="F2019">
        <v>43403</v>
      </c>
      <c r="G2019" s="1">
        <v>34029</v>
      </c>
      <c r="H2019" s="1">
        <v>45152</v>
      </c>
      <c r="J2019" t="s">
        <v>45</v>
      </c>
      <c r="K2019" t="s">
        <v>72</v>
      </c>
      <c r="L2019" t="s">
        <v>72</v>
      </c>
      <c r="N2019" t="s">
        <v>47</v>
      </c>
      <c r="O2019" t="s">
        <v>48</v>
      </c>
      <c r="P2019" t="s">
        <v>49</v>
      </c>
      <c r="Q2019" t="s">
        <v>13301</v>
      </c>
      <c r="R2019" t="s">
        <v>13302</v>
      </c>
      <c r="S2019">
        <v>1095</v>
      </c>
      <c r="T2019" t="s">
        <v>92</v>
      </c>
      <c r="U2019" t="s">
        <v>187</v>
      </c>
      <c r="V2019" t="s">
        <v>8910</v>
      </c>
      <c r="W2019" t="s">
        <v>448</v>
      </c>
      <c r="X2019" t="s">
        <v>449</v>
      </c>
      <c r="Y2019" t="s">
        <v>770</v>
      </c>
      <c r="Z2019">
        <v>1121</v>
      </c>
      <c r="AA2019">
        <v>23</v>
      </c>
      <c r="AB2019">
        <v>74</v>
      </c>
      <c r="AC2019" t="s">
        <v>13296</v>
      </c>
      <c r="AD2019" t="s">
        <v>13297</v>
      </c>
      <c r="AE2019" t="s">
        <v>13298</v>
      </c>
      <c r="AI2019" t="s">
        <v>13297</v>
      </c>
      <c r="AJ2019" s="2">
        <v>45386.802777777775</v>
      </c>
      <c r="AK2019" t="s">
        <v>149</v>
      </c>
      <c r="AL2019" t="s">
        <v>65</v>
      </c>
      <c r="AM2019" s="3">
        <v>1.375</v>
      </c>
      <c r="AN2019" t="s">
        <v>66</v>
      </c>
      <c r="AO2019" t="s">
        <v>67</v>
      </c>
    </row>
    <row r="2020" spans="1:41" x14ac:dyDescent="0.2">
      <c r="A2020">
        <v>373020</v>
      </c>
      <c r="B2020" t="s">
        <v>13303</v>
      </c>
      <c r="C2020" t="s">
        <v>221</v>
      </c>
      <c r="D2020" t="s">
        <v>11567</v>
      </c>
      <c r="E2020" t="s">
        <v>13304</v>
      </c>
      <c r="F2020">
        <v>13201</v>
      </c>
      <c r="G2020" s="1">
        <v>37067</v>
      </c>
      <c r="H2020" s="1">
        <v>45574</v>
      </c>
      <c r="I2020" s="1">
        <v>45915</v>
      </c>
      <c r="J2020" t="s">
        <v>45</v>
      </c>
      <c r="K2020" t="s">
        <v>45</v>
      </c>
      <c r="L2020" t="s">
        <v>46</v>
      </c>
      <c r="M2020" s="1">
        <v>45456</v>
      </c>
      <c r="N2020" t="s">
        <v>47</v>
      </c>
      <c r="O2020" t="s">
        <v>48</v>
      </c>
      <c r="P2020" t="s">
        <v>49</v>
      </c>
      <c r="Q2020" t="s">
        <v>13305</v>
      </c>
      <c r="R2020" t="s">
        <v>13306</v>
      </c>
      <c r="S2020">
        <v>363</v>
      </c>
      <c r="T2020" t="s">
        <v>52</v>
      </c>
      <c r="U2020">
        <v>8</v>
      </c>
      <c r="V2020" t="s">
        <v>1648</v>
      </c>
      <c r="W2020" t="s">
        <v>54</v>
      </c>
      <c r="X2020" t="s">
        <v>76</v>
      </c>
      <c r="Y2020" t="s">
        <v>56</v>
      </c>
      <c r="Z2020">
        <v>1039</v>
      </c>
      <c r="AA2020">
        <v>36</v>
      </c>
      <c r="AB2020">
        <v>15</v>
      </c>
      <c r="AC2020" t="s">
        <v>13307</v>
      </c>
      <c r="AD2020" t="s">
        <v>13308</v>
      </c>
      <c r="AE2020" t="s">
        <v>13309</v>
      </c>
      <c r="AF2020" t="s">
        <v>6460</v>
      </c>
      <c r="AG2020" t="s">
        <v>1653</v>
      </c>
      <c r="AH2020" t="s">
        <v>1654</v>
      </c>
      <c r="AI2020" t="s">
        <v>13310</v>
      </c>
      <c r="AJ2020" s="2">
        <v>45856.023425925923</v>
      </c>
      <c r="AK2020" t="s">
        <v>556</v>
      </c>
      <c r="AL2020" t="s">
        <v>65</v>
      </c>
      <c r="AM2020" s="4">
        <v>0.75347222222222221</v>
      </c>
      <c r="AN2020" t="s">
        <v>66</v>
      </c>
      <c r="AO2020" t="s">
        <v>101</v>
      </c>
    </row>
    <row r="2021" spans="1:41" x14ac:dyDescent="0.2">
      <c r="A2021">
        <v>372074</v>
      </c>
      <c r="B2021" t="s">
        <v>13311</v>
      </c>
      <c r="C2021" t="s">
        <v>788</v>
      </c>
      <c r="E2021" t="s">
        <v>13312</v>
      </c>
      <c r="F2021">
        <v>86401</v>
      </c>
      <c r="G2021" s="1">
        <v>37322</v>
      </c>
      <c r="H2021" s="1">
        <v>45798</v>
      </c>
      <c r="I2021" s="1">
        <v>46174</v>
      </c>
      <c r="J2021" t="s">
        <v>45</v>
      </c>
      <c r="K2021" t="s">
        <v>45</v>
      </c>
      <c r="L2021" t="s">
        <v>72</v>
      </c>
      <c r="M2021" s="1">
        <v>43808</v>
      </c>
      <c r="N2021" t="s">
        <v>47</v>
      </c>
      <c r="O2021" t="s">
        <v>48</v>
      </c>
      <c r="P2021" t="s">
        <v>49</v>
      </c>
      <c r="Q2021" t="s">
        <v>13313</v>
      </c>
      <c r="R2021" t="s">
        <v>13314</v>
      </c>
      <c r="S2021">
        <v>8</v>
      </c>
      <c r="T2021" t="s">
        <v>257</v>
      </c>
      <c r="U2021" t="s">
        <v>1691</v>
      </c>
      <c r="V2021" t="s">
        <v>2286</v>
      </c>
      <c r="W2021" t="s">
        <v>260</v>
      </c>
      <c r="X2021" t="s">
        <v>257</v>
      </c>
      <c r="Y2021" t="s">
        <v>110</v>
      </c>
      <c r="Z2021">
        <v>2155</v>
      </c>
      <c r="AA2021">
        <v>50</v>
      </c>
      <c r="AB2021">
        <v>158</v>
      </c>
      <c r="AC2021" t="s">
        <v>2287</v>
      </c>
      <c r="AD2021" t="s">
        <v>2288</v>
      </c>
      <c r="AE2021" t="s">
        <v>13315</v>
      </c>
      <c r="AF2021" t="s">
        <v>2290</v>
      </c>
      <c r="AG2021" t="s">
        <v>2291</v>
      </c>
      <c r="AH2021" t="s">
        <v>2292</v>
      </c>
      <c r="AI2021" t="s">
        <v>2293</v>
      </c>
      <c r="AJ2021" s="2">
        <v>45828.663900462961</v>
      </c>
      <c r="AK2021" t="s">
        <v>2287</v>
      </c>
      <c r="AL2021" t="s">
        <v>65</v>
      </c>
      <c r="AM2021" s="3">
        <v>1.5763888888888888</v>
      </c>
      <c r="AN2021" t="s">
        <v>66</v>
      </c>
      <c r="AO2021" t="s">
        <v>67</v>
      </c>
    </row>
    <row r="2022" spans="1:41" x14ac:dyDescent="0.2">
      <c r="A2022">
        <v>367526</v>
      </c>
      <c r="B2022" t="s">
        <v>13316</v>
      </c>
      <c r="C2022" t="s">
        <v>118</v>
      </c>
      <c r="D2022" t="s">
        <v>1363</v>
      </c>
      <c r="E2022" t="s">
        <v>13317</v>
      </c>
      <c r="F2022">
        <v>21502</v>
      </c>
      <c r="G2022" s="1">
        <v>39624</v>
      </c>
      <c r="H2022" s="1">
        <v>45679</v>
      </c>
      <c r="I2022" s="1">
        <v>46023</v>
      </c>
      <c r="J2022" t="s">
        <v>45</v>
      </c>
      <c r="K2022" t="s">
        <v>45</v>
      </c>
      <c r="L2022" t="s">
        <v>429</v>
      </c>
      <c r="M2022" s="1">
        <v>41964</v>
      </c>
      <c r="N2022" t="s">
        <v>47</v>
      </c>
      <c r="O2022" t="s">
        <v>48</v>
      </c>
      <c r="P2022" t="s">
        <v>49</v>
      </c>
      <c r="Q2022" t="s">
        <v>13318</v>
      </c>
      <c r="R2022" t="s">
        <v>13319</v>
      </c>
      <c r="S2022">
        <v>1715</v>
      </c>
      <c r="T2022" t="s">
        <v>365</v>
      </c>
      <c r="U2022" t="s">
        <v>815</v>
      </c>
      <c r="V2022" t="s">
        <v>2124</v>
      </c>
      <c r="W2022" t="s">
        <v>367</v>
      </c>
      <c r="X2022" t="s">
        <v>55</v>
      </c>
      <c r="Y2022" t="s">
        <v>434</v>
      </c>
      <c r="Z2022">
        <v>2992</v>
      </c>
      <c r="AA2022">
        <v>37</v>
      </c>
      <c r="AB2022">
        <v>138</v>
      </c>
      <c r="AC2022" t="s">
        <v>13320</v>
      </c>
      <c r="AD2022" t="s">
        <v>2126</v>
      </c>
      <c r="AE2022" t="s">
        <v>2127</v>
      </c>
      <c r="AF2022" t="s">
        <v>2128</v>
      </c>
      <c r="AG2022" t="s">
        <v>2129</v>
      </c>
      <c r="AH2022" t="s">
        <v>2130</v>
      </c>
      <c r="AI2022" t="s">
        <v>179</v>
      </c>
      <c r="AJ2022" s="2">
        <v>45680.570405092592</v>
      </c>
      <c r="AK2022" t="s">
        <v>307</v>
      </c>
      <c r="AL2022" t="s">
        <v>65</v>
      </c>
      <c r="AM2022" s="3">
        <v>2.1875</v>
      </c>
      <c r="AN2022" t="s">
        <v>66</v>
      </c>
      <c r="AO2022" t="s">
        <v>67</v>
      </c>
    </row>
    <row r="2023" spans="1:41" x14ac:dyDescent="0.2">
      <c r="A2023">
        <v>367612</v>
      </c>
      <c r="B2023" t="s">
        <v>13321</v>
      </c>
      <c r="C2023" t="s">
        <v>735</v>
      </c>
      <c r="D2023" t="s">
        <v>6379</v>
      </c>
      <c r="E2023" t="s">
        <v>13322</v>
      </c>
      <c r="F2023">
        <v>243005</v>
      </c>
      <c r="G2023" s="1">
        <v>42207</v>
      </c>
      <c r="H2023" s="1">
        <v>45567</v>
      </c>
      <c r="I2023" s="1">
        <v>45915</v>
      </c>
      <c r="J2023" t="s">
        <v>45</v>
      </c>
      <c r="K2023" t="s">
        <v>45</v>
      </c>
      <c r="L2023" t="s">
        <v>72</v>
      </c>
      <c r="M2023" s="1">
        <v>44852</v>
      </c>
      <c r="N2023" t="s">
        <v>47</v>
      </c>
      <c r="O2023" t="s">
        <v>48</v>
      </c>
      <c r="P2023" t="s">
        <v>49</v>
      </c>
      <c r="Q2023" t="s">
        <v>13323</v>
      </c>
      <c r="R2023" t="s">
        <v>13324</v>
      </c>
      <c r="S2023">
        <v>7889</v>
      </c>
      <c r="T2023" t="s">
        <v>52</v>
      </c>
      <c r="U2023">
        <v>1</v>
      </c>
      <c r="V2023" t="s">
        <v>740</v>
      </c>
      <c r="W2023" t="s">
        <v>54</v>
      </c>
      <c r="X2023" t="s">
        <v>76</v>
      </c>
      <c r="Y2023" t="s">
        <v>56</v>
      </c>
      <c r="Z2023">
        <v>7246</v>
      </c>
      <c r="AA2023">
        <v>40</v>
      </c>
      <c r="AB2023">
        <v>78</v>
      </c>
      <c r="AC2023" t="s">
        <v>8373</v>
      </c>
      <c r="AD2023" t="s">
        <v>8374</v>
      </c>
      <c r="AE2023" t="s">
        <v>8375</v>
      </c>
      <c r="AF2023" t="s">
        <v>741</v>
      </c>
      <c r="AG2023" t="s">
        <v>13325</v>
      </c>
      <c r="AH2023" t="s">
        <v>743</v>
      </c>
      <c r="AI2023" t="s">
        <v>13326</v>
      </c>
      <c r="AJ2023" s="2">
        <v>45684.667500000003</v>
      </c>
      <c r="AK2023" t="s">
        <v>132</v>
      </c>
      <c r="AL2023" t="s">
        <v>65</v>
      </c>
      <c r="AM2023" s="4">
        <v>0.95138888888888884</v>
      </c>
      <c r="AN2023" t="s">
        <v>66</v>
      </c>
      <c r="AO2023" t="s">
        <v>67</v>
      </c>
    </row>
    <row r="2024" spans="1:41" x14ac:dyDescent="0.2">
      <c r="A2024">
        <v>349001</v>
      </c>
      <c r="B2024" t="s">
        <v>13327</v>
      </c>
      <c r="C2024" t="s">
        <v>788</v>
      </c>
      <c r="D2024" t="s">
        <v>3250</v>
      </c>
      <c r="E2024" t="s">
        <v>13328</v>
      </c>
      <c r="G2024" s="1">
        <v>45078</v>
      </c>
      <c r="H2024" s="1">
        <v>45079</v>
      </c>
      <c r="I2024" s="1">
        <v>46054</v>
      </c>
      <c r="J2024" t="s">
        <v>45</v>
      </c>
      <c r="K2024" t="s">
        <v>45</v>
      </c>
      <c r="L2024" t="s">
        <v>72</v>
      </c>
      <c r="N2024" t="s">
        <v>89</v>
      </c>
      <c r="O2024" t="s">
        <v>121</v>
      </c>
      <c r="P2024" t="s">
        <v>49</v>
      </c>
      <c r="Q2024" t="s">
        <v>13329</v>
      </c>
      <c r="R2024" t="s">
        <v>13330</v>
      </c>
      <c r="S2024">
        <v>60</v>
      </c>
      <c r="T2024" t="s">
        <v>52</v>
      </c>
      <c r="U2024">
        <v>8</v>
      </c>
      <c r="V2024" t="s">
        <v>793</v>
      </c>
      <c r="W2024" t="s">
        <v>54</v>
      </c>
      <c r="X2024" t="s">
        <v>52</v>
      </c>
      <c r="Y2024" t="s">
        <v>125</v>
      </c>
      <c r="Z2024">
        <v>11926</v>
      </c>
      <c r="AA2024">
        <v>8</v>
      </c>
      <c r="AB2024">
        <v>189</v>
      </c>
      <c r="AC2024" t="s">
        <v>797</v>
      </c>
      <c r="AD2024" t="s">
        <v>2864</v>
      </c>
      <c r="AE2024" t="s">
        <v>2865</v>
      </c>
      <c r="AF2024" t="s">
        <v>13331</v>
      </c>
      <c r="AG2024" t="s">
        <v>13332</v>
      </c>
      <c r="AH2024" t="s">
        <v>13333</v>
      </c>
      <c r="AJ2024" s="2">
        <v>45079.458449074074</v>
      </c>
      <c r="AK2024" t="s">
        <v>132</v>
      </c>
      <c r="AL2024" t="s">
        <v>65</v>
      </c>
      <c r="AM2024" s="3">
        <v>1.5173611111111112</v>
      </c>
      <c r="AN2024" t="s">
        <v>66</v>
      </c>
      <c r="AO2024" t="s">
        <v>101</v>
      </c>
    </row>
    <row r="2025" spans="1:41" x14ac:dyDescent="0.2">
      <c r="A2025">
        <v>364071</v>
      </c>
      <c r="B2025" t="s">
        <v>13334</v>
      </c>
      <c r="C2025" t="s">
        <v>167</v>
      </c>
      <c r="D2025" t="s">
        <v>1474</v>
      </c>
      <c r="E2025" t="s">
        <v>13335</v>
      </c>
      <c r="G2025" s="1">
        <v>45426</v>
      </c>
      <c r="H2025" s="1">
        <v>45097</v>
      </c>
      <c r="I2025" s="1">
        <v>46188</v>
      </c>
      <c r="J2025" t="s">
        <v>45</v>
      </c>
      <c r="K2025" t="s">
        <v>45</v>
      </c>
      <c r="L2025" t="s">
        <v>72</v>
      </c>
      <c r="N2025" t="s">
        <v>89</v>
      </c>
      <c r="O2025" t="s">
        <v>121</v>
      </c>
      <c r="P2025" t="s">
        <v>49</v>
      </c>
      <c r="Q2025" t="s">
        <v>13336</v>
      </c>
      <c r="R2025" t="s">
        <v>13337</v>
      </c>
      <c r="S2025">
        <v>4990</v>
      </c>
      <c r="T2025" t="s">
        <v>52</v>
      </c>
      <c r="U2025">
        <v>6</v>
      </c>
      <c r="V2025" t="s">
        <v>1477</v>
      </c>
      <c r="W2025" t="s">
        <v>54</v>
      </c>
      <c r="X2025" t="s">
        <v>76</v>
      </c>
      <c r="Y2025" t="s">
        <v>125</v>
      </c>
      <c r="Z2025">
        <v>9826</v>
      </c>
      <c r="AA2025">
        <v>35</v>
      </c>
      <c r="AB2025">
        <v>78</v>
      </c>
      <c r="AC2025" t="s">
        <v>1478</v>
      </c>
      <c r="AD2025" t="s">
        <v>1479</v>
      </c>
      <c r="AE2025" t="s">
        <v>1480</v>
      </c>
      <c r="AF2025" t="s">
        <v>1478</v>
      </c>
      <c r="AG2025" t="s">
        <v>1479</v>
      </c>
      <c r="AH2025" t="s">
        <v>1480</v>
      </c>
      <c r="AI2025" t="s">
        <v>13338</v>
      </c>
      <c r="AJ2025" s="2">
        <v>45532.559525462966</v>
      </c>
      <c r="AK2025" t="s">
        <v>100</v>
      </c>
      <c r="AL2025" t="s">
        <v>65</v>
      </c>
      <c r="AM2025" s="3">
        <v>1.7083333333333333</v>
      </c>
      <c r="AN2025" t="s">
        <v>66</v>
      </c>
      <c r="AO2025" t="s">
        <v>67</v>
      </c>
    </row>
    <row r="2026" spans="1:41" x14ac:dyDescent="0.2">
      <c r="A2026">
        <v>372834</v>
      </c>
      <c r="B2026" t="s">
        <v>13339</v>
      </c>
      <c r="C2026" t="s">
        <v>788</v>
      </c>
      <c r="D2026" t="s">
        <v>2282</v>
      </c>
      <c r="E2026" t="s">
        <v>13340</v>
      </c>
      <c r="F2026">
        <v>86403</v>
      </c>
      <c r="G2026" s="1">
        <v>31371</v>
      </c>
      <c r="H2026" s="1">
        <v>45798</v>
      </c>
      <c r="I2026" s="1">
        <v>46174</v>
      </c>
      <c r="J2026" t="s">
        <v>45</v>
      </c>
      <c r="K2026" t="s">
        <v>45</v>
      </c>
      <c r="L2026" t="s">
        <v>72</v>
      </c>
      <c r="M2026" s="1">
        <v>44873</v>
      </c>
      <c r="N2026" t="s">
        <v>47</v>
      </c>
      <c r="O2026" t="s">
        <v>48</v>
      </c>
      <c r="P2026" t="s">
        <v>49</v>
      </c>
      <c r="Q2026" t="s">
        <v>13341</v>
      </c>
      <c r="R2026" t="s">
        <v>13342</v>
      </c>
      <c r="S2026">
        <v>7</v>
      </c>
      <c r="T2026" t="s">
        <v>257</v>
      </c>
      <c r="U2026" t="s">
        <v>1691</v>
      </c>
      <c r="V2026" t="s">
        <v>2286</v>
      </c>
      <c r="W2026" t="s">
        <v>260</v>
      </c>
      <c r="X2026" t="s">
        <v>257</v>
      </c>
      <c r="Y2026" t="s">
        <v>110</v>
      </c>
      <c r="Z2026">
        <v>510</v>
      </c>
      <c r="AA2026">
        <v>60</v>
      </c>
      <c r="AB2026">
        <v>15</v>
      </c>
      <c r="AC2026" t="s">
        <v>2287</v>
      </c>
      <c r="AD2026" t="s">
        <v>2288</v>
      </c>
      <c r="AE2026" t="s">
        <v>2289</v>
      </c>
      <c r="AF2026" t="s">
        <v>2290</v>
      </c>
      <c r="AG2026" t="s">
        <v>2291</v>
      </c>
      <c r="AH2026" t="s">
        <v>2292</v>
      </c>
      <c r="AI2026" t="s">
        <v>2293</v>
      </c>
      <c r="AJ2026" s="2">
        <v>45854.63685185185</v>
      </c>
      <c r="AK2026" t="s">
        <v>276</v>
      </c>
      <c r="AL2026" t="s">
        <v>65</v>
      </c>
      <c r="AM2026" s="4">
        <v>0.25347222222222221</v>
      </c>
      <c r="AN2026" t="s">
        <v>66</v>
      </c>
      <c r="AO2026" t="s">
        <v>101</v>
      </c>
    </row>
    <row r="2027" spans="1:41" x14ac:dyDescent="0.2">
      <c r="A2027">
        <v>371041</v>
      </c>
      <c r="B2027" t="s">
        <v>13343</v>
      </c>
      <c r="C2027" t="s">
        <v>1000</v>
      </c>
      <c r="D2027" t="s">
        <v>1336</v>
      </c>
      <c r="E2027" t="s">
        <v>13344</v>
      </c>
      <c r="F2027">
        <v>409502</v>
      </c>
      <c r="G2027" s="1">
        <v>39785</v>
      </c>
      <c r="H2027" s="1">
        <v>45684</v>
      </c>
      <c r="I2027" s="1">
        <v>46023</v>
      </c>
      <c r="J2027" t="s">
        <v>45</v>
      </c>
      <c r="K2027" t="s">
        <v>45</v>
      </c>
      <c r="L2027" t="s">
        <v>46</v>
      </c>
      <c r="M2027" s="1">
        <v>45082</v>
      </c>
      <c r="N2027" t="s">
        <v>47</v>
      </c>
      <c r="O2027" t="s">
        <v>48</v>
      </c>
      <c r="P2027" t="s">
        <v>49</v>
      </c>
      <c r="Q2027" t="s">
        <v>13345</v>
      </c>
      <c r="R2027" t="s">
        <v>13346</v>
      </c>
      <c r="S2027">
        <v>1322</v>
      </c>
      <c r="T2027" t="s">
        <v>52</v>
      </c>
      <c r="U2027">
        <v>8</v>
      </c>
      <c r="V2027" t="s">
        <v>12959</v>
      </c>
      <c r="W2027" t="s">
        <v>54</v>
      </c>
      <c r="X2027" t="s">
        <v>76</v>
      </c>
      <c r="Y2027" t="s">
        <v>56</v>
      </c>
      <c r="Z2027">
        <v>3010</v>
      </c>
      <c r="AA2027">
        <v>38</v>
      </c>
      <c r="AB2027">
        <v>66</v>
      </c>
      <c r="AC2027" t="s">
        <v>13347</v>
      </c>
      <c r="AD2027" t="s">
        <v>13348</v>
      </c>
      <c r="AE2027" t="s">
        <v>13349</v>
      </c>
      <c r="AI2027" t="s">
        <v>13348</v>
      </c>
      <c r="AJ2027" s="2">
        <v>45793.582349537035</v>
      </c>
      <c r="AK2027" t="s">
        <v>100</v>
      </c>
      <c r="AL2027" t="s">
        <v>65</v>
      </c>
      <c r="AM2027" s="4">
        <v>0.22222222222222221</v>
      </c>
      <c r="AN2027" t="s">
        <v>66</v>
      </c>
      <c r="AO2027" t="s">
        <v>67</v>
      </c>
    </row>
    <row r="2028" spans="1:41" x14ac:dyDescent="0.2">
      <c r="A2028">
        <v>367988</v>
      </c>
      <c r="B2028" t="s">
        <v>13350</v>
      </c>
      <c r="C2028" t="s">
        <v>197</v>
      </c>
      <c r="D2028" t="s">
        <v>10311</v>
      </c>
      <c r="E2028" t="s">
        <v>13351</v>
      </c>
      <c r="F2028">
        <v>93701</v>
      </c>
      <c r="G2028" s="1">
        <v>37117</v>
      </c>
      <c r="H2028" s="1">
        <v>45695</v>
      </c>
      <c r="I2028" s="1">
        <v>46082</v>
      </c>
      <c r="J2028" t="s">
        <v>45</v>
      </c>
      <c r="K2028" t="s">
        <v>45</v>
      </c>
      <c r="L2028" t="s">
        <v>46</v>
      </c>
      <c r="M2028" s="1">
        <v>45351</v>
      </c>
      <c r="N2028" t="s">
        <v>47</v>
      </c>
      <c r="O2028" t="s">
        <v>48</v>
      </c>
      <c r="P2028" t="s">
        <v>49</v>
      </c>
      <c r="Q2028" t="s">
        <v>13352</v>
      </c>
      <c r="R2028" t="s">
        <v>13353</v>
      </c>
      <c r="S2028">
        <v>476</v>
      </c>
      <c r="T2028" t="s">
        <v>52</v>
      </c>
      <c r="U2028">
        <v>8</v>
      </c>
      <c r="V2028" t="s">
        <v>993</v>
      </c>
      <c r="W2028" t="s">
        <v>54</v>
      </c>
      <c r="X2028" t="s">
        <v>76</v>
      </c>
      <c r="Y2028" t="s">
        <v>56</v>
      </c>
      <c r="Z2028">
        <v>1811</v>
      </c>
      <c r="AA2028">
        <v>43</v>
      </c>
      <c r="AB2028">
        <v>39</v>
      </c>
      <c r="AC2028" t="s">
        <v>6784</v>
      </c>
      <c r="AD2028" t="s">
        <v>6785</v>
      </c>
      <c r="AE2028" t="s">
        <v>6786</v>
      </c>
      <c r="AF2028" t="s">
        <v>6787</v>
      </c>
      <c r="AG2028" t="s">
        <v>6788</v>
      </c>
      <c r="AH2028" t="s">
        <v>6789</v>
      </c>
      <c r="AI2028" t="s">
        <v>6790</v>
      </c>
      <c r="AJ2028" s="2">
        <v>45695.713703703703</v>
      </c>
      <c r="AK2028" t="s">
        <v>660</v>
      </c>
      <c r="AL2028" t="s">
        <v>65</v>
      </c>
      <c r="AM2028" s="3">
        <v>2.1076388888888888</v>
      </c>
      <c r="AN2028" t="s">
        <v>66</v>
      </c>
      <c r="AO2028" t="s">
        <v>101</v>
      </c>
    </row>
    <row r="2029" spans="1:41" x14ac:dyDescent="0.2">
      <c r="A2029">
        <v>372995</v>
      </c>
      <c r="B2029" t="s">
        <v>13354</v>
      </c>
      <c r="C2029" t="s">
        <v>979</v>
      </c>
      <c r="D2029" t="s">
        <v>5488</v>
      </c>
      <c r="E2029" t="s">
        <v>13355</v>
      </c>
      <c r="F2029">
        <v>34702</v>
      </c>
      <c r="G2029" s="1">
        <v>37391</v>
      </c>
      <c r="H2029" s="1">
        <v>45671</v>
      </c>
      <c r="I2029" s="1">
        <v>46037</v>
      </c>
      <c r="J2029" t="s">
        <v>45</v>
      </c>
      <c r="K2029" t="s">
        <v>45</v>
      </c>
      <c r="L2029" t="s">
        <v>46</v>
      </c>
      <c r="M2029" s="1">
        <v>44888</v>
      </c>
      <c r="N2029" t="s">
        <v>47</v>
      </c>
      <c r="O2029" t="s">
        <v>48</v>
      </c>
      <c r="P2029" t="s">
        <v>49</v>
      </c>
      <c r="Q2029" t="s">
        <v>13356</v>
      </c>
      <c r="R2029" t="s">
        <v>13357</v>
      </c>
      <c r="S2029">
        <v>896</v>
      </c>
      <c r="T2029" t="s">
        <v>52</v>
      </c>
      <c r="U2029">
        <v>8</v>
      </c>
      <c r="V2029" t="s">
        <v>3178</v>
      </c>
      <c r="W2029" t="s">
        <v>54</v>
      </c>
      <c r="X2029" t="s">
        <v>76</v>
      </c>
      <c r="Y2029" t="s">
        <v>56</v>
      </c>
      <c r="Z2029">
        <v>1042</v>
      </c>
      <c r="AA2029">
        <v>68</v>
      </c>
      <c r="AB2029">
        <v>30</v>
      </c>
      <c r="AC2029" t="s">
        <v>985</v>
      </c>
      <c r="AD2029" t="s">
        <v>986</v>
      </c>
      <c r="AE2029" t="s">
        <v>3446</v>
      </c>
      <c r="AI2029" t="s">
        <v>988</v>
      </c>
      <c r="AJ2029" s="2">
        <v>45855.990358796298</v>
      </c>
      <c r="AK2029" t="s">
        <v>556</v>
      </c>
      <c r="AL2029" t="s">
        <v>65</v>
      </c>
      <c r="AM2029" s="3">
        <v>1.1319444444444444</v>
      </c>
      <c r="AN2029" t="s">
        <v>66</v>
      </c>
      <c r="AO2029" t="s">
        <v>67</v>
      </c>
    </row>
    <row r="2030" spans="1:41" x14ac:dyDescent="0.2">
      <c r="A2030">
        <v>370834</v>
      </c>
      <c r="B2030" t="s">
        <v>13358</v>
      </c>
      <c r="C2030" t="s">
        <v>13359</v>
      </c>
      <c r="D2030" t="s">
        <v>13360</v>
      </c>
      <c r="E2030" t="s">
        <v>13361</v>
      </c>
      <c r="G2030" s="1">
        <v>44952</v>
      </c>
      <c r="H2030" s="1">
        <v>45734</v>
      </c>
      <c r="J2030" t="s">
        <v>45</v>
      </c>
      <c r="K2030" t="s">
        <v>45</v>
      </c>
      <c r="L2030" t="s">
        <v>72</v>
      </c>
      <c r="M2030" s="1">
        <v>45553</v>
      </c>
      <c r="N2030" t="s">
        <v>47</v>
      </c>
      <c r="O2030" t="s">
        <v>48</v>
      </c>
      <c r="P2030" t="s">
        <v>406</v>
      </c>
      <c r="Q2030" t="s">
        <v>13362</v>
      </c>
      <c r="R2030" t="s">
        <v>13363</v>
      </c>
      <c r="S2030">
        <v>1450</v>
      </c>
      <c r="T2030" t="s">
        <v>257</v>
      </c>
      <c r="U2030" t="s">
        <v>640</v>
      </c>
      <c r="V2030" t="s">
        <v>13364</v>
      </c>
      <c r="W2030" t="s">
        <v>260</v>
      </c>
      <c r="X2030" t="s">
        <v>257</v>
      </c>
      <c r="Y2030" t="s">
        <v>96</v>
      </c>
      <c r="Z2030">
        <v>11649</v>
      </c>
      <c r="AA2030">
        <v>16</v>
      </c>
      <c r="AB2030">
        <v>210</v>
      </c>
      <c r="AC2030" t="s">
        <v>643</v>
      </c>
      <c r="AD2030" t="s">
        <v>644</v>
      </c>
      <c r="AE2030" t="s">
        <v>645</v>
      </c>
      <c r="AF2030" t="s">
        <v>646</v>
      </c>
      <c r="AG2030" t="s">
        <v>647</v>
      </c>
      <c r="AH2030" t="s">
        <v>648</v>
      </c>
      <c r="AI2030" t="s">
        <v>6106</v>
      </c>
      <c r="AJ2030" s="2">
        <v>45785.574907407405</v>
      </c>
      <c r="AK2030" t="s">
        <v>650</v>
      </c>
      <c r="AL2030" t="s">
        <v>651</v>
      </c>
      <c r="AM2030" s="4">
        <v>0.38194444444444442</v>
      </c>
      <c r="AN2030" t="s">
        <v>66</v>
      </c>
      <c r="AO2030" t="s">
        <v>67</v>
      </c>
    </row>
    <row r="2031" spans="1:41" x14ac:dyDescent="0.2">
      <c r="A2031">
        <v>366196</v>
      </c>
      <c r="B2031" t="s">
        <v>13365</v>
      </c>
      <c r="C2031" t="s">
        <v>134</v>
      </c>
      <c r="E2031" t="s">
        <v>13366</v>
      </c>
      <c r="F2031">
        <v>451119</v>
      </c>
      <c r="G2031" s="1">
        <v>37898</v>
      </c>
      <c r="H2031" s="1">
        <v>45476</v>
      </c>
      <c r="I2031" s="1">
        <v>46188</v>
      </c>
      <c r="J2031" t="s">
        <v>45</v>
      </c>
      <c r="K2031" t="s">
        <v>45</v>
      </c>
      <c r="L2031" t="s">
        <v>72</v>
      </c>
      <c r="M2031" s="1">
        <v>45054</v>
      </c>
      <c r="N2031" t="s">
        <v>47</v>
      </c>
      <c r="O2031" t="s">
        <v>48</v>
      </c>
      <c r="P2031" t="s">
        <v>49</v>
      </c>
      <c r="Q2031" t="s">
        <v>13367</v>
      </c>
      <c r="R2031" t="s">
        <v>13368</v>
      </c>
      <c r="S2031">
        <v>1950</v>
      </c>
      <c r="T2031" t="s">
        <v>257</v>
      </c>
      <c r="U2031" t="s">
        <v>640</v>
      </c>
      <c r="V2031" t="s">
        <v>13369</v>
      </c>
      <c r="W2031" t="s">
        <v>260</v>
      </c>
      <c r="X2031" t="s">
        <v>257</v>
      </c>
      <c r="Y2031" t="s">
        <v>110</v>
      </c>
      <c r="Z2031">
        <v>2468</v>
      </c>
      <c r="AA2031">
        <v>51</v>
      </c>
      <c r="AB2031">
        <v>160</v>
      </c>
      <c r="AC2031" t="s">
        <v>13370</v>
      </c>
      <c r="AD2031" t="s">
        <v>13371</v>
      </c>
      <c r="AE2031" t="s">
        <v>13372</v>
      </c>
      <c r="AF2031" t="s">
        <v>13373</v>
      </c>
      <c r="AG2031" t="s">
        <v>13374</v>
      </c>
      <c r="AH2031" t="s">
        <v>13375</v>
      </c>
      <c r="AJ2031" s="2">
        <v>45608.911041666666</v>
      </c>
      <c r="AK2031" t="s">
        <v>13370</v>
      </c>
      <c r="AL2031" t="s">
        <v>65</v>
      </c>
      <c r="AM2031" s="3">
        <v>1.7361111111111112</v>
      </c>
      <c r="AN2031" t="s">
        <v>66</v>
      </c>
      <c r="AO2031" t="s">
        <v>67</v>
      </c>
    </row>
    <row r="2032" spans="1:41" x14ac:dyDescent="0.2">
      <c r="A2032">
        <v>371846</v>
      </c>
      <c r="B2032" t="s">
        <v>13376</v>
      </c>
      <c r="C2032" t="s">
        <v>69</v>
      </c>
      <c r="D2032" t="s">
        <v>7603</v>
      </c>
      <c r="E2032" t="s">
        <v>13377</v>
      </c>
      <c r="F2032">
        <v>102906</v>
      </c>
      <c r="G2032" s="1">
        <v>33039</v>
      </c>
      <c r="H2032" s="1">
        <v>45817</v>
      </c>
      <c r="I2032" s="1">
        <v>46174</v>
      </c>
      <c r="J2032" t="s">
        <v>45</v>
      </c>
      <c r="K2032" t="s">
        <v>45</v>
      </c>
      <c r="L2032" t="s">
        <v>429</v>
      </c>
      <c r="M2032" s="1">
        <v>42255</v>
      </c>
      <c r="N2032" t="s">
        <v>47</v>
      </c>
      <c r="O2032" t="s">
        <v>48</v>
      </c>
      <c r="P2032" t="s">
        <v>49</v>
      </c>
      <c r="Q2032" t="s">
        <v>13378</v>
      </c>
      <c r="R2032" t="s">
        <v>13379</v>
      </c>
      <c r="S2032">
        <v>6248</v>
      </c>
      <c r="T2032" t="s">
        <v>365</v>
      </c>
      <c r="U2032" t="s">
        <v>532</v>
      </c>
      <c r="V2032" t="s">
        <v>3689</v>
      </c>
      <c r="W2032" t="s">
        <v>367</v>
      </c>
      <c r="X2032" t="s">
        <v>76</v>
      </c>
      <c r="Y2032" t="s">
        <v>434</v>
      </c>
      <c r="Z2032">
        <v>186</v>
      </c>
      <c r="AA2032">
        <v>58</v>
      </c>
      <c r="AB2032">
        <v>158</v>
      </c>
      <c r="AC2032" t="s">
        <v>3690</v>
      </c>
      <c r="AD2032" t="s">
        <v>3691</v>
      </c>
      <c r="AE2032" t="s">
        <v>3692</v>
      </c>
      <c r="AF2032" t="s">
        <v>6127</v>
      </c>
      <c r="AG2032" t="s">
        <v>3694</v>
      </c>
      <c r="AH2032" t="s">
        <v>3695</v>
      </c>
      <c r="AI2032" t="s">
        <v>179</v>
      </c>
      <c r="AJ2032" s="2">
        <v>45821.554942129631</v>
      </c>
      <c r="AK2032" t="s">
        <v>568</v>
      </c>
      <c r="AL2032" t="s">
        <v>65</v>
      </c>
      <c r="AM2032" s="3">
        <v>1.8680555555555556</v>
      </c>
      <c r="AN2032" t="s">
        <v>66</v>
      </c>
      <c r="AO2032" t="s">
        <v>67</v>
      </c>
    </row>
    <row r="2033" spans="1:41" x14ac:dyDescent="0.2">
      <c r="A2033">
        <v>362560</v>
      </c>
      <c r="B2033" t="s">
        <v>13380</v>
      </c>
      <c r="C2033" t="s">
        <v>86</v>
      </c>
      <c r="D2033" t="s">
        <v>13381</v>
      </c>
      <c r="E2033" t="s">
        <v>13382</v>
      </c>
      <c r="F2033">
        <v>200405</v>
      </c>
      <c r="G2033" s="1">
        <v>37168</v>
      </c>
      <c r="H2033" s="1">
        <v>45489</v>
      </c>
      <c r="I2033" s="1">
        <v>46143</v>
      </c>
      <c r="J2033" t="s">
        <v>45</v>
      </c>
      <c r="K2033" t="s">
        <v>45</v>
      </c>
      <c r="L2033" t="s">
        <v>72</v>
      </c>
      <c r="M2033" s="1">
        <v>43640</v>
      </c>
      <c r="N2033" t="s">
        <v>47</v>
      </c>
      <c r="O2033" t="s">
        <v>48</v>
      </c>
      <c r="P2033" t="s">
        <v>49</v>
      </c>
      <c r="Q2033" t="s">
        <v>13383</v>
      </c>
      <c r="R2033" t="s">
        <v>13384</v>
      </c>
      <c r="S2033">
        <v>1133</v>
      </c>
      <c r="T2033" t="s">
        <v>257</v>
      </c>
      <c r="U2033" t="s">
        <v>258</v>
      </c>
      <c r="V2033" t="s">
        <v>13385</v>
      </c>
      <c r="W2033" t="s">
        <v>260</v>
      </c>
      <c r="X2033" t="s">
        <v>257</v>
      </c>
      <c r="Y2033" t="s">
        <v>110</v>
      </c>
      <c r="Z2033">
        <v>1398</v>
      </c>
      <c r="AA2033">
        <v>57</v>
      </c>
      <c r="AB2033">
        <v>158</v>
      </c>
      <c r="AC2033" t="s">
        <v>13386</v>
      </c>
      <c r="AD2033" t="s">
        <v>13387</v>
      </c>
      <c r="AE2033" t="s">
        <v>13388</v>
      </c>
      <c r="AF2033" t="s">
        <v>264</v>
      </c>
      <c r="AG2033" t="s">
        <v>1540</v>
      </c>
      <c r="AH2033" t="s">
        <v>266</v>
      </c>
      <c r="AJ2033" s="2">
        <v>45490.6091087963</v>
      </c>
      <c r="AK2033" t="s">
        <v>13386</v>
      </c>
      <c r="AL2033" t="s">
        <v>65</v>
      </c>
      <c r="AM2033" s="3">
        <v>1.0277777777777777</v>
      </c>
      <c r="AN2033" t="s">
        <v>66</v>
      </c>
      <c r="AO2033" t="s">
        <v>67</v>
      </c>
    </row>
    <row r="2034" spans="1:41" x14ac:dyDescent="0.2">
      <c r="A2034">
        <v>370930</v>
      </c>
      <c r="B2034" t="s">
        <v>13389</v>
      </c>
      <c r="C2034" t="s">
        <v>197</v>
      </c>
      <c r="D2034" t="s">
        <v>7831</v>
      </c>
      <c r="E2034">
        <v>32931144</v>
      </c>
      <c r="F2034">
        <v>99801</v>
      </c>
      <c r="G2034" s="1">
        <v>39846</v>
      </c>
      <c r="H2034" s="1">
        <v>45790</v>
      </c>
      <c r="I2034" s="1">
        <v>46113</v>
      </c>
      <c r="J2034" t="s">
        <v>45</v>
      </c>
      <c r="K2034" t="s">
        <v>45</v>
      </c>
      <c r="L2034" t="s">
        <v>72</v>
      </c>
      <c r="M2034" s="1">
        <v>44938</v>
      </c>
      <c r="N2034" t="s">
        <v>47</v>
      </c>
      <c r="O2034" t="s">
        <v>48</v>
      </c>
      <c r="P2034" t="s">
        <v>49</v>
      </c>
      <c r="Q2034" t="s">
        <v>13390</v>
      </c>
      <c r="R2034" t="s">
        <v>13391</v>
      </c>
      <c r="S2034">
        <v>69</v>
      </c>
      <c r="T2034" t="s">
        <v>156</v>
      </c>
      <c r="U2034" t="s">
        <v>157</v>
      </c>
      <c r="V2034" t="s">
        <v>7832</v>
      </c>
      <c r="W2034" t="s">
        <v>159</v>
      </c>
      <c r="X2034" t="s">
        <v>156</v>
      </c>
      <c r="Y2034" t="s">
        <v>110</v>
      </c>
      <c r="Z2034">
        <v>2968</v>
      </c>
      <c r="AA2034">
        <v>38</v>
      </c>
      <c r="AB2034">
        <v>45</v>
      </c>
      <c r="AC2034" t="s">
        <v>13392</v>
      </c>
      <c r="AD2034" t="s">
        <v>13393</v>
      </c>
      <c r="AE2034" t="s">
        <v>13394</v>
      </c>
      <c r="AF2034" t="s">
        <v>13395</v>
      </c>
      <c r="AG2034" t="s">
        <v>13393</v>
      </c>
      <c r="AH2034" t="s">
        <v>13396</v>
      </c>
      <c r="AI2034" t="s">
        <v>7837</v>
      </c>
      <c r="AJ2034" s="2">
        <v>45790.810127314813</v>
      </c>
      <c r="AK2034" t="s">
        <v>13397</v>
      </c>
      <c r="AL2034" t="s">
        <v>65</v>
      </c>
      <c r="AM2034" s="3">
        <v>1.9861111111111112</v>
      </c>
      <c r="AN2034" t="s">
        <v>66</v>
      </c>
      <c r="AO2034" t="s">
        <v>101</v>
      </c>
    </row>
    <row r="2035" spans="1:41" x14ac:dyDescent="0.2">
      <c r="A2035">
        <v>365061</v>
      </c>
      <c r="B2035" t="s">
        <v>13398</v>
      </c>
      <c r="C2035" t="s">
        <v>197</v>
      </c>
      <c r="D2035" t="s">
        <v>7831</v>
      </c>
      <c r="E2035" t="s">
        <v>13399</v>
      </c>
      <c r="F2035">
        <v>99803</v>
      </c>
      <c r="G2035" s="1">
        <v>42277</v>
      </c>
      <c r="H2035" s="1">
        <v>45566</v>
      </c>
      <c r="I2035" s="1">
        <v>45931</v>
      </c>
      <c r="J2035" t="s">
        <v>45</v>
      </c>
      <c r="K2035" t="s">
        <v>45</v>
      </c>
      <c r="L2035" t="s">
        <v>72</v>
      </c>
      <c r="M2035" s="1">
        <v>45237</v>
      </c>
      <c r="N2035" t="s">
        <v>47</v>
      </c>
      <c r="O2035" t="s">
        <v>48</v>
      </c>
      <c r="P2035" t="s">
        <v>49</v>
      </c>
      <c r="Q2035" t="s">
        <v>13400</v>
      </c>
      <c r="R2035" t="s">
        <v>13401</v>
      </c>
      <c r="S2035">
        <v>125</v>
      </c>
      <c r="T2035" t="s">
        <v>156</v>
      </c>
      <c r="U2035" t="s">
        <v>157</v>
      </c>
      <c r="V2035" t="s">
        <v>7832</v>
      </c>
      <c r="W2035" t="s">
        <v>159</v>
      </c>
      <c r="X2035" t="s">
        <v>156</v>
      </c>
      <c r="Y2035" t="s">
        <v>110</v>
      </c>
      <c r="Z2035">
        <v>7766</v>
      </c>
      <c r="AA2035">
        <v>25</v>
      </c>
      <c r="AB2035">
        <v>78</v>
      </c>
      <c r="AC2035" t="s">
        <v>13402</v>
      </c>
      <c r="AD2035" t="s">
        <v>13393</v>
      </c>
      <c r="AE2035" t="s">
        <v>13396</v>
      </c>
      <c r="AJ2035" s="2">
        <v>45567.733703703707</v>
      </c>
      <c r="AK2035" t="s">
        <v>13397</v>
      </c>
      <c r="AL2035" t="s">
        <v>65</v>
      </c>
      <c r="AM2035" s="4">
        <v>0.41666666666666669</v>
      </c>
      <c r="AN2035" t="s">
        <v>66</v>
      </c>
      <c r="AO2035" t="s">
        <v>67</v>
      </c>
    </row>
    <row r="2036" spans="1:41" x14ac:dyDescent="0.2">
      <c r="A2036">
        <v>367917</v>
      </c>
      <c r="B2036" t="s">
        <v>13403</v>
      </c>
      <c r="C2036" t="s">
        <v>197</v>
      </c>
      <c r="E2036" t="s">
        <v>13404</v>
      </c>
      <c r="F2036">
        <v>99802</v>
      </c>
      <c r="G2036" s="1">
        <v>44124</v>
      </c>
      <c r="H2036" s="1">
        <v>45691</v>
      </c>
      <c r="J2036" t="s">
        <v>45</v>
      </c>
      <c r="K2036" t="s">
        <v>326</v>
      </c>
      <c r="L2036" t="s">
        <v>72</v>
      </c>
      <c r="N2036" t="s">
        <v>47</v>
      </c>
      <c r="O2036" t="s">
        <v>48</v>
      </c>
      <c r="P2036" t="s">
        <v>49</v>
      </c>
      <c r="Q2036" t="s">
        <v>13405</v>
      </c>
      <c r="R2036" t="s">
        <v>13406</v>
      </c>
      <c r="S2036">
        <v>9</v>
      </c>
      <c r="T2036" t="s">
        <v>156</v>
      </c>
      <c r="U2036" t="s">
        <v>157</v>
      </c>
      <c r="V2036" t="s">
        <v>7832</v>
      </c>
      <c r="W2036" t="s">
        <v>159</v>
      </c>
      <c r="X2036" t="s">
        <v>156</v>
      </c>
      <c r="Y2036" t="s">
        <v>450</v>
      </c>
      <c r="Z2036">
        <v>1678</v>
      </c>
      <c r="AA2036">
        <v>36</v>
      </c>
      <c r="AB2036">
        <v>201</v>
      </c>
      <c r="AC2036" t="s">
        <v>13402</v>
      </c>
      <c r="AD2036" t="s">
        <v>13393</v>
      </c>
      <c r="AE2036" t="s">
        <v>13407</v>
      </c>
      <c r="AI2036" t="s">
        <v>7837</v>
      </c>
      <c r="AJ2036" s="2">
        <v>45693.806701388887</v>
      </c>
      <c r="AK2036" t="s">
        <v>526</v>
      </c>
      <c r="AL2036" t="s">
        <v>65</v>
      </c>
      <c r="AM2036" s="4">
        <v>7.6388888888888895E-2</v>
      </c>
      <c r="AN2036" t="s">
        <v>66</v>
      </c>
      <c r="AO2036" t="s">
        <v>101</v>
      </c>
    </row>
    <row r="2037" spans="1:41" x14ac:dyDescent="0.2">
      <c r="A2037">
        <v>297689</v>
      </c>
      <c r="B2037" t="s">
        <v>7832</v>
      </c>
      <c r="C2037" t="s">
        <v>197</v>
      </c>
      <c r="D2037" t="s">
        <v>7831</v>
      </c>
      <c r="E2037" t="s">
        <v>13408</v>
      </c>
      <c r="J2037" t="s">
        <v>326</v>
      </c>
      <c r="K2037" t="s">
        <v>326</v>
      </c>
      <c r="L2037" t="s">
        <v>72</v>
      </c>
      <c r="N2037" t="s">
        <v>89</v>
      </c>
      <c r="O2037" t="s">
        <v>48</v>
      </c>
      <c r="P2037" t="s">
        <v>1752</v>
      </c>
      <c r="Q2037" t="s">
        <v>13409</v>
      </c>
      <c r="R2037" t="s">
        <v>13410</v>
      </c>
      <c r="S2037">
        <v>120</v>
      </c>
      <c r="T2037" t="s">
        <v>156</v>
      </c>
      <c r="U2037" t="s">
        <v>157</v>
      </c>
      <c r="V2037" t="s">
        <v>7832</v>
      </c>
      <c r="W2037" t="s">
        <v>159</v>
      </c>
      <c r="X2037" t="s">
        <v>156</v>
      </c>
      <c r="Y2037" t="s">
        <v>410</v>
      </c>
      <c r="Z2037">
        <v>11266</v>
      </c>
      <c r="AA2037">
        <v>1</v>
      </c>
      <c r="AB2037">
        <v>45</v>
      </c>
      <c r="AC2037" t="s">
        <v>7833</v>
      </c>
      <c r="AD2037" t="s">
        <v>7834</v>
      </c>
      <c r="AE2037" t="s">
        <v>7835</v>
      </c>
      <c r="AJ2037" s="2">
        <v>44043.668900462966</v>
      </c>
      <c r="AK2037" t="s">
        <v>100</v>
      </c>
      <c r="AL2037" t="s">
        <v>475</v>
      </c>
      <c r="AM2037" s="3">
        <v>2.2291666666666665</v>
      </c>
      <c r="AN2037" t="s">
        <v>66</v>
      </c>
      <c r="AO2037" t="s">
        <v>101</v>
      </c>
    </row>
    <row r="2038" spans="1:41" x14ac:dyDescent="0.2">
      <c r="A2038">
        <v>347598</v>
      </c>
      <c r="B2038" t="s">
        <v>13411</v>
      </c>
      <c r="C2038" t="s">
        <v>3441</v>
      </c>
      <c r="D2038" t="s">
        <v>13412</v>
      </c>
      <c r="E2038" t="s">
        <v>13413</v>
      </c>
      <c r="G2038" s="1">
        <v>44831</v>
      </c>
      <c r="H2038" s="1">
        <v>44830</v>
      </c>
      <c r="I2038" s="1">
        <v>45915</v>
      </c>
      <c r="J2038" t="s">
        <v>45</v>
      </c>
      <c r="K2038" t="s">
        <v>45</v>
      </c>
      <c r="L2038" t="s">
        <v>72</v>
      </c>
      <c r="N2038" t="s">
        <v>89</v>
      </c>
      <c r="O2038" t="s">
        <v>121</v>
      </c>
      <c r="P2038" t="s">
        <v>49</v>
      </c>
      <c r="Q2038" t="s">
        <v>13414</v>
      </c>
      <c r="R2038" t="s">
        <v>13415</v>
      </c>
      <c r="S2038">
        <v>600</v>
      </c>
      <c r="T2038" t="s">
        <v>296</v>
      </c>
      <c r="U2038" t="s">
        <v>5213</v>
      </c>
      <c r="W2038" t="s">
        <v>299</v>
      </c>
      <c r="X2038" t="s">
        <v>296</v>
      </c>
      <c r="Y2038" t="s">
        <v>125</v>
      </c>
      <c r="Z2038">
        <v>5246</v>
      </c>
      <c r="AA2038">
        <v>41</v>
      </c>
      <c r="AB2038">
        <v>34</v>
      </c>
      <c r="AC2038" t="s">
        <v>13416</v>
      </c>
      <c r="AD2038" t="s">
        <v>13417</v>
      </c>
      <c r="AE2038" t="s">
        <v>13418</v>
      </c>
      <c r="AF2038" t="s">
        <v>5218</v>
      </c>
      <c r="AG2038" t="s">
        <v>5219</v>
      </c>
      <c r="AH2038" t="s">
        <v>13419</v>
      </c>
      <c r="AI2038" t="s">
        <v>13420</v>
      </c>
      <c r="AJ2038" s="2">
        <v>45028.482673611114</v>
      </c>
      <c r="AK2038" t="s">
        <v>132</v>
      </c>
      <c r="AL2038" t="s">
        <v>65</v>
      </c>
      <c r="AM2038" s="4">
        <v>0.83333333333333337</v>
      </c>
      <c r="AN2038" t="s">
        <v>66</v>
      </c>
      <c r="AO2038" t="s">
        <v>67</v>
      </c>
    </row>
    <row r="2039" spans="1:41" x14ac:dyDescent="0.2">
      <c r="A2039">
        <v>371717</v>
      </c>
      <c r="B2039" t="s">
        <v>13421</v>
      </c>
      <c r="C2039" t="s">
        <v>323</v>
      </c>
      <c r="D2039" t="s">
        <v>339</v>
      </c>
      <c r="E2039" t="s">
        <v>13422</v>
      </c>
      <c r="F2039">
        <v>500755</v>
      </c>
      <c r="G2039" s="1">
        <v>38959</v>
      </c>
      <c r="H2039" s="1">
        <v>45774</v>
      </c>
      <c r="I2039" s="1">
        <v>46037</v>
      </c>
      <c r="J2039" t="s">
        <v>45</v>
      </c>
      <c r="K2039" t="s">
        <v>45</v>
      </c>
      <c r="L2039" t="s">
        <v>72</v>
      </c>
      <c r="N2039" t="s">
        <v>47</v>
      </c>
      <c r="O2039" t="s">
        <v>48</v>
      </c>
      <c r="P2039" t="s">
        <v>406</v>
      </c>
      <c r="Q2039" t="s">
        <v>13423</v>
      </c>
      <c r="R2039" t="s">
        <v>13424</v>
      </c>
      <c r="S2039">
        <v>2314</v>
      </c>
      <c r="T2039" t="s">
        <v>1328</v>
      </c>
      <c r="U2039" t="s">
        <v>3114</v>
      </c>
      <c r="V2039" t="s">
        <v>3115</v>
      </c>
      <c r="W2039" t="s">
        <v>3116</v>
      </c>
      <c r="X2039" t="s">
        <v>1328</v>
      </c>
      <c r="Y2039" t="s">
        <v>110</v>
      </c>
      <c r="Z2039">
        <v>2867</v>
      </c>
      <c r="AA2039">
        <v>22</v>
      </c>
      <c r="AB2039">
        <v>152</v>
      </c>
      <c r="AC2039" t="s">
        <v>2833</v>
      </c>
      <c r="AD2039" t="s">
        <v>2834</v>
      </c>
      <c r="AE2039" t="s">
        <v>2835</v>
      </c>
      <c r="AJ2039" s="2">
        <v>45818.730694444443</v>
      </c>
      <c r="AK2039" t="s">
        <v>727</v>
      </c>
      <c r="AL2039" t="s">
        <v>65</v>
      </c>
      <c r="AM2039" s="3">
        <v>1.0625</v>
      </c>
      <c r="AN2039" t="s">
        <v>66</v>
      </c>
      <c r="AO2039" t="s">
        <v>67</v>
      </c>
    </row>
    <row r="2040" spans="1:41" x14ac:dyDescent="0.2">
      <c r="A2040">
        <v>369306</v>
      </c>
      <c r="B2040" t="s">
        <v>13425</v>
      </c>
      <c r="C2040" t="s">
        <v>118</v>
      </c>
      <c r="D2040" t="s">
        <v>2713</v>
      </c>
      <c r="E2040" t="s">
        <v>13426</v>
      </c>
      <c r="F2040">
        <v>20108</v>
      </c>
      <c r="G2040" s="1">
        <v>35691</v>
      </c>
      <c r="H2040" s="1">
        <v>45566</v>
      </c>
      <c r="I2040" s="1">
        <v>46249</v>
      </c>
      <c r="J2040" t="s">
        <v>45</v>
      </c>
      <c r="K2040" t="s">
        <v>45</v>
      </c>
      <c r="L2040" t="s">
        <v>429</v>
      </c>
      <c r="M2040" s="1">
        <v>44838</v>
      </c>
      <c r="N2040" t="s">
        <v>47</v>
      </c>
      <c r="O2040" t="s">
        <v>48</v>
      </c>
      <c r="P2040" t="s">
        <v>49</v>
      </c>
      <c r="Q2040" t="s">
        <v>13427</v>
      </c>
      <c r="R2040" t="s">
        <v>13428</v>
      </c>
      <c r="S2040">
        <v>2900</v>
      </c>
      <c r="T2040" t="s">
        <v>365</v>
      </c>
      <c r="U2040" t="s">
        <v>815</v>
      </c>
      <c r="V2040" t="s">
        <v>958</v>
      </c>
      <c r="W2040" t="s">
        <v>367</v>
      </c>
      <c r="X2040" t="s">
        <v>55</v>
      </c>
      <c r="Y2040" t="s">
        <v>434</v>
      </c>
      <c r="Z2040">
        <v>43</v>
      </c>
      <c r="AA2040">
        <v>57</v>
      </c>
      <c r="AB2040">
        <v>28</v>
      </c>
      <c r="AC2040" t="s">
        <v>2717</v>
      </c>
      <c r="AD2040" t="s">
        <v>2718</v>
      </c>
      <c r="AE2040" t="s">
        <v>2719</v>
      </c>
      <c r="AF2040" t="s">
        <v>2720</v>
      </c>
      <c r="AG2040" t="s">
        <v>963</v>
      </c>
      <c r="AH2040" t="s">
        <v>2721</v>
      </c>
      <c r="AI2040" t="s">
        <v>179</v>
      </c>
      <c r="AJ2040" s="2">
        <v>45734.536944444444</v>
      </c>
      <c r="AK2040" t="s">
        <v>2717</v>
      </c>
      <c r="AL2040" t="s">
        <v>65</v>
      </c>
      <c r="AM2040" s="3">
        <v>1.3958333333333333</v>
      </c>
      <c r="AN2040" t="s">
        <v>66</v>
      </c>
      <c r="AO2040" t="s">
        <v>67</v>
      </c>
    </row>
    <row r="2041" spans="1:41" x14ac:dyDescent="0.2">
      <c r="A2041">
        <v>351617</v>
      </c>
      <c r="B2041" t="s">
        <v>13429</v>
      </c>
      <c r="C2041" t="s">
        <v>692</v>
      </c>
      <c r="D2041" t="s">
        <v>1419</v>
      </c>
      <c r="E2041" t="s">
        <v>13430</v>
      </c>
      <c r="F2041">
        <v>480107</v>
      </c>
      <c r="G2041" s="1">
        <v>39643</v>
      </c>
      <c r="H2041" s="1">
        <v>43277</v>
      </c>
      <c r="J2041" t="s">
        <v>326</v>
      </c>
      <c r="K2041" t="s">
        <v>72</v>
      </c>
      <c r="L2041" t="s">
        <v>72</v>
      </c>
      <c r="M2041" s="1">
        <v>43321</v>
      </c>
      <c r="N2041" t="s">
        <v>47</v>
      </c>
      <c r="O2041" t="s">
        <v>48</v>
      </c>
      <c r="P2041" t="s">
        <v>1752</v>
      </c>
      <c r="Q2041" t="s">
        <v>13431</v>
      </c>
      <c r="R2041" t="s">
        <v>13432</v>
      </c>
      <c r="S2041">
        <v>7360</v>
      </c>
      <c r="T2041" t="s">
        <v>257</v>
      </c>
      <c r="U2041" t="s">
        <v>283</v>
      </c>
      <c r="V2041" t="s">
        <v>2084</v>
      </c>
      <c r="W2041" t="s">
        <v>260</v>
      </c>
      <c r="X2041" t="s">
        <v>257</v>
      </c>
      <c r="Y2041" t="s">
        <v>642</v>
      </c>
      <c r="Z2041">
        <v>2997</v>
      </c>
      <c r="AA2041">
        <v>11</v>
      </c>
      <c r="AB2041">
        <v>138</v>
      </c>
      <c r="AC2041" t="s">
        <v>13433</v>
      </c>
      <c r="AD2041" t="s">
        <v>9119</v>
      </c>
      <c r="AE2041" t="s">
        <v>13434</v>
      </c>
      <c r="AF2041" t="s">
        <v>13435</v>
      </c>
      <c r="AG2041" t="s">
        <v>13436</v>
      </c>
      <c r="AH2041" t="s">
        <v>13437</v>
      </c>
      <c r="AJ2041" s="2">
        <v>45174.638148148151</v>
      </c>
      <c r="AK2041" t="s">
        <v>149</v>
      </c>
      <c r="AL2041" t="s">
        <v>862</v>
      </c>
      <c r="AM2041" s="3">
        <v>1.0625</v>
      </c>
      <c r="AN2041" t="s">
        <v>66</v>
      </c>
      <c r="AO2041" t="s">
        <v>67</v>
      </c>
    </row>
    <row r="2042" spans="1:41" x14ac:dyDescent="0.2">
      <c r="A2042">
        <v>363815</v>
      </c>
      <c r="B2042" t="s">
        <v>13438</v>
      </c>
      <c r="C2042" t="s">
        <v>542</v>
      </c>
      <c r="D2042" t="s">
        <v>13439</v>
      </c>
      <c r="E2042" t="s">
        <v>13440</v>
      </c>
      <c r="F2042">
        <v>361171</v>
      </c>
      <c r="G2042" s="1">
        <v>39716</v>
      </c>
      <c r="H2042" s="1">
        <v>45523</v>
      </c>
      <c r="J2042" t="s">
        <v>45</v>
      </c>
      <c r="K2042" t="s">
        <v>45</v>
      </c>
      <c r="L2042" t="s">
        <v>72</v>
      </c>
      <c r="M2042" s="1">
        <v>44749</v>
      </c>
      <c r="N2042" t="s">
        <v>47</v>
      </c>
      <c r="O2042" t="s">
        <v>48</v>
      </c>
      <c r="P2042" t="s">
        <v>49</v>
      </c>
      <c r="Q2042" t="s">
        <v>13441</v>
      </c>
      <c r="R2042" t="s">
        <v>13442</v>
      </c>
      <c r="S2042">
        <v>1909</v>
      </c>
      <c r="T2042" t="s">
        <v>92</v>
      </c>
      <c r="U2042" t="s">
        <v>1133</v>
      </c>
      <c r="V2042" t="s">
        <v>1134</v>
      </c>
      <c r="W2042" t="s">
        <v>1135</v>
      </c>
      <c r="X2042" t="s">
        <v>449</v>
      </c>
      <c r="Y2042" t="s">
        <v>770</v>
      </c>
      <c r="Z2042">
        <v>3015</v>
      </c>
      <c r="AA2042">
        <v>35</v>
      </c>
      <c r="AB2042">
        <v>79</v>
      </c>
      <c r="AC2042" t="s">
        <v>1136</v>
      </c>
      <c r="AD2042" t="s">
        <v>1137</v>
      </c>
      <c r="AE2042" t="s">
        <v>1964</v>
      </c>
      <c r="AI2042" t="s">
        <v>1137</v>
      </c>
      <c r="AJ2042" s="2">
        <v>45524.016909722224</v>
      </c>
      <c r="AK2042" t="s">
        <v>1136</v>
      </c>
      <c r="AL2042" t="s">
        <v>65</v>
      </c>
      <c r="AM2042" s="4">
        <v>0.66666666666666663</v>
      </c>
      <c r="AN2042" t="s">
        <v>66</v>
      </c>
      <c r="AO2042" t="s">
        <v>101</v>
      </c>
    </row>
    <row r="2043" spans="1:41" x14ac:dyDescent="0.2">
      <c r="A2043">
        <v>356525</v>
      </c>
      <c r="B2043" t="s">
        <v>13443</v>
      </c>
      <c r="C2043" t="s">
        <v>182</v>
      </c>
      <c r="D2043" t="s">
        <v>1702</v>
      </c>
      <c r="E2043" t="s">
        <v>13444</v>
      </c>
      <c r="F2043">
        <v>42303</v>
      </c>
      <c r="G2043" s="1">
        <v>38495</v>
      </c>
      <c r="H2043" s="1">
        <v>43355</v>
      </c>
      <c r="I2043" s="1">
        <v>45915</v>
      </c>
      <c r="J2043" t="s">
        <v>45</v>
      </c>
      <c r="K2043" t="s">
        <v>45</v>
      </c>
      <c r="L2043" t="s">
        <v>72</v>
      </c>
      <c r="M2043" s="1">
        <v>41200</v>
      </c>
      <c r="N2043" t="s">
        <v>47</v>
      </c>
      <c r="O2043" t="s">
        <v>48</v>
      </c>
      <c r="P2043" t="s">
        <v>1752</v>
      </c>
      <c r="Q2043" t="s">
        <v>13445</v>
      </c>
      <c r="R2043" t="s">
        <v>13446</v>
      </c>
      <c r="S2043">
        <v>37</v>
      </c>
      <c r="T2043" t="s">
        <v>257</v>
      </c>
      <c r="U2043" t="s">
        <v>640</v>
      </c>
      <c r="V2043" t="s">
        <v>1706</v>
      </c>
      <c r="W2043" t="s">
        <v>260</v>
      </c>
      <c r="X2043" t="s">
        <v>257</v>
      </c>
      <c r="Y2043" t="s">
        <v>110</v>
      </c>
      <c r="Z2043">
        <v>1208</v>
      </c>
      <c r="AA2043">
        <v>26</v>
      </c>
      <c r="AB2043">
        <v>174</v>
      </c>
      <c r="AC2043" t="s">
        <v>13447</v>
      </c>
      <c r="AD2043" t="s">
        <v>13448</v>
      </c>
      <c r="AE2043" t="s">
        <v>13449</v>
      </c>
      <c r="AF2043" t="s">
        <v>13450</v>
      </c>
      <c r="AG2043" t="s">
        <v>13451</v>
      </c>
      <c r="AH2043" t="s">
        <v>13452</v>
      </c>
      <c r="AJ2043" s="2">
        <v>45313.625891203701</v>
      </c>
      <c r="AK2043" t="s">
        <v>149</v>
      </c>
      <c r="AL2043" t="s">
        <v>65</v>
      </c>
      <c r="AM2043" s="4">
        <v>0.55555555555555558</v>
      </c>
      <c r="AN2043" t="s">
        <v>66</v>
      </c>
      <c r="AO2043" t="s">
        <v>67</v>
      </c>
    </row>
    <row r="2044" spans="1:41" x14ac:dyDescent="0.2">
      <c r="A2044">
        <v>369751</v>
      </c>
      <c r="B2044" t="s">
        <v>13453</v>
      </c>
      <c r="C2044" t="s">
        <v>309</v>
      </c>
      <c r="D2044" t="s">
        <v>8509</v>
      </c>
      <c r="E2044" t="s">
        <v>13454</v>
      </c>
      <c r="G2044" s="1">
        <v>45750</v>
      </c>
      <c r="H2044" s="1">
        <v>45566</v>
      </c>
      <c r="J2044" t="s">
        <v>45</v>
      </c>
      <c r="K2044" t="s">
        <v>45</v>
      </c>
      <c r="L2044" t="s">
        <v>46</v>
      </c>
      <c r="N2044" t="s">
        <v>47</v>
      </c>
      <c r="O2044" t="s">
        <v>48</v>
      </c>
      <c r="P2044" t="s">
        <v>49</v>
      </c>
      <c r="Q2044" t="s">
        <v>13455</v>
      </c>
      <c r="R2044" t="s">
        <v>13456</v>
      </c>
      <c r="S2044">
        <v>547</v>
      </c>
      <c r="T2044" t="s">
        <v>92</v>
      </c>
      <c r="U2044" t="s">
        <v>313</v>
      </c>
      <c r="V2044" t="s">
        <v>314</v>
      </c>
      <c r="W2044" t="s">
        <v>315</v>
      </c>
      <c r="X2044" t="s">
        <v>92</v>
      </c>
      <c r="Y2044" t="s">
        <v>96</v>
      </c>
      <c r="Z2044">
        <v>12294</v>
      </c>
      <c r="AA2044">
        <v>5</v>
      </c>
      <c r="AB2044">
        <v>44</v>
      </c>
      <c r="AC2044" t="s">
        <v>316</v>
      </c>
      <c r="AD2044" t="s">
        <v>317</v>
      </c>
      <c r="AE2044" t="s">
        <v>318</v>
      </c>
      <c r="AF2044" t="s">
        <v>8548</v>
      </c>
      <c r="AG2044" t="s">
        <v>13457</v>
      </c>
      <c r="AH2044" t="s">
        <v>8550</v>
      </c>
      <c r="AJ2044" s="2">
        <v>45750.877881944441</v>
      </c>
      <c r="AK2044" t="s">
        <v>276</v>
      </c>
      <c r="AL2044" t="s">
        <v>65</v>
      </c>
      <c r="AM2044" s="3">
        <v>1.9965277777777777</v>
      </c>
      <c r="AN2044" t="s">
        <v>66</v>
      </c>
      <c r="AO2044" t="s">
        <v>67</v>
      </c>
    </row>
    <row r="2045" spans="1:41" x14ac:dyDescent="0.2">
      <c r="A2045">
        <v>373002</v>
      </c>
      <c r="B2045" t="s">
        <v>13458</v>
      </c>
      <c r="C2045" t="s">
        <v>788</v>
      </c>
      <c r="D2045" t="s">
        <v>2871</v>
      </c>
      <c r="E2045" t="s">
        <v>13459</v>
      </c>
      <c r="F2045">
        <v>81301</v>
      </c>
      <c r="G2045" s="1">
        <v>34823</v>
      </c>
      <c r="H2045" s="1">
        <v>45627</v>
      </c>
      <c r="I2045" s="1">
        <v>45992</v>
      </c>
      <c r="J2045" t="s">
        <v>45</v>
      </c>
      <c r="K2045" t="s">
        <v>45</v>
      </c>
      <c r="L2045" t="s">
        <v>545</v>
      </c>
      <c r="M2045" s="1">
        <v>45264</v>
      </c>
      <c r="N2045" t="s">
        <v>47</v>
      </c>
      <c r="O2045" t="s">
        <v>48</v>
      </c>
      <c r="P2045" t="s">
        <v>49</v>
      </c>
      <c r="Q2045" t="s">
        <v>13460</v>
      </c>
      <c r="R2045" t="s">
        <v>13461</v>
      </c>
      <c r="S2045">
        <v>175</v>
      </c>
      <c r="T2045" t="s">
        <v>52</v>
      </c>
      <c r="U2045">
        <v>8</v>
      </c>
      <c r="V2045" t="s">
        <v>793</v>
      </c>
      <c r="W2045" t="s">
        <v>54</v>
      </c>
      <c r="X2045" t="s">
        <v>76</v>
      </c>
      <c r="Y2045" t="s">
        <v>56</v>
      </c>
      <c r="Z2045">
        <v>1051</v>
      </c>
      <c r="AA2045">
        <v>56</v>
      </c>
      <c r="AB2045">
        <v>15</v>
      </c>
      <c r="AC2045" t="s">
        <v>797</v>
      </c>
      <c r="AD2045" t="s">
        <v>2864</v>
      </c>
      <c r="AE2045" t="s">
        <v>6891</v>
      </c>
      <c r="AF2045" t="s">
        <v>6892</v>
      </c>
      <c r="AG2045" t="s">
        <v>6893</v>
      </c>
      <c r="AH2045" t="s">
        <v>13462</v>
      </c>
      <c r="AJ2045" s="2">
        <v>45855.994756944441</v>
      </c>
      <c r="AK2045" t="s">
        <v>556</v>
      </c>
      <c r="AL2045" t="s">
        <v>65</v>
      </c>
      <c r="AM2045" s="4">
        <v>0.80208333333333337</v>
      </c>
      <c r="AN2045" t="s">
        <v>66</v>
      </c>
      <c r="AO2045" t="s">
        <v>101</v>
      </c>
    </row>
    <row r="2046" spans="1:41" x14ac:dyDescent="0.2">
      <c r="A2046">
        <v>366396</v>
      </c>
      <c r="B2046" t="s">
        <v>13463</v>
      </c>
      <c r="C2046" t="s">
        <v>221</v>
      </c>
      <c r="D2046" t="s">
        <v>13464</v>
      </c>
      <c r="E2046" t="s">
        <v>13465</v>
      </c>
      <c r="F2046">
        <v>11401</v>
      </c>
      <c r="G2046" s="1">
        <v>42614</v>
      </c>
      <c r="H2046" s="1">
        <v>45440</v>
      </c>
      <c r="I2046" s="1">
        <v>46113</v>
      </c>
      <c r="J2046" t="s">
        <v>45</v>
      </c>
      <c r="K2046" t="s">
        <v>45</v>
      </c>
      <c r="L2046" t="s">
        <v>72</v>
      </c>
      <c r="N2046" t="s">
        <v>47</v>
      </c>
      <c r="O2046" t="s">
        <v>48</v>
      </c>
      <c r="P2046" t="s">
        <v>49</v>
      </c>
      <c r="Q2046" t="s">
        <v>13466</v>
      </c>
      <c r="R2046" t="s">
        <v>13467</v>
      </c>
      <c r="S2046">
        <v>1104</v>
      </c>
      <c r="T2046" t="s">
        <v>92</v>
      </c>
      <c r="U2046" t="s">
        <v>226</v>
      </c>
      <c r="V2046" t="s">
        <v>227</v>
      </c>
      <c r="W2046" t="s">
        <v>228</v>
      </c>
      <c r="X2046" t="s">
        <v>92</v>
      </c>
      <c r="Y2046" t="s">
        <v>110</v>
      </c>
      <c r="Z2046">
        <v>8506</v>
      </c>
      <c r="AA2046">
        <v>18</v>
      </c>
      <c r="AB2046">
        <v>78</v>
      </c>
      <c r="AC2046" t="s">
        <v>229</v>
      </c>
      <c r="AD2046" t="s">
        <v>230</v>
      </c>
      <c r="AE2046" t="s">
        <v>231</v>
      </c>
      <c r="AF2046" t="s">
        <v>232</v>
      </c>
      <c r="AG2046" t="s">
        <v>13468</v>
      </c>
      <c r="AH2046" t="s">
        <v>234</v>
      </c>
      <c r="AJ2046" s="2">
        <v>45616.908391203702</v>
      </c>
      <c r="AK2046" t="s">
        <v>132</v>
      </c>
      <c r="AL2046" t="s">
        <v>65</v>
      </c>
      <c r="AM2046" s="3">
        <v>1.0555555555555556</v>
      </c>
      <c r="AN2046" t="s">
        <v>66</v>
      </c>
      <c r="AO2046" t="s">
        <v>67</v>
      </c>
    </row>
    <row r="2047" spans="1:41" x14ac:dyDescent="0.2">
      <c r="A2047">
        <v>372216</v>
      </c>
      <c r="B2047" t="s">
        <v>13469</v>
      </c>
      <c r="C2047" t="s">
        <v>167</v>
      </c>
      <c r="D2047" t="s">
        <v>6941</v>
      </c>
      <c r="E2047" t="s">
        <v>13470</v>
      </c>
      <c r="F2047">
        <v>353114</v>
      </c>
      <c r="G2047" s="1">
        <v>40444</v>
      </c>
      <c r="H2047" s="1">
        <v>45833</v>
      </c>
      <c r="I2047" s="1">
        <v>46157</v>
      </c>
      <c r="J2047" t="s">
        <v>45</v>
      </c>
      <c r="K2047" t="s">
        <v>45</v>
      </c>
      <c r="L2047" t="s">
        <v>72</v>
      </c>
      <c r="M2047" s="1">
        <v>44006</v>
      </c>
      <c r="N2047" t="s">
        <v>47</v>
      </c>
      <c r="O2047" t="s">
        <v>48</v>
      </c>
      <c r="P2047" t="s">
        <v>49</v>
      </c>
      <c r="Q2047" t="s">
        <v>13471</v>
      </c>
      <c r="R2047" t="s">
        <v>13472</v>
      </c>
      <c r="S2047">
        <v>4429</v>
      </c>
      <c r="T2047" t="s">
        <v>52</v>
      </c>
      <c r="U2047">
        <v>6</v>
      </c>
      <c r="V2047" t="s">
        <v>172</v>
      </c>
      <c r="W2047" t="s">
        <v>54</v>
      </c>
      <c r="X2047" t="s">
        <v>76</v>
      </c>
      <c r="Y2047" t="s">
        <v>56</v>
      </c>
      <c r="Z2047">
        <v>828</v>
      </c>
      <c r="AA2047">
        <v>54</v>
      </c>
      <c r="AB2047">
        <v>158</v>
      </c>
      <c r="AC2047" t="s">
        <v>173</v>
      </c>
      <c r="AD2047" t="s">
        <v>174</v>
      </c>
      <c r="AE2047" t="s">
        <v>175</v>
      </c>
      <c r="AF2047" t="s">
        <v>5827</v>
      </c>
      <c r="AG2047" t="s">
        <v>5828</v>
      </c>
      <c r="AH2047" t="s">
        <v>5829</v>
      </c>
      <c r="AI2047" t="s">
        <v>13473</v>
      </c>
      <c r="AJ2047" s="2">
        <v>45834.081412037034</v>
      </c>
      <c r="AK2047" t="s">
        <v>84</v>
      </c>
      <c r="AL2047" t="s">
        <v>65</v>
      </c>
      <c r="AM2047" s="3">
        <v>1.9027777777777777</v>
      </c>
      <c r="AN2047" t="s">
        <v>66</v>
      </c>
      <c r="AO2047" t="s">
        <v>67</v>
      </c>
    </row>
    <row r="2048" spans="1:41" x14ac:dyDescent="0.2">
      <c r="A2048">
        <v>370244</v>
      </c>
      <c r="B2048" t="s">
        <v>13474</v>
      </c>
      <c r="C2048" t="s">
        <v>182</v>
      </c>
      <c r="D2048" t="s">
        <v>183</v>
      </c>
      <c r="E2048" t="s">
        <v>13475</v>
      </c>
      <c r="G2048" s="1">
        <v>44842</v>
      </c>
      <c r="H2048" s="1">
        <v>45762</v>
      </c>
      <c r="I2048" s="1">
        <v>46113</v>
      </c>
      <c r="J2048" t="s">
        <v>45</v>
      </c>
      <c r="K2048" t="s">
        <v>45</v>
      </c>
      <c r="L2048" t="s">
        <v>46</v>
      </c>
      <c r="N2048" t="s">
        <v>47</v>
      </c>
      <c r="O2048" t="s">
        <v>48</v>
      </c>
      <c r="P2048" t="s">
        <v>49</v>
      </c>
      <c r="Q2048" t="s">
        <v>13476</v>
      </c>
      <c r="R2048" t="s">
        <v>13477</v>
      </c>
      <c r="S2048">
        <v>926</v>
      </c>
      <c r="T2048" t="s">
        <v>1328</v>
      </c>
      <c r="U2048" t="s">
        <v>6905</v>
      </c>
      <c r="V2048" t="s">
        <v>6906</v>
      </c>
      <c r="W2048" t="s">
        <v>6907</v>
      </c>
      <c r="X2048" t="s">
        <v>493</v>
      </c>
      <c r="Y2048" t="s">
        <v>434</v>
      </c>
      <c r="Z2048">
        <v>3051</v>
      </c>
      <c r="AA2048">
        <v>22</v>
      </c>
      <c r="AB2048">
        <v>138</v>
      </c>
      <c r="AC2048" t="s">
        <v>6908</v>
      </c>
      <c r="AD2048" t="s">
        <v>6909</v>
      </c>
      <c r="AE2048" t="s">
        <v>6910</v>
      </c>
      <c r="AF2048" t="s">
        <v>6911</v>
      </c>
      <c r="AG2048" t="s">
        <v>6912</v>
      </c>
      <c r="AH2048" t="s">
        <v>6913</v>
      </c>
      <c r="AJ2048" s="2">
        <v>45768.615347222221</v>
      </c>
      <c r="AK2048" t="s">
        <v>1472</v>
      </c>
      <c r="AL2048" t="s">
        <v>65</v>
      </c>
      <c r="AM2048" s="3">
        <v>1.8055555555555556</v>
      </c>
      <c r="AN2048" t="s">
        <v>66</v>
      </c>
      <c r="AO2048" t="s">
        <v>67</v>
      </c>
    </row>
    <row r="2049" spans="1:41" x14ac:dyDescent="0.2">
      <c r="A2049">
        <v>370243</v>
      </c>
      <c r="B2049" t="s">
        <v>13478</v>
      </c>
      <c r="C2049" t="s">
        <v>182</v>
      </c>
      <c r="D2049" t="s">
        <v>183</v>
      </c>
      <c r="E2049" s="5" t="s">
        <v>13479</v>
      </c>
      <c r="G2049" s="1">
        <v>44841</v>
      </c>
      <c r="H2049" s="1">
        <v>45762</v>
      </c>
      <c r="I2049" s="1">
        <v>46113</v>
      </c>
      <c r="J2049" t="s">
        <v>45</v>
      </c>
      <c r="K2049" t="s">
        <v>45</v>
      </c>
      <c r="L2049" t="s">
        <v>46</v>
      </c>
      <c r="M2049" s="1">
        <v>45402</v>
      </c>
      <c r="N2049" t="s">
        <v>47</v>
      </c>
      <c r="O2049" t="s">
        <v>48</v>
      </c>
      <c r="P2049" t="s">
        <v>49</v>
      </c>
      <c r="Q2049" t="s">
        <v>13480</v>
      </c>
      <c r="R2049" t="s">
        <v>13481</v>
      </c>
      <c r="S2049">
        <v>1112</v>
      </c>
      <c r="T2049" t="s">
        <v>1328</v>
      </c>
      <c r="U2049" t="s">
        <v>6905</v>
      </c>
      <c r="V2049" t="s">
        <v>6906</v>
      </c>
      <c r="W2049" t="s">
        <v>6907</v>
      </c>
      <c r="X2049" t="s">
        <v>493</v>
      </c>
      <c r="Y2049" t="s">
        <v>434</v>
      </c>
      <c r="Z2049">
        <v>3052</v>
      </c>
      <c r="AA2049">
        <v>22</v>
      </c>
      <c r="AB2049">
        <v>138</v>
      </c>
      <c r="AC2049" t="s">
        <v>6908</v>
      </c>
      <c r="AD2049" t="s">
        <v>6909</v>
      </c>
      <c r="AE2049" t="s">
        <v>6910</v>
      </c>
      <c r="AF2049" t="s">
        <v>6911</v>
      </c>
      <c r="AG2049" t="s">
        <v>6912</v>
      </c>
      <c r="AH2049" t="s">
        <v>6913</v>
      </c>
      <c r="AJ2049" s="2">
        <v>45768.610439814816</v>
      </c>
      <c r="AK2049" t="s">
        <v>1472</v>
      </c>
      <c r="AL2049" t="s">
        <v>65</v>
      </c>
      <c r="AM2049" s="3">
        <v>1.7847222222222223</v>
      </c>
      <c r="AN2049" t="s">
        <v>66</v>
      </c>
      <c r="AO2049" t="s">
        <v>67</v>
      </c>
    </row>
    <row r="2050" spans="1:41" x14ac:dyDescent="0.2">
      <c r="A2050">
        <v>367004</v>
      </c>
      <c r="B2050" t="s">
        <v>13482</v>
      </c>
      <c r="C2050" t="s">
        <v>182</v>
      </c>
      <c r="D2050" t="s">
        <v>811</v>
      </c>
      <c r="E2050" t="s">
        <v>13483</v>
      </c>
      <c r="F2050">
        <v>45127</v>
      </c>
      <c r="G2050" s="1">
        <v>33500</v>
      </c>
      <c r="H2050" s="1">
        <v>45644</v>
      </c>
      <c r="I2050" s="1">
        <v>45962</v>
      </c>
      <c r="J2050" t="s">
        <v>45</v>
      </c>
      <c r="K2050" t="s">
        <v>45</v>
      </c>
      <c r="L2050" t="s">
        <v>429</v>
      </c>
      <c r="M2050" s="1">
        <v>40626</v>
      </c>
      <c r="N2050" t="s">
        <v>47</v>
      </c>
      <c r="O2050" t="s">
        <v>48</v>
      </c>
      <c r="P2050" t="s">
        <v>49</v>
      </c>
      <c r="Q2050" t="s">
        <v>13484</v>
      </c>
      <c r="R2050" t="s">
        <v>13485</v>
      </c>
      <c r="S2050">
        <v>3240</v>
      </c>
      <c r="T2050" t="s">
        <v>365</v>
      </c>
      <c r="U2050" t="s">
        <v>815</v>
      </c>
      <c r="V2050" t="s">
        <v>816</v>
      </c>
      <c r="W2050" t="s">
        <v>367</v>
      </c>
      <c r="X2050" t="s">
        <v>493</v>
      </c>
      <c r="Y2050" t="s">
        <v>434</v>
      </c>
      <c r="Z2050">
        <v>91</v>
      </c>
      <c r="AA2050">
        <v>57</v>
      </c>
      <c r="AB2050">
        <v>158</v>
      </c>
      <c r="AC2050" t="s">
        <v>4600</v>
      </c>
      <c r="AD2050" t="s">
        <v>818</v>
      </c>
      <c r="AE2050" t="s">
        <v>819</v>
      </c>
      <c r="AI2050" t="s">
        <v>179</v>
      </c>
      <c r="AJ2050" s="2">
        <v>45652.857361111113</v>
      </c>
      <c r="AK2050" t="s">
        <v>556</v>
      </c>
      <c r="AL2050" t="s">
        <v>65</v>
      </c>
      <c r="AM2050" s="4">
        <v>0.59722222222222221</v>
      </c>
      <c r="AN2050" t="s">
        <v>66</v>
      </c>
      <c r="AO2050" t="s">
        <v>67</v>
      </c>
    </row>
    <row r="2051" spans="1:41" x14ac:dyDescent="0.2">
      <c r="A2051">
        <v>363194</v>
      </c>
      <c r="B2051" t="s">
        <v>13486</v>
      </c>
      <c r="C2051" t="s">
        <v>182</v>
      </c>
      <c r="D2051" t="s">
        <v>932</v>
      </c>
      <c r="E2051" t="s">
        <v>13487</v>
      </c>
      <c r="F2051">
        <v>41215</v>
      </c>
      <c r="G2051" s="1">
        <v>33482</v>
      </c>
      <c r="H2051" s="1">
        <v>45497</v>
      </c>
      <c r="J2051" t="s">
        <v>45</v>
      </c>
      <c r="K2051" t="s">
        <v>72</v>
      </c>
      <c r="L2051" t="s">
        <v>72</v>
      </c>
      <c r="M2051" s="1">
        <v>38490</v>
      </c>
      <c r="N2051" t="s">
        <v>47</v>
      </c>
      <c r="O2051" t="s">
        <v>48</v>
      </c>
      <c r="P2051" t="s">
        <v>49</v>
      </c>
      <c r="Q2051" t="s">
        <v>13488</v>
      </c>
      <c r="R2051" t="s">
        <v>13489</v>
      </c>
      <c r="S2051">
        <v>268</v>
      </c>
      <c r="T2051" t="s">
        <v>92</v>
      </c>
      <c r="U2051" t="s">
        <v>187</v>
      </c>
      <c r="V2051" t="s">
        <v>447</v>
      </c>
      <c r="W2051" t="s">
        <v>448</v>
      </c>
      <c r="X2051" t="s">
        <v>92</v>
      </c>
      <c r="Y2051" t="s">
        <v>450</v>
      </c>
      <c r="Z2051">
        <v>1228</v>
      </c>
      <c r="AA2051">
        <v>54</v>
      </c>
      <c r="AB2051">
        <v>142</v>
      </c>
      <c r="AC2051" t="s">
        <v>454</v>
      </c>
      <c r="AD2051" t="s">
        <v>473</v>
      </c>
      <c r="AE2051" t="s">
        <v>474</v>
      </c>
      <c r="AF2051" t="s">
        <v>13490</v>
      </c>
      <c r="AJ2051" s="2">
        <v>45506.69394675926</v>
      </c>
      <c r="AK2051" t="s">
        <v>526</v>
      </c>
      <c r="AL2051" t="s">
        <v>475</v>
      </c>
      <c r="AM2051" s="3">
        <v>2.2881944444444446</v>
      </c>
      <c r="AN2051" t="s">
        <v>66</v>
      </c>
      <c r="AO2051" t="s">
        <v>67</v>
      </c>
    </row>
    <row r="2052" spans="1:41" x14ac:dyDescent="0.2">
      <c r="A2052">
        <v>372568</v>
      </c>
      <c r="B2052" t="s">
        <v>13491</v>
      </c>
      <c r="C2052" t="s">
        <v>69</v>
      </c>
      <c r="D2052" t="s">
        <v>6193</v>
      </c>
      <c r="E2052" s="5" t="s">
        <v>13492</v>
      </c>
      <c r="G2052" s="1">
        <v>45504</v>
      </c>
      <c r="H2052" s="1">
        <v>45790</v>
      </c>
      <c r="I2052" s="1">
        <v>46143</v>
      </c>
      <c r="J2052" t="s">
        <v>45</v>
      </c>
      <c r="K2052" t="s">
        <v>45</v>
      </c>
      <c r="L2052" t="s">
        <v>72</v>
      </c>
      <c r="M2052" s="1">
        <v>41919</v>
      </c>
      <c r="N2052" t="s">
        <v>47</v>
      </c>
      <c r="O2052" t="s">
        <v>121</v>
      </c>
      <c r="P2052" t="s">
        <v>49</v>
      </c>
      <c r="Q2052" t="s">
        <v>13493</v>
      </c>
      <c r="R2052" t="s">
        <v>13494</v>
      </c>
      <c r="S2052">
        <v>6100</v>
      </c>
      <c r="T2052" t="s">
        <v>52</v>
      </c>
      <c r="U2052">
        <v>1</v>
      </c>
      <c r="V2052" t="s">
        <v>4698</v>
      </c>
      <c r="W2052" t="s">
        <v>54</v>
      </c>
      <c r="X2052" t="s">
        <v>52</v>
      </c>
      <c r="Y2052" t="s">
        <v>125</v>
      </c>
      <c r="Z2052">
        <v>2595</v>
      </c>
      <c r="AA2052">
        <v>94</v>
      </c>
      <c r="AB2052">
        <v>144</v>
      </c>
      <c r="AC2052" t="s">
        <v>6812</v>
      </c>
      <c r="AD2052" t="s">
        <v>6813</v>
      </c>
      <c r="AE2052" t="s">
        <v>6814</v>
      </c>
      <c r="AF2052" t="s">
        <v>4702</v>
      </c>
      <c r="AG2052" t="s">
        <v>4703</v>
      </c>
      <c r="AH2052" t="s">
        <v>4704</v>
      </c>
      <c r="AI2052" t="s">
        <v>13495</v>
      </c>
      <c r="AJ2052" s="2">
        <v>45845.764652777776</v>
      </c>
      <c r="AK2052" t="s">
        <v>800</v>
      </c>
      <c r="AL2052" t="s">
        <v>65</v>
      </c>
      <c r="AM2052" s="3">
        <v>2.0138888888888888</v>
      </c>
      <c r="AN2052" t="s">
        <v>66</v>
      </c>
      <c r="AO2052" t="s">
        <v>67</v>
      </c>
    </row>
    <row r="2053" spans="1:41" x14ac:dyDescent="0.2">
      <c r="A2053">
        <v>373006</v>
      </c>
      <c r="B2053" t="s">
        <v>13496</v>
      </c>
      <c r="C2053" t="s">
        <v>221</v>
      </c>
      <c r="D2053" t="s">
        <v>5695</v>
      </c>
      <c r="E2053" t="s">
        <v>13497</v>
      </c>
      <c r="F2053">
        <v>15902</v>
      </c>
      <c r="G2053" s="1">
        <v>34905</v>
      </c>
      <c r="H2053" s="1">
        <v>45616</v>
      </c>
      <c r="I2053" s="1">
        <v>45992</v>
      </c>
      <c r="J2053" t="s">
        <v>45</v>
      </c>
      <c r="K2053" t="s">
        <v>326</v>
      </c>
      <c r="L2053" t="s">
        <v>46</v>
      </c>
      <c r="M2053" s="1">
        <v>41110</v>
      </c>
      <c r="N2053" t="s">
        <v>47</v>
      </c>
      <c r="O2053" t="s">
        <v>48</v>
      </c>
      <c r="P2053" t="s">
        <v>49</v>
      </c>
      <c r="Q2053" t="s">
        <v>13498</v>
      </c>
      <c r="R2053" t="s">
        <v>13499</v>
      </c>
      <c r="S2053">
        <v>275</v>
      </c>
      <c r="T2053" t="s">
        <v>52</v>
      </c>
      <c r="U2053">
        <v>8</v>
      </c>
      <c r="V2053" t="s">
        <v>1648</v>
      </c>
      <c r="W2053" t="s">
        <v>54</v>
      </c>
      <c r="X2053" t="s">
        <v>76</v>
      </c>
      <c r="Y2053" t="s">
        <v>56</v>
      </c>
      <c r="Z2053">
        <v>1041</v>
      </c>
      <c r="AA2053">
        <v>44</v>
      </c>
      <c r="AB2053">
        <v>45</v>
      </c>
      <c r="AC2053" t="s">
        <v>6457</v>
      </c>
      <c r="AD2053" t="s">
        <v>6458</v>
      </c>
      <c r="AE2053" t="s">
        <v>6459</v>
      </c>
      <c r="AF2053" t="s">
        <v>6460</v>
      </c>
      <c r="AG2053" t="s">
        <v>1653</v>
      </c>
      <c r="AH2053" t="s">
        <v>1654</v>
      </c>
      <c r="AI2053" t="s">
        <v>6461</v>
      </c>
      <c r="AJ2053" s="2">
        <v>45855.997372685182</v>
      </c>
      <c r="AK2053" t="s">
        <v>556</v>
      </c>
      <c r="AL2053" t="s">
        <v>65</v>
      </c>
      <c r="AM2053" s="3">
        <v>1.9513888888888888</v>
      </c>
      <c r="AN2053" t="s">
        <v>66</v>
      </c>
      <c r="AO2053" t="s">
        <v>101</v>
      </c>
    </row>
    <row r="2054" spans="1:41" x14ac:dyDescent="0.2">
      <c r="A2054">
        <v>365922</v>
      </c>
      <c r="B2054" t="s">
        <v>13500</v>
      </c>
      <c r="C2054" t="s">
        <v>151</v>
      </c>
      <c r="D2054" t="s">
        <v>13501</v>
      </c>
      <c r="E2054" t="s">
        <v>13502</v>
      </c>
      <c r="F2054">
        <v>383201</v>
      </c>
      <c r="G2054" s="1">
        <v>43424</v>
      </c>
      <c r="H2054" s="1">
        <v>45583</v>
      </c>
      <c r="I2054" s="1">
        <v>45945</v>
      </c>
      <c r="J2054" t="s">
        <v>45</v>
      </c>
      <c r="K2054" t="s">
        <v>45</v>
      </c>
      <c r="L2054" t="s">
        <v>72</v>
      </c>
      <c r="M2054" s="1">
        <v>44067</v>
      </c>
      <c r="N2054" t="s">
        <v>47</v>
      </c>
      <c r="O2054" t="s">
        <v>48</v>
      </c>
      <c r="P2054" t="s">
        <v>49</v>
      </c>
      <c r="Q2054" t="s">
        <v>13503</v>
      </c>
      <c r="R2054" t="s">
        <v>13504</v>
      </c>
      <c r="S2054">
        <v>321</v>
      </c>
      <c r="T2054" t="s">
        <v>92</v>
      </c>
      <c r="U2054" t="s">
        <v>6005</v>
      </c>
      <c r="V2054" t="s">
        <v>5510</v>
      </c>
      <c r="W2054" t="s">
        <v>6006</v>
      </c>
      <c r="X2054" t="s">
        <v>92</v>
      </c>
      <c r="Y2054" t="s">
        <v>110</v>
      </c>
      <c r="Z2054">
        <v>9207</v>
      </c>
      <c r="AA2054">
        <v>12</v>
      </c>
      <c r="AB2054">
        <v>45</v>
      </c>
      <c r="AC2054" t="s">
        <v>6007</v>
      </c>
      <c r="AD2054" t="s">
        <v>6008</v>
      </c>
      <c r="AE2054" t="s">
        <v>6009</v>
      </c>
      <c r="AF2054" t="s">
        <v>13505</v>
      </c>
      <c r="AG2054" t="s">
        <v>13506</v>
      </c>
      <c r="AH2054" t="s">
        <v>13507</v>
      </c>
      <c r="AJ2054" s="2">
        <v>45595.771087962959</v>
      </c>
      <c r="AK2054" t="s">
        <v>6007</v>
      </c>
      <c r="AL2054" t="s">
        <v>65</v>
      </c>
      <c r="AM2054" s="4">
        <v>0.70138888888888884</v>
      </c>
      <c r="AN2054" t="s">
        <v>66</v>
      </c>
      <c r="AO2054" t="s">
        <v>67</v>
      </c>
    </row>
    <row r="2055" spans="1:41" x14ac:dyDescent="0.2">
      <c r="A2055">
        <v>368880</v>
      </c>
      <c r="B2055" t="s">
        <v>13508</v>
      </c>
      <c r="C2055" t="s">
        <v>182</v>
      </c>
      <c r="D2055" t="s">
        <v>3934</v>
      </c>
      <c r="E2055" t="s">
        <v>13509</v>
      </c>
      <c r="F2055">
        <v>43503</v>
      </c>
      <c r="G2055" s="1">
        <v>44452</v>
      </c>
      <c r="H2055" s="1">
        <v>45706</v>
      </c>
      <c r="I2055" s="1">
        <v>46266</v>
      </c>
      <c r="J2055" t="s">
        <v>45</v>
      </c>
      <c r="K2055" t="s">
        <v>45</v>
      </c>
      <c r="L2055" t="s">
        <v>72</v>
      </c>
      <c r="N2055" t="s">
        <v>47</v>
      </c>
      <c r="O2055" t="s">
        <v>48</v>
      </c>
      <c r="P2055" t="s">
        <v>406</v>
      </c>
      <c r="Q2055" t="s">
        <v>13510</v>
      </c>
      <c r="R2055" t="s">
        <v>13511</v>
      </c>
      <c r="S2055">
        <v>1345</v>
      </c>
      <c r="T2055" t="s">
        <v>92</v>
      </c>
      <c r="U2055" t="s">
        <v>187</v>
      </c>
      <c r="V2055" t="s">
        <v>4009</v>
      </c>
      <c r="W2055" t="s">
        <v>2751</v>
      </c>
      <c r="X2055" t="s">
        <v>92</v>
      </c>
      <c r="Y2055" t="s">
        <v>110</v>
      </c>
      <c r="Z2055">
        <v>11726</v>
      </c>
      <c r="AA2055">
        <v>7</v>
      </c>
      <c r="AB2055">
        <v>78</v>
      </c>
      <c r="AC2055" t="s">
        <v>2755</v>
      </c>
      <c r="AD2055" t="s">
        <v>13512</v>
      </c>
      <c r="AE2055" t="s">
        <v>2757</v>
      </c>
      <c r="AF2055" t="s">
        <v>2752</v>
      </c>
      <c r="AG2055" t="s">
        <v>2753</v>
      </c>
      <c r="AH2055" t="s">
        <v>2754</v>
      </c>
      <c r="AI2055" t="s">
        <v>2756</v>
      </c>
      <c r="AJ2055" s="2">
        <v>45722.888136574074</v>
      </c>
      <c r="AK2055" t="s">
        <v>100</v>
      </c>
      <c r="AL2055" t="s">
        <v>65</v>
      </c>
      <c r="AM2055" s="4">
        <v>0.30555555555555558</v>
      </c>
      <c r="AN2055" t="s">
        <v>66</v>
      </c>
      <c r="AO2055" t="s">
        <v>67</v>
      </c>
    </row>
    <row r="2056" spans="1:41" x14ac:dyDescent="0.2">
      <c r="A2056">
        <v>371888</v>
      </c>
      <c r="B2056" t="s">
        <v>13513</v>
      </c>
      <c r="C2056" t="s">
        <v>134</v>
      </c>
      <c r="D2056" t="s">
        <v>214</v>
      </c>
      <c r="E2056" t="s">
        <v>13514</v>
      </c>
      <c r="F2056">
        <v>452039</v>
      </c>
      <c r="G2056" s="1">
        <v>33619</v>
      </c>
      <c r="H2056" s="1">
        <v>45812</v>
      </c>
      <c r="I2056" s="1">
        <v>46174</v>
      </c>
      <c r="J2056" t="s">
        <v>45</v>
      </c>
      <c r="K2056" t="s">
        <v>45</v>
      </c>
      <c r="L2056" t="s">
        <v>429</v>
      </c>
      <c r="M2056" s="1">
        <v>45140</v>
      </c>
      <c r="N2056" t="s">
        <v>47</v>
      </c>
      <c r="O2056" t="s">
        <v>48</v>
      </c>
      <c r="P2056" t="s">
        <v>49</v>
      </c>
      <c r="Q2056" t="s">
        <v>13515</v>
      </c>
      <c r="R2056" t="s">
        <v>13516</v>
      </c>
      <c r="S2056">
        <v>1450</v>
      </c>
      <c r="T2056" t="s">
        <v>365</v>
      </c>
      <c r="U2056" t="s">
        <v>532</v>
      </c>
      <c r="V2056" t="s">
        <v>6560</v>
      </c>
      <c r="W2056" t="s">
        <v>367</v>
      </c>
      <c r="X2056" t="s">
        <v>76</v>
      </c>
      <c r="Y2056" t="s">
        <v>434</v>
      </c>
      <c r="Z2056">
        <v>373</v>
      </c>
      <c r="AA2056">
        <v>93</v>
      </c>
      <c r="AB2056">
        <v>142</v>
      </c>
      <c r="AC2056" t="s">
        <v>6561</v>
      </c>
      <c r="AD2056" t="s">
        <v>6562</v>
      </c>
      <c r="AE2056" t="s">
        <v>6563</v>
      </c>
      <c r="AI2056" t="s">
        <v>179</v>
      </c>
      <c r="AJ2056" s="2">
        <v>45821.918622685182</v>
      </c>
      <c r="AK2056" t="s">
        <v>717</v>
      </c>
      <c r="AL2056" t="s">
        <v>65</v>
      </c>
      <c r="AM2056" s="3">
        <v>1.7291666666666667</v>
      </c>
      <c r="AN2056" t="s">
        <v>66</v>
      </c>
      <c r="AO2056" t="s">
        <v>67</v>
      </c>
    </row>
    <row r="2057" spans="1:41" x14ac:dyDescent="0.2">
      <c r="A2057">
        <v>365470</v>
      </c>
      <c r="B2057" t="s">
        <v>13517</v>
      </c>
      <c r="C2057" t="s">
        <v>236</v>
      </c>
      <c r="D2057" t="s">
        <v>7034</v>
      </c>
      <c r="E2057" t="s">
        <v>13518</v>
      </c>
      <c r="F2057">
        <v>210514</v>
      </c>
      <c r="G2057" s="1">
        <v>35551</v>
      </c>
      <c r="H2057" s="1">
        <v>45582</v>
      </c>
      <c r="J2057" t="s">
        <v>45</v>
      </c>
      <c r="K2057" t="s">
        <v>45</v>
      </c>
      <c r="L2057" t="s">
        <v>72</v>
      </c>
      <c r="M2057" s="1">
        <v>41547</v>
      </c>
      <c r="N2057" t="s">
        <v>47</v>
      </c>
      <c r="O2057" t="s">
        <v>48</v>
      </c>
      <c r="P2057" t="s">
        <v>49</v>
      </c>
      <c r="Q2057" t="s">
        <v>13519</v>
      </c>
      <c r="R2057" t="s">
        <v>13520</v>
      </c>
      <c r="S2057">
        <v>1320</v>
      </c>
      <c r="T2057" t="s">
        <v>92</v>
      </c>
      <c r="U2057" t="s">
        <v>1509</v>
      </c>
      <c r="V2057" t="s">
        <v>506</v>
      </c>
      <c r="W2057" t="s">
        <v>1510</v>
      </c>
      <c r="X2057" t="s">
        <v>52</v>
      </c>
      <c r="Y2057" t="s">
        <v>410</v>
      </c>
      <c r="Z2057">
        <v>1386</v>
      </c>
      <c r="AA2057">
        <v>53</v>
      </c>
      <c r="AB2057">
        <v>174</v>
      </c>
      <c r="AC2057" t="s">
        <v>1511</v>
      </c>
      <c r="AD2057" t="s">
        <v>1512</v>
      </c>
      <c r="AE2057" t="s">
        <v>1513</v>
      </c>
      <c r="AF2057" t="s">
        <v>13521</v>
      </c>
      <c r="AG2057" t="s">
        <v>13522</v>
      </c>
      <c r="AH2057" t="s">
        <v>13523</v>
      </c>
      <c r="AI2057" t="s">
        <v>13524</v>
      </c>
      <c r="AJ2057" s="2">
        <v>45791.806805555556</v>
      </c>
      <c r="AK2057" t="s">
        <v>100</v>
      </c>
      <c r="AL2057" t="s">
        <v>65</v>
      </c>
      <c r="AM2057" s="4">
        <v>0.35416666666666669</v>
      </c>
      <c r="AN2057" t="s">
        <v>66</v>
      </c>
      <c r="AO2057" t="s">
        <v>67</v>
      </c>
    </row>
    <row r="2058" spans="1:41" x14ac:dyDescent="0.2">
      <c r="A2058">
        <v>372787</v>
      </c>
      <c r="B2058" t="s">
        <v>13525</v>
      </c>
      <c r="C2058" t="s">
        <v>134</v>
      </c>
      <c r="D2058" t="s">
        <v>3543</v>
      </c>
      <c r="E2058" t="s">
        <v>13526</v>
      </c>
      <c r="F2058">
        <v>451919</v>
      </c>
      <c r="G2058" s="1">
        <v>38112</v>
      </c>
      <c r="H2058" s="1">
        <v>45467</v>
      </c>
      <c r="I2058" s="1">
        <v>46188</v>
      </c>
      <c r="J2058" t="s">
        <v>45</v>
      </c>
      <c r="K2058" t="s">
        <v>45</v>
      </c>
      <c r="L2058" t="s">
        <v>429</v>
      </c>
      <c r="M2058" s="1">
        <v>45467</v>
      </c>
      <c r="N2058" t="s">
        <v>47</v>
      </c>
      <c r="O2058" t="s">
        <v>48</v>
      </c>
      <c r="P2058" t="s">
        <v>49</v>
      </c>
      <c r="Q2058" t="s">
        <v>13527</v>
      </c>
      <c r="R2058" t="s">
        <v>13528</v>
      </c>
      <c r="S2058">
        <v>2974</v>
      </c>
      <c r="T2058" t="s">
        <v>52</v>
      </c>
      <c r="U2058">
        <v>6</v>
      </c>
      <c r="V2058" t="s">
        <v>3547</v>
      </c>
      <c r="W2058" t="s">
        <v>54</v>
      </c>
      <c r="X2058" t="s">
        <v>76</v>
      </c>
      <c r="Y2058" t="s">
        <v>56</v>
      </c>
      <c r="Z2058">
        <v>772</v>
      </c>
      <c r="AA2058">
        <v>61</v>
      </c>
      <c r="AB2058">
        <v>160</v>
      </c>
      <c r="AC2058" t="s">
        <v>3548</v>
      </c>
      <c r="AD2058" t="s">
        <v>3549</v>
      </c>
      <c r="AE2058" t="s">
        <v>3550</v>
      </c>
      <c r="AF2058" t="s">
        <v>4330</v>
      </c>
      <c r="AG2058" t="s">
        <v>3552</v>
      </c>
      <c r="AH2058" t="s">
        <v>3553</v>
      </c>
      <c r="AI2058" t="s">
        <v>179</v>
      </c>
      <c r="AJ2058" s="2">
        <v>45853.761932870373</v>
      </c>
      <c r="AK2058" t="s">
        <v>3554</v>
      </c>
      <c r="AL2058" t="s">
        <v>65</v>
      </c>
      <c r="AM2058" s="4">
        <v>0.3888888888888889</v>
      </c>
      <c r="AN2058" t="s">
        <v>66</v>
      </c>
      <c r="AO2058" t="s">
        <v>67</v>
      </c>
    </row>
    <row r="2059" spans="1:41" x14ac:dyDescent="0.2">
      <c r="A2059">
        <v>372520</v>
      </c>
      <c r="B2059" t="s">
        <v>13529</v>
      </c>
      <c r="C2059" t="s">
        <v>167</v>
      </c>
      <c r="D2059" t="s">
        <v>1050</v>
      </c>
      <c r="E2059" t="s">
        <v>13530</v>
      </c>
      <c r="G2059" s="1">
        <v>45770</v>
      </c>
      <c r="H2059" s="1">
        <v>45660</v>
      </c>
      <c r="I2059" s="1">
        <v>46006</v>
      </c>
      <c r="J2059" t="s">
        <v>45</v>
      </c>
      <c r="K2059" t="s">
        <v>45</v>
      </c>
      <c r="L2059" t="s">
        <v>72</v>
      </c>
      <c r="N2059" t="s">
        <v>89</v>
      </c>
      <c r="O2059" t="s">
        <v>121</v>
      </c>
      <c r="P2059" t="s">
        <v>49</v>
      </c>
      <c r="Q2059" t="s">
        <v>13531</v>
      </c>
      <c r="R2059" t="s">
        <v>13532</v>
      </c>
      <c r="S2059">
        <v>1630</v>
      </c>
      <c r="T2059" t="s">
        <v>296</v>
      </c>
      <c r="U2059" t="s">
        <v>2267</v>
      </c>
      <c r="V2059" t="s">
        <v>8712</v>
      </c>
      <c r="W2059" t="s">
        <v>299</v>
      </c>
      <c r="X2059" t="s">
        <v>296</v>
      </c>
      <c r="Y2059" t="s">
        <v>125</v>
      </c>
      <c r="Z2059">
        <v>2734</v>
      </c>
      <c r="AA2059">
        <v>63</v>
      </c>
      <c r="AB2059">
        <v>158</v>
      </c>
      <c r="AC2059" t="s">
        <v>13533</v>
      </c>
      <c r="AD2059" t="s">
        <v>13534</v>
      </c>
      <c r="AE2059" t="s">
        <v>13535</v>
      </c>
      <c r="AF2059" t="s">
        <v>8713</v>
      </c>
      <c r="AG2059" t="s">
        <v>8714</v>
      </c>
      <c r="AH2059" t="s">
        <v>8715</v>
      </c>
      <c r="AI2059" t="s">
        <v>2274</v>
      </c>
      <c r="AJ2059" s="2">
        <v>45841.815300925926</v>
      </c>
      <c r="AK2059" t="s">
        <v>800</v>
      </c>
      <c r="AL2059" t="s">
        <v>65</v>
      </c>
      <c r="AM2059" s="3">
        <v>1.2083333333333333</v>
      </c>
      <c r="AN2059" t="s">
        <v>66</v>
      </c>
      <c r="AO2059" t="s">
        <v>67</v>
      </c>
    </row>
    <row r="2060" spans="1:41" x14ac:dyDescent="0.2">
      <c r="A2060">
        <v>372953</v>
      </c>
      <c r="B2060" t="s">
        <v>13536</v>
      </c>
      <c r="C2060" t="s">
        <v>3441</v>
      </c>
      <c r="D2060" t="s">
        <v>13537</v>
      </c>
      <c r="E2060" t="s">
        <v>13538</v>
      </c>
      <c r="F2060">
        <v>340901</v>
      </c>
      <c r="G2060" s="1">
        <v>41187</v>
      </c>
      <c r="H2060" s="1">
        <v>45729</v>
      </c>
      <c r="I2060" s="1">
        <v>46113</v>
      </c>
      <c r="J2060" t="s">
        <v>45</v>
      </c>
      <c r="K2060" t="s">
        <v>45</v>
      </c>
      <c r="L2060" t="s">
        <v>429</v>
      </c>
      <c r="M2060" s="1">
        <v>45006</v>
      </c>
      <c r="N2060" t="s">
        <v>47</v>
      </c>
      <c r="O2060" t="s">
        <v>48</v>
      </c>
      <c r="P2060" t="s">
        <v>49</v>
      </c>
      <c r="Q2060" t="s">
        <v>13539</v>
      </c>
      <c r="R2060" t="s">
        <v>13540</v>
      </c>
      <c r="S2060">
        <v>847</v>
      </c>
      <c r="T2060" t="s">
        <v>296</v>
      </c>
      <c r="U2060" t="s">
        <v>5213</v>
      </c>
      <c r="V2060" t="s">
        <v>13541</v>
      </c>
      <c r="W2060" t="s">
        <v>299</v>
      </c>
      <c r="X2060" t="s">
        <v>76</v>
      </c>
      <c r="Y2060" t="s">
        <v>56</v>
      </c>
      <c r="Z2060">
        <v>5687</v>
      </c>
      <c r="AA2060">
        <v>28</v>
      </c>
      <c r="AB2060">
        <v>28</v>
      </c>
      <c r="AC2060" t="s">
        <v>13542</v>
      </c>
      <c r="AD2060" t="s">
        <v>13543</v>
      </c>
      <c r="AE2060" t="s">
        <v>13419</v>
      </c>
      <c r="AF2060" t="s">
        <v>5218</v>
      </c>
      <c r="AG2060" t="s">
        <v>5219</v>
      </c>
      <c r="AH2060" t="s">
        <v>13419</v>
      </c>
      <c r="AI2060" t="s">
        <v>13544</v>
      </c>
      <c r="AJ2060" s="2">
        <v>45855.951493055552</v>
      </c>
      <c r="AK2060" t="s">
        <v>556</v>
      </c>
      <c r="AL2060" t="s">
        <v>65</v>
      </c>
      <c r="AM2060" s="4">
        <v>0.71527777777777779</v>
      </c>
      <c r="AN2060" t="s">
        <v>66</v>
      </c>
      <c r="AO2060" t="s">
        <v>67</v>
      </c>
    </row>
    <row r="2061" spans="1:41" x14ac:dyDescent="0.2">
      <c r="A2061">
        <v>368892</v>
      </c>
      <c r="B2061" t="s">
        <v>13545</v>
      </c>
      <c r="C2061" t="s">
        <v>182</v>
      </c>
      <c r="D2061" t="s">
        <v>610</v>
      </c>
      <c r="E2061" s="5">
        <v>32592100000000</v>
      </c>
      <c r="F2061">
        <v>45742</v>
      </c>
      <c r="G2061" s="1">
        <v>40438</v>
      </c>
      <c r="H2061" s="1">
        <v>45643</v>
      </c>
      <c r="I2061" s="1">
        <v>46006</v>
      </c>
      <c r="J2061" t="s">
        <v>45</v>
      </c>
      <c r="K2061" t="s">
        <v>45</v>
      </c>
      <c r="L2061" t="s">
        <v>429</v>
      </c>
      <c r="M2061" s="1">
        <v>41534</v>
      </c>
      <c r="N2061" t="s">
        <v>47</v>
      </c>
      <c r="O2061" t="s">
        <v>48</v>
      </c>
      <c r="P2061" t="s">
        <v>49</v>
      </c>
      <c r="Q2061" t="s">
        <v>13546</v>
      </c>
      <c r="R2061" t="s">
        <v>13547</v>
      </c>
      <c r="S2061">
        <v>3283</v>
      </c>
      <c r="T2061" t="s">
        <v>365</v>
      </c>
      <c r="U2061" t="s">
        <v>815</v>
      </c>
      <c r="V2061" t="s">
        <v>816</v>
      </c>
      <c r="W2061" t="s">
        <v>367</v>
      </c>
      <c r="X2061" t="s">
        <v>493</v>
      </c>
      <c r="Y2061" t="s">
        <v>434</v>
      </c>
      <c r="Z2061">
        <v>1758</v>
      </c>
      <c r="AA2061">
        <v>76</v>
      </c>
      <c r="AB2061">
        <v>66</v>
      </c>
      <c r="AC2061" t="s">
        <v>4600</v>
      </c>
      <c r="AD2061" t="s">
        <v>818</v>
      </c>
      <c r="AE2061" t="s">
        <v>819</v>
      </c>
      <c r="AF2061" t="s">
        <v>13548</v>
      </c>
      <c r="AH2061" t="s">
        <v>13549</v>
      </c>
      <c r="AI2061" t="s">
        <v>179</v>
      </c>
      <c r="AJ2061" s="2">
        <v>45722.894803240742</v>
      </c>
      <c r="AK2061" t="s">
        <v>501</v>
      </c>
      <c r="AL2061" t="s">
        <v>65</v>
      </c>
      <c r="AM2061" s="4">
        <v>0.59722222222222221</v>
      </c>
      <c r="AN2061" t="s">
        <v>66</v>
      </c>
      <c r="AO2061" t="s">
        <v>67</v>
      </c>
    </row>
    <row r="2062" spans="1:41" x14ac:dyDescent="0.2">
      <c r="A2062">
        <v>366075</v>
      </c>
      <c r="B2062" t="s">
        <v>13550</v>
      </c>
      <c r="C2062" t="s">
        <v>134</v>
      </c>
      <c r="D2062" t="s">
        <v>3018</v>
      </c>
      <c r="E2062">
        <v>83743082</v>
      </c>
      <c r="F2062">
        <v>453102</v>
      </c>
      <c r="G2062" s="1">
        <v>37413</v>
      </c>
      <c r="H2062" s="1">
        <v>45588</v>
      </c>
      <c r="I2062" s="1">
        <v>45976</v>
      </c>
      <c r="J2062" t="s">
        <v>45</v>
      </c>
      <c r="K2062" t="s">
        <v>326</v>
      </c>
      <c r="L2062" t="s">
        <v>72</v>
      </c>
      <c r="M2062" s="1">
        <v>44003</v>
      </c>
      <c r="N2062" t="s">
        <v>47</v>
      </c>
      <c r="O2062" t="s">
        <v>48</v>
      </c>
      <c r="P2062" t="s">
        <v>49</v>
      </c>
      <c r="Q2062" t="s">
        <v>13551</v>
      </c>
      <c r="R2062" t="s">
        <v>13552</v>
      </c>
      <c r="S2062">
        <v>855</v>
      </c>
      <c r="T2062" t="s">
        <v>156</v>
      </c>
      <c r="U2062" t="s">
        <v>4608</v>
      </c>
      <c r="V2062" t="s">
        <v>13553</v>
      </c>
      <c r="W2062" t="s">
        <v>159</v>
      </c>
      <c r="X2062" t="s">
        <v>156</v>
      </c>
      <c r="Y2062" t="s">
        <v>110</v>
      </c>
      <c r="Z2062">
        <v>2213</v>
      </c>
      <c r="AA2062">
        <v>37</v>
      </c>
      <c r="AB2062">
        <v>158</v>
      </c>
      <c r="AC2062" t="s">
        <v>13554</v>
      </c>
      <c r="AD2062" t="s">
        <v>13555</v>
      </c>
      <c r="AE2062" t="s">
        <v>13556</v>
      </c>
      <c r="AF2062" t="s">
        <v>4613</v>
      </c>
      <c r="AG2062" t="s">
        <v>4614</v>
      </c>
      <c r="AH2062" t="s">
        <v>4615</v>
      </c>
      <c r="AI2062" t="s">
        <v>13557</v>
      </c>
      <c r="AJ2062" s="2">
        <v>45602.998530092591</v>
      </c>
      <c r="AK2062" t="s">
        <v>13554</v>
      </c>
      <c r="AL2062" t="s">
        <v>65</v>
      </c>
      <c r="AM2062" s="3">
        <v>1.2430555555555556</v>
      </c>
      <c r="AN2062" t="s">
        <v>66</v>
      </c>
      <c r="AO2062" t="s">
        <v>67</v>
      </c>
    </row>
    <row r="2063" spans="1:41" x14ac:dyDescent="0.2">
      <c r="A2063">
        <v>370823</v>
      </c>
      <c r="B2063" t="s">
        <v>13558</v>
      </c>
      <c r="C2063" t="s">
        <v>86</v>
      </c>
      <c r="D2063" t="s">
        <v>6479</v>
      </c>
      <c r="E2063" t="s">
        <v>13559</v>
      </c>
      <c r="F2063">
        <v>292905</v>
      </c>
      <c r="G2063" s="1">
        <v>45408</v>
      </c>
      <c r="H2063" s="1">
        <v>45785</v>
      </c>
      <c r="I2063" s="1">
        <v>46113</v>
      </c>
      <c r="J2063" t="s">
        <v>45</v>
      </c>
      <c r="K2063" t="s">
        <v>45</v>
      </c>
      <c r="L2063" t="s">
        <v>72</v>
      </c>
      <c r="N2063" t="s">
        <v>89</v>
      </c>
      <c r="O2063" t="s">
        <v>121</v>
      </c>
      <c r="P2063" t="s">
        <v>49</v>
      </c>
      <c r="Q2063" t="s">
        <v>13560</v>
      </c>
      <c r="R2063" t="s">
        <v>13561</v>
      </c>
      <c r="S2063">
        <v>614</v>
      </c>
      <c r="T2063" t="s">
        <v>52</v>
      </c>
      <c r="U2063">
        <v>9</v>
      </c>
      <c r="V2063" t="s">
        <v>1678</v>
      </c>
      <c r="W2063" t="s">
        <v>54</v>
      </c>
      <c r="X2063" t="s">
        <v>76</v>
      </c>
      <c r="Y2063" t="s">
        <v>125</v>
      </c>
      <c r="Z2063">
        <v>7208</v>
      </c>
      <c r="AA2063">
        <v>35</v>
      </c>
      <c r="AB2063">
        <v>78</v>
      </c>
      <c r="AC2063" t="s">
        <v>1679</v>
      </c>
      <c r="AD2063" t="s">
        <v>1680</v>
      </c>
      <c r="AE2063" t="s">
        <v>1681</v>
      </c>
      <c r="AF2063" t="s">
        <v>1682</v>
      </c>
      <c r="AG2063" t="s">
        <v>1683</v>
      </c>
      <c r="AH2063" t="s">
        <v>1684</v>
      </c>
      <c r="AI2063" t="s">
        <v>1685</v>
      </c>
      <c r="AJ2063" s="2">
        <v>45785.509606481479</v>
      </c>
      <c r="AK2063" t="s">
        <v>800</v>
      </c>
      <c r="AL2063" t="s">
        <v>65</v>
      </c>
      <c r="AM2063" s="3">
        <v>1.1805555555555556</v>
      </c>
      <c r="AN2063" t="s">
        <v>66</v>
      </c>
      <c r="AO2063" t="s">
        <v>67</v>
      </c>
    </row>
    <row r="2064" spans="1:41" x14ac:dyDescent="0.2">
      <c r="A2064">
        <v>372935</v>
      </c>
      <c r="B2064" t="s">
        <v>13562</v>
      </c>
      <c r="C2064" t="s">
        <v>278</v>
      </c>
      <c r="D2064" t="s">
        <v>13563</v>
      </c>
      <c r="E2064" t="s">
        <v>13564</v>
      </c>
      <c r="F2064">
        <v>420912</v>
      </c>
      <c r="G2064" s="1">
        <v>37579</v>
      </c>
      <c r="H2064" s="1">
        <v>45457</v>
      </c>
      <c r="I2064" s="1">
        <v>46310</v>
      </c>
      <c r="J2064" t="s">
        <v>45</v>
      </c>
      <c r="K2064" t="s">
        <v>45</v>
      </c>
      <c r="L2064" t="s">
        <v>429</v>
      </c>
      <c r="M2064" s="1">
        <v>39168</v>
      </c>
      <c r="N2064" t="s">
        <v>47</v>
      </c>
      <c r="O2064" t="s">
        <v>48</v>
      </c>
      <c r="P2064" t="s">
        <v>49</v>
      </c>
      <c r="Q2064" t="s">
        <v>13565</v>
      </c>
      <c r="R2064" t="s">
        <v>13566</v>
      </c>
      <c r="S2064">
        <v>7160</v>
      </c>
      <c r="T2064" t="s">
        <v>365</v>
      </c>
      <c r="U2064" t="s">
        <v>432</v>
      </c>
      <c r="V2064" t="s">
        <v>874</v>
      </c>
      <c r="W2064" t="s">
        <v>367</v>
      </c>
      <c r="X2064" t="s">
        <v>76</v>
      </c>
      <c r="Y2064" t="s">
        <v>434</v>
      </c>
      <c r="Z2064">
        <v>2197</v>
      </c>
      <c r="AA2064">
        <v>41</v>
      </c>
      <c r="AB2064">
        <v>158</v>
      </c>
      <c r="AC2064" t="s">
        <v>875</v>
      </c>
      <c r="AD2064" t="s">
        <v>876</v>
      </c>
      <c r="AE2064" t="s">
        <v>4759</v>
      </c>
      <c r="AF2064" t="s">
        <v>3172</v>
      </c>
      <c r="AG2064" t="s">
        <v>879</v>
      </c>
      <c r="AH2064" t="s">
        <v>880</v>
      </c>
      <c r="AI2064" t="s">
        <v>179</v>
      </c>
      <c r="AJ2064" s="2">
        <v>45855.924791666665</v>
      </c>
      <c r="AK2064" t="s">
        <v>556</v>
      </c>
      <c r="AL2064" t="s">
        <v>65</v>
      </c>
      <c r="AM2064" s="3">
        <v>1.9097222222222223</v>
      </c>
      <c r="AN2064" t="s">
        <v>66</v>
      </c>
      <c r="AO2064" t="s">
        <v>67</v>
      </c>
    </row>
    <row r="2065" spans="1:41" x14ac:dyDescent="0.2">
      <c r="A2065">
        <v>371935</v>
      </c>
      <c r="B2065" t="s">
        <v>13567</v>
      </c>
      <c r="C2065" t="s">
        <v>735</v>
      </c>
      <c r="D2065" t="s">
        <v>1849</v>
      </c>
      <c r="E2065" t="s">
        <v>13568</v>
      </c>
      <c r="G2065" s="1">
        <v>45636</v>
      </c>
      <c r="H2065" s="1">
        <v>45636</v>
      </c>
      <c r="J2065" t="s">
        <v>45</v>
      </c>
      <c r="K2065" t="s">
        <v>45</v>
      </c>
      <c r="L2065" t="s">
        <v>72</v>
      </c>
      <c r="N2065" t="s">
        <v>47</v>
      </c>
      <c r="O2065" t="s">
        <v>121</v>
      </c>
      <c r="P2065" t="s">
        <v>49</v>
      </c>
      <c r="Q2065" t="s">
        <v>13569</v>
      </c>
      <c r="R2065" t="s">
        <v>13570</v>
      </c>
      <c r="S2065">
        <v>4648</v>
      </c>
      <c r="T2065" t="s">
        <v>52</v>
      </c>
      <c r="U2065">
        <v>1</v>
      </c>
      <c r="V2065" t="s">
        <v>1853</v>
      </c>
      <c r="W2065" t="s">
        <v>54</v>
      </c>
      <c r="X2065" t="s">
        <v>76</v>
      </c>
      <c r="Y2065" t="s">
        <v>125</v>
      </c>
      <c r="Z2065">
        <v>12254</v>
      </c>
      <c r="AA2065">
        <v>9</v>
      </c>
      <c r="AB2065">
        <v>44</v>
      </c>
      <c r="AC2065" t="s">
        <v>1854</v>
      </c>
      <c r="AD2065" t="s">
        <v>1855</v>
      </c>
      <c r="AE2065" t="s">
        <v>1856</v>
      </c>
      <c r="AF2065" t="s">
        <v>10472</v>
      </c>
      <c r="AG2065" t="s">
        <v>13571</v>
      </c>
      <c r="AH2065" t="s">
        <v>10474</v>
      </c>
      <c r="AJ2065" s="2">
        <v>45825.604085648149</v>
      </c>
      <c r="AK2065" t="s">
        <v>660</v>
      </c>
      <c r="AL2065" t="s">
        <v>65</v>
      </c>
      <c r="AM2065" s="3">
        <v>1.65625</v>
      </c>
      <c r="AN2065" t="s">
        <v>66</v>
      </c>
      <c r="AO2065" t="s">
        <v>67</v>
      </c>
    </row>
    <row r="2066" spans="1:41" x14ac:dyDescent="0.2">
      <c r="A2066">
        <v>369511</v>
      </c>
      <c r="B2066" t="s">
        <v>13572</v>
      </c>
      <c r="C2066" t="s">
        <v>979</v>
      </c>
      <c r="D2066" t="s">
        <v>2628</v>
      </c>
      <c r="E2066" t="s">
        <v>13573</v>
      </c>
      <c r="G2066" s="1">
        <v>45734</v>
      </c>
      <c r="H2066" s="1">
        <v>45692</v>
      </c>
      <c r="I2066" s="1">
        <v>45945</v>
      </c>
      <c r="J2066" t="s">
        <v>45</v>
      </c>
      <c r="K2066" t="s">
        <v>45</v>
      </c>
      <c r="L2066" t="s">
        <v>72</v>
      </c>
      <c r="M2066" s="1">
        <v>44935</v>
      </c>
      <c r="N2066" t="s">
        <v>89</v>
      </c>
      <c r="O2066" t="s">
        <v>121</v>
      </c>
      <c r="P2066" t="s">
        <v>49</v>
      </c>
      <c r="Q2066" t="s">
        <v>13574</v>
      </c>
      <c r="R2066" t="s">
        <v>13575</v>
      </c>
      <c r="S2066">
        <v>902</v>
      </c>
      <c r="T2066" t="s">
        <v>52</v>
      </c>
      <c r="U2066">
        <v>8</v>
      </c>
      <c r="V2066" t="s">
        <v>3178</v>
      </c>
      <c r="W2066" t="s">
        <v>54</v>
      </c>
      <c r="X2066" t="s">
        <v>76</v>
      </c>
      <c r="Y2066" t="s">
        <v>125</v>
      </c>
      <c r="Z2066">
        <v>2105</v>
      </c>
      <c r="AA2066">
        <v>46</v>
      </c>
      <c r="AB2066">
        <v>45</v>
      </c>
      <c r="AC2066" t="s">
        <v>985</v>
      </c>
      <c r="AD2066" t="s">
        <v>986</v>
      </c>
      <c r="AE2066" t="s">
        <v>13576</v>
      </c>
      <c r="AF2066" t="s">
        <v>13577</v>
      </c>
      <c r="AG2066" t="s">
        <v>986</v>
      </c>
      <c r="AH2066" t="s">
        <v>13578</v>
      </c>
      <c r="AJ2066" s="2">
        <v>45742.780532407407</v>
      </c>
      <c r="AK2066" t="s">
        <v>660</v>
      </c>
      <c r="AL2066" t="s">
        <v>65</v>
      </c>
      <c r="AM2066" s="3">
        <v>2.375</v>
      </c>
      <c r="AN2066" t="s">
        <v>66</v>
      </c>
      <c r="AO2066" t="s">
        <v>101</v>
      </c>
    </row>
    <row r="2067" spans="1:41" x14ac:dyDescent="0.2">
      <c r="A2067">
        <v>369897</v>
      </c>
      <c r="B2067" t="s">
        <v>13579</v>
      </c>
      <c r="C2067" t="s">
        <v>979</v>
      </c>
      <c r="E2067" t="s">
        <v>13580</v>
      </c>
      <c r="G2067" s="1">
        <v>45301</v>
      </c>
      <c r="H2067" s="1">
        <v>45755</v>
      </c>
      <c r="I2067" s="1">
        <v>45945</v>
      </c>
      <c r="J2067" t="s">
        <v>45</v>
      </c>
      <c r="K2067" t="s">
        <v>45</v>
      </c>
      <c r="L2067" t="s">
        <v>72</v>
      </c>
      <c r="M2067" s="1">
        <v>45076</v>
      </c>
      <c r="N2067" t="s">
        <v>89</v>
      </c>
      <c r="O2067" t="s">
        <v>121</v>
      </c>
      <c r="P2067" t="s">
        <v>49</v>
      </c>
      <c r="Q2067" t="s">
        <v>13581</v>
      </c>
      <c r="R2067" t="s">
        <v>13582</v>
      </c>
      <c r="S2067">
        <v>1986</v>
      </c>
      <c r="T2067" t="s">
        <v>52</v>
      </c>
      <c r="U2067">
        <v>8</v>
      </c>
      <c r="V2067" t="s">
        <v>3178</v>
      </c>
      <c r="W2067" t="s">
        <v>54</v>
      </c>
      <c r="X2067" t="s">
        <v>76</v>
      </c>
      <c r="Y2067" t="s">
        <v>125</v>
      </c>
      <c r="Z2067">
        <v>2106</v>
      </c>
      <c r="AA2067">
        <v>31</v>
      </c>
      <c r="AB2067">
        <v>45</v>
      </c>
      <c r="AC2067" t="s">
        <v>985</v>
      </c>
      <c r="AD2067" t="s">
        <v>986</v>
      </c>
      <c r="AE2067" t="s">
        <v>13576</v>
      </c>
      <c r="AF2067" t="s">
        <v>13577</v>
      </c>
      <c r="AG2067" t="s">
        <v>986</v>
      </c>
      <c r="AH2067" t="s">
        <v>13578</v>
      </c>
      <c r="AI2067" t="s">
        <v>13583</v>
      </c>
      <c r="AJ2067" s="2">
        <v>45757.538090277776</v>
      </c>
      <c r="AK2067" t="s">
        <v>800</v>
      </c>
      <c r="AL2067" t="s">
        <v>65</v>
      </c>
      <c r="AM2067" s="3">
        <v>2.3819444444444446</v>
      </c>
      <c r="AN2067" t="s">
        <v>66</v>
      </c>
      <c r="AO2067" t="s">
        <v>101</v>
      </c>
    </row>
    <row r="2068" spans="1:41" x14ac:dyDescent="0.2">
      <c r="A2068">
        <v>371336</v>
      </c>
      <c r="B2068" t="s">
        <v>13584</v>
      </c>
      <c r="C2068" t="s">
        <v>182</v>
      </c>
      <c r="D2068" t="s">
        <v>2179</v>
      </c>
      <c r="E2068" t="s">
        <v>13585</v>
      </c>
      <c r="G2068" s="1">
        <v>45783</v>
      </c>
      <c r="H2068" s="1">
        <v>45720</v>
      </c>
      <c r="I2068" s="1">
        <v>46068</v>
      </c>
      <c r="J2068" t="s">
        <v>45</v>
      </c>
      <c r="K2068" t="s">
        <v>45</v>
      </c>
      <c r="L2068" t="s">
        <v>72</v>
      </c>
      <c r="N2068" t="s">
        <v>89</v>
      </c>
      <c r="O2068" t="s">
        <v>121</v>
      </c>
      <c r="P2068" t="s">
        <v>586</v>
      </c>
      <c r="Q2068" t="s">
        <v>13586</v>
      </c>
      <c r="R2068" t="s">
        <v>13587</v>
      </c>
      <c r="S2068">
        <v>7650</v>
      </c>
      <c r="T2068" t="s">
        <v>365</v>
      </c>
      <c r="U2068" t="s">
        <v>562</v>
      </c>
      <c r="V2068" t="s">
        <v>1980</v>
      </c>
      <c r="W2068" t="s">
        <v>409</v>
      </c>
      <c r="X2068" t="s">
        <v>76</v>
      </c>
      <c r="Y2068" t="s">
        <v>125</v>
      </c>
      <c r="Z2068">
        <v>5867</v>
      </c>
      <c r="AA2068">
        <v>52</v>
      </c>
      <c r="AB2068">
        <v>28</v>
      </c>
      <c r="AC2068" t="s">
        <v>5857</v>
      </c>
      <c r="AD2068" t="s">
        <v>5858</v>
      </c>
      <c r="AE2068" t="s">
        <v>9380</v>
      </c>
      <c r="AF2068" t="s">
        <v>13588</v>
      </c>
      <c r="AG2068" t="s">
        <v>13589</v>
      </c>
      <c r="AH2068" t="s">
        <v>13590</v>
      </c>
      <c r="AI2068" t="s">
        <v>13591</v>
      </c>
      <c r="AJ2068" s="2">
        <v>45805.703969907408</v>
      </c>
      <c r="AK2068" t="s">
        <v>800</v>
      </c>
      <c r="AL2068" t="s">
        <v>65</v>
      </c>
      <c r="AM2068" s="4">
        <v>0.98611111111111116</v>
      </c>
      <c r="AN2068" t="s">
        <v>66</v>
      </c>
      <c r="AO2068" t="s">
        <v>67</v>
      </c>
    </row>
    <row r="2069" spans="1:41" x14ac:dyDescent="0.2">
      <c r="A2069">
        <v>368918</v>
      </c>
      <c r="B2069" t="s">
        <v>13592</v>
      </c>
      <c r="C2069" t="s">
        <v>182</v>
      </c>
      <c r="D2069" t="s">
        <v>1616</v>
      </c>
      <c r="E2069">
        <v>32399054</v>
      </c>
      <c r="F2069">
        <v>42611</v>
      </c>
      <c r="G2069" s="1">
        <v>37851</v>
      </c>
      <c r="H2069" s="1">
        <v>45469</v>
      </c>
      <c r="I2069" s="1">
        <v>46174</v>
      </c>
      <c r="J2069" t="s">
        <v>45</v>
      </c>
      <c r="K2069" t="s">
        <v>45</v>
      </c>
      <c r="L2069" t="s">
        <v>429</v>
      </c>
      <c r="M2069" s="1">
        <v>44895</v>
      </c>
      <c r="N2069" t="s">
        <v>47</v>
      </c>
      <c r="O2069" t="s">
        <v>48</v>
      </c>
      <c r="P2069" t="s">
        <v>49</v>
      </c>
      <c r="Q2069" t="s">
        <v>13593</v>
      </c>
      <c r="R2069" t="s">
        <v>13594</v>
      </c>
      <c r="S2069">
        <v>5240</v>
      </c>
      <c r="T2069" t="s">
        <v>52</v>
      </c>
      <c r="U2069">
        <v>5</v>
      </c>
      <c r="V2069" t="s">
        <v>1619</v>
      </c>
      <c r="W2069" t="s">
        <v>54</v>
      </c>
      <c r="X2069" t="s">
        <v>493</v>
      </c>
      <c r="Y2069" t="s">
        <v>434</v>
      </c>
      <c r="Z2069">
        <v>684</v>
      </c>
      <c r="AA2069">
        <v>58</v>
      </c>
      <c r="AB2069">
        <v>146</v>
      </c>
      <c r="AC2069" t="s">
        <v>7079</v>
      </c>
      <c r="AD2069" t="s">
        <v>7080</v>
      </c>
      <c r="AE2069" t="s">
        <v>13595</v>
      </c>
      <c r="AF2069" t="s">
        <v>7079</v>
      </c>
      <c r="AG2069" t="s">
        <v>7080</v>
      </c>
      <c r="AH2069" t="s">
        <v>7081</v>
      </c>
      <c r="AI2069" t="s">
        <v>1626</v>
      </c>
      <c r="AJ2069" s="2">
        <v>45770.735196759262</v>
      </c>
      <c r="AK2069" t="s">
        <v>2038</v>
      </c>
      <c r="AL2069" t="s">
        <v>65</v>
      </c>
      <c r="AM2069" s="4">
        <v>8.3333333333333329E-2</v>
      </c>
      <c r="AN2069" t="s">
        <v>66</v>
      </c>
      <c r="AO2069" t="s">
        <v>67</v>
      </c>
    </row>
    <row r="2070" spans="1:41" x14ac:dyDescent="0.2">
      <c r="A2070">
        <v>369541</v>
      </c>
      <c r="B2070" t="s">
        <v>13596</v>
      </c>
      <c r="C2070" t="s">
        <v>182</v>
      </c>
      <c r="D2070" t="s">
        <v>4074</v>
      </c>
      <c r="E2070" t="s">
        <v>13597</v>
      </c>
      <c r="F2070">
        <v>44803</v>
      </c>
      <c r="G2070" s="1">
        <v>33772</v>
      </c>
      <c r="H2070" s="1">
        <v>45741</v>
      </c>
      <c r="J2070" t="s">
        <v>45</v>
      </c>
      <c r="K2070" t="s">
        <v>45</v>
      </c>
      <c r="L2070" t="s">
        <v>72</v>
      </c>
      <c r="N2070" t="s">
        <v>47</v>
      </c>
      <c r="O2070" t="s">
        <v>48</v>
      </c>
      <c r="P2070" t="s">
        <v>49</v>
      </c>
      <c r="Q2070" t="s">
        <v>13598</v>
      </c>
      <c r="R2070" t="s">
        <v>13599</v>
      </c>
      <c r="S2070">
        <v>4650</v>
      </c>
      <c r="T2070" t="s">
        <v>92</v>
      </c>
      <c r="U2070" t="s">
        <v>187</v>
      </c>
      <c r="V2070" t="s">
        <v>447</v>
      </c>
      <c r="W2070" t="s">
        <v>448</v>
      </c>
      <c r="X2070" t="s">
        <v>92</v>
      </c>
      <c r="Y2070" t="s">
        <v>450</v>
      </c>
      <c r="Z2070">
        <v>1263</v>
      </c>
      <c r="AA2070">
        <v>47</v>
      </c>
      <c r="AB2070">
        <v>144</v>
      </c>
      <c r="AC2070" t="s">
        <v>451</v>
      </c>
      <c r="AD2070" t="s">
        <v>452</v>
      </c>
      <c r="AE2070" t="s">
        <v>453</v>
      </c>
      <c r="AF2070" t="s">
        <v>454</v>
      </c>
      <c r="AG2070" t="s">
        <v>473</v>
      </c>
      <c r="AH2070" t="s">
        <v>474</v>
      </c>
      <c r="AJ2070" s="2">
        <v>45743.644016203703</v>
      </c>
      <c r="AK2070" t="s">
        <v>526</v>
      </c>
      <c r="AL2070" t="s">
        <v>65</v>
      </c>
      <c r="AM2070" s="3">
        <v>2.2777777777777777</v>
      </c>
      <c r="AN2070" t="s">
        <v>66</v>
      </c>
      <c r="AO2070" t="s">
        <v>67</v>
      </c>
    </row>
    <row r="2071" spans="1:41" x14ac:dyDescent="0.2">
      <c r="A2071">
        <v>372688</v>
      </c>
      <c r="B2071" t="s">
        <v>13600</v>
      </c>
      <c r="C2071" t="s">
        <v>134</v>
      </c>
      <c r="D2071" t="s">
        <v>3459</v>
      </c>
      <c r="E2071" t="s">
        <v>13601</v>
      </c>
      <c r="F2071">
        <v>452513</v>
      </c>
      <c r="G2071" s="1">
        <v>37438</v>
      </c>
      <c r="H2071" s="1">
        <v>45813</v>
      </c>
      <c r="I2071" s="1">
        <v>46174</v>
      </c>
      <c r="J2071" t="s">
        <v>45</v>
      </c>
      <c r="K2071" t="s">
        <v>45</v>
      </c>
      <c r="L2071" t="s">
        <v>429</v>
      </c>
      <c r="M2071" s="1">
        <v>41095</v>
      </c>
      <c r="N2071" t="s">
        <v>47</v>
      </c>
      <c r="O2071" t="s">
        <v>48</v>
      </c>
      <c r="P2071" t="s">
        <v>49</v>
      </c>
      <c r="Q2071" t="s">
        <v>13602</v>
      </c>
      <c r="R2071" t="s">
        <v>13603</v>
      </c>
      <c r="S2071">
        <v>3560</v>
      </c>
      <c r="T2071" t="s">
        <v>52</v>
      </c>
      <c r="U2071">
        <v>6</v>
      </c>
      <c r="V2071" t="s">
        <v>3463</v>
      </c>
      <c r="W2071" t="s">
        <v>54</v>
      </c>
      <c r="X2071" t="s">
        <v>76</v>
      </c>
      <c r="Y2071" t="s">
        <v>56</v>
      </c>
      <c r="Z2071">
        <v>753</v>
      </c>
      <c r="AA2071">
        <v>50</v>
      </c>
      <c r="AB2071">
        <v>144</v>
      </c>
      <c r="AC2071" t="s">
        <v>4725</v>
      </c>
      <c r="AD2071" t="s">
        <v>4726</v>
      </c>
      <c r="AE2071" t="s">
        <v>4727</v>
      </c>
      <c r="AF2071" t="s">
        <v>4728</v>
      </c>
      <c r="AG2071" t="s">
        <v>4729</v>
      </c>
      <c r="AI2071" t="s">
        <v>4730</v>
      </c>
      <c r="AJ2071" s="2">
        <v>45849.949618055558</v>
      </c>
      <c r="AK2071" t="s">
        <v>4725</v>
      </c>
      <c r="AL2071" t="s">
        <v>65</v>
      </c>
      <c r="AM2071" s="3">
        <v>2.3472222222222223</v>
      </c>
      <c r="AN2071" t="s">
        <v>66</v>
      </c>
      <c r="AO2071" t="s">
        <v>67</v>
      </c>
    </row>
    <row r="2072" spans="1:41" x14ac:dyDescent="0.2">
      <c r="A2072">
        <v>372639</v>
      </c>
      <c r="B2072" t="s">
        <v>13604</v>
      </c>
      <c r="C2072" t="s">
        <v>134</v>
      </c>
      <c r="D2072" t="s">
        <v>1050</v>
      </c>
      <c r="E2072" t="s">
        <v>13605</v>
      </c>
      <c r="F2072">
        <v>450211</v>
      </c>
      <c r="G2072" s="1">
        <v>35233</v>
      </c>
      <c r="H2072" s="1">
        <v>45813</v>
      </c>
      <c r="I2072" s="1">
        <v>46157</v>
      </c>
      <c r="J2072" t="s">
        <v>45</v>
      </c>
      <c r="K2072" t="s">
        <v>45</v>
      </c>
      <c r="L2072" t="s">
        <v>72</v>
      </c>
      <c r="M2072" s="1">
        <v>45813</v>
      </c>
      <c r="N2072" t="s">
        <v>47</v>
      </c>
      <c r="O2072" t="s">
        <v>48</v>
      </c>
      <c r="P2072" t="s">
        <v>49</v>
      </c>
      <c r="Q2072" t="s">
        <v>12642</v>
      </c>
      <c r="R2072" t="s">
        <v>13606</v>
      </c>
      <c r="S2072">
        <v>3398</v>
      </c>
      <c r="T2072" t="s">
        <v>92</v>
      </c>
      <c r="U2072" t="s">
        <v>139</v>
      </c>
      <c r="V2072" t="s">
        <v>140</v>
      </c>
      <c r="W2072" t="s">
        <v>141</v>
      </c>
      <c r="X2072" t="s">
        <v>92</v>
      </c>
      <c r="Y2072" t="s">
        <v>110</v>
      </c>
      <c r="Z2072">
        <v>399</v>
      </c>
      <c r="AA2072">
        <v>60</v>
      </c>
      <c r="AB2072">
        <v>144</v>
      </c>
      <c r="AC2072" t="s">
        <v>3564</v>
      </c>
      <c r="AD2072" t="s">
        <v>3565</v>
      </c>
      <c r="AE2072" t="s">
        <v>3566</v>
      </c>
      <c r="AF2072" t="s">
        <v>145</v>
      </c>
      <c r="AG2072" t="s">
        <v>146</v>
      </c>
      <c r="AH2072" t="s">
        <v>147</v>
      </c>
      <c r="AI2072" t="s">
        <v>148</v>
      </c>
      <c r="AJ2072" s="2">
        <v>45848.589409722219</v>
      </c>
      <c r="AK2072" t="s">
        <v>3564</v>
      </c>
      <c r="AL2072" t="s">
        <v>65</v>
      </c>
      <c r="AM2072" s="4">
        <v>2.7777777777777776E-2</v>
      </c>
      <c r="AN2072" t="s">
        <v>66</v>
      </c>
      <c r="AO2072" t="s">
        <v>67</v>
      </c>
    </row>
    <row r="2073" spans="1:41" x14ac:dyDescent="0.2">
      <c r="A2073">
        <v>371707</v>
      </c>
      <c r="B2073" t="s">
        <v>13607</v>
      </c>
      <c r="C2073" t="s">
        <v>167</v>
      </c>
      <c r="D2073" t="s">
        <v>528</v>
      </c>
      <c r="E2073" t="s">
        <v>13608</v>
      </c>
      <c r="F2073">
        <v>353614</v>
      </c>
      <c r="G2073" s="1">
        <v>32987</v>
      </c>
      <c r="H2073" s="1">
        <v>45806</v>
      </c>
      <c r="I2073" s="1">
        <v>46218</v>
      </c>
      <c r="J2073" t="s">
        <v>45</v>
      </c>
      <c r="K2073" t="s">
        <v>45</v>
      </c>
      <c r="L2073" t="s">
        <v>72</v>
      </c>
      <c r="M2073" s="1">
        <v>41922</v>
      </c>
      <c r="N2073" t="s">
        <v>47</v>
      </c>
      <c r="O2073" t="s">
        <v>48</v>
      </c>
      <c r="P2073" t="s">
        <v>49</v>
      </c>
      <c r="Q2073" t="s">
        <v>13609</v>
      </c>
      <c r="R2073" t="s">
        <v>13610</v>
      </c>
      <c r="S2073">
        <v>4400</v>
      </c>
      <c r="T2073" t="s">
        <v>365</v>
      </c>
      <c r="U2073" t="s">
        <v>532</v>
      </c>
      <c r="V2073" t="s">
        <v>533</v>
      </c>
      <c r="W2073" t="s">
        <v>367</v>
      </c>
      <c r="X2073" t="s">
        <v>76</v>
      </c>
      <c r="Y2073" t="s">
        <v>434</v>
      </c>
      <c r="Z2073">
        <v>329</v>
      </c>
      <c r="AA2073">
        <v>55</v>
      </c>
      <c r="AB2073">
        <v>158</v>
      </c>
      <c r="AC2073" t="s">
        <v>534</v>
      </c>
      <c r="AD2073" t="s">
        <v>535</v>
      </c>
      <c r="AE2073" t="s">
        <v>536</v>
      </c>
      <c r="AF2073" t="s">
        <v>537</v>
      </c>
      <c r="AG2073" t="s">
        <v>538</v>
      </c>
      <c r="AH2073" t="s">
        <v>539</v>
      </c>
      <c r="AI2073" t="s">
        <v>179</v>
      </c>
      <c r="AJ2073" s="2">
        <v>45818.675104166665</v>
      </c>
      <c r="AK2073" t="s">
        <v>3342</v>
      </c>
      <c r="AL2073" t="s">
        <v>65</v>
      </c>
      <c r="AM2073" s="3">
        <v>2.1736111111111112</v>
      </c>
      <c r="AN2073" t="s">
        <v>66</v>
      </c>
      <c r="AO2073" t="s">
        <v>67</v>
      </c>
    </row>
    <row r="2074" spans="1:41" x14ac:dyDescent="0.2">
      <c r="A2074">
        <v>369657</v>
      </c>
      <c r="B2074" t="s">
        <v>13611</v>
      </c>
      <c r="C2074" t="s">
        <v>182</v>
      </c>
      <c r="D2074" t="s">
        <v>811</v>
      </c>
      <c r="E2074" t="s">
        <v>13612</v>
      </c>
      <c r="G2074" s="1">
        <v>41305</v>
      </c>
      <c r="H2074" s="1">
        <v>45743</v>
      </c>
      <c r="J2074" t="s">
        <v>45</v>
      </c>
      <c r="K2074" t="s">
        <v>45</v>
      </c>
      <c r="L2074" t="s">
        <v>72</v>
      </c>
      <c r="N2074" t="s">
        <v>47</v>
      </c>
      <c r="O2074" t="s">
        <v>48</v>
      </c>
      <c r="P2074" t="s">
        <v>406</v>
      </c>
      <c r="Q2074" t="s">
        <v>13613</v>
      </c>
      <c r="R2074" t="s">
        <v>13614</v>
      </c>
      <c r="S2074">
        <v>4324</v>
      </c>
      <c r="T2074" t="s">
        <v>257</v>
      </c>
      <c r="U2074" t="s">
        <v>640</v>
      </c>
      <c r="V2074" t="s">
        <v>7178</v>
      </c>
      <c r="W2074" t="s">
        <v>260</v>
      </c>
      <c r="X2074" t="s">
        <v>257</v>
      </c>
      <c r="Y2074" t="s">
        <v>642</v>
      </c>
      <c r="Z2074">
        <v>6070</v>
      </c>
      <c r="AA2074">
        <v>15</v>
      </c>
      <c r="AB2074">
        <v>28</v>
      </c>
      <c r="AC2074" t="s">
        <v>6100</v>
      </c>
      <c r="AD2074" t="s">
        <v>6101</v>
      </c>
      <c r="AE2074" t="s">
        <v>6102</v>
      </c>
      <c r="AF2074" t="s">
        <v>6103</v>
      </c>
      <c r="AG2074" t="s">
        <v>7179</v>
      </c>
      <c r="AH2074" t="s">
        <v>6105</v>
      </c>
      <c r="AI2074" t="s">
        <v>6106</v>
      </c>
      <c r="AJ2074" s="2">
        <v>45748.013414351852</v>
      </c>
      <c r="AK2074" t="s">
        <v>6107</v>
      </c>
      <c r="AL2074" t="s">
        <v>1168</v>
      </c>
      <c r="AM2074" s="3">
        <v>1.4583333333333333</v>
      </c>
      <c r="AN2074" t="s">
        <v>66</v>
      </c>
      <c r="AO2074" t="s">
        <v>67</v>
      </c>
    </row>
    <row r="2075" spans="1:41" x14ac:dyDescent="0.2">
      <c r="A2075">
        <v>372907</v>
      </c>
      <c r="B2075" t="s">
        <v>13615</v>
      </c>
      <c r="C2075" t="s">
        <v>2889</v>
      </c>
      <c r="D2075" t="s">
        <v>1170</v>
      </c>
      <c r="E2075" t="s">
        <v>13616</v>
      </c>
      <c r="F2075">
        <v>192701</v>
      </c>
      <c r="G2075" s="1">
        <v>41040</v>
      </c>
      <c r="H2075" s="1">
        <v>45776</v>
      </c>
      <c r="I2075" s="1">
        <v>46143</v>
      </c>
      <c r="J2075" t="s">
        <v>45</v>
      </c>
      <c r="K2075" t="s">
        <v>45</v>
      </c>
      <c r="L2075" t="s">
        <v>46</v>
      </c>
      <c r="M2075" s="1">
        <v>44663</v>
      </c>
      <c r="N2075" t="s">
        <v>47</v>
      </c>
      <c r="O2075" t="s">
        <v>48</v>
      </c>
      <c r="P2075" t="s">
        <v>49</v>
      </c>
      <c r="Q2075" t="s">
        <v>13617</v>
      </c>
      <c r="R2075" t="s">
        <v>13618</v>
      </c>
      <c r="S2075">
        <v>240</v>
      </c>
      <c r="T2075" t="s">
        <v>156</v>
      </c>
      <c r="U2075" t="s">
        <v>1446</v>
      </c>
      <c r="W2075" t="s">
        <v>159</v>
      </c>
      <c r="X2075" t="s">
        <v>76</v>
      </c>
      <c r="Y2075" t="s">
        <v>434</v>
      </c>
      <c r="Z2075">
        <v>5126</v>
      </c>
      <c r="AA2075">
        <v>32</v>
      </c>
      <c r="AB2075">
        <v>67</v>
      </c>
      <c r="AC2075" t="s">
        <v>12391</v>
      </c>
      <c r="AD2075" t="s">
        <v>1454</v>
      </c>
      <c r="AE2075" t="s">
        <v>12392</v>
      </c>
      <c r="AF2075" t="s">
        <v>13619</v>
      </c>
      <c r="AG2075" t="s">
        <v>13620</v>
      </c>
      <c r="AH2075" t="s">
        <v>13621</v>
      </c>
      <c r="AJ2075" s="2">
        <v>45855.886365740742</v>
      </c>
      <c r="AK2075" t="s">
        <v>556</v>
      </c>
      <c r="AL2075" t="s">
        <v>65</v>
      </c>
      <c r="AM2075" s="4">
        <v>0.65972222222222221</v>
      </c>
      <c r="AN2075" t="s">
        <v>66</v>
      </c>
      <c r="AO2075" t="s">
        <v>101</v>
      </c>
    </row>
    <row r="2076" spans="1:41" x14ac:dyDescent="0.2">
      <c r="A2076">
        <v>369430</v>
      </c>
      <c r="B2076" t="s">
        <v>13622</v>
      </c>
      <c r="C2076" t="s">
        <v>182</v>
      </c>
      <c r="D2076" t="s">
        <v>4517</v>
      </c>
      <c r="E2076" t="s">
        <v>13623</v>
      </c>
      <c r="F2076">
        <v>45303</v>
      </c>
      <c r="G2076" s="1">
        <v>37134</v>
      </c>
      <c r="H2076" s="1">
        <v>45735</v>
      </c>
      <c r="I2076" s="1">
        <v>46143</v>
      </c>
      <c r="J2076" t="s">
        <v>45</v>
      </c>
      <c r="K2076" t="s">
        <v>45</v>
      </c>
      <c r="L2076" t="s">
        <v>429</v>
      </c>
      <c r="M2076" s="1">
        <v>41138</v>
      </c>
      <c r="N2076" t="s">
        <v>47</v>
      </c>
      <c r="O2076" t="s">
        <v>48</v>
      </c>
      <c r="P2076" t="s">
        <v>49</v>
      </c>
      <c r="Q2076" t="s">
        <v>13624</v>
      </c>
      <c r="R2076" t="s">
        <v>13625</v>
      </c>
      <c r="S2076">
        <v>3690</v>
      </c>
      <c r="T2076" t="s">
        <v>52</v>
      </c>
      <c r="U2076">
        <v>5</v>
      </c>
      <c r="V2076" t="s">
        <v>1030</v>
      </c>
      <c r="W2076" t="s">
        <v>54</v>
      </c>
      <c r="X2076" t="s">
        <v>493</v>
      </c>
      <c r="Y2076" t="s">
        <v>434</v>
      </c>
      <c r="Z2076">
        <v>1684</v>
      </c>
      <c r="AA2076">
        <v>58</v>
      </c>
      <c r="AB2076">
        <v>28</v>
      </c>
      <c r="AC2076" t="s">
        <v>13626</v>
      </c>
      <c r="AD2076" t="s">
        <v>13627</v>
      </c>
      <c r="AE2076" t="s">
        <v>13628</v>
      </c>
      <c r="AF2076" t="s">
        <v>1034</v>
      </c>
      <c r="AG2076" t="s">
        <v>1035</v>
      </c>
      <c r="AH2076" t="s">
        <v>1036</v>
      </c>
      <c r="AI2076" t="s">
        <v>500</v>
      </c>
      <c r="AJ2076" s="2">
        <v>45740.755381944444</v>
      </c>
      <c r="AK2076" t="s">
        <v>2668</v>
      </c>
      <c r="AL2076" t="s">
        <v>65</v>
      </c>
      <c r="AM2076" s="4">
        <v>0.95138888888888884</v>
      </c>
      <c r="AN2076" t="s">
        <v>66</v>
      </c>
      <c r="AO2076" t="s">
        <v>67</v>
      </c>
    </row>
    <row r="2077" spans="1:41" x14ac:dyDescent="0.2">
      <c r="A2077">
        <v>372917</v>
      </c>
      <c r="B2077" t="s">
        <v>13629</v>
      </c>
      <c r="C2077" t="s">
        <v>167</v>
      </c>
      <c r="D2077" t="s">
        <v>570</v>
      </c>
      <c r="E2077">
        <v>32550698</v>
      </c>
      <c r="F2077">
        <v>353521</v>
      </c>
      <c r="G2077" s="1">
        <v>33085</v>
      </c>
      <c r="H2077" s="1">
        <v>45797</v>
      </c>
      <c r="I2077" s="1">
        <v>46157</v>
      </c>
      <c r="J2077" t="s">
        <v>45</v>
      </c>
      <c r="K2077" t="s">
        <v>45</v>
      </c>
      <c r="L2077" t="s">
        <v>429</v>
      </c>
      <c r="M2077" s="1">
        <v>42768</v>
      </c>
      <c r="N2077" t="s">
        <v>47</v>
      </c>
      <c r="O2077" t="s">
        <v>48</v>
      </c>
      <c r="P2077" t="s">
        <v>49</v>
      </c>
      <c r="Q2077" t="s">
        <v>13630</v>
      </c>
      <c r="R2077" t="s">
        <v>13631</v>
      </c>
      <c r="S2077">
        <v>4860</v>
      </c>
      <c r="T2077" t="s">
        <v>365</v>
      </c>
      <c r="U2077" t="s">
        <v>532</v>
      </c>
      <c r="V2077" t="s">
        <v>1611</v>
      </c>
      <c r="W2077" t="s">
        <v>367</v>
      </c>
      <c r="X2077" t="s">
        <v>76</v>
      </c>
      <c r="Y2077" t="s">
        <v>434</v>
      </c>
      <c r="Z2077">
        <v>293</v>
      </c>
      <c r="AA2077">
        <v>59</v>
      </c>
      <c r="AB2077">
        <v>166</v>
      </c>
      <c r="AC2077" t="s">
        <v>575</v>
      </c>
      <c r="AD2077" t="s">
        <v>576</v>
      </c>
      <c r="AE2077" t="s">
        <v>577</v>
      </c>
      <c r="AF2077" t="s">
        <v>1612</v>
      </c>
      <c r="AG2077" t="s">
        <v>1613</v>
      </c>
      <c r="AI2077" t="s">
        <v>179</v>
      </c>
      <c r="AJ2077" s="2">
        <v>45855.898206018515</v>
      </c>
      <c r="AK2077" t="s">
        <v>556</v>
      </c>
      <c r="AL2077" t="s">
        <v>65</v>
      </c>
      <c r="AM2077" s="3">
        <v>1.7986111111111112</v>
      </c>
      <c r="AN2077" t="s">
        <v>66</v>
      </c>
      <c r="AO2077" t="s">
        <v>67</v>
      </c>
    </row>
    <row r="2078" spans="1:41" x14ac:dyDescent="0.2">
      <c r="A2078">
        <v>370460</v>
      </c>
      <c r="B2078" t="s">
        <v>13632</v>
      </c>
      <c r="C2078" t="s">
        <v>542</v>
      </c>
      <c r="D2078" t="s">
        <v>584</v>
      </c>
      <c r="E2078" t="s">
        <v>13633</v>
      </c>
      <c r="F2078">
        <v>369900</v>
      </c>
      <c r="G2078" s="1">
        <v>45359</v>
      </c>
      <c r="H2078" s="1">
        <v>45350</v>
      </c>
      <c r="J2078" t="s">
        <v>45</v>
      </c>
      <c r="K2078" t="s">
        <v>45</v>
      </c>
      <c r="L2078" t="s">
        <v>72</v>
      </c>
      <c r="M2078" s="1">
        <v>44320</v>
      </c>
      <c r="N2078" t="s">
        <v>89</v>
      </c>
      <c r="O2078" t="s">
        <v>121</v>
      </c>
      <c r="P2078" t="s">
        <v>49</v>
      </c>
      <c r="Q2078" t="s">
        <v>13634</v>
      </c>
      <c r="R2078" t="s">
        <v>13635</v>
      </c>
      <c r="S2078">
        <v>1800</v>
      </c>
      <c r="T2078" t="s">
        <v>92</v>
      </c>
      <c r="U2078" t="s">
        <v>1133</v>
      </c>
      <c r="V2078" t="s">
        <v>1134</v>
      </c>
      <c r="W2078" t="s">
        <v>1135</v>
      </c>
      <c r="X2078" t="s">
        <v>92</v>
      </c>
      <c r="Y2078" t="s">
        <v>770</v>
      </c>
      <c r="Z2078">
        <v>11566</v>
      </c>
      <c r="AA2078">
        <v>22</v>
      </c>
      <c r="AB2078">
        <v>45</v>
      </c>
      <c r="AC2078" t="s">
        <v>1136</v>
      </c>
      <c r="AD2078" t="s">
        <v>1137</v>
      </c>
      <c r="AE2078" t="s">
        <v>1138</v>
      </c>
      <c r="AI2078" t="s">
        <v>1137</v>
      </c>
      <c r="AJ2078" s="2">
        <v>45776.531608796293</v>
      </c>
      <c r="AK2078" t="s">
        <v>650</v>
      </c>
      <c r="AL2078" t="s">
        <v>65</v>
      </c>
      <c r="AM2078" s="3">
        <v>2.4652777777777777</v>
      </c>
      <c r="AN2078" t="s">
        <v>66</v>
      </c>
      <c r="AO2078" t="s">
        <v>101</v>
      </c>
    </row>
    <row r="2079" spans="1:41" x14ac:dyDescent="0.2">
      <c r="A2079">
        <v>367592</v>
      </c>
      <c r="B2079" t="s">
        <v>13636</v>
      </c>
      <c r="C2079" t="s">
        <v>662</v>
      </c>
      <c r="D2079" t="s">
        <v>13637</v>
      </c>
      <c r="E2079" t="s">
        <v>13638</v>
      </c>
      <c r="F2079">
        <v>418505</v>
      </c>
      <c r="G2079" s="1">
        <v>44895</v>
      </c>
      <c r="H2079" s="1">
        <v>45672</v>
      </c>
      <c r="I2079" s="1">
        <v>46006</v>
      </c>
      <c r="J2079" t="s">
        <v>45</v>
      </c>
      <c r="K2079" t="s">
        <v>45</v>
      </c>
      <c r="L2079" t="s">
        <v>72</v>
      </c>
      <c r="N2079" t="s">
        <v>47</v>
      </c>
      <c r="O2079" t="s">
        <v>48</v>
      </c>
      <c r="P2079" t="s">
        <v>49</v>
      </c>
      <c r="Q2079" t="s">
        <v>13639</v>
      </c>
      <c r="R2079" t="s">
        <v>13640</v>
      </c>
      <c r="S2079">
        <v>30</v>
      </c>
      <c r="T2079" t="s">
        <v>257</v>
      </c>
      <c r="U2079" t="s">
        <v>283</v>
      </c>
      <c r="V2079" t="s">
        <v>13641</v>
      </c>
      <c r="W2079" t="s">
        <v>260</v>
      </c>
      <c r="X2079" t="s">
        <v>257</v>
      </c>
      <c r="Y2079" t="s">
        <v>110</v>
      </c>
      <c r="Z2079">
        <v>12124</v>
      </c>
      <c r="AA2079">
        <v>12</v>
      </c>
      <c r="AB2079">
        <v>210</v>
      </c>
      <c r="AC2079" t="s">
        <v>13642</v>
      </c>
      <c r="AD2079" t="s">
        <v>13643</v>
      </c>
      <c r="AE2079" t="s">
        <v>13644</v>
      </c>
      <c r="AF2079" t="s">
        <v>13645</v>
      </c>
      <c r="AG2079" t="s">
        <v>13646</v>
      </c>
      <c r="AH2079" t="s">
        <v>13647</v>
      </c>
      <c r="AJ2079" s="2">
        <v>45681.815370370372</v>
      </c>
      <c r="AK2079" t="s">
        <v>13642</v>
      </c>
      <c r="AL2079" t="s">
        <v>65</v>
      </c>
      <c r="AM2079" s="4">
        <v>0.1423611111111111</v>
      </c>
      <c r="AN2079" t="s">
        <v>66</v>
      </c>
      <c r="AO2079" t="s">
        <v>67</v>
      </c>
    </row>
    <row r="2080" spans="1:41" x14ac:dyDescent="0.2">
      <c r="A2080">
        <v>368186</v>
      </c>
      <c r="B2080" t="s">
        <v>13648</v>
      </c>
      <c r="C2080" t="s">
        <v>42</v>
      </c>
      <c r="D2080" t="s">
        <v>13649</v>
      </c>
      <c r="E2080" t="s">
        <v>13650</v>
      </c>
      <c r="F2080">
        <v>293202</v>
      </c>
      <c r="G2080" s="1">
        <v>32952</v>
      </c>
      <c r="H2080" s="1">
        <v>45701</v>
      </c>
      <c r="I2080" s="1">
        <v>46054</v>
      </c>
      <c r="J2080" t="s">
        <v>45</v>
      </c>
      <c r="K2080" t="s">
        <v>45</v>
      </c>
      <c r="L2080" t="s">
        <v>429</v>
      </c>
      <c r="M2080" s="1">
        <v>40764</v>
      </c>
      <c r="N2080" t="s">
        <v>47</v>
      </c>
      <c r="O2080" t="s">
        <v>48</v>
      </c>
      <c r="P2080" t="s">
        <v>49</v>
      </c>
      <c r="Q2080" t="s">
        <v>13651</v>
      </c>
      <c r="R2080" t="s">
        <v>13652</v>
      </c>
      <c r="S2080">
        <v>3534</v>
      </c>
      <c r="T2080" t="s">
        <v>365</v>
      </c>
      <c r="U2080" t="s">
        <v>432</v>
      </c>
      <c r="V2080" t="s">
        <v>4335</v>
      </c>
      <c r="W2080" t="s">
        <v>367</v>
      </c>
      <c r="X2080" t="s">
        <v>55</v>
      </c>
      <c r="Y2080" t="s">
        <v>434</v>
      </c>
      <c r="Z2080">
        <v>232</v>
      </c>
      <c r="AA2080">
        <v>48</v>
      </c>
      <c r="AB2080">
        <v>158</v>
      </c>
      <c r="AC2080" t="s">
        <v>4375</v>
      </c>
      <c r="AD2080" t="s">
        <v>4376</v>
      </c>
      <c r="AE2080" t="s">
        <v>4377</v>
      </c>
      <c r="AF2080" t="s">
        <v>4378</v>
      </c>
      <c r="AG2080" t="s">
        <v>4340</v>
      </c>
      <c r="AH2080" t="s">
        <v>4341</v>
      </c>
      <c r="AI2080" t="s">
        <v>13653</v>
      </c>
      <c r="AJ2080" s="2">
        <v>45706.604027777779</v>
      </c>
      <c r="AK2080" t="s">
        <v>609</v>
      </c>
      <c r="AL2080" t="s">
        <v>65</v>
      </c>
      <c r="AM2080" s="3">
        <v>1.6597222222222223</v>
      </c>
      <c r="AN2080" t="s">
        <v>66</v>
      </c>
      <c r="AO2080" t="s">
        <v>67</v>
      </c>
    </row>
    <row r="2081" spans="1:41" x14ac:dyDescent="0.2">
      <c r="A2081">
        <v>371492</v>
      </c>
      <c r="B2081" t="s">
        <v>13654</v>
      </c>
      <c r="C2081" t="s">
        <v>662</v>
      </c>
      <c r="D2081" t="s">
        <v>13655</v>
      </c>
      <c r="E2081">
        <v>88426764</v>
      </c>
      <c r="F2081">
        <v>419203</v>
      </c>
      <c r="G2081" s="1">
        <v>39058</v>
      </c>
      <c r="H2081" s="1">
        <v>45602</v>
      </c>
      <c r="I2081" s="1">
        <v>45931</v>
      </c>
      <c r="J2081" t="s">
        <v>45</v>
      </c>
      <c r="K2081" t="s">
        <v>45</v>
      </c>
      <c r="L2081" t="s">
        <v>46</v>
      </c>
      <c r="M2081" s="1">
        <v>42769</v>
      </c>
      <c r="N2081" t="s">
        <v>47</v>
      </c>
      <c r="O2081" t="s">
        <v>48</v>
      </c>
      <c r="P2081" t="s">
        <v>49</v>
      </c>
      <c r="Q2081" t="s">
        <v>13656</v>
      </c>
      <c r="R2081" t="s">
        <v>13657</v>
      </c>
      <c r="S2081">
        <v>1854</v>
      </c>
      <c r="T2081" t="s">
        <v>92</v>
      </c>
      <c r="U2081" t="s">
        <v>1197</v>
      </c>
      <c r="V2081" t="s">
        <v>1198</v>
      </c>
      <c r="W2081" t="s">
        <v>1199</v>
      </c>
      <c r="X2081" t="s">
        <v>92</v>
      </c>
      <c r="Y2081" t="s">
        <v>110</v>
      </c>
      <c r="Z2081">
        <v>2881</v>
      </c>
      <c r="AA2081">
        <v>33</v>
      </c>
      <c r="AB2081">
        <v>166</v>
      </c>
      <c r="AC2081" t="s">
        <v>1200</v>
      </c>
      <c r="AD2081" t="s">
        <v>1201</v>
      </c>
      <c r="AE2081" t="s">
        <v>1202</v>
      </c>
      <c r="AF2081" t="s">
        <v>1727</v>
      </c>
      <c r="AG2081" t="s">
        <v>1728</v>
      </c>
      <c r="AH2081" t="s">
        <v>1729</v>
      </c>
      <c r="AJ2081" s="2">
        <v>45813.572048611109</v>
      </c>
      <c r="AK2081" t="s">
        <v>1200</v>
      </c>
      <c r="AL2081" t="s">
        <v>65</v>
      </c>
      <c r="AM2081" s="4">
        <v>0.4236111111111111</v>
      </c>
      <c r="AN2081" t="s">
        <v>66</v>
      </c>
      <c r="AO2081" t="s">
        <v>67</v>
      </c>
    </row>
    <row r="2082" spans="1:41" x14ac:dyDescent="0.2">
      <c r="A2082">
        <v>370214</v>
      </c>
      <c r="B2082" t="s">
        <v>13658</v>
      </c>
      <c r="C2082" t="s">
        <v>1013</v>
      </c>
      <c r="D2082" t="s">
        <v>13659</v>
      </c>
      <c r="E2082" t="s">
        <v>13660</v>
      </c>
      <c r="F2082">
        <v>322503</v>
      </c>
      <c r="G2082" s="1">
        <v>39014</v>
      </c>
      <c r="H2082" s="1">
        <v>45764</v>
      </c>
      <c r="I2082" s="1">
        <v>46082</v>
      </c>
      <c r="J2082" t="s">
        <v>45</v>
      </c>
      <c r="K2082" t="s">
        <v>45</v>
      </c>
      <c r="L2082" t="s">
        <v>72</v>
      </c>
      <c r="M2082" s="1">
        <v>43269</v>
      </c>
      <c r="N2082" t="s">
        <v>47</v>
      </c>
      <c r="O2082" t="s">
        <v>48</v>
      </c>
      <c r="P2082" t="s">
        <v>49</v>
      </c>
      <c r="Q2082" t="s">
        <v>13661</v>
      </c>
      <c r="R2082" t="s">
        <v>13662</v>
      </c>
      <c r="S2082">
        <v>2721</v>
      </c>
      <c r="T2082" t="s">
        <v>257</v>
      </c>
      <c r="U2082" t="s">
        <v>258</v>
      </c>
      <c r="V2082" t="s">
        <v>13663</v>
      </c>
      <c r="W2082" t="s">
        <v>260</v>
      </c>
      <c r="X2082" t="s">
        <v>257</v>
      </c>
      <c r="Y2082" t="s">
        <v>110</v>
      </c>
      <c r="Z2082">
        <v>1407</v>
      </c>
      <c r="AA2082">
        <v>44</v>
      </c>
      <c r="AB2082">
        <v>158</v>
      </c>
      <c r="AC2082" t="s">
        <v>10422</v>
      </c>
      <c r="AD2082" t="s">
        <v>13664</v>
      </c>
      <c r="AE2082" t="s">
        <v>10424</v>
      </c>
      <c r="AF2082" t="s">
        <v>13665</v>
      </c>
      <c r="AG2082" t="s">
        <v>13666</v>
      </c>
      <c r="AH2082" t="s">
        <v>9939</v>
      </c>
      <c r="AI2082" t="s">
        <v>10426</v>
      </c>
      <c r="AJ2082" s="2">
        <v>45765.600254629629</v>
      </c>
      <c r="AK2082" t="s">
        <v>10427</v>
      </c>
      <c r="AL2082" t="s">
        <v>65</v>
      </c>
      <c r="AM2082" s="4">
        <v>0.5625</v>
      </c>
      <c r="AN2082" t="s">
        <v>66</v>
      </c>
      <c r="AO2082" t="s">
        <v>67</v>
      </c>
    </row>
    <row r="2083" spans="1:41" x14ac:dyDescent="0.2">
      <c r="A2083">
        <v>372999</v>
      </c>
      <c r="B2083" t="s">
        <v>13667</v>
      </c>
      <c r="C2083" t="s">
        <v>788</v>
      </c>
      <c r="D2083" t="s">
        <v>1628</v>
      </c>
      <c r="E2083" t="s">
        <v>13668</v>
      </c>
      <c r="F2083">
        <v>84001</v>
      </c>
      <c r="G2083" s="1">
        <v>40583</v>
      </c>
      <c r="H2083" s="1">
        <v>45629</v>
      </c>
      <c r="I2083" s="1">
        <v>45992</v>
      </c>
      <c r="J2083" t="s">
        <v>45</v>
      </c>
      <c r="K2083" t="s">
        <v>45</v>
      </c>
      <c r="L2083" t="s">
        <v>46</v>
      </c>
      <c r="M2083" s="1">
        <v>44826</v>
      </c>
      <c r="N2083" t="s">
        <v>47</v>
      </c>
      <c r="O2083" t="s">
        <v>48</v>
      </c>
      <c r="P2083" t="s">
        <v>49</v>
      </c>
      <c r="Q2083" t="s">
        <v>13669</v>
      </c>
      <c r="R2083" t="s">
        <v>13670</v>
      </c>
      <c r="S2083">
        <v>85</v>
      </c>
      <c r="T2083" t="s">
        <v>52</v>
      </c>
      <c r="U2083">
        <v>8</v>
      </c>
      <c r="V2083" t="s">
        <v>793</v>
      </c>
      <c r="W2083" t="s">
        <v>54</v>
      </c>
      <c r="X2083" t="s">
        <v>76</v>
      </c>
      <c r="Y2083" t="s">
        <v>56</v>
      </c>
      <c r="Z2083">
        <v>4167</v>
      </c>
      <c r="AA2083">
        <v>42</v>
      </c>
      <c r="AB2083">
        <v>45</v>
      </c>
      <c r="AC2083" t="s">
        <v>2863</v>
      </c>
      <c r="AD2083" t="s">
        <v>2864</v>
      </c>
      <c r="AE2083" t="s">
        <v>2865</v>
      </c>
      <c r="AF2083" t="s">
        <v>4798</v>
      </c>
      <c r="AG2083" t="s">
        <v>4799</v>
      </c>
      <c r="AH2083" t="s">
        <v>4800</v>
      </c>
      <c r="AJ2083" s="2">
        <v>45855.992719907408</v>
      </c>
      <c r="AK2083" t="s">
        <v>556</v>
      </c>
      <c r="AL2083" t="s">
        <v>65</v>
      </c>
      <c r="AM2083" s="3">
        <v>2</v>
      </c>
      <c r="AN2083" t="s">
        <v>66</v>
      </c>
      <c r="AO2083" t="s">
        <v>101</v>
      </c>
    </row>
    <row r="2084" spans="1:41" x14ac:dyDescent="0.2">
      <c r="A2084">
        <v>372692</v>
      </c>
      <c r="B2084" t="s">
        <v>13671</v>
      </c>
      <c r="C2084" t="s">
        <v>134</v>
      </c>
      <c r="D2084" t="s">
        <v>2341</v>
      </c>
      <c r="E2084">
        <v>32459464</v>
      </c>
      <c r="F2084">
        <v>452915</v>
      </c>
      <c r="G2084" s="1">
        <v>38831</v>
      </c>
      <c r="H2084" s="1">
        <v>45815</v>
      </c>
      <c r="I2084" s="1">
        <v>46174</v>
      </c>
      <c r="J2084" t="s">
        <v>45</v>
      </c>
      <c r="K2084" t="s">
        <v>45</v>
      </c>
      <c r="L2084" t="s">
        <v>429</v>
      </c>
      <c r="M2084" s="1">
        <v>41986</v>
      </c>
      <c r="N2084" t="s">
        <v>47</v>
      </c>
      <c r="O2084" t="s">
        <v>48</v>
      </c>
      <c r="P2084" t="s">
        <v>49</v>
      </c>
      <c r="Q2084" t="s">
        <v>13672</v>
      </c>
      <c r="R2084" t="s">
        <v>13673</v>
      </c>
      <c r="S2084">
        <v>3120</v>
      </c>
      <c r="T2084" t="s">
        <v>52</v>
      </c>
      <c r="U2084">
        <v>6</v>
      </c>
      <c r="V2084" t="s">
        <v>3463</v>
      </c>
      <c r="W2084" t="s">
        <v>54</v>
      </c>
      <c r="X2084" t="s">
        <v>76</v>
      </c>
      <c r="Y2084" t="s">
        <v>56</v>
      </c>
      <c r="Z2084">
        <v>750</v>
      </c>
      <c r="AA2084">
        <v>55</v>
      </c>
      <c r="AB2084">
        <v>158</v>
      </c>
      <c r="AC2084" t="s">
        <v>4725</v>
      </c>
      <c r="AD2084" t="s">
        <v>4726</v>
      </c>
      <c r="AE2084" t="s">
        <v>4727</v>
      </c>
      <c r="AF2084" t="s">
        <v>4728</v>
      </c>
      <c r="AG2084" t="s">
        <v>4729</v>
      </c>
      <c r="AI2084" t="s">
        <v>4730</v>
      </c>
      <c r="AJ2084" s="2">
        <v>45849.954097222224</v>
      </c>
      <c r="AK2084" t="s">
        <v>4725</v>
      </c>
      <c r="AL2084" t="s">
        <v>65</v>
      </c>
      <c r="AM2084" s="3">
        <v>2.2916666666666665</v>
      </c>
      <c r="AN2084" t="s">
        <v>66</v>
      </c>
      <c r="AO2084" t="s">
        <v>67</v>
      </c>
    </row>
    <row r="2085" spans="1:41" x14ac:dyDescent="0.2">
      <c r="A2085">
        <v>370091</v>
      </c>
      <c r="B2085" t="s">
        <v>13674</v>
      </c>
      <c r="C2085" t="s">
        <v>182</v>
      </c>
      <c r="D2085" t="s">
        <v>610</v>
      </c>
      <c r="E2085" t="s">
        <v>13675</v>
      </c>
      <c r="G2085" s="1">
        <v>40080</v>
      </c>
      <c r="H2085" s="1">
        <v>45756</v>
      </c>
      <c r="J2085" t="s">
        <v>45</v>
      </c>
      <c r="K2085" t="s">
        <v>45</v>
      </c>
      <c r="L2085" t="s">
        <v>72</v>
      </c>
      <c r="N2085" t="s">
        <v>47</v>
      </c>
      <c r="O2085" t="s">
        <v>48</v>
      </c>
      <c r="P2085" t="s">
        <v>1752</v>
      </c>
      <c r="Q2085" t="s">
        <v>13676</v>
      </c>
      <c r="R2085" t="s">
        <v>13677</v>
      </c>
      <c r="S2085">
        <v>455</v>
      </c>
      <c r="T2085" t="s">
        <v>449</v>
      </c>
      <c r="U2085" t="s">
        <v>187</v>
      </c>
      <c r="V2085" t="s">
        <v>520</v>
      </c>
      <c r="W2085" t="s">
        <v>521</v>
      </c>
      <c r="X2085" t="s">
        <v>449</v>
      </c>
      <c r="Y2085" t="s">
        <v>450</v>
      </c>
      <c r="Z2085">
        <v>3091</v>
      </c>
      <c r="AA2085">
        <v>21</v>
      </c>
      <c r="AB2085">
        <v>52</v>
      </c>
      <c r="AC2085" t="s">
        <v>12214</v>
      </c>
      <c r="AD2085" t="s">
        <v>523</v>
      </c>
      <c r="AE2085" t="s">
        <v>524</v>
      </c>
      <c r="AI2085" t="s">
        <v>523</v>
      </c>
      <c r="AJ2085" s="2">
        <v>45763.575416666667</v>
      </c>
      <c r="AK2085" t="s">
        <v>526</v>
      </c>
      <c r="AL2085" t="s">
        <v>65</v>
      </c>
      <c r="AM2085" s="3">
        <v>2.0972222222222223</v>
      </c>
      <c r="AN2085" t="s">
        <v>66</v>
      </c>
      <c r="AO2085" t="s">
        <v>67</v>
      </c>
    </row>
    <row r="2086" spans="1:41" x14ac:dyDescent="0.2">
      <c r="A2086">
        <v>372140</v>
      </c>
      <c r="B2086" t="s">
        <v>13678</v>
      </c>
      <c r="C2086" t="s">
        <v>309</v>
      </c>
      <c r="D2086" t="s">
        <v>6367</v>
      </c>
      <c r="E2086" t="s">
        <v>13679</v>
      </c>
      <c r="F2086">
        <v>492018</v>
      </c>
      <c r="G2086" s="1">
        <v>39881</v>
      </c>
      <c r="H2086" s="1">
        <v>45828</v>
      </c>
      <c r="I2086" s="1">
        <v>46096</v>
      </c>
      <c r="J2086" t="s">
        <v>45</v>
      </c>
      <c r="K2086" t="s">
        <v>45</v>
      </c>
      <c r="L2086" t="s">
        <v>72</v>
      </c>
      <c r="M2086" s="1">
        <v>44957</v>
      </c>
      <c r="N2086" t="s">
        <v>47</v>
      </c>
      <c r="O2086" t="s">
        <v>48</v>
      </c>
      <c r="P2086" t="s">
        <v>49</v>
      </c>
      <c r="Q2086" t="s">
        <v>13680</v>
      </c>
      <c r="R2086" t="s">
        <v>13681</v>
      </c>
      <c r="S2086">
        <v>2400</v>
      </c>
      <c r="T2086" t="s">
        <v>92</v>
      </c>
      <c r="U2086" t="s">
        <v>313</v>
      </c>
      <c r="V2086" t="s">
        <v>314</v>
      </c>
      <c r="W2086" t="s">
        <v>315</v>
      </c>
      <c r="X2086" t="s">
        <v>92</v>
      </c>
      <c r="Y2086" t="s">
        <v>110</v>
      </c>
      <c r="Z2086">
        <v>3061</v>
      </c>
      <c r="AA2086">
        <v>30</v>
      </c>
      <c r="AB2086">
        <v>80</v>
      </c>
      <c r="AC2086" t="s">
        <v>13682</v>
      </c>
      <c r="AD2086" t="s">
        <v>13683</v>
      </c>
      <c r="AE2086" t="s">
        <v>13684</v>
      </c>
      <c r="AF2086" t="s">
        <v>10029</v>
      </c>
      <c r="AG2086" t="s">
        <v>10030</v>
      </c>
      <c r="AH2086" t="s">
        <v>10031</v>
      </c>
      <c r="AI2086" t="s">
        <v>317</v>
      </c>
      <c r="AJ2086" s="2">
        <v>45832.122870370367</v>
      </c>
      <c r="AK2086" t="s">
        <v>316</v>
      </c>
      <c r="AL2086" t="s">
        <v>65</v>
      </c>
      <c r="AM2086" s="3">
        <v>1.5069444444444444</v>
      </c>
      <c r="AN2086" t="s">
        <v>66</v>
      </c>
      <c r="AO2086" t="s">
        <v>67</v>
      </c>
    </row>
    <row r="2087" spans="1:41" x14ac:dyDescent="0.2">
      <c r="A2087">
        <v>371049</v>
      </c>
      <c r="B2087" t="s">
        <v>13685</v>
      </c>
      <c r="C2087" t="s">
        <v>662</v>
      </c>
      <c r="D2087" t="s">
        <v>13686</v>
      </c>
      <c r="E2087" t="s">
        <v>13687</v>
      </c>
      <c r="F2087">
        <v>412601</v>
      </c>
      <c r="G2087" s="1">
        <v>37446</v>
      </c>
      <c r="H2087" s="1">
        <v>45566</v>
      </c>
      <c r="I2087" s="1">
        <v>45915</v>
      </c>
      <c r="J2087" t="s">
        <v>45</v>
      </c>
      <c r="K2087" t="s">
        <v>45</v>
      </c>
      <c r="L2087" t="s">
        <v>72</v>
      </c>
      <c r="M2087" s="1">
        <v>45250</v>
      </c>
      <c r="N2087" t="s">
        <v>47</v>
      </c>
      <c r="O2087" t="s">
        <v>48</v>
      </c>
      <c r="P2087" t="s">
        <v>49</v>
      </c>
      <c r="Q2087" t="s">
        <v>13688</v>
      </c>
      <c r="R2087" t="s">
        <v>13689</v>
      </c>
      <c r="S2087">
        <v>380</v>
      </c>
      <c r="T2087" t="s">
        <v>92</v>
      </c>
      <c r="U2087" t="s">
        <v>1197</v>
      </c>
      <c r="V2087" t="s">
        <v>1198</v>
      </c>
      <c r="W2087" t="s">
        <v>1199</v>
      </c>
      <c r="X2087" t="s">
        <v>52</v>
      </c>
      <c r="Y2087" t="s">
        <v>110</v>
      </c>
      <c r="Z2087">
        <v>2125</v>
      </c>
      <c r="AA2087">
        <v>42</v>
      </c>
      <c r="AB2087">
        <v>158</v>
      </c>
      <c r="AC2087" t="s">
        <v>1200</v>
      </c>
      <c r="AD2087" t="s">
        <v>1201</v>
      </c>
      <c r="AE2087" t="s">
        <v>1202</v>
      </c>
      <c r="AF2087" t="s">
        <v>1203</v>
      </c>
      <c r="AG2087" t="s">
        <v>1204</v>
      </c>
      <c r="AH2087" t="s">
        <v>1205</v>
      </c>
      <c r="AJ2087" s="2">
        <v>45793.650659722225</v>
      </c>
      <c r="AK2087" t="s">
        <v>84</v>
      </c>
      <c r="AL2087" t="s">
        <v>65</v>
      </c>
      <c r="AM2087" s="4">
        <v>0.21527777777777779</v>
      </c>
      <c r="AN2087" t="s">
        <v>66</v>
      </c>
      <c r="AO2087" t="s">
        <v>67</v>
      </c>
    </row>
    <row r="2088" spans="1:41" x14ac:dyDescent="0.2">
      <c r="A2088">
        <v>365953</v>
      </c>
      <c r="B2088" t="s">
        <v>13690</v>
      </c>
      <c r="C2088" t="s">
        <v>309</v>
      </c>
      <c r="D2088" t="s">
        <v>309</v>
      </c>
      <c r="E2088" t="s">
        <v>13691</v>
      </c>
      <c r="F2088">
        <v>496009</v>
      </c>
      <c r="G2088" s="1">
        <v>36355</v>
      </c>
      <c r="H2088" s="1">
        <v>45595</v>
      </c>
      <c r="I2088" s="1">
        <v>46096</v>
      </c>
      <c r="J2088" t="s">
        <v>45</v>
      </c>
      <c r="K2088" t="s">
        <v>326</v>
      </c>
      <c r="L2088" t="s">
        <v>72</v>
      </c>
      <c r="M2088" s="1">
        <v>43179</v>
      </c>
      <c r="N2088" t="s">
        <v>47</v>
      </c>
      <c r="O2088" t="s">
        <v>48</v>
      </c>
      <c r="P2088" t="s">
        <v>49</v>
      </c>
      <c r="Q2088" t="s">
        <v>13692</v>
      </c>
      <c r="R2088" t="s">
        <v>13693</v>
      </c>
      <c r="S2088">
        <v>2808</v>
      </c>
      <c r="T2088" t="s">
        <v>257</v>
      </c>
      <c r="U2088" t="s">
        <v>640</v>
      </c>
      <c r="V2088" t="s">
        <v>9952</v>
      </c>
      <c r="W2088" t="s">
        <v>260</v>
      </c>
      <c r="X2088" t="s">
        <v>257</v>
      </c>
      <c r="Y2088" t="s">
        <v>110</v>
      </c>
      <c r="Z2088">
        <v>515</v>
      </c>
      <c r="AA2088">
        <v>56</v>
      </c>
      <c r="AB2088">
        <v>34</v>
      </c>
      <c r="AC2088" t="s">
        <v>646</v>
      </c>
      <c r="AD2088" t="s">
        <v>647</v>
      </c>
      <c r="AE2088" t="s">
        <v>648</v>
      </c>
      <c r="AF2088" t="s">
        <v>9953</v>
      </c>
      <c r="AG2088" t="s">
        <v>9954</v>
      </c>
      <c r="AH2088" t="s">
        <v>9955</v>
      </c>
      <c r="AI2088" t="s">
        <v>9956</v>
      </c>
      <c r="AJ2088" s="2">
        <v>45596.747743055559</v>
      </c>
      <c r="AK2088" t="s">
        <v>646</v>
      </c>
      <c r="AL2088" t="s">
        <v>65</v>
      </c>
      <c r="AM2088" s="4">
        <v>6.25E-2</v>
      </c>
      <c r="AN2088" t="s">
        <v>66</v>
      </c>
      <c r="AO2088" t="s">
        <v>67</v>
      </c>
    </row>
    <row r="2089" spans="1:41" x14ac:dyDescent="0.2">
      <c r="A2089">
        <v>369603</v>
      </c>
      <c r="B2089" t="s">
        <v>13694</v>
      </c>
      <c r="C2089" t="s">
        <v>182</v>
      </c>
      <c r="D2089" t="s">
        <v>610</v>
      </c>
      <c r="E2089" t="s">
        <v>13695</v>
      </c>
      <c r="F2089">
        <v>45740</v>
      </c>
      <c r="G2089" s="1">
        <v>38244</v>
      </c>
      <c r="H2089" s="1">
        <v>45743</v>
      </c>
      <c r="I2089" s="1">
        <v>46096</v>
      </c>
      <c r="J2089" t="s">
        <v>45</v>
      </c>
      <c r="K2089" t="s">
        <v>45</v>
      </c>
      <c r="L2089" t="s">
        <v>429</v>
      </c>
      <c r="M2089" s="1">
        <v>45743</v>
      </c>
      <c r="N2089" t="s">
        <v>47</v>
      </c>
      <c r="O2089" t="s">
        <v>48</v>
      </c>
      <c r="P2089" t="s">
        <v>49</v>
      </c>
      <c r="Q2089" t="s">
        <v>13696</v>
      </c>
      <c r="R2089" t="s">
        <v>13697</v>
      </c>
      <c r="S2089">
        <v>5486</v>
      </c>
      <c r="T2089" t="s">
        <v>52</v>
      </c>
      <c r="U2089">
        <v>5</v>
      </c>
      <c r="V2089" t="s">
        <v>614</v>
      </c>
      <c r="W2089" t="s">
        <v>54</v>
      </c>
      <c r="X2089" t="s">
        <v>493</v>
      </c>
      <c r="Y2089" t="s">
        <v>434</v>
      </c>
      <c r="Z2089">
        <v>2585</v>
      </c>
      <c r="AA2089">
        <v>39</v>
      </c>
      <c r="AB2089">
        <v>166</v>
      </c>
      <c r="AC2089" t="s">
        <v>615</v>
      </c>
      <c r="AD2089" t="s">
        <v>616</v>
      </c>
      <c r="AE2089" t="s">
        <v>617</v>
      </c>
      <c r="AF2089" t="s">
        <v>4148</v>
      </c>
      <c r="AG2089" t="s">
        <v>619</v>
      </c>
      <c r="AH2089" t="s">
        <v>617</v>
      </c>
      <c r="AI2089" t="s">
        <v>620</v>
      </c>
      <c r="AJ2089" s="2">
        <v>45747.611828703702</v>
      </c>
      <c r="AK2089" t="s">
        <v>540</v>
      </c>
      <c r="AL2089" t="s">
        <v>65</v>
      </c>
      <c r="AM2089" s="4">
        <v>0.64583333333333337</v>
      </c>
      <c r="AN2089" t="s">
        <v>66</v>
      </c>
      <c r="AO2089" t="s">
        <v>67</v>
      </c>
    </row>
    <row r="2090" spans="1:41" x14ac:dyDescent="0.2">
      <c r="A2090">
        <v>371514</v>
      </c>
      <c r="B2090" t="s">
        <v>13698</v>
      </c>
      <c r="C2090" t="s">
        <v>323</v>
      </c>
      <c r="E2090" s="5" t="s">
        <v>13699</v>
      </c>
      <c r="G2090" s="1">
        <v>41127</v>
      </c>
      <c r="H2090" s="1">
        <v>45809</v>
      </c>
      <c r="J2090" t="s">
        <v>72</v>
      </c>
      <c r="K2090" t="s">
        <v>72</v>
      </c>
      <c r="L2090" t="s">
        <v>72</v>
      </c>
      <c r="M2090" s="1">
        <v>41127</v>
      </c>
      <c r="N2090" t="s">
        <v>47</v>
      </c>
      <c r="O2090" t="s">
        <v>48</v>
      </c>
      <c r="P2090" t="s">
        <v>406</v>
      </c>
      <c r="Q2090" t="s">
        <v>13700</v>
      </c>
      <c r="R2090" t="s">
        <v>13701</v>
      </c>
      <c r="S2090">
        <v>3135</v>
      </c>
      <c r="T2090" t="s">
        <v>257</v>
      </c>
      <c r="U2090" t="s">
        <v>329</v>
      </c>
      <c r="V2090" t="s">
        <v>5032</v>
      </c>
      <c r="W2090" t="s">
        <v>260</v>
      </c>
      <c r="X2090" t="s">
        <v>257</v>
      </c>
      <c r="Y2090" t="s">
        <v>642</v>
      </c>
      <c r="Z2090">
        <v>5830</v>
      </c>
      <c r="AA2090">
        <v>22</v>
      </c>
      <c r="AB2090">
        <v>108</v>
      </c>
      <c r="AC2090" t="s">
        <v>1164</v>
      </c>
      <c r="AD2090" t="s">
        <v>1165</v>
      </c>
      <c r="AE2090" t="s">
        <v>1166</v>
      </c>
      <c r="AJ2090" s="2">
        <v>45813.916354166664</v>
      </c>
      <c r="AK2090" t="s">
        <v>1164</v>
      </c>
      <c r="AL2090" t="s">
        <v>1168</v>
      </c>
      <c r="AM2090" s="4">
        <v>0.95833333333333337</v>
      </c>
      <c r="AN2090" t="s">
        <v>66</v>
      </c>
      <c r="AO2090" t="s">
        <v>67</v>
      </c>
    </row>
    <row r="2091" spans="1:41" x14ac:dyDescent="0.2">
      <c r="A2091">
        <v>356596</v>
      </c>
      <c r="B2091" t="s">
        <v>13702</v>
      </c>
      <c r="C2091" t="s">
        <v>182</v>
      </c>
      <c r="D2091" t="s">
        <v>4074</v>
      </c>
      <c r="E2091" t="s">
        <v>13703</v>
      </c>
      <c r="J2091" t="s">
        <v>326</v>
      </c>
      <c r="K2091" t="s">
        <v>45</v>
      </c>
      <c r="L2091" t="s">
        <v>72</v>
      </c>
      <c r="N2091" t="s">
        <v>89</v>
      </c>
      <c r="O2091" t="s">
        <v>48</v>
      </c>
      <c r="P2091" t="s">
        <v>49</v>
      </c>
      <c r="T2091" t="s">
        <v>365</v>
      </c>
      <c r="U2091" t="s">
        <v>815</v>
      </c>
      <c r="V2091" t="s">
        <v>816</v>
      </c>
      <c r="W2091" t="s">
        <v>367</v>
      </c>
      <c r="X2091" t="s">
        <v>76</v>
      </c>
      <c r="Y2091" t="s">
        <v>410</v>
      </c>
      <c r="Z2091">
        <v>8306</v>
      </c>
      <c r="AA2091">
        <v>3</v>
      </c>
      <c r="AB2091">
        <v>78</v>
      </c>
      <c r="AC2091" t="s">
        <v>817</v>
      </c>
      <c r="AD2091" t="s">
        <v>818</v>
      </c>
      <c r="AE2091" t="s">
        <v>819</v>
      </c>
      <c r="AF2091" t="s">
        <v>13704</v>
      </c>
      <c r="AG2091" t="s">
        <v>13705</v>
      </c>
      <c r="AH2091" t="s">
        <v>13706</v>
      </c>
      <c r="AI2091" t="s">
        <v>179</v>
      </c>
      <c r="AJ2091" s="2">
        <v>45313.657500000001</v>
      </c>
      <c r="AK2091" t="s">
        <v>149</v>
      </c>
      <c r="AL2091" t="s">
        <v>65</v>
      </c>
      <c r="AM2091" s="4">
        <v>0.875</v>
      </c>
      <c r="AN2091" t="s">
        <v>66</v>
      </c>
      <c r="AO2091" t="s">
        <v>67</v>
      </c>
    </row>
    <row r="2092" spans="1:41" x14ac:dyDescent="0.2">
      <c r="A2092">
        <v>366004</v>
      </c>
      <c r="B2092" t="s">
        <v>13707</v>
      </c>
      <c r="C2092" t="s">
        <v>558</v>
      </c>
      <c r="D2092" t="s">
        <v>1076</v>
      </c>
      <c r="E2092" t="s">
        <v>13708</v>
      </c>
      <c r="F2092">
        <v>261404</v>
      </c>
      <c r="G2092" s="1">
        <v>31673</v>
      </c>
      <c r="H2092" s="1">
        <v>45594</v>
      </c>
      <c r="I2092" s="1">
        <v>45931</v>
      </c>
      <c r="J2092" t="s">
        <v>45</v>
      </c>
      <c r="K2092" t="s">
        <v>45</v>
      </c>
      <c r="L2092" t="s">
        <v>72</v>
      </c>
      <c r="M2092" s="1">
        <v>42549</v>
      </c>
      <c r="N2092" t="s">
        <v>47</v>
      </c>
      <c r="O2092" t="s">
        <v>48</v>
      </c>
      <c r="P2092" t="s">
        <v>49</v>
      </c>
      <c r="Q2092" t="s">
        <v>13709</v>
      </c>
      <c r="R2092" t="s">
        <v>13710</v>
      </c>
      <c r="S2092">
        <v>5165</v>
      </c>
      <c r="T2092" t="s">
        <v>365</v>
      </c>
      <c r="U2092" t="s">
        <v>562</v>
      </c>
      <c r="V2092" t="s">
        <v>1881</v>
      </c>
      <c r="W2092" t="s">
        <v>367</v>
      </c>
      <c r="X2092" t="s">
        <v>76</v>
      </c>
      <c r="Y2092" t="s">
        <v>434</v>
      </c>
      <c r="Z2092">
        <v>242</v>
      </c>
      <c r="AA2092">
        <v>68</v>
      </c>
      <c r="AB2092">
        <v>34</v>
      </c>
      <c r="AC2092" t="s">
        <v>1882</v>
      </c>
      <c r="AD2092" t="s">
        <v>1883</v>
      </c>
      <c r="AE2092" t="s">
        <v>1884</v>
      </c>
      <c r="AI2092" t="s">
        <v>5342</v>
      </c>
      <c r="AJ2092" s="2">
        <v>45600.757430555554</v>
      </c>
      <c r="AK2092" t="s">
        <v>180</v>
      </c>
      <c r="AL2092" t="s">
        <v>65</v>
      </c>
      <c r="AM2092" s="3">
        <v>1.1388888888888888</v>
      </c>
      <c r="AN2092" t="s">
        <v>66</v>
      </c>
      <c r="AO2092" t="s">
        <v>67</v>
      </c>
    </row>
    <row r="2093" spans="1:41" x14ac:dyDescent="0.2">
      <c r="A2093">
        <v>368539</v>
      </c>
      <c r="B2093" t="s">
        <v>13711</v>
      </c>
      <c r="C2093" t="s">
        <v>182</v>
      </c>
      <c r="D2093" t="s">
        <v>443</v>
      </c>
      <c r="E2093" t="s">
        <v>13712</v>
      </c>
      <c r="F2093">
        <v>44514</v>
      </c>
      <c r="G2093" s="1">
        <v>38099</v>
      </c>
      <c r="H2093" s="1">
        <v>45712</v>
      </c>
      <c r="J2093" t="s">
        <v>45</v>
      </c>
      <c r="K2093" t="s">
        <v>72</v>
      </c>
      <c r="L2093" t="s">
        <v>72</v>
      </c>
      <c r="N2093" t="s">
        <v>47</v>
      </c>
      <c r="O2093" t="s">
        <v>48</v>
      </c>
      <c r="P2093" t="s">
        <v>49</v>
      </c>
      <c r="Q2093" t="s">
        <v>13713</v>
      </c>
      <c r="R2093" t="s">
        <v>13714</v>
      </c>
      <c r="S2093">
        <v>2055</v>
      </c>
      <c r="T2093" t="s">
        <v>92</v>
      </c>
      <c r="U2093" t="s">
        <v>187</v>
      </c>
      <c r="V2093" t="s">
        <v>447</v>
      </c>
      <c r="W2093" t="s">
        <v>448</v>
      </c>
      <c r="X2093" t="s">
        <v>92</v>
      </c>
      <c r="Y2093" t="s">
        <v>450</v>
      </c>
      <c r="Z2093">
        <v>1264</v>
      </c>
      <c r="AA2093">
        <v>48</v>
      </c>
      <c r="AB2093">
        <v>66</v>
      </c>
      <c r="AC2093" t="s">
        <v>451</v>
      </c>
      <c r="AD2093" t="s">
        <v>452</v>
      </c>
      <c r="AE2093" t="s">
        <v>453</v>
      </c>
      <c r="AF2093" t="s">
        <v>454</v>
      </c>
      <c r="AG2093" t="s">
        <v>473</v>
      </c>
      <c r="AH2093" t="s">
        <v>474</v>
      </c>
      <c r="AJ2093" s="2">
        <v>45714.773738425924</v>
      </c>
      <c r="AK2093" t="s">
        <v>526</v>
      </c>
      <c r="AL2093" t="s">
        <v>65</v>
      </c>
      <c r="AM2093" s="3">
        <v>1.1388888888888888</v>
      </c>
      <c r="AN2093" t="s">
        <v>66</v>
      </c>
      <c r="AO2093" t="s">
        <v>67</v>
      </c>
    </row>
    <row r="2094" spans="1:41" x14ac:dyDescent="0.2">
      <c r="A2094">
        <v>367925</v>
      </c>
      <c r="B2094" t="s">
        <v>13715</v>
      </c>
      <c r="C2094" t="s">
        <v>788</v>
      </c>
      <c r="D2094" t="s">
        <v>2282</v>
      </c>
      <c r="E2094">
        <v>32810058</v>
      </c>
      <c r="F2094">
        <v>86405</v>
      </c>
      <c r="G2094" s="1">
        <v>39752</v>
      </c>
      <c r="H2094" s="1">
        <v>45680</v>
      </c>
      <c r="J2094" t="s">
        <v>45</v>
      </c>
      <c r="K2094" t="s">
        <v>72</v>
      </c>
      <c r="L2094" t="s">
        <v>72</v>
      </c>
      <c r="N2094" t="s">
        <v>47</v>
      </c>
      <c r="O2094" t="s">
        <v>48</v>
      </c>
      <c r="P2094" t="s">
        <v>49</v>
      </c>
      <c r="Q2094" t="s">
        <v>13716</v>
      </c>
      <c r="R2094" t="s">
        <v>13717</v>
      </c>
      <c r="S2094">
        <v>15</v>
      </c>
      <c r="T2094" t="s">
        <v>156</v>
      </c>
      <c r="U2094" t="s">
        <v>157</v>
      </c>
      <c r="V2094" t="s">
        <v>13718</v>
      </c>
      <c r="W2094" t="s">
        <v>159</v>
      </c>
      <c r="X2094" t="s">
        <v>156</v>
      </c>
      <c r="Y2094" t="s">
        <v>450</v>
      </c>
      <c r="Z2094">
        <v>2802</v>
      </c>
      <c r="AA2094">
        <v>36</v>
      </c>
      <c r="AB2094">
        <v>166</v>
      </c>
      <c r="AC2094" t="s">
        <v>6395</v>
      </c>
      <c r="AD2094" t="s">
        <v>6396</v>
      </c>
      <c r="AE2094" t="s">
        <v>8631</v>
      </c>
      <c r="AI2094" t="s">
        <v>6396</v>
      </c>
      <c r="AJ2094" s="2">
        <v>45693.817962962959</v>
      </c>
      <c r="AK2094" t="s">
        <v>526</v>
      </c>
      <c r="AL2094" t="s">
        <v>65</v>
      </c>
      <c r="AM2094" s="4">
        <v>0.47916666666666669</v>
      </c>
      <c r="AN2094" t="s">
        <v>66</v>
      </c>
      <c r="AO2094" t="s">
        <v>67</v>
      </c>
    </row>
    <row r="2095" spans="1:41" x14ac:dyDescent="0.2">
      <c r="A2095">
        <v>369486</v>
      </c>
      <c r="B2095" t="s">
        <v>13719</v>
      </c>
      <c r="C2095" t="s">
        <v>662</v>
      </c>
      <c r="E2095" t="s">
        <v>13720</v>
      </c>
      <c r="F2095">
        <v>417401</v>
      </c>
      <c r="G2095" s="1">
        <v>37742</v>
      </c>
      <c r="H2095" s="1">
        <v>45730</v>
      </c>
      <c r="I2095" s="1">
        <v>46113</v>
      </c>
      <c r="J2095" t="s">
        <v>45</v>
      </c>
      <c r="K2095" t="s">
        <v>45</v>
      </c>
      <c r="L2095" t="s">
        <v>72</v>
      </c>
      <c r="M2095" s="1">
        <v>43379</v>
      </c>
      <c r="N2095" t="s">
        <v>47</v>
      </c>
      <c r="O2095" t="s">
        <v>48</v>
      </c>
      <c r="P2095" t="s">
        <v>49</v>
      </c>
      <c r="Q2095" t="s">
        <v>13721</v>
      </c>
      <c r="R2095" t="s">
        <v>13722</v>
      </c>
      <c r="S2095">
        <v>3750</v>
      </c>
      <c r="T2095" t="s">
        <v>257</v>
      </c>
      <c r="U2095" t="s">
        <v>283</v>
      </c>
      <c r="V2095" t="s">
        <v>2279</v>
      </c>
      <c r="W2095" t="s">
        <v>260</v>
      </c>
      <c r="X2095" t="s">
        <v>257</v>
      </c>
      <c r="Y2095" t="s">
        <v>110</v>
      </c>
      <c r="Z2095">
        <v>1354</v>
      </c>
      <c r="AA2095">
        <v>40</v>
      </c>
      <c r="AB2095">
        <v>158</v>
      </c>
      <c r="AC2095" t="s">
        <v>2337</v>
      </c>
      <c r="AD2095" t="s">
        <v>2338</v>
      </c>
      <c r="AE2095" t="s">
        <v>2339</v>
      </c>
      <c r="AI2095" t="s">
        <v>2280</v>
      </c>
      <c r="AJ2095" s="2">
        <v>45742.606377314813</v>
      </c>
      <c r="AK2095" t="s">
        <v>1811</v>
      </c>
      <c r="AL2095" t="s">
        <v>65</v>
      </c>
      <c r="AM2095" s="3">
        <v>1.5972222222222223</v>
      </c>
      <c r="AN2095" t="s">
        <v>66</v>
      </c>
      <c r="AO2095" t="s">
        <v>67</v>
      </c>
    </row>
    <row r="2096" spans="1:41" x14ac:dyDescent="0.2">
      <c r="A2096">
        <v>370531</v>
      </c>
      <c r="B2096" t="s">
        <v>13723</v>
      </c>
      <c r="C2096" t="s">
        <v>788</v>
      </c>
      <c r="D2096" t="s">
        <v>1336</v>
      </c>
      <c r="E2096" t="s">
        <v>13724</v>
      </c>
      <c r="F2096">
        <v>315490</v>
      </c>
      <c r="G2096" s="1">
        <v>45616</v>
      </c>
      <c r="H2096" s="1">
        <v>45617</v>
      </c>
      <c r="I2096" s="1">
        <v>45976</v>
      </c>
      <c r="J2096" t="s">
        <v>45</v>
      </c>
      <c r="K2096" t="s">
        <v>45</v>
      </c>
      <c r="L2096" t="s">
        <v>46</v>
      </c>
      <c r="M2096" s="1">
        <v>43051</v>
      </c>
      <c r="N2096" t="s">
        <v>47</v>
      </c>
      <c r="O2096" t="s">
        <v>121</v>
      </c>
      <c r="P2096" t="s">
        <v>49</v>
      </c>
      <c r="Q2096" t="s">
        <v>13725</v>
      </c>
      <c r="R2096" t="s">
        <v>13726</v>
      </c>
      <c r="S2096">
        <v>22</v>
      </c>
      <c r="T2096" t="s">
        <v>156</v>
      </c>
      <c r="U2096" t="s">
        <v>157</v>
      </c>
      <c r="V2096" t="s">
        <v>13718</v>
      </c>
      <c r="W2096" t="s">
        <v>159</v>
      </c>
      <c r="X2096" t="s">
        <v>156</v>
      </c>
      <c r="Y2096" t="s">
        <v>110</v>
      </c>
      <c r="Z2096">
        <v>2950</v>
      </c>
      <c r="AA2096">
        <v>63</v>
      </c>
      <c r="AB2096">
        <v>189</v>
      </c>
      <c r="AC2096" t="s">
        <v>6395</v>
      </c>
      <c r="AD2096" t="s">
        <v>6396</v>
      </c>
      <c r="AE2096" t="s">
        <v>8631</v>
      </c>
      <c r="AF2096" t="s">
        <v>13727</v>
      </c>
      <c r="AG2096" t="s">
        <v>10759</v>
      </c>
      <c r="AH2096" t="s">
        <v>10760</v>
      </c>
      <c r="AJ2096" s="2">
        <v>45777.70888888889</v>
      </c>
      <c r="AK2096" t="s">
        <v>10744</v>
      </c>
      <c r="AL2096" t="s">
        <v>65</v>
      </c>
      <c r="AM2096" s="3">
        <v>1.5243055555555556</v>
      </c>
      <c r="AN2096" t="s">
        <v>66</v>
      </c>
      <c r="AO2096" t="s">
        <v>101</v>
      </c>
    </row>
    <row r="2097" spans="1:41" x14ac:dyDescent="0.2">
      <c r="A2097">
        <v>372236</v>
      </c>
      <c r="B2097" t="s">
        <v>13728</v>
      </c>
      <c r="C2097" t="s">
        <v>182</v>
      </c>
      <c r="D2097" t="s">
        <v>3956</v>
      </c>
      <c r="E2097" t="s">
        <v>13729</v>
      </c>
      <c r="F2097">
        <v>40805</v>
      </c>
      <c r="G2097" s="1">
        <v>41115</v>
      </c>
      <c r="H2097" s="1">
        <v>45833</v>
      </c>
      <c r="I2097" s="1">
        <v>45962</v>
      </c>
      <c r="J2097" t="s">
        <v>45</v>
      </c>
      <c r="K2097" t="s">
        <v>45</v>
      </c>
      <c r="L2097" t="s">
        <v>429</v>
      </c>
      <c r="M2097" s="1">
        <v>45064</v>
      </c>
      <c r="N2097" t="s">
        <v>47</v>
      </c>
      <c r="O2097" t="s">
        <v>48</v>
      </c>
      <c r="P2097" t="s">
        <v>49</v>
      </c>
      <c r="Q2097" t="s">
        <v>13730</v>
      </c>
      <c r="R2097" t="s">
        <v>13731</v>
      </c>
      <c r="S2097">
        <v>3344</v>
      </c>
      <c r="T2097" t="s">
        <v>52</v>
      </c>
      <c r="U2097">
        <v>5</v>
      </c>
      <c r="V2097" t="s">
        <v>2771</v>
      </c>
      <c r="W2097" t="s">
        <v>54</v>
      </c>
      <c r="X2097" t="s">
        <v>493</v>
      </c>
      <c r="Y2097" t="s">
        <v>434</v>
      </c>
      <c r="Z2097">
        <v>3928</v>
      </c>
      <c r="AA2097">
        <v>39</v>
      </c>
      <c r="AB2097">
        <v>28</v>
      </c>
      <c r="AC2097" t="s">
        <v>4951</v>
      </c>
      <c r="AD2097" t="s">
        <v>4952</v>
      </c>
      <c r="AE2097" t="s">
        <v>4953</v>
      </c>
      <c r="AF2097" t="s">
        <v>4954</v>
      </c>
      <c r="AG2097" t="s">
        <v>4955</v>
      </c>
      <c r="AH2097" t="s">
        <v>4956</v>
      </c>
      <c r="AI2097" t="s">
        <v>4957</v>
      </c>
      <c r="AJ2097" s="2">
        <v>45834.885960648149</v>
      </c>
      <c r="AK2097" t="s">
        <v>501</v>
      </c>
      <c r="AL2097" t="s">
        <v>65</v>
      </c>
      <c r="AM2097" s="4">
        <v>0.875</v>
      </c>
      <c r="AN2097" t="s">
        <v>66</v>
      </c>
      <c r="AO2097" t="s">
        <v>67</v>
      </c>
    </row>
    <row r="2098" spans="1:41" x14ac:dyDescent="0.2">
      <c r="A2098">
        <v>367926</v>
      </c>
      <c r="B2098" t="s">
        <v>13732</v>
      </c>
      <c r="C2098" t="s">
        <v>788</v>
      </c>
      <c r="D2098" t="s">
        <v>2282</v>
      </c>
      <c r="E2098" t="s">
        <v>13733</v>
      </c>
      <c r="F2098">
        <v>86406</v>
      </c>
      <c r="G2098" s="1">
        <v>39752</v>
      </c>
      <c r="H2098" s="1">
        <v>45680</v>
      </c>
      <c r="J2098" t="s">
        <v>45</v>
      </c>
      <c r="K2098" t="s">
        <v>72</v>
      </c>
      <c r="L2098" t="s">
        <v>72</v>
      </c>
      <c r="N2098" t="s">
        <v>47</v>
      </c>
      <c r="O2098" t="s">
        <v>48</v>
      </c>
      <c r="P2098" t="s">
        <v>49</v>
      </c>
      <c r="Q2098" t="s">
        <v>13734</v>
      </c>
      <c r="R2098" t="s">
        <v>13735</v>
      </c>
      <c r="S2098">
        <v>15</v>
      </c>
      <c r="T2098" t="s">
        <v>156</v>
      </c>
      <c r="U2098" t="s">
        <v>157</v>
      </c>
      <c r="V2098" t="s">
        <v>13718</v>
      </c>
      <c r="W2098" t="s">
        <v>159</v>
      </c>
      <c r="X2098" t="s">
        <v>156</v>
      </c>
      <c r="Y2098" t="s">
        <v>450</v>
      </c>
      <c r="Z2098">
        <v>2803</v>
      </c>
      <c r="AA2098">
        <v>35</v>
      </c>
      <c r="AB2098">
        <v>166</v>
      </c>
      <c r="AC2098" t="s">
        <v>6395</v>
      </c>
      <c r="AD2098" t="s">
        <v>6396</v>
      </c>
      <c r="AE2098" t="s">
        <v>8631</v>
      </c>
      <c r="AI2098" t="s">
        <v>6396</v>
      </c>
      <c r="AJ2098" s="2">
        <v>45693.818680555552</v>
      </c>
      <c r="AK2098" t="s">
        <v>526</v>
      </c>
      <c r="AL2098" t="s">
        <v>65</v>
      </c>
      <c r="AM2098" s="4">
        <v>0.4861111111111111</v>
      </c>
      <c r="AN2098" t="s">
        <v>66</v>
      </c>
      <c r="AO2098" t="s">
        <v>67</v>
      </c>
    </row>
    <row r="2099" spans="1:41" x14ac:dyDescent="0.2">
      <c r="A2099">
        <v>364118</v>
      </c>
      <c r="B2099" t="s">
        <v>13736</v>
      </c>
      <c r="C2099" t="s">
        <v>735</v>
      </c>
      <c r="D2099" t="s">
        <v>2939</v>
      </c>
      <c r="E2099" t="s">
        <v>13737</v>
      </c>
      <c r="F2099">
        <v>241308</v>
      </c>
      <c r="G2099" s="1">
        <v>31321</v>
      </c>
      <c r="H2099" s="1">
        <v>45528</v>
      </c>
      <c r="I2099" s="1">
        <v>46235</v>
      </c>
      <c r="J2099" t="s">
        <v>45</v>
      </c>
      <c r="K2099" t="s">
        <v>45</v>
      </c>
      <c r="L2099" t="s">
        <v>429</v>
      </c>
      <c r="N2099" t="s">
        <v>47</v>
      </c>
      <c r="O2099" t="s">
        <v>48</v>
      </c>
      <c r="P2099" t="s">
        <v>49</v>
      </c>
      <c r="Q2099" t="s">
        <v>13738</v>
      </c>
      <c r="R2099" t="s">
        <v>13739</v>
      </c>
      <c r="S2099">
        <v>4569</v>
      </c>
      <c r="T2099" t="s">
        <v>52</v>
      </c>
      <c r="U2099">
        <v>1</v>
      </c>
      <c r="V2099" t="s">
        <v>2926</v>
      </c>
      <c r="W2099" t="s">
        <v>54</v>
      </c>
      <c r="X2099" t="s">
        <v>76</v>
      </c>
      <c r="Y2099" t="s">
        <v>56</v>
      </c>
      <c r="Z2099">
        <v>557</v>
      </c>
      <c r="AA2099">
        <v>60</v>
      </c>
      <c r="AB2099">
        <v>166</v>
      </c>
      <c r="AC2099" t="s">
        <v>2927</v>
      </c>
      <c r="AD2099" t="s">
        <v>2928</v>
      </c>
      <c r="AE2099" t="s">
        <v>2929</v>
      </c>
      <c r="AF2099" t="s">
        <v>11261</v>
      </c>
      <c r="AG2099" t="s">
        <v>11256</v>
      </c>
      <c r="AH2099" t="s">
        <v>11254</v>
      </c>
      <c r="AI2099" t="s">
        <v>13740</v>
      </c>
      <c r="AJ2099" s="2">
        <v>45533.588645833333</v>
      </c>
      <c r="AK2099" t="s">
        <v>568</v>
      </c>
      <c r="AL2099" t="s">
        <v>65</v>
      </c>
      <c r="AM2099" s="3">
        <v>2.4791666666666665</v>
      </c>
      <c r="AN2099" t="s">
        <v>66</v>
      </c>
      <c r="AO2099" t="s">
        <v>67</v>
      </c>
    </row>
    <row r="2100" spans="1:41" x14ac:dyDescent="0.2">
      <c r="A2100">
        <v>367060</v>
      </c>
      <c r="B2100" t="s">
        <v>13741</v>
      </c>
      <c r="C2100" t="s">
        <v>763</v>
      </c>
      <c r="D2100" t="s">
        <v>5415</v>
      </c>
      <c r="E2100" t="s">
        <v>13742</v>
      </c>
      <c r="F2100">
        <v>475701</v>
      </c>
      <c r="G2100" s="1">
        <v>38505</v>
      </c>
      <c r="H2100" s="1">
        <v>45372</v>
      </c>
      <c r="J2100" t="s">
        <v>45</v>
      </c>
      <c r="K2100" t="s">
        <v>45</v>
      </c>
      <c r="L2100" t="s">
        <v>72</v>
      </c>
      <c r="M2100" s="1">
        <v>44092</v>
      </c>
      <c r="N2100" t="s">
        <v>47</v>
      </c>
      <c r="O2100" t="s">
        <v>48</v>
      </c>
      <c r="P2100" t="s">
        <v>49</v>
      </c>
      <c r="Q2100" t="s">
        <v>13743</v>
      </c>
      <c r="R2100" t="s">
        <v>13744</v>
      </c>
      <c r="S2100">
        <v>830</v>
      </c>
      <c r="T2100" t="s">
        <v>92</v>
      </c>
      <c r="U2100" t="s">
        <v>767</v>
      </c>
      <c r="V2100" t="s">
        <v>768</v>
      </c>
      <c r="W2100" t="s">
        <v>769</v>
      </c>
      <c r="X2100" t="s">
        <v>92</v>
      </c>
      <c r="Y2100" t="s">
        <v>770</v>
      </c>
      <c r="Z2100">
        <v>2010</v>
      </c>
      <c r="AA2100">
        <v>44</v>
      </c>
      <c r="AB2100">
        <v>152</v>
      </c>
      <c r="AC2100" t="s">
        <v>3210</v>
      </c>
      <c r="AD2100" t="s">
        <v>3211</v>
      </c>
      <c r="AE2100" t="s">
        <v>3212</v>
      </c>
      <c r="AF2100" t="s">
        <v>774</v>
      </c>
      <c r="AG2100" t="s">
        <v>775</v>
      </c>
      <c r="AH2100" t="s">
        <v>776</v>
      </c>
      <c r="AI2100" t="s">
        <v>3213</v>
      </c>
      <c r="AJ2100" s="2">
        <v>45659.882974537039</v>
      </c>
      <c r="AK2100" t="s">
        <v>3214</v>
      </c>
      <c r="AL2100" t="s">
        <v>65</v>
      </c>
      <c r="AM2100" s="4">
        <v>0.61111111111111116</v>
      </c>
      <c r="AN2100" t="s">
        <v>66</v>
      </c>
      <c r="AO2100" t="s">
        <v>67</v>
      </c>
    </row>
    <row r="2101" spans="1:41" x14ac:dyDescent="0.2">
      <c r="A2101">
        <v>369307</v>
      </c>
      <c r="B2101" t="s">
        <v>13745</v>
      </c>
      <c r="C2101" t="s">
        <v>118</v>
      </c>
      <c r="D2101" t="s">
        <v>1410</v>
      </c>
      <c r="E2101">
        <v>32500158</v>
      </c>
      <c r="F2101">
        <v>20226</v>
      </c>
      <c r="G2101" s="1">
        <v>34600</v>
      </c>
      <c r="H2101" s="1">
        <v>45602</v>
      </c>
      <c r="I2101" s="1">
        <v>46266</v>
      </c>
      <c r="J2101" t="s">
        <v>45</v>
      </c>
      <c r="K2101" t="s">
        <v>45</v>
      </c>
      <c r="L2101" t="s">
        <v>429</v>
      </c>
      <c r="M2101" s="1">
        <v>42545</v>
      </c>
      <c r="N2101" t="s">
        <v>47</v>
      </c>
      <c r="O2101" t="s">
        <v>48</v>
      </c>
      <c r="P2101" t="s">
        <v>49</v>
      </c>
      <c r="Q2101" t="s">
        <v>13746</v>
      </c>
      <c r="R2101" t="s">
        <v>13747</v>
      </c>
      <c r="S2101">
        <v>7106</v>
      </c>
      <c r="T2101" t="s">
        <v>365</v>
      </c>
      <c r="U2101" t="s">
        <v>815</v>
      </c>
      <c r="V2101" t="s">
        <v>958</v>
      </c>
      <c r="W2101" t="s">
        <v>367</v>
      </c>
      <c r="X2101" t="s">
        <v>55</v>
      </c>
      <c r="Y2101" t="s">
        <v>434</v>
      </c>
      <c r="Z2101">
        <v>145</v>
      </c>
      <c r="AA2101">
        <v>59</v>
      </c>
      <c r="AB2101">
        <v>176</v>
      </c>
      <c r="AC2101" t="s">
        <v>2717</v>
      </c>
      <c r="AD2101" t="s">
        <v>2718</v>
      </c>
      <c r="AE2101" t="s">
        <v>2719</v>
      </c>
      <c r="AF2101" t="s">
        <v>2720</v>
      </c>
      <c r="AG2101" t="s">
        <v>963</v>
      </c>
      <c r="AH2101" t="s">
        <v>2721</v>
      </c>
      <c r="AI2101" t="s">
        <v>179</v>
      </c>
      <c r="AJ2101" s="2">
        <v>45734.536944444444</v>
      </c>
      <c r="AK2101" t="s">
        <v>2717</v>
      </c>
      <c r="AL2101" t="s">
        <v>65</v>
      </c>
      <c r="AM2101" s="4">
        <v>2.7777777777777776E-2</v>
      </c>
      <c r="AN2101" t="s">
        <v>66</v>
      </c>
      <c r="AO2101" t="s">
        <v>67</v>
      </c>
    </row>
    <row r="2102" spans="1:41" x14ac:dyDescent="0.2">
      <c r="A2102">
        <v>372630</v>
      </c>
      <c r="B2102" t="s">
        <v>13748</v>
      </c>
      <c r="C2102" t="s">
        <v>182</v>
      </c>
      <c r="D2102" t="s">
        <v>443</v>
      </c>
      <c r="E2102" t="s">
        <v>13749</v>
      </c>
      <c r="F2102">
        <v>44713</v>
      </c>
      <c r="G2102" s="1">
        <v>35614</v>
      </c>
      <c r="H2102" s="1">
        <v>45827</v>
      </c>
      <c r="I2102" s="1">
        <v>46188</v>
      </c>
      <c r="J2102" t="s">
        <v>45</v>
      </c>
      <c r="K2102" t="s">
        <v>45</v>
      </c>
      <c r="L2102" t="s">
        <v>72</v>
      </c>
      <c r="M2102" s="1">
        <v>43586</v>
      </c>
      <c r="N2102" t="s">
        <v>47</v>
      </c>
      <c r="O2102" t="s">
        <v>48</v>
      </c>
      <c r="P2102" t="s">
        <v>49</v>
      </c>
      <c r="Q2102" t="s">
        <v>13750</v>
      </c>
      <c r="R2102" t="s">
        <v>13751</v>
      </c>
      <c r="S2102">
        <v>7540</v>
      </c>
      <c r="T2102" t="s">
        <v>257</v>
      </c>
      <c r="U2102" t="s">
        <v>640</v>
      </c>
      <c r="V2102" t="s">
        <v>1090</v>
      </c>
      <c r="W2102" t="s">
        <v>260</v>
      </c>
      <c r="X2102" t="s">
        <v>257</v>
      </c>
      <c r="Y2102" t="s">
        <v>110</v>
      </c>
      <c r="Z2102">
        <v>1310</v>
      </c>
      <c r="AA2102">
        <v>61</v>
      </c>
      <c r="AB2102">
        <v>34</v>
      </c>
      <c r="AC2102" t="s">
        <v>1091</v>
      </c>
      <c r="AD2102" t="s">
        <v>1092</v>
      </c>
      <c r="AE2102" t="s">
        <v>1093</v>
      </c>
      <c r="AF2102" t="s">
        <v>1094</v>
      </c>
      <c r="AG2102" t="s">
        <v>1095</v>
      </c>
      <c r="AH2102" t="s">
        <v>1096</v>
      </c>
      <c r="AI2102" t="s">
        <v>1092</v>
      </c>
      <c r="AJ2102" s="2">
        <v>45847.93550925926</v>
      </c>
      <c r="AK2102" t="s">
        <v>1097</v>
      </c>
      <c r="AL2102" t="s">
        <v>65</v>
      </c>
      <c r="AM2102" s="4">
        <v>6.9444444444444441E-3</v>
      </c>
      <c r="AN2102" t="s">
        <v>66</v>
      </c>
      <c r="AO2102" t="s">
        <v>67</v>
      </c>
    </row>
    <row r="2103" spans="1:41" x14ac:dyDescent="0.2">
      <c r="A2103">
        <v>372756</v>
      </c>
      <c r="B2103" t="s">
        <v>13752</v>
      </c>
      <c r="C2103" t="s">
        <v>167</v>
      </c>
      <c r="D2103" t="s">
        <v>168</v>
      </c>
      <c r="E2103">
        <v>32655094</v>
      </c>
      <c r="F2103">
        <v>353344</v>
      </c>
      <c r="G2103" s="1">
        <v>34494</v>
      </c>
      <c r="H2103" s="1">
        <v>45852</v>
      </c>
      <c r="I2103" s="1">
        <v>46218</v>
      </c>
      <c r="J2103" t="s">
        <v>45</v>
      </c>
      <c r="K2103" t="s">
        <v>45</v>
      </c>
      <c r="L2103" t="s">
        <v>429</v>
      </c>
      <c r="M2103" s="1">
        <v>43686</v>
      </c>
      <c r="N2103" t="s">
        <v>47</v>
      </c>
      <c r="O2103" t="s">
        <v>48</v>
      </c>
      <c r="P2103" t="s">
        <v>49</v>
      </c>
      <c r="Q2103" t="s">
        <v>13753</v>
      </c>
      <c r="R2103" t="s">
        <v>13754</v>
      </c>
      <c r="S2103">
        <v>5280</v>
      </c>
      <c r="T2103" t="s">
        <v>365</v>
      </c>
      <c r="U2103" t="s">
        <v>532</v>
      </c>
      <c r="V2103" t="s">
        <v>3595</v>
      </c>
      <c r="W2103" t="s">
        <v>367</v>
      </c>
      <c r="X2103" t="s">
        <v>76</v>
      </c>
      <c r="Y2103" t="s">
        <v>434</v>
      </c>
      <c r="Z2103">
        <v>904</v>
      </c>
      <c r="AA2103">
        <v>66</v>
      </c>
      <c r="AB2103">
        <v>158</v>
      </c>
      <c r="AC2103" t="s">
        <v>3596</v>
      </c>
      <c r="AD2103" t="s">
        <v>3597</v>
      </c>
      <c r="AE2103" t="s">
        <v>3598</v>
      </c>
      <c r="AF2103" t="s">
        <v>3599</v>
      </c>
      <c r="AG2103" t="s">
        <v>3600</v>
      </c>
      <c r="AH2103" t="s">
        <v>3601</v>
      </c>
      <c r="AI2103" t="s">
        <v>179</v>
      </c>
      <c r="AJ2103" s="2">
        <v>45853.56795138889</v>
      </c>
      <c r="AK2103" t="s">
        <v>501</v>
      </c>
      <c r="AL2103" t="s">
        <v>65</v>
      </c>
      <c r="AM2103" s="3">
        <v>1.6875</v>
      </c>
      <c r="AN2103" t="s">
        <v>66</v>
      </c>
      <c r="AO2103" t="s">
        <v>67</v>
      </c>
    </row>
    <row r="2104" spans="1:41" x14ac:dyDescent="0.2">
      <c r="A2104">
        <v>358234</v>
      </c>
      <c r="B2104" t="s">
        <v>13755</v>
      </c>
      <c r="C2104" t="s">
        <v>182</v>
      </c>
      <c r="D2104" t="s">
        <v>1026</v>
      </c>
      <c r="E2104" t="s">
        <v>13756</v>
      </c>
      <c r="F2104">
        <v>44310</v>
      </c>
      <c r="G2104" s="1">
        <v>32509</v>
      </c>
      <c r="H2104" s="1">
        <v>45344</v>
      </c>
      <c r="J2104" t="s">
        <v>45</v>
      </c>
      <c r="K2104" t="s">
        <v>72</v>
      </c>
      <c r="L2104" t="s">
        <v>72</v>
      </c>
      <c r="N2104" t="s">
        <v>47</v>
      </c>
      <c r="O2104" t="s">
        <v>48</v>
      </c>
      <c r="P2104" t="s">
        <v>49</v>
      </c>
      <c r="Q2104" t="s">
        <v>13757</v>
      </c>
      <c r="R2104" t="s">
        <v>13758</v>
      </c>
      <c r="S2104">
        <v>1525</v>
      </c>
      <c r="T2104" t="s">
        <v>92</v>
      </c>
      <c r="U2104" t="s">
        <v>187</v>
      </c>
      <c r="V2104" t="s">
        <v>447</v>
      </c>
      <c r="W2104" t="s">
        <v>448</v>
      </c>
      <c r="X2104" t="s">
        <v>92</v>
      </c>
      <c r="Y2104" t="s">
        <v>450</v>
      </c>
      <c r="Z2104">
        <v>1265</v>
      </c>
      <c r="AA2104">
        <v>43</v>
      </c>
      <c r="AB2104">
        <v>142</v>
      </c>
      <c r="AC2104" t="s">
        <v>451</v>
      </c>
      <c r="AD2104" t="s">
        <v>452</v>
      </c>
      <c r="AE2104" t="s">
        <v>453</v>
      </c>
      <c r="AF2104" t="s">
        <v>454</v>
      </c>
      <c r="AG2104" t="s">
        <v>473</v>
      </c>
      <c r="AH2104" t="s">
        <v>474</v>
      </c>
      <c r="AJ2104" s="2">
        <v>45351.848391203705</v>
      </c>
      <c r="AK2104" t="s">
        <v>13759</v>
      </c>
      <c r="AL2104" t="s">
        <v>475</v>
      </c>
      <c r="AM2104" s="3">
        <v>2.3229166666666665</v>
      </c>
      <c r="AN2104" t="s">
        <v>66</v>
      </c>
      <c r="AO2104" t="s">
        <v>67</v>
      </c>
    </row>
    <row r="2105" spans="1:41" x14ac:dyDescent="0.2">
      <c r="A2105">
        <v>372909</v>
      </c>
      <c r="B2105" t="s">
        <v>13760</v>
      </c>
      <c r="C2105" t="s">
        <v>167</v>
      </c>
      <c r="D2105" t="s">
        <v>13761</v>
      </c>
      <c r="E2105" t="s">
        <v>13762</v>
      </c>
      <c r="F2105">
        <v>351001</v>
      </c>
      <c r="G2105" s="1">
        <v>33085</v>
      </c>
      <c r="H2105" s="1">
        <v>45747</v>
      </c>
      <c r="I2105" s="1">
        <v>46143</v>
      </c>
      <c r="J2105" t="s">
        <v>45</v>
      </c>
      <c r="K2105" t="s">
        <v>45</v>
      </c>
      <c r="L2105" t="s">
        <v>429</v>
      </c>
      <c r="M2105" s="1">
        <v>44501</v>
      </c>
      <c r="N2105" t="s">
        <v>47</v>
      </c>
      <c r="O2105" t="s">
        <v>48</v>
      </c>
      <c r="P2105" t="s">
        <v>49</v>
      </c>
      <c r="Q2105" t="s">
        <v>13763</v>
      </c>
      <c r="R2105" t="s">
        <v>13764</v>
      </c>
      <c r="S2105">
        <v>2170</v>
      </c>
      <c r="T2105" t="s">
        <v>365</v>
      </c>
      <c r="U2105" t="s">
        <v>532</v>
      </c>
      <c r="V2105" t="s">
        <v>3483</v>
      </c>
      <c r="W2105" t="s">
        <v>367</v>
      </c>
      <c r="X2105" t="s">
        <v>76</v>
      </c>
      <c r="Y2105" t="s">
        <v>434</v>
      </c>
      <c r="Z2105">
        <v>318</v>
      </c>
      <c r="AA2105">
        <v>51</v>
      </c>
      <c r="AB2105">
        <v>158</v>
      </c>
      <c r="AC2105" t="s">
        <v>3484</v>
      </c>
      <c r="AD2105" t="s">
        <v>3485</v>
      </c>
      <c r="AE2105" t="s">
        <v>3486</v>
      </c>
      <c r="AF2105" t="s">
        <v>13765</v>
      </c>
      <c r="AG2105" t="s">
        <v>13766</v>
      </c>
      <c r="AH2105" t="s">
        <v>3489</v>
      </c>
      <c r="AI2105" t="s">
        <v>179</v>
      </c>
      <c r="AJ2105" s="2">
        <v>45855.889236111114</v>
      </c>
      <c r="AK2105" t="s">
        <v>556</v>
      </c>
      <c r="AL2105" t="s">
        <v>65</v>
      </c>
      <c r="AM2105" s="3">
        <v>2.0347222222222223</v>
      </c>
      <c r="AN2105" t="s">
        <v>66</v>
      </c>
      <c r="AO2105" t="s">
        <v>67</v>
      </c>
    </row>
    <row r="2106" spans="1:41" x14ac:dyDescent="0.2">
      <c r="A2106">
        <v>371022</v>
      </c>
      <c r="B2106" t="s">
        <v>13767</v>
      </c>
      <c r="C2106" t="s">
        <v>182</v>
      </c>
      <c r="D2106" t="s">
        <v>3956</v>
      </c>
      <c r="E2106" t="s">
        <v>13768</v>
      </c>
      <c r="F2106">
        <v>40812</v>
      </c>
      <c r="G2106" s="1">
        <v>33169</v>
      </c>
      <c r="H2106" s="1">
        <v>45787</v>
      </c>
      <c r="I2106" s="1">
        <v>45931</v>
      </c>
      <c r="J2106" t="s">
        <v>45</v>
      </c>
      <c r="K2106" t="s">
        <v>45</v>
      </c>
      <c r="L2106" t="s">
        <v>429</v>
      </c>
      <c r="M2106" s="1">
        <v>41053</v>
      </c>
      <c r="N2106" t="s">
        <v>47</v>
      </c>
      <c r="O2106" t="s">
        <v>48</v>
      </c>
      <c r="P2106" t="s">
        <v>49</v>
      </c>
      <c r="Q2106" t="s">
        <v>13769</v>
      </c>
      <c r="R2106" t="s">
        <v>13770</v>
      </c>
      <c r="S2106">
        <v>3772</v>
      </c>
      <c r="T2106" t="s">
        <v>52</v>
      </c>
      <c r="U2106">
        <v>5</v>
      </c>
      <c r="V2106" t="s">
        <v>1068</v>
      </c>
      <c r="W2106" t="s">
        <v>54</v>
      </c>
      <c r="X2106" t="s">
        <v>493</v>
      </c>
      <c r="Y2106" t="s">
        <v>434</v>
      </c>
      <c r="Z2106">
        <v>736</v>
      </c>
      <c r="AA2106">
        <v>56</v>
      </c>
      <c r="AB2106">
        <v>34</v>
      </c>
      <c r="AC2106" t="s">
        <v>1069</v>
      </c>
      <c r="AD2106" t="s">
        <v>1070</v>
      </c>
      <c r="AE2106" t="s">
        <v>1071</v>
      </c>
      <c r="AF2106" t="s">
        <v>13771</v>
      </c>
      <c r="AG2106" t="s">
        <v>1073</v>
      </c>
      <c r="AH2106" t="s">
        <v>1071</v>
      </c>
      <c r="AI2106" t="s">
        <v>13772</v>
      </c>
      <c r="AJ2106" s="2">
        <v>45792.789097222223</v>
      </c>
      <c r="AK2106" t="s">
        <v>1472</v>
      </c>
      <c r="AL2106" t="s">
        <v>65</v>
      </c>
      <c r="AM2106" s="3">
        <v>1.4791666666666667</v>
      </c>
      <c r="AN2106" t="s">
        <v>66</v>
      </c>
      <c r="AO2106" t="s">
        <v>67</v>
      </c>
    </row>
    <row r="2107" spans="1:41" x14ac:dyDescent="0.2">
      <c r="A2107">
        <v>367899</v>
      </c>
      <c r="B2107" t="s">
        <v>13773</v>
      </c>
      <c r="C2107" t="s">
        <v>754</v>
      </c>
      <c r="D2107" t="s">
        <v>4781</v>
      </c>
      <c r="E2107" t="s">
        <v>13774</v>
      </c>
      <c r="F2107">
        <v>181501</v>
      </c>
      <c r="G2107" s="1">
        <v>43200</v>
      </c>
      <c r="H2107" s="1">
        <v>45636</v>
      </c>
      <c r="I2107" s="1">
        <v>45992</v>
      </c>
      <c r="J2107" t="s">
        <v>45</v>
      </c>
      <c r="K2107" t="s">
        <v>45</v>
      </c>
      <c r="L2107" t="s">
        <v>72</v>
      </c>
      <c r="N2107" t="s">
        <v>47</v>
      </c>
      <c r="O2107" t="s">
        <v>48</v>
      </c>
      <c r="P2107" t="s">
        <v>49</v>
      </c>
      <c r="Q2107" t="s">
        <v>13775</v>
      </c>
      <c r="R2107" t="s">
        <v>13776</v>
      </c>
      <c r="S2107">
        <v>200</v>
      </c>
      <c r="T2107" t="s">
        <v>156</v>
      </c>
      <c r="U2107" t="s">
        <v>1446</v>
      </c>
      <c r="V2107" t="s">
        <v>13777</v>
      </c>
      <c r="W2107" t="s">
        <v>159</v>
      </c>
      <c r="X2107" t="s">
        <v>156</v>
      </c>
      <c r="Y2107" t="s">
        <v>110</v>
      </c>
      <c r="Z2107">
        <v>1534</v>
      </c>
      <c r="AA2107">
        <v>51</v>
      </c>
      <c r="AB2107">
        <v>45</v>
      </c>
      <c r="AC2107" t="s">
        <v>2807</v>
      </c>
      <c r="AD2107" t="s">
        <v>2808</v>
      </c>
      <c r="AE2107" t="s">
        <v>2809</v>
      </c>
      <c r="AF2107" t="s">
        <v>13778</v>
      </c>
      <c r="AG2107" t="s">
        <v>13779</v>
      </c>
      <c r="AH2107" t="s">
        <v>13780</v>
      </c>
      <c r="AI2107" t="s">
        <v>1454</v>
      </c>
      <c r="AJ2107" s="2">
        <v>45693.750509259262</v>
      </c>
      <c r="AK2107" t="s">
        <v>132</v>
      </c>
      <c r="AL2107" t="s">
        <v>65</v>
      </c>
      <c r="AM2107" s="4">
        <v>0.79861111111111116</v>
      </c>
      <c r="AN2107" t="s">
        <v>66</v>
      </c>
      <c r="AO2107" t="s">
        <v>101</v>
      </c>
    </row>
    <row r="2108" spans="1:41" x14ac:dyDescent="0.2">
      <c r="A2108">
        <v>360875</v>
      </c>
      <c r="B2108" t="s">
        <v>13781</v>
      </c>
      <c r="C2108" t="s">
        <v>323</v>
      </c>
      <c r="D2108" t="s">
        <v>5058</v>
      </c>
      <c r="E2108">
        <v>33903104</v>
      </c>
      <c r="F2108">
        <v>500931</v>
      </c>
      <c r="G2108" s="1">
        <v>35279</v>
      </c>
      <c r="H2108" s="1">
        <v>45420</v>
      </c>
      <c r="I2108" s="1">
        <v>46037</v>
      </c>
      <c r="J2108" t="s">
        <v>45</v>
      </c>
      <c r="K2108" t="s">
        <v>45</v>
      </c>
      <c r="L2108" t="s">
        <v>72</v>
      </c>
      <c r="M2108" s="1">
        <v>43313</v>
      </c>
      <c r="N2108" t="s">
        <v>47</v>
      </c>
      <c r="O2108" t="s">
        <v>48</v>
      </c>
      <c r="P2108" t="s">
        <v>586</v>
      </c>
      <c r="Q2108" t="s">
        <v>13782</v>
      </c>
      <c r="R2108" t="s">
        <v>13783</v>
      </c>
      <c r="S2108">
        <v>2670</v>
      </c>
      <c r="T2108" t="s">
        <v>92</v>
      </c>
      <c r="U2108" t="s">
        <v>329</v>
      </c>
      <c r="V2108" t="s">
        <v>722</v>
      </c>
      <c r="W2108" t="s">
        <v>723</v>
      </c>
      <c r="X2108" t="s">
        <v>156</v>
      </c>
      <c r="Y2108" t="s">
        <v>110</v>
      </c>
      <c r="Z2108">
        <v>1156</v>
      </c>
      <c r="AA2108">
        <v>38</v>
      </c>
      <c r="AB2108">
        <v>152</v>
      </c>
      <c r="AC2108" t="s">
        <v>5070</v>
      </c>
      <c r="AD2108" t="s">
        <v>5071</v>
      </c>
      <c r="AE2108" t="s">
        <v>462</v>
      </c>
      <c r="AF2108" t="s">
        <v>724</v>
      </c>
      <c r="AG2108" t="s">
        <v>2409</v>
      </c>
      <c r="AH2108" t="s">
        <v>726</v>
      </c>
      <c r="AJ2108" s="2">
        <v>45435.988240740742</v>
      </c>
      <c r="AK2108" t="s">
        <v>461</v>
      </c>
      <c r="AL2108" t="s">
        <v>65</v>
      </c>
      <c r="AM2108" s="3">
        <v>2.1875</v>
      </c>
      <c r="AN2108" t="s">
        <v>66</v>
      </c>
      <c r="AO2108" t="s">
        <v>67</v>
      </c>
    </row>
    <row r="2109" spans="1:41" x14ac:dyDescent="0.2">
      <c r="A2109">
        <v>357210</v>
      </c>
      <c r="B2109" t="s">
        <v>13784</v>
      </c>
      <c r="C2109" t="s">
        <v>69</v>
      </c>
      <c r="D2109" t="s">
        <v>1039</v>
      </c>
      <c r="E2109" t="s">
        <v>13785</v>
      </c>
      <c r="F2109">
        <v>101290</v>
      </c>
      <c r="G2109" s="1">
        <v>45323</v>
      </c>
      <c r="H2109" s="1">
        <v>45324</v>
      </c>
      <c r="I2109" s="1">
        <v>46006</v>
      </c>
      <c r="J2109" t="s">
        <v>45</v>
      </c>
      <c r="K2109" t="s">
        <v>45</v>
      </c>
      <c r="L2109" t="s">
        <v>72</v>
      </c>
      <c r="M2109" s="1">
        <v>41499</v>
      </c>
      <c r="N2109" t="s">
        <v>89</v>
      </c>
      <c r="O2109" t="s">
        <v>121</v>
      </c>
      <c r="P2109" t="s">
        <v>49</v>
      </c>
      <c r="Q2109" t="s">
        <v>13786</v>
      </c>
      <c r="R2109" t="s">
        <v>13787</v>
      </c>
      <c r="S2109">
        <v>5050</v>
      </c>
      <c r="T2109" t="s">
        <v>52</v>
      </c>
      <c r="U2109">
        <v>4</v>
      </c>
      <c r="V2109" t="s">
        <v>10138</v>
      </c>
      <c r="W2109" t="s">
        <v>54</v>
      </c>
      <c r="X2109" t="s">
        <v>52</v>
      </c>
      <c r="Y2109" t="s">
        <v>125</v>
      </c>
      <c r="Z2109">
        <v>5166</v>
      </c>
      <c r="AA2109">
        <v>50</v>
      </c>
      <c r="AB2109">
        <v>160</v>
      </c>
      <c r="AC2109" t="s">
        <v>11193</v>
      </c>
      <c r="AD2109" t="s">
        <v>10140</v>
      </c>
      <c r="AE2109" t="s">
        <v>10141</v>
      </c>
      <c r="AF2109" t="s">
        <v>13788</v>
      </c>
      <c r="AG2109" t="s">
        <v>10140</v>
      </c>
      <c r="AH2109" t="s">
        <v>13789</v>
      </c>
      <c r="AI2109" t="s">
        <v>10140</v>
      </c>
      <c r="AJ2109" s="2">
        <v>45324.501643518517</v>
      </c>
      <c r="AK2109" t="s">
        <v>132</v>
      </c>
      <c r="AL2109" t="s">
        <v>65</v>
      </c>
      <c r="AM2109" s="3">
        <v>1.2152777777777777</v>
      </c>
      <c r="AN2109" t="s">
        <v>66</v>
      </c>
      <c r="AO2109" t="s">
        <v>67</v>
      </c>
    </row>
    <row r="2110" spans="1:41" x14ac:dyDescent="0.2">
      <c r="A2110">
        <v>372456</v>
      </c>
      <c r="B2110" t="s">
        <v>13790</v>
      </c>
      <c r="C2110" t="s">
        <v>69</v>
      </c>
      <c r="D2110" t="s">
        <v>134</v>
      </c>
      <c r="E2110" s="5">
        <v>32882000000000</v>
      </c>
      <c r="G2110" s="1">
        <v>45839</v>
      </c>
      <c r="H2110" s="1">
        <v>45825</v>
      </c>
      <c r="I2110" s="1">
        <v>46113</v>
      </c>
      <c r="J2110" t="s">
        <v>45</v>
      </c>
      <c r="K2110" t="s">
        <v>45</v>
      </c>
      <c r="L2110" t="s">
        <v>72</v>
      </c>
      <c r="M2110" s="1">
        <v>42415</v>
      </c>
      <c r="N2110" t="s">
        <v>47</v>
      </c>
      <c r="O2110" t="s">
        <v>121</v>
      </c>
      <c r="P2110" t="s">
        <v>49</v>
      </c>
      <c r="Q2110" t="s">
        <v>13791</v>
      </c>
      <c r="R2110" t="s">
        <v>13792</v>
      </c>
      <c r="S2110">
        <v>4969</v>
      </c>
      <c r="T2110" t="s">
        <v>52</v>
      </c>
      <c r="U2110">
        <v>4</v>
      </c>
      <c r="V2110" t="s">
        <v>10138</v>
      </c>
      <c r="W2110" t="s">
        <v>54</v>
      </c>
      <c r="X2110" t="s">
        <v>52</v>
      </c>
      <c r="Y2110" t="s">
        <v>125</v>
      </c>
      <c r="Z2110">
        <v>1363</v>
      </c>
      <c r="AA2110">
        <v>99</v>
      </c>
      <c r="AB2110">
        <v>174</v>
      </c>
      <c r="AC2110" t="s">
        <v>11193</v>
      </c>
      <c r="AD2110" t="s">
        <v>10140</v>
      </c>
      <c r="AE2110" t="s">
        <v>10141</v>
      </c>
      <c r="AF2110" t="s">
        <v>13788</v>
      </c>
      <c r="AG2110" t="s">
        <v>10140</v>
      </c>
      <c r="AH2110" t="s">
        <v>13789</v>
      </c>
      <c r="AJ2110" s="2">
        <v>45839.916967592595</v>
      </c>
      <c r="AK2110" t="s">
        <v>2068</v>
      </c>
      <c r="AL2110" t="s">
        <v>65</v>
      </c>
      <c r="AM2110" s="3">
        <v>1.7916666666666667</v>
      </c>
      <c r="AN2110" t="s">
        <v>66</v>
      </c>
      <c r="AO2110" t="s">
        <v>67</v>
      </c>
    </row>
    <row r="2111" spans="1:41" x14ac:dyDescent="0.2">
      <c r="A2111">
        <v>372585</v>
      </c>
      <c r="B2111" t="s">
        <v>13793</v>
      </c>
      <c r="C2111" t="s">
        <v>69</v>
      </c>
      <c r="D2111" t="s">
        <v>3081</v>
      </c>
      <c r="E2111" t="s">
        <v>13794</v>
      </c>
      <c r="G2111" s="1">
        <v>45352</v>
      </c>
      <c r="H2111" s="1">
        <v>45818</v>
      </c>
      <c r="I2111" s="1">
        <v>46113</v>
      </c>
      <c r="J2111" t="s">
        <v>45</v>
      </c>
      <c r="K2111" t="s">
        <v>45</v>
      </c>
      <c r="L2111" t="s">
        <v>72</v>
      </c>
      <c r="M2111" s="1">
        <v>41107</v>
      </c>
      <c r="N2111" t="s">
        <v>47</v>
      </c>
      <c r="O2111" t="s">
        <v>121</v>
      </c>
      <c r="P2111" t="s">
        <v>49</v>
      </c>
      <c r="Q2111" t="s">
        <v>2851</v>
      </c>
      <c r="R2111" t="s">
        <v>3083</v>
      </c>
      <c r="S2111">
        <v>2865</v>
      </c>
      <c r="T2111" t="s">
        <v>52</v>
      </c>
      <c r="U2111">
        <v>4</v>
      </c>
      <c r="V2111" t="s">
        <v>10138</v>
      </c>
      <c r="W2111" t="s">
        <v>54</v>
      </c>
      <c r="X2111" t="s">
        <v>52</v>
      </c>
      <c r="Y2111" t="s">
        <v>125</v>
      </c>
      <c r="Z2111">
        <v>1473</v>
      </c>
      <c r="AA2111">
        <v>73</v>
      </c>
      <c r="AB2111">
        <v>174</v>
      </c>
      <c r="AC2111" t="s">
        <v>11193</v>
      </c>
      <c r="AD2111" t="s">
        <v>10140</v>
      </c>
      <c r="AE2111" t="s">
        <v>10141</v>
      </c>
      <c r="AF2111" t="s">
        <v>11193</v>
      </c>
      <c r="AG2111" t="s">
        <v>10140</v>
      </c>
      <c r="AH2111" t="s">
        <v>13789</v>
      </c>
      <c r="AJ2111" s="2">
        <v>45846.598668981482</v>
      </c>
      <c r="AK2111" t="s">
        <v>800</v>
      </c>
      <c r="AL2111" t="s">
        <v>65</v>
      </c>
      <c r="AM2111" s="3">
        <v>1.8263888888888888</v>
      </c>
      <c r="AN2111" t="s">
        <v>66</v>
      </c>
      <c r="AO2111" t="s">
        <v>67</v>
      </c>
    </row>
    <row r="2112" spans="1:41" x14ac:dyDescent="0.2">
      <c r="A2112">
        <v>367460</v>
      </c>
      <c r="B2112" t="s">
        <v>13795</v>
      </c>
      <c r="C2112" t="s">
        <v>118</v>
      </c>
      <c r="D2112" t="s">
        <v>1396</v>
      </c>
      <c r="E2112" t="s">
        <v>13796</v>
      </c>
      <c r="F2112">
        <v>20602</v>
      </c>
      <c r="G2112" s="1">
        <v>36972</v>
      </c>
      <c r="H2112" s="1">
        <v>45675</v>
      </c>
      <c r="I2112" s="1">
        <v>46023</v>
      </c>
      <c r="J2112" t="s">
        <v>45</v>
      </c>
      <c r="K2112" t="s">
        <v>45</v>
      </c>
      <c r="L2112" t="s">
        <v>429</v>
      </c>
      <c r="M2112" s="1">
        <v>43164</v>
      </c>
      <c r="N2112" t="s">
        <v>47</v>
      </c>
      <c r="O2112" t="s">
        <v>48</v>
      </c>
      <c r="P2112" t="s">
        <v>49</v>
      </c>
      <c r="Q2112" t="s">
        <v>13797</v>
      </c>
      <c r="R2112" t="s">
        <v>13798</v>
      </c>
      <c r="S2112">
        <v>5064</v>
      </c>
      <c r="T2112" t="s">
        <v>52</v>
      </c>
      <c r="U2112">
        <v>3</v>
      </c>
      <c r="V2112" t="s">
        <v>4644</v>
      </c>
      <c r="W2112" t="s">
        <v>54</v>
      </c>
      <c r="X2112" t="s">
        <v>55</v>
      </c>
      <c r="Y2112" t="s">
        <v>56</v>
      </c>
      <c r="Z2112">
        <v>636</v>
      </c>
      <c r="AA2112">
        <v>62</v>
      </c>
      <c r="AB2112">
        <v>166</v>
      </c>
      <c r="AC2112" t="s">
        <v>8057</v>
      </c>
      <c r="AD2112" t="s">
        <v>8058</v>
      </c>
      <c r="AE2112" t="s">
        <v>8059</v>
      </c>
      <c r="AF2112" t="s">
        <v>13799</v>
      </c>
      <c r="AG2112" t="s">
        <v>13800</v>
      </c>
      <c r="AH2112" t="s">
        <v>13801</v>
      </c>
      <c r="AI2112" t="s">
        <v>13802</v>
      </c>
      <c r="AJ2112" s="2">
        <v>45678.587048611109</v>
      </c>
      <c r="AK2112" t="s">
        <v>307</v>
      </c>
      <c r="AL2112" t="s">
        <v>65</v>
      </c>
      <c r="AM2112" s="4">
        <v>0.45833333333333331</v>
      </c>
      <c r="AN2112" t="s">
        <v>66</v>
      </c>
      <c r="AO2112" t="s">
        <v>67</v>
      </c>
    </row>
    <row r="2113" spans="1:41" x14ac:dyDescent="0.2">
      <c r="A2113">
        <v>366721</v>
      </c>
      <c r="B2113" t="s">
        <v>13803</v>
      </c>
      <c r="C2113" t="s">
        <v>583</v>
      </c>
      <c r="D2113" t="s">
        <v>13804</v>
      </c>
      <c r="E2113" t="s">
        <v>13805</v>
      </c>
      <c r="F2113">
        <v>157201</v>
      </c>
      <c r="G2113" s="1">
        <v>35362</v>
      </c>
      <c r="H2113" s="1">
        <v>45630</v>
      </c>
      <c r="I2113" s="1">
        <v>46266</v>
      </c>
      <c r="J2113" t="s">
        <v>45</v>
      </c>
      <c r="K2113" t="s">
        <v>45</v>
      </c>
      <c r="L2113" t="s">
        <v>46</v>
      </c>
      <c r="M2113" s="1">
        <v>45245</v>
      </c>
      <c r="N2113" t="s">
        <v>47</v>
      </c>
      <c r="O2113" t="s">
        <v>48</v>
      </c>
      <c r="P2113" t="s">
        <v>49</v>
      </c>
      <c r="Q2113" t="s">
        <v>13806</v>
      </c>
      <c r="R2113" t="s">
        <v>13807</v>
      </c>
      <c r="S2113">
        <v>1473</v>
      </c>
      <c r="T2113" t="s">
        <v>52</v>
      </c>
      <c r="U2113">
        <v>8</v>
      </c>
      <c r="V2113" t="s">
        <v>10460</v>
      </c>
      <c r="W2113" t="s">
        <v>54</v>
      </c>
      <c r="X2113" t="s">
        <v>76</v>
      </c>
      <c r="Y2113" t="s">
        <v>56</v>
      </c>
      <c r="Z2113">
        <v>1175</v>
      </c>
      <c r="AA2113">
        <v>39</v>
      </c>
      <c r="AB2113">
        <v>160</v>
      </c>
      <c r="AC2113" t="s">
        <v>10461</v>
      </c>
      <c r="AD2113" t="s">
        <v>10462</v>
      </c>
      <c r="AE2113" t="s">
        <v>10463</v>
      </c>
      <c r="AF2113" t="s">
        <v>10464</v>
      </c>
      <c r="AG2113" t="s">
        <v>13808</v>
      </c>
      <c r="AH2113" t="s">
        <v>10466</v>
      </c>
      <c r="AI2113" t="s">
        <v>13809</v>
      </c>
      <c r="AJ2113" s="2">
        <v>45635.698576388888</v>
      </c>
      <c r="AK2113" t="s">
        <v>64</v>
      </c>
      <c r="AL2113" t="s">
        <v>65</v>
      </c>
      <c r="AM2113" s="4">
        <v>6.9444444444444448E-2</v>
      </c>
      <c r="AN2113" t="s">
        <v>66</v>
      </c>
      <c r="AO2113" t="s">
        <v>67</v>
      </c>
    </row>
    <row r="2114" spans="1:41" x14ac:dyDescent="0.2">
      <c r="A2114">
        <v>371289</v>
      </c>
      <c r="B2114" t="s">
        <v>13810</v>
      </c>
      <c r="C2114" t="s">
        <v>662</v>
      </c>
      <c r="D2114" t="s">
        <v>13811</v>
      </c>
      <c r="E2114" s="5">
        <v>884297</v>
      </c>
      <c r="F2114">
        <v>418102</v>
      </c>
      <c r="G2114" s="1">
        <v>39188</v>
      </c>
      <c r="H2114" s="1">
        <v>45782</v>
      </c>
      <c r="I2114" s="1">
        <v>46127</v>
      </c>
      <c r="J2114" t="s">
        <v>45</v>
      </c>
      <c r="K2114" t="s">
        <v>45</v>
      </c>
      <c r="L2114" t="s">
        <v>72</v>
      </c>
      <c r="M2114" s="1">
        <v>42048</v>
      </c>
      <c r="N2114" t="s">
        <v>47</v>
      </c>
      <c r="O2114" t="s">
        <v>48</v>
      </c>
      <c r="P2114" t="s">
        <v>49</v>
      </c>
      <c r="Q2114" t="s">
        <v>13812</v>
      </c>
      <c r="R2114" t="s">
        <v>13813</v>
      </c>
      <c r="S2114">
        <v>525</v>
      </c>
      <c r="T2114" t="s">
        <v>92</v>
      </c>
      <c r="U2114" t="s">
        <v>1197</v>
      </c>
      <c r="V2114" t="s">
        <v>1198</v>
      </c>
      <c r="W2114" t="s">
        <v>1199</v>
      </c>
      <c r="X2114" t="s">
        <v>92</v>
      </c>
      <c r="Y2114" t="s">
        <v>110</v>
      </c>
      <c r="Z2114">
        <v>2884</v>
      </c>
      <c r="AA2114">
        <v>35</v>
      </c>
      <c r="AB2114">
        <v>166</v>
      </c>
      <c r="AC2114" t="s">
        <v>1200</v>
      </c>
      <c r="AD2114" t="s">
        <v>1201</v>
      </c>
      <c r="AE2114" t="s">
        <v>1202</v>
      </c>
      <c r="AF2114" t="s">
        <v>1786</v>
      </c>
      <c r="AG2114" t="s">
        <v>1787</v>
      </c>
      <c r="AH2114" t="s">
        <v>1788</v>
      </c>
      <c r="AJ2114" s="2">
        <v>45804.681921296295</v>
      </c>
      <c r="AK2114" t="s">
        <v>1786</v>
      </c>
      <c r="AL2114" t="s">
        <v>65</v>
      </c>
      <c r="AM2114" s="4">
        <v>0.44444444444444442</v>
      </c>
      <c r="AN2114" t="s">
        <v>66</v>
      </c>
      <c r="AO2114" t="s">
        <v>67</v>
      </c>
    </row>
    <row r="2115" spans="1:41" x14ac:dyDescent="0.2">
      <c r="A2115">
        <v>372439</v>
      </c>
      <c r="B2115" t="s">
        <v>13814</v>
      </c>
      <c r="C2115" t="s">
        <v>167</v>
      </c>
      <c r="D2115" t="s">
        <v>3504</v>
      </c>
      <c r="E2115" t="s">
        <v>13815</v>
      </c>
      <c r="F2115">
        <v>352554</v>
      </c>
      <c r="G2115" s="1">
        <v>33361</v>
      </c>
      <c r="H2115" s="1">
        <v>45503</v>
      </c>
      <c r="I2115" s="1">
        <v>46218</v>
      </c>
      <c r="J2115" t="s">
        <v>45</v>
      </c>
      <c r="K2115" t="s">
        <v>45</v>
      </c>
      <c r="L2115" t="s">
        <v>72</v>
      </c>
      <c r="M2115" s="1">
        <v>43004</v>
      </c>
      <c r="N2115" t="s">
        <v>47</v>
      </c>
      <c r="O2115" t="s">
        <v>48</v>
      </c>
      <c r="P2115" t="s">
        <v>49</v>
      </c>
      <c r="Q2115" t="s">
        <v>13816</v>
      </c>
      <c r="R2115" t="s">
        <v>13817</v>
      </c>
      <c r="S2115">
        <v>3457</v>
      </c>
      <c r="T2115" t="s">
        <v>52</v>
      </c>
      <c r="U2115">
        <v>6</v>
      </c>
      <c r="V2115" t="s">
        <v>3253</v>
      </c>
      <c r="W2115" t="s">
        <v>54</v>
      </c>
      <c r="X2115" t="s">
        <v>76</v>
      </c>
      <c r="Y2115" t="s">
        <v>56</v>
      </c>
      <c r="Z2115">
        <v>864</v>
      </c>
      <c r="AA2115">
        <v>53</v>
      </c>
      <c r="AB2115">
        <v>160</v>
      </c>
      <c r="AC2115" t="s">
        <v>3254</v>
      </c>
      <c r="AD2115" t="s">
        <v>3255</v>
      </c>
      <c r="AE2115" t="s">
        <v>3256</v>
      </c>
      <c r="AF2115" t="s">
        <v>13818</v>
      </c>
      <c r="AG2115" t="s">
        <v>13819</v>
      </c>
      <c r="AH2115" t="s">
        <v>13820</v>
      </c>
      <c r="AI2115" t="s">
        <v>13821</v>
      </c>
      <c r="AJ2115" s="2">
        <v>45839.728379629632</v>
      </c>
      <c r="AK2115" t="s">
        <v>556</v>
      </c>
      <c r="AL2115" t="s">
        <v>65</v>
      </c>
      <c r="AM2115" s="3">
        <v>2.2361111111111112</v>
      </c>
      <c r="AN2115" t="s">
        <v>66</v>
      </c>
      <c r="AO2115" t="s">
        <v>67</v>
      </c>
    </row>
    <row r="2116" spans="1:41" x14ac:dyDescent="0.2">
      <c r="A2116">
        <v>371643</v>
      </c>
      <c r="B2116" t="s">
        <v>13822</v>
      </c>
      <c r="C2116" t="s">
        <v>42</v>
      </c>
      <c r="D2116" t="s">
        <v>6652</v>
      </c>
      <c r="E2116" t="s">
        <v>13823</v>
      </c>
      <c r="F2116">
        <v>291202</v>
      </c>
      <c r="G2116" s="1">
        <v>34488</v>
      </c>
      <c r="H2116" s="1">
        <v>45811</v>
      </c>
      <c r="I2116" s="1">
        <v>46143</v>
      </c>
      <c r="J2116" t="s">
        <v>45</v>
      </c>
      <c r="K2116" t="s">
        <v>45</v>
      </c>
      <c r="L2116" t="s">
        <v>429</v>
      </c>
      <c r="M2116" s="1">
        <v>41376</v>
      </c>
      <c r="N2116" t="s">
        <v>47</v>
      </c>
      <c r="O2116" t="s">
        <v>48</v>
      </c>
      <c r="P2116" t="s">
        <v>49</v>
      </c>
      <c r="Q2116" t="s">
        <v>13824</v>
      </c>
      <c r="R2116" t="s">
        <v>13825</v>
      </c>
      <c r="S2116">
        <v>8229</v>
      </c>
      <c r="T2116" t="s">
        <v>52</v>
      </c>
      <c r="U2116">
        <v>3</v>
      </c>
      <c r="V2116" t="s">
        <v>1759</v>
      </c>
      <c r="W2116" t="s">
        <v>54</v>
      </c>
      <c r="X2116" t="s">
        <v>55</v>
      </c>
      <c r="Y2116" t="s">
        <v>56</v>
      </c>
      <c r="Z2116">
        <v>901</v>
      </c>
      <c r="AA2116">
        <v>62</v>
      </c>
      <c r="AB2116">
        <v>152</v>
      </c>
      <c r="AC2116" t="s">
        <v>1760</v>
      </c>
      <c r="AD2116" t="s">
        <v>1761</v>
      </c>
      <c r="AE2116" t="s">
        <v>1762</v>
      </c>
      <c r="AF2116" t="s">
        <v>1763</v>
      </c>
      <c r="AG2116" t="s">
        <v>1764</v>
      </c>
      <c r="AH2116" t="s">
        <v>1765</v>
      </c>
      <c r="AI2116" t="s">
        <v>1764</v>
      </c>
      <c r="AJ2116" s="2">
        <v>45817.794560185182</v>
      </c>
      <c r="AK2116" t="s">
        <v>609</v>
      </c>
      <c r="AL2116" t="s">
        <v>65</v>
      </c>
      <c r="AM2116" s="4">
        <v>0.58333333333333337</v>
      </c>
      <c r="AN2116" t="s">
        <v>66</v>
      </c>
      <c r="AO2116" t="s">
        <v>67</v>
      </c>
    </row>
    <row r="2117" spans="1:41" x14ac:dyDescent="0.2">
      <c r="A2117">
        <v>364441</v>
      </c>
      <c r="B2117" t="s">
        <v>13826</v>
      </c>
      <c r="C2117" t="s">
        <v>323</v>
      </c>
      <c r="D2117" t="s">
        <v>3429</v>
      </c>
      <c r="E2117" t="s">
        <v>13827</v>
      </c>
      <c r="G2117" s="1">
        <v>40648</v>
      </c>
      <c r="H2117" s="1">
        <v>45516</v>
      </c>
      <c r="I2117" s="1">
        <v>46037</v>
      </c>
      <c r="J2117" t="s">
        <v>72</v>
      </c>
      <c r="K2117" t="s">
        <v>45</v>
      </c>
      <c r="L2117" t="s">
        <v>72</v>
      </c>
      <c r="M2117" s="1">
        <v>45117</v>
      </c>
      <c r="N2117" t="s">
        <v>47</v>
      </c>
      <c r="O2117" t="s">
        <v>48</v>
      </c>
      <c r="P2117" t="s">
        <v>1752</v>
      </c>
      <c r="Q2117" t="s">
        <v>13828</v>
      </c>
      <c r="R2117" t="s">
        <v>13829</v>
      </c>
      <c r="S2117">
        <v>625</v>
      </c>
      <c r="T2117" t="s">
        <v>257</v>
      </c>
      <c r="U2117" t="s">
        <v>329</v>
      </c>
      <c r="V2117" t="s">
        <v>8584</v>
      </c>
      <c r="W2117" t="s">
        <v>260</v>
      </c>
      <c r="X2117" t="s">
        <v>257</v>
      </c>
      <c r="Y2117" t="s">
        <v>110</v>
      </c>
      <c r="Z2117">
        <v>4366</v>
      </c>
      <c r="AA2117">
        <v>30</v>
      </c>
      <c r="AB2117">
        <v>158</v>
      </c>
      <c r="AC2117" t="s">
        <v>4991</v>
      </c>
      <c r="AD2117" t="s">
        <v>4992</v>
      </c>
      <c r="AE2117" t="s">
        <v>4993</v>
      </c>
      <c r="AF2117" t="s">
        <v>4994</v>
      </c>
      <c r="AG2117" t="s">
        <v>4995</v>
      </c>
      <c r="AH2117" t="s">
        <v>5692</v>
      </c>
      <c r="AI2117" t="s">
        <v>4997</v>
      </c>
      <c r="AJ2117" s="2">
        <v>45546.820925925924</v>
      </c>
      <c r="AK2117" t="s">
        <v>5693</v>
      </c>
      <c r="AL2117" t="s">
        <v>65</v>
      </c>
      <c r="AM2117" s="3">
        <v>1.2013888888888888</v>
      </c>
      <c r="AN2117" t="s">
        <v>66</v>
      </c>
      <c r="AO2117" t="s">
        <v>67</v>
      </c>
    </row>
    <row r="2118" spans="1:41" x14ac:dyDescent="0.2">
      <c r="A2118">
        <v>371608</v>
      </c>
      <c r="B2118" t="s">
        <v>13830</v>
      </c>
      <c r="C2118" t="s">
        <v>86</v>
      </c>
      <c r="D2118" t="s">
        <v>1674</v>
      </c>
      <c r="E2118" t="s">
        <v>13831</v>
      </c>
      <c r="F2118">
        <v>200503</v>
      </c>
      <c r="G2118" s="1">
        <v>32964</v>
      </c>
      <c r="H2118" s="1">
        <v>45779</v>
      </c>
      <c r="I2118" s="1">
        <v>46143</v>
      </c>
      <c r="J2118" t="s">
        <v>45</v>
      </c>
      <c r="K2118" t="s">
        <v>72</v>
      </c>
      <c r="L2118" t="s">
        <v>72</v>
      </c>
      <c r="M2118" s="1">
        <v>41148</v>
      </c>
      <c r="N2118" t="s">
        <v>47</v>
      </c>
      <c r="O2118" t="s">
        <v>48</v>
      </c>
      <c r="P2118" t="s">
        <v>49</v>
      </c>
      <c r="Q2118" t="s">
        <v>13832</v>
      </c>
      <c r="R2118" t="s">
        <v>13833</v>
      </c>
      <c r="S2118">
        <v>760</v>
      </c>
      <c r="T2118" t="s">
        <v>92</v>
      </c>
      <c r="U2118" t="s">
        <v>93</v>
      </c>
      <c r="V2118" t="s">
        <v>506</v>
      </c>
      <c r="W2118" t="s">
        <v>507</v>
      </c>
      <c r="X2118" t="s">
        <v>92</v>
      </c>
      <c r="Y2118" t="s">
        <v>110</v>
      </c>
      <c r="Z2118">
        <v>1962</v>
      </c>
      <c r="AA2118">
        <v>34</v>
      </c>
      <c r="AB2118">
        <v>144</v>
      </c>
      <c r="AC2118" t="s">
        <v>508</v>
      </c>
      <c r="AD2118" t="s">
        <v>509</v>
      </c>
      <c r="AE2118" t="s">
        <v>510</v>
      </c>
      <c r="AF2118" t="s">
        <v>13834</v>
      </c>
      <c r="AG2118" t="s">
        <v>13835</v>
      </c>
      <c r="AH2118" t="s">
        <v>13836</v>
      </c>
      <c r="AI2118" t="s">
        <v>13837</v>
      </c>
      <c r="AJ2118" s="2">
        <v>45817.706585648149</v>
      </c>
      <c r="AK2118" t="s">
        <v>100</v>
      </c>
      <c r="AL2118" t="s">
        <v>65</v>
      </c>
      <c r="AM2118" s="4">
        <v>0.54861111111111116</v>
      </c>
      <c r="AN2118" t="s">
        <v>66</v>
      </c>
      <c r="AO2118" t="s">
        <v>67</v>
      </c>
    </row>
    <row r="2119" spans="1:41" x14ac:dyDescent="0.2">
      <c r="A2119">
        <v>370431</v>
      </c>
      <c r="B2119" t="s">
        <v>13838</v>
      </c>
      <c r="C2119" t="s">
        <v>42</v>
      </c>
      <c r="D2119" t="s">
        <v>2050</v>
      </c>
      <c r="E2119" t="s">
        <v>13839</v>
      </c>
      <c r="F2119">
        <v>292009</v>
      </c>
      <c r="G2119" s="1">
        <v>30587</v>
      </c>
      <c r="H2119" s="1">
        <v>45770</v>
      </c>
      <c r="I2119" s="1">
        <v>46204</v>
      </c>
      <c r="J2119" t="s">
        <v>45</v>
      </c>
      <c r="K2119" t="s">
        <v>45</v>
      </c>
      <c r="L2119" t="s">
        <v>429</v>
      </c>
      <c r="M2119" s="1">
        <v>44641</v>
      </c>
      <c r="N2119" t="s">
        <v>47</v>
      </c>
      <c r="O2119" t="s">
        <v>48</v>
      </c>
      <c r="P2119" t="s">
        <v>49</v>
      </c>
      <c r="Q2119" t="s">
        <v>13840</v>
      </c>
      <c r="R2119" t="s">
        <v>13841</v>
      </c>
      <c r="S2119">
        <v>8030</v>
      </c>
      <c r="T2119" t="s">
        <v>365</v>
      </c>
      <c r="U2119" t="s">
        <v>432</v>
      </c>
      <c r="V2119" t="s">
        <v>5111</v>
      </c>
      <c r="W2119" t="s">
        <v>367</v>
      </c>
      <c r="X2119" t="s">
        <v>55</v>
      </c>
      <c r="Y2119" t="s">
        <v>434</v>
      </c>
      <c r="Z2119">
        <v>230</v>
      </c>
      <c r="AA2119">
        <v>67</v>
      </c>
      <c r="AB2119">
        <v>30</v>
      </c>
      <c r="AC2119" t="s">
        <v>5112</v>
      </c>
      <c r="AD2119" t="s">
        <v>5113</v>
      </c>
      <c r="AE2119" t="s">
        <v>13842</v>
      </c>
      <c r="AF2119" t="s">
        <v>13843</v>
      </c>
      <c r="AG2119" t="s">
        <v>13844</v>
      </c>
      <c r="AH2119" t="s">
        <v>13845</v>
      </c>
      <c r="AI2119" t="s">
        <v>4342</v>
      </c>
      <c r="AJ2119" s="2">
        <v>45775.751759259256</v>
      </c>
      <c r="AK2119" t="s">
        <v>64</v>
      </c>
      <c r="AL2119" t="s">
        <v>65</v>
      </c>
      <c r="AM2119" s="3">
        <v>1.5972222222222223</v>
      </c>
      <c r="AN2119" t="s">
        <v>66</v>
      </c>
      <c r="AO2119" t="s">
        <v>67</v>
      </c>
    </row>
    <row r="2120" spans="1:41" x14ac:dyDescent="0.2">
      <c r="A2120">
        <v>371451</v>
      </c>
      <c r="B2120" t="s">
        <v>13846</v>
      </c>
      <c r="C2120" t="s">
        <v>197</v>
      </c>
      <c r="D2120" t="s">
        <v>12424</v>
      </c>
      <c r="E2120" t="s">
        <v>13847</v>
      </c>
      <c r="F2120">
        <v>97902</v>
      </c>
      <c r="G2120" s="1">
        <v>43509</v>
      </c>
      <c r="H2120" s="1">
        <v>45811</v>
      </c>
      <c r="J2120" t="s">
        <v>45</v>
      </c>
      <c r="K2120" t="s">
        <v>45</v>
      </c>
      <c r="L2120" t="s">
        <v>72</v>
      </c>
      <c r="N2120" t="s">
        <v>47</v>
      </c>
      <c r="O2120" t="s">
        <v>48</v>
      </c>
      <c r="P2120" t="s">
        <v>49</v>
      </c>
      <c r="Q2120" t="s">
        <v>13848</v>
      </c>
      <c r="R2120" t="s">
        <v>13849</v>
      </c>
      <c r="S2120">
        <v>71</v>
      </c>
      <c r="T2120" t="s">
        <v>1328</v>
      </c>
      <c r="U2120" t="s">
        <v>3114</v>
      </c>
      <c r="V2120" t="s">
        <v>7982</v>
      </c>
      <c r="W2120" t="s">
        <v>7983</v>
      </c>
      <c r="X2120" t="s">
        <v>1328</v>
      </c>
      <c r="Y2120" t="s">
        <v>770</v>
      </c>
      <c r="Z2120">
        <v>10108</v>
      </c>
      <c r="AA2120">
        <v>13</v>
      </c>
      <c r="AB2120">
        <v>91</v>
      </c>
      <c r="AC2120" t="s">
        <v>7984</v>
      </c>
      <c r="AD2120" t="s">
        <v>7985</v>
      </c>
      <c r="AE2120" t="s">
        <v>7986</v>
      </c>
      <c r="AF2120" t="s">
        <v>7987</v>
      </c>
      <c r="AG2120" t="s">
        <v>7988</v>
      </c>
      <c r="AH2120" t="s">
        <v>7989</v>
      </c>
      <c r="AJ2120" s="2">
        <v>45811.72760416667</v>
      </c>
      <c r="AK2120" t="s">
        <v>7984</v>
      </c>
      <c r="AL2120" t="s">
        <v>65</v>
      </c>
      <c r="AM2120" t="s">
        <v>13850</v>
      </c>
      <c r="AN2120" t="s">
        <v>66</v>
      </c>
      <c r="AO2120" t="s">
        <v>67</v>
      </c>
    </row>
    <row r="2121" spans="1:41" x14ac:dyDescent="0.2">
      <c r="A2121">
        <v>371780</v>
      </c>
      <c r="B2121" t="s">
        <v>13851</v>
      </c>
      <c r="C2121" t="s">
        <v>2962</v>
      </c>
      <c r="D2121" t="s">
        <v>1987</v>
      </c>
      <c r="E2121" t="s">
        <v>13852</v>
      </c>
      <c r="F2121">
        <v>332001</v>
      </c>
      <c r="G2121" s="1">
        <v>45574</v>
      </c>
      <c r="H2121" s="1">
        <v>45818</v>
      </c>
      <c r="I2121" s="1">
        <v>46204</v>
      </c>
      <c r="J2121" t="s">
        <v>45</v>
      </c>
      <c r="K2121" t="s">
        <v>45</v>
      </c>
      <c r="L2121" t="s">
        <v>72</v>
      </c>
      <c r="M2121" s="1">
        <v>41474</v>
      </c>
      <c r="N2121" t="s">
        <v>47</v>
      </c>
      <c r="O2121" t="s">
        <v>48</v>
      </c>
      <c r="P2121" t="s">
        <v>49</v>
      </c>
      <c r="Q2121" t="s">
        <v>13853</v>
      </c>
      <c r="R2121" t="s">
        <v>13854</v>
      </c>
      <c r="S2121">
        <v>920</v>
      </c>
      <c r="T2121" t="s">
        <v>257</v>
      </c>
      <c r="U2121" t="s">
        <v>258</v>
      </c>
      <c r="V2121" t="s">
        <v>13855</v>
      </c>
      <c r="W2121" t="s">
        <v>260</v>
      </c>
      <c r="X2121" t="s">
        <v>257</v>
      </c>
      <c r="Y2121" t="s">
        <v>110</v>
      </c>
      <c r="Z2121">
        <v>2702</v>
      </c>
      <c r="AA2121">
        <v>31</v>
      </c>
      <c r="AB2121">
        <v>97</v>
      </c>
      <c r="AC2121" t="s">
        <v>8179</v>
      </c>
      <c r="AD2121" t="s">
        <v>8180</v>
      </c>
      <c r="AE2121" t="s">
        <v>8181</v>
      </c>
      <c r="AJ2121" s="2">
        <v>45819.527314814812</v>
      </c>
      <c r="AK2121" t="s">
        <v>8179</v>
      </c>
      <c r="AL2121" t="s">
        <v>65</v>
      </c>
      <c r="AM2121" s="3">
        <v>1.3993055555555556</v>
      </c>
      <c r="AN2121" t="s">
        <v>66</v>
      </c>
      <c r="AO2121" t="s">
        <v>101</v>
      </c>
    </row>
    <row r="2122" spans="1:41" x14ac:dyDescent="0.2">
      <c r="A2122">
        <v>367174</v>
      </c>
      <c r="B2122" t="s">
        <v>13856</v>
      </c>
      <c r="C2122" t="s">
        <v>134</v>
      </c>
      <c r="D2122" t="s">
        <v>13857</v>
      </c>
      <c r="E2122" t="s">
        <v>13858</v>
      </c>
      <c r="F2122">
        <v>452206</v>
      </c>
      <c r="G2122" s="1">
        <v>31413</v>
      </c>
      <c r="H2122" s="1">
        <v>45481</v>
      </c>
      <c r="I2122" s="1">
        <v>46218</v>
      </c>
      <c r="J2122" t="s">
        <v>45</v>
      </c>
      <c r="K2122" t="s">
        <v>45</v>
      </c>
      <c r="L2122" t="s">
        <v>72</v>
      </c>
      <c r="M2122" s="1">
        <v>41834</v>
      </c>
      <c r="N2122" t="s">
        <v>47</v>
      </c>
      <c r="O2122" t="s">
        <v>48</v>
      </c>
      <c r="P2122" t="s">
        <v>49</v>
      </c>
      <c r="Q2122" t="s">
        <v>13859</v>
      </c>
      <c r="R2122" t="s">
        <v>13860</v>
      </c>
      <c r="S2122">
        <v>4020</v>
      </c>
      <c r="T2122" t="s">
        <v>92</v>
      </c>
      <c r="U2122" t="s">
        <v>139</v>
      </c>
      <c r="V2122" t="s">
        <v>140</v>
      </c>
      <c r="W2122" t="s">
        <v>141</v>
      </c>
      <c r="X2122" t="s">
        <v>92</v>
      </c>
      <c r="Y2122" t="s">
        <v>110</v>
      </c>
      <c r="Z2122">
        <v>400</v>
      </c>
      <c r="AA2122">
        <v>46</v>
      </c>
      <c r="AB2122">
        <v>144</v>
      </c>
      <c r="AC2122" t="s">
        <v>8048</v>
      </c>
      <c r="AD2122" t="s">
        <v>8049</v>
      </c>
      <c r="AE2122" t="s">
        <v>8050</v>
      </c>
      <c r="AF2122" t="s">
        <v>145</v>
      </c>
      <c r="AG2122" t="s">
        <v>146</v>
      </c>
      <c r="AH2122" t="s">
        <v>147</v>
      </c>
      <c r="AI2122" t="s">
        <v>8051</v>
      </c>
      <c r="AJ2122" s="2">
        <v>45664.704814814817</v>
      </c>
      <c r="AK2122" t="s">
        <v>149</v>
      </c>
      <c r="AL2122" t="s">
        <v>65</v>
      </c>
      <c r="AM2122" s="4">
        <v>0.49305555555555558</v>
      </c>
      <c r="AN2122" t="s">
        <v>66</v>
      </c>
      <c r="AO2122" t="s">
        <v>67</v>
      </c>
    </row>
    <row r="2123" spans="1:41" x14ac:dyDescent="0.2">
      <c r="A2123">
        <v>371687</v>
      </c>
      <c r="B2123" t="s">
        <v>13861</v>
      </c>
      <c r="C2123" t="s">
        <v>134</v>
      </c>
      <c r="D2123" t="s">
        <v>214</v>
      </c>
      <c r="E2123" t="s">
        <v>13862</v>
      </c>
      <c r="F2123">
        <v>452038</v>
      </c>
      <c r="G2123" s="1">
        <v>33931</v>
      </c>
      <c r="H2123" s="1">
        <v>45812</v>
      </c>
      <c r="I2123" s="1">
        <v>46174</v>
      </c>
      <c r="J2123" t="s">
        <v>45</v>
      </c>
      <c r="K2123" t="s">
        <v>45</v>
      </c>
      <c r="L2123" t="s">
        <v>429</v>
      </c>
      <c r="M2123" s="1">
        <v>44392</v>
      </c>
      <c r="N2123" t="s">
        <v>47</v>
      </c>
      <c r="O2123" t="s">
        <v>48</v>
      </c>
      <c r="P2123" t="s">
        <v>49</v>
      </c>
      <c r="Q2123" t="s">
        <v>13863</v>
      </c>
      <c r="R2123" t="s">
        <v>13864</v>
      </c>
      <c r="S2123">
        <v>3804</v>
      </c>
      <c r="T2123" t="s">
        <v>52</v>
      </c>
      <c r="U2123">
        <v>6</v>
      </c>
      <c r="V2123" t="s">
        <v>3463</v>
      </c>
      <c r="W2123" t="s">
        <v>54</v>
      </c>
      <c r="X2123" t="s">
        <v>76</v>
      </c>
      <c r="Y2123" t="s">
        <v>434</v>
      </c>
      <c r="Z2123">
        <v>808</v>
      </c>
      <c r="AA2123">
        <v>64</v>
      </c>
      <c r="AB2123">
        <v>34</v>
      </c>
      <c r="AC2123" t="s">
        <v>11389</v>
      </c>
      <c r="AD2123" t="s">
        <v>11390</v>
      </c>
      <c r="AE2123" t="s">
        <v>11391</v>
      </c>
      <c r="AF2123" t="s">
        <v>13865</v>
      </c>
      <c r="AG2123" t="s">
        <v>11393</v>
      </c>
      <c r="AH2123" t="s">
        <v>11394</v>
      </c>
      <c r="AI2123" t="s">
        <v>11395</v>
      </c>
      <c r="AJ2123" s="2">
        <v>45817.955289351848</v>
      </c>
      <c r="AK2123" t="s">
        <v>717</v>
      </c>
      <c r="AL2123" t="s">
        <v>65</v>
      </c>
      <c r="AM2123" s="4">
        <v>0.25</v>
      </c>
      <c r="AN2123" t="s">
        <v>66</v>
      </c>
      <c r="AO2123" t="s">
        <v>67</v>
      </c>
    </row>
    <row r="2124" spans="1:41" x14ac:dyDescent="0.2">
      <c r="A2124">
        <v>372646</v>
      </c>
      <c r="B2124" t="s">
        <v>13866</v>
      </c>
      <c r="C2124" t="s">
        <v>182</v>
      </c>
      <c r="D2124" t="s">
        <v>183</v>
      </c>
      <c r="E2124" t="s">
        <v>13867</v>
      </c>
      <c r="G2124" s="1">
        <v>45147</v>
      </c>
      <c r="H2124" s="1">
        <v>45084</v>
      </c>
      <c r="I2124" s="1">
        <v>46174</v>
      </c>
      <c r="J2124" t="s">
        <v>45</v>
      </c>
      <c r="K2124" t="s">
        <v>45</v>
      </c>
      <c r="L2124" t="s">
        <v>72</v>
      </c>
      <c r="N2124" t="s">
        <v>47</v>
      </c>
      <c r="O2124" t="s">
        <v>48</v>
      </c>
      <c r="P2124" t="s">
        <v>49</v>
      </c>
      <c r="Q2124" t="s">
        <v>13868</v>
      </c>
      <c r="R2124" t="s">
        <v>13869</v>
      </c>
      <c r="S2124">
        <v>928</v>
      </c>
      <c r="T2124" t="s">
        <v>92</v>
      </c>
      <c r="U2124" t="s">
        <v>187</v>
      </c>
      <c r="V2124" t="s">
        <v>13870</v>
      </c>
      <c r="W2124" t="s">
        <v>189</v>
      </c>
      <c r="X2124" t="s">
        <v>92</v>
      </c>
      <c r="Y2124" t="s">
        <v>110</v>
      </c>
      <c r="Z2124">
        <v>12168</v>
      </c>
      <c r="AA2124">
        <v>9</v>
      </c>
      <c r="AB2124">
        <v>44</v>
      </c>
      <c r="AC2124" t="s">
        <v>13871</v>
      </c>
      <c r="AD2124" t="s">
        <v>13872</v>
      </c>
      <c r="AE2124" t="s">
        <v>13873</v>
      </c>
      <c r="AJ2124" s="2">
        <v>45848.697962962964</v>
      </c>
      <c r="AK2124" t="s">
        <v>100</v>
      </c>
      <c r="AL2124" t="s">
        <v>65</v>
      </c>
      <c r="AM2124" s="3">
        <v>1.2951388888888888</v>
      </c>
      <c r="AN2124" t="s">
        <v>66</v>
      </c>
      <c r="AO2124" t="s">
        <v>67</v>
      </c>
    </row>
    <row r="2125" spans="1:41" x14ac:dyDescent="0.2">
      <c r="A2125">
        <v>368961</v>
      </c>
      <c r="B2125" t="s">
        <v>13874</v>
      </c>
      <c r="C2125" t="s">
        <v>182</v>
      </c>
      <c r="D2125" t="s">
        <v>1086</v>
      </c>
      <c r="E2125" t="s">
        <v>13875</v>
      </c>
      <c r="F2125">
        <v>44726</v>
      </c>
      <c r="G2125" s="1">
        <v>38859</v>
      </c>
      <c r="H2125" s="1">
        <v>45489</v>
      </c>
      <c r="I2125" s="1">
        <v>46113</v>
      </c>
      <c r="J2125" t="s">
        <v>45</v>
      </c>
      <c r="K2125" t="s">
        <v>45</v>
      </c>
      <c r="L2125" t="s">
        <v>429</v>
      </c>
      <c r="M2125" s="1">
        <v>44377</v>
      </c>
      <c r="N2125" t="s">
        <v>47</v>
      </c>
      <c r="O2125" t="s">
        <v>48</v>
      </c>
      <c r="P2125" t="s">
        <v>49</v>
      </c>
      <c r="Q2125" t="s">
        <v>13876</v>
      </c>
      <c r="R2125" t="s">
        <v>13877</v>
      </c>
      <c r="S2125">
        <v>7385</v>
      </c>
      <c r="T2125" t="s">
        <v>52</v>
      </c>
      <c r="U2125">
        <v>5</v>
      </c>
      <c r="V2125" t="s">
        <v>2763</v>
      </c>
      <c r="W2125" t="s">
        <v>54</v>
      </c>
      <c r="X2125" t="s">
        <v>493</v>
      </c>
      <c r="Y2125" t="s">
        <v>434</v>
      </c>
      <c r="Z2125">
        <v>2741</v>
      </c>
      <c r="AA2125">
        <v>34</v>
      </c>
      <c r="AB2125">
        <v>160</v>
      </c>
      <c r="AC2125" t="s">
        <v>9848</v>
      </c>
      <c r="AD2125" t="s">
        <v>9849</v>
      </c>
      <c r="AE2125" t="s">
        <v>9850</v>
      </c>
      <c r="AF2125" t="s">
        <v>9851</v>
      </c>
      <c r="AG2125" t="s">
        <v>9852</v>
      </c>
      <c r="AH2125" t="s">
        <v>9853</v>
      </c>
      <c r="AI2125" t="s">
        <v>9854</v>
      </c>
      <c r="AJ2125" s="2">
        <v>45722.925555555557</v>
      </c>
      <c r="AK2125" t="s">
        <v>501</v>
      </c>
      <c r="AL2125" t="s">
        <v>65</v>
      </c>
      <c r="AM2125" s="3">
        <v>2.4444444444444446</v>
      </c>
      <c r="AN2125" t="s">
        <v>66</v>
      </c>
      <c r="AO2125" t="s">
        <v>67</v>
      </c>
    </row>
    <row r="2126" spans="1:41" x14ac:dyDescent="0.2">
      <c r="A2126">
        <v>349506</v>
      </c>
      <c r="B2126" t="s">
        <v>13878</v>
      </c>
      <c r="C2126" t="s">
        <v>134</v>
      </c>
      <c r="E2126" t="s">
        <v>13879</v>
      </c>
      <c r="J2126" t="s">
        <v>45</v>
      </c>
      <c r="K2126" t="s">
        <v>45</v>
      </c>
      <c r="L2126" t="s">
        <v>72</v>
      </c>
      <c r="N2126" t="s">
        <v>89</v>
      </c>
      <c r="O2126" t="s">
        <v>48</v>
      </c>
      <c r="P2126" t="s">
        <v>49</v>
      </c>
      <c r="T2126" t="s">
        <v>92</v>
      </c>
      <c r="U2126" t="s">
        <v>139</v>
      </c>
      <c r="V2126" t="s">
        <v>140</v>
      </c>
      <c r="W2126" t="s">
        <v>141</v>
      </c>
      <c r="X2126" t="s">
        <v>92</v>
      </c>
      <c r="Y2126" t="s">
        <v>96</v>
      </c>
      <c r="Z2126">
        <v>12178</v>
      </c>
      <c r="AA2126">
        <v>7</v>
      </c>
      <c r="AB2126">
        <v>44</v>
      </c>
      <c r="AC2126" t="s">
        <v>145</v>
      </c>
      <c r="AD2126" t="s">
        <v>146</v>
      </c>
      <c r="AE2126" t="s">
        <v>147</v>
      </c>
      <c r="AJ2126" s="2">
        <v>45093.928240740737</v>
      </c>
      <c r="AK2126" t="s">
        <v>717</v>
      </c>
      <c r="AL2126" t="s">
        <v>65</v>
      </c>
      <c r="AM2126" s="3">
        <v>1.3298611111111112</v>
      </c>
      <c r="AN2126" t="s">
        <v>66</v>
      </c>
      <c r="AO2126" t="s">
        <v>67</v>
      </c>
    </row>
    <row r="2127" spans="1:41" x14ac:dyDescent="0.2">
      <c r="A2127">
        <v>349507</v>
      </c>
      <c r="B2127" t="s">
        <v>13880</v>
      </c>
      <c r="C2127" t="s">
        <v>134</v>
      </c>
      <c r="E2127" t="s">
        <v>13881</v>
      </c>
      <c r="J2127" t="s">
        <v>45</v>
      </c>
      <c r="K2127" t="s">
        <v>45</v>
      </c>
      <c r="L2127" t="s">
        <v>72</v>
      </c>
      <c r="N2127" t="s">
        <v>89</v>
      </c>
      <c r="O2127" t="s">
        <v>48</v>
      </c>
      <c r="P2127" t="s">
        <v>49</v>
      </c>
      <c r="T2127" t="s">
        <v>92</v>
      </c>
      <c r="U2127" t="s">
        <v>139</v>
      </c>
      <c r="V2127" t="s">
        <v>140</v>
      </c>
      <c r="W2127" t="s">
        <v>141</v>
      </c>
      <c r="X2127" t="s">
        <v>92</v>
      </c>
      <c r="Y2127" t="s">
        <v>96</v>
      </c>
      <c r="Z2127">
        <v>12179</v>
      </c>
      <c r="AA2127">
        <v>7</v>
      </c>
      <c r="AB2127">
        <v>44</v>
      </c>
      <c r="AC2127" t="s">
        <v>145</v>
      </c>
      <c r="AD2127" t="s">
        <v>146</v>
      </c>
      <c r="AE2127" t="s">
        <v>147</v>
      </c>
      <c r="AJ2127" s="2">
        <v>45093.929212962961</v>
      </c>
      <c r="AK2127" t="s">
        <v>717</v>
      </c>
      <c r="AL2127" t="s">
        <v>65</v>
      </c>
      <c r="AM2127" s="3">
        <v>1.3368055555555556</v>
      </c>
      <c r="AN2127" t="s">
        <v>66</v>
      </c>
      <c r="AO2127" t="s">
        <v>67</v>
      </c>
    </row>
    <row r="2128" spans="1:41" x14ac:dyDescent="0.2">
      <c r="A2128">
        <v>349508</v>
      </c>
      <c r="B2128" t="s">
        <v>13882</v>
      </c>
      <c r="C2128" t="s">
        <v>134</v>
      </c>
      <c r="E2128" t="s">
        <v>13883</v>
      </c>
      <c r="J2128" t="s">
        <v>45</v>
      </c>
      <c r="K2128" t="s">
        <v>45</v>
      </c>
      <c r="L2128" t="s">
        <v>72</v>
      </c>
      <c r="N2128" t="s">
        <v>89</v>
      </c>
      <c r="O2128" t="s">
        <v>48</v>
      </c>
      <c r="P2128" t="s">
        <v>49</v>
      </c>
      <c r="T2128" t="s">
        <v>92</v>
      </c>
      <c r="U2128" t="s">
        <v>139</v>
      </c>
      <c r="V2128" t="s">
        <v>140</v>
      </c>
      <c r="W2128" t="s">
        <v>141</v>
      </c>
      <c r="X2128" t="s">
        <v>92</v>
      </c>
      <c r="Y2128" t="s">
        <v>96</v>
      </c>
      <c r="Z2128">
        <v>12180</v>
      </c>
      <c r="AA2128">
        <v>7</v>
      </c>
      <c r="AB2128">
        <v>44</v>
      </c>
      <c r="AC2128" t="s">
        <v>145</v>
      </c>
      <c r="AD2128" t="s">
        <v>146</v>
      </c>
      <c r="AE2128" t="s">
        <v>147</v>
      </c>
      <c r="AJ2128" s="2">
        <v>45093.930150462962</v>
      </c>
      <c r="AK2128" t="s">
        <v>717</v>
      </c>
      <c r="AL2128" t="s">
        <v>65</v>
      </c>
      <c r="AM2128" s="3">
        <v>1.34375</v>
      </c>
      <c r="AN2128" t="s">
        <v>66</v>
      </c>
      <c r="AO2128" t="s">
        <v>67</v>
      </c>
    </row>
    <row r="2129" spans="1:41" x14ac:dyDescent="0.2">
      <c r="A2129">
        <v>349509</v>
      </c>
      <c r="B2129" t="s">
        <v>13884</v>
      </c>
      <c r="C2129" t="s">
        <v>134</v>
      </c>
      <c r="E2129" t="s">
        <v>13885</v>
      </c>
      <c r="J2129" t="s">
        <v>45</v>
      </c>
      <c r="K2129" t="s">
        <v>45</v>
      </c>
      <c r="L2129" t="s">
        <v>72</v>
      </c>
      <c r="N2129" t="s">
        <v>89</v>
      </c>
      <c r="O2129" t="s">
        <v>48</v>
      </c>
      <c r="P2129" t="s">
        <v>49</v>
      </c>
      <c r="T2129" t="s">
        <v>92</v>
      </c>
      <c r="U2129" t="s">
        <v>139</v>
      </c>
      <c r="V2129" t="s">
        <v>140</v>
      </c>
      <c r="W2129" t="s">
        <v>141</v>
      </c>
      <c r="X2129" t="s">
        <v>92</v>
      </c>
      <c r="Y2129" t="s">
        <v>96</v>
      </c>
      <c r="Z2129">
        <v>12181</v>
      </c>
      <c r="AA2129">
        <v>7</v>
      </c>
      <c r="AB2129">
        <v>44</v>
      </c>
      <c r="AC2129" t="s">
        <v>145</v>
      </c>
      <c r="AD2129" t="s">
        <v>146</v>
      </c>
      <c r="AE2129" t="s">
        <v>147</v>
      </c>
      <c r="AJ2129" s="2">
        <v>45093.931469907409</v>
      </c>
      <c r="AK2129" t="s">
        <v>717</v>
      </c>
      <c r="AL2129" t="s">
        <v>65</v>
      </c>
      <c r="AM2129" s="3">
        <v>1.3506944444444444</v>
      </c>
      <c r="AN2129" t="s">
        <v>66</v>
      </c>
      <c r="AO2129" t="s">
        <v>67</v>
      </c>
    </row>
    <row r="2130" spans="1:41" x14ac:dyDescent="0.2">
      <c r="A2130">
        <v>362545</v>
      </c>
      <c r="B2130" t="s">
        <v>13886</v>
      </c>
      <c r="C2130" t="s">
        <v>323</v>
      </c>
      <c r="E2130" t="s">
        <v>13887</v>
      </c>
      <c r="G2130" s="1">
        <v>39545</v>
      </c>
      <c r="H2130" s="1">
        <v>45478</v>
      </c>
      <c r="I2130" s="1">
        <v>46037</v>
      </c>
      <c r="J2130" t="s">
        <v>45</v>
      </c>
      <c r="K2130" t="s">
        <v>326</v>
      </c>
      <c r="L2130" t="s">
        <v>72</v>
      </c>
      <c r="M2130" s="1">
        <v>45093</v>
      </c>
      <c r="N2130" t="s">
        <v>47</v>
      </c>
      <c r="O2130" t="s">
        <v>48</v>
      </c>
      <c r="P2130" t="s">
        <v>406</v>
      </c>
      <c r="Q2130" t="s">
        <v>13888</v>
      </c>
      <c r="R2130" t="s">
        <v>13889</v>
      </c>
      <c r="S2130">
        <v>2018</v>
      </c>
      <c r="T2130" t="s">
        <v>257</v>
      </c>
      <c r="U2130" t="s">
        <v>329</v>
      </c>
      <c r="V2130" t="s">
        <v>5691</v>
      </c>
      <c r="W2130" t="s">
        <v>260</v>
      </c>
      <c r="X2130" t="s">
        <v>257</v>
      </c>
      <c r="Y2130" t="s">
        <v>110</v>
      </c>
      <c r="Z2130">
        <v>2987</v>
      </c>
      <c r="AA2130">
        <v>45</v>
      </c>
      <c r="AB2130">
        <v>160</v>
      </c>
      <c r="AC2130" t="s">
        <v>4991</v>
      </c>
      <c r="AD2130" t="s">
        <v>4992</v>
      </c>
      <c r="AE2130" t="s">
        <v>4993</v>
      </c>
      <c r="AF2130" t="s">
        <v>4994</v>
      </c>
      <c r="AG2130" t="s">
        <v>4995</v>
      </c>
      <c r="AH2130" t="s">
        <v>5692</v>
      </c>
      <c r="AI2130" t="s">
        <v>4997</v>
      </c>
      <c r="AJ2130" s="2">
        <v>45489.974629629629</v>
      </c>
      <c r="AK2130" t="s">
        <v>5693</v>
      </c>
      <c r="AL2130" t="s">
        <v>1168</v>
      </c>
      <c r="AM2130" s="3">
        <v>1.8055555555555556</v>
      </c>
      <c r="AN2130" t="s">
        <v>66</v>
      </c>
      <c r="AO2130" t="s">
        <v>67</v>
      </c>
    </row>
    <row r="2131" spans="1:41" x14ac:dyDescent="0.2">
      <c r="A2131">
        <v>370016</v>
      </c>
      <c r="B2131" t="s">
        <v>13890</v>
      </c>
      <c r="C2131" t="s">
        <v>763</v>
      </c>
      <c r="D2131" t="s">
        <v>13891</v>
      </c>
      <c r="E2131" t="s">
        <v>13892</v>
      </c>
      <c r="F2131">
        <v>470502</v>
      </c>
      <c r="G2131" s="1">
        <v>38526</v>
      </c>
      <c r="H2131" s="1">
        <v>45757</v>
      </c>
      <c r="I2131" s="1">
        <v>46127</v>
      </c>
      <c r="J2131" t="s">
        <v>45</v>
      </c>
      <c r="K2131" t="s">
        <v>326</v>
      </c>
      <c r="L2131" t="s">
        <v>46</v>
      </c>
      <c r="M2131" s="1">
        <v>45063</v>
      </c>
      <c r="N2131" t="s">
        <v>47</v>
      </c>
      <c r="O2131" t="s">
        <v>48</v>
      </c>
      <c r="P2131" t="s">
        <v>49</v>
      </c>
      <c r="Q2131" t="s">
        <v>13893</v>
      </c>
      <c r="R2131" t="s">
        <v>13894</v>
      </c>
      <c r="S2131">
        <v>1742</v>
      </c>
      <c r="T2131" t="s">
        <v>52</v>
      </c>
      <c r="U2131">
        <v>9</v>
      </c>
      <c r="V2131" t="s">
        <v>5182</v>
      </c>
      <c r="W2131" t="s">
        <v>54</v>
      </c>
      <c r="X2131" t="s">
        <v>76</v>
      </c>
      <c r="Y2131" t="s">
        <v>56</v>
      </c>
      <c r="Z2131">
        <v>2590</v>
      </c>
      <c r="AA2131">
        <v>39</v>
      </c>
      <c r="AB2131">
        <v>97</v>
      </c>
      <c r="AC2131" t="s">
        <v>10804</v>
      </c>
      <c r="AD2131" t="s">
        <v>10805</v>
      </c>
      <c r="AE2131" t="s">
        <v>10806</v>
      </c>
      <c r="AF2131" t="s">
        <v>10807</v>
      </c>
      <c r="AG2131" t="s">
        <v>10808</v>
      </c>
      <c r="AH2131" t="s">
        <v>10809</v>
      </c>
      <c r="AI2131" t="s">
        <v>10810</v>
      </c>
      <c r="AJ2131" s="2">
        <v>45761.804178240738</v>
      </c>
      <c r="AK2131" t="s">
        <v>540</v>
      </c>
      <c r="AL2131" t="s">
        <v>65</v>
      </c>
      <c r="AM2131" s="3">
        <v>1.2951388888888888</v>
      </c>
      <c r="AN2131" t="s">
        <v>66</v>
      </c>
      <c r="AO2131" t="s">
        <v>101</v>
      </c>
    </row>
    <row r="2132" spans="1:41" x14ac:dyDescent="0.2">
      <c r="A2132">
        <v>372263</v>
      </c>
      <c r="B2132" t="s">
        <v>13895</v>
      </c>
      <c r="C2132" t="s">
        <v>735</v>
      </c>
      <c r="D2132" t="s">
        <v>6379</v>
      </c>
      <c r="E2132" t="s">
        <v>13896</v>
      </c>
      <c r="F2132">
        <v>243002</v>
      </c>
      <c r="G2132" s="1">
        <v>37026</v>
      </c>
      <c r="H2132" s="1">
        <v>45567</v>
      </c>
      <c r="I2132" s="1">
        <v>45915</v>
      </c>
      <c r="J2132" t="s">
        <v>45</v>
      </c>
      <c r="K2132" t="s">
        <v>45</v>
      </c>
      <c r="L2132" t="s">
        <v>72</v>
      </c>
      <c r="M2132" s="1">
        <v>45835</v>
      </c>
      <c r="N2132" t="s">
        <v>47</v>
      </c>
      <c r="O2132" t="s">
        <v>48</v>
      </c>
      <c r="P2132" t="s">
        <v>49</v>
      </c>
      <c r="Q2132" t="s">
        <v>13897</v>
      </c>
      <c r="R2132" t="s">
        <v>13898</v>
      </c>
      <c r="S2132">
        <v>5280</v>
      </c>
      <c r="T2132" t="s">
        <v>52</v>
      </c>
      <c r="U2132">
        <v>1</v>
      </c>
      <c r="V2132" t="s">
        <v>740</v>
      </c>
      <c r="W2132" t="s">
        <v>54</v>
      </c>
      <c r="X2132" t="s">
        <v>76</v>
      </c>
      <c r="Y2132" t="s">
        <v>56</v>
      </c>
      <c r="Z2132">
        <v>1136</v>
      </c>
      <c r="AA2132">
        <v>46</v>
      </c>
      <c r="AB2132">
        <v>166</v>
      </c>
      <c r="AC2132" t="s">
        <v>13899</v>
      </c>
      <c r="AD2132" t="s">
        <v>13900</v>
      </c>
      <c r="AE2132" t="s">
        <v>13901</v>
      </c>
      <c r="AF2132" t="s">
        <v>2072</v>
      </c>
      <c r="AG2132" t="s">
        <v>742</v>
      </c>
      <c r="AH2132" t="s">
        <v>743</v>
      </c>
      <c r="AI2132" t="s">
        <v>13902</v>
      </c>
      <c r="AJ2132" s="2">
        <v>45835.642361111109</v>
      </c>
      <c r="AK2132" t="s">
        <v>13899</v>
      </c>
      <c r="AL2132" t="s">
        <v>65</v>
      </c>
      <c r="AM2132" s="4">
        <v>0.65277777777777779</v>
      </c>
      <c r="AN2132" t="s">
        <v>66</v>
      </c>
      <c r="AO2132" t="s">
        <v>67</v>
      </c>
    </row>
    <row r="2133" spans="1:41" x14ac:dyDescent="0.2">
      <c r="A2133">
        <v>370906</v>
      </c>
      <c r="B2133" t="s">
        <v>13903</v>
      </c>
      <c r="C2133" t="s">
        <v>118</v>
      </c>
      <c r="D2133" t="s">
        <v>4473</v>
      </c>
      <c r="E2133" t="s">
        <v>13904</v>
      </c>
      <c r="G2133" s="1">
        <v>45463</v>
      </c>
      <c r="H2133" s="1">
        <v>45644</v>
      </c>
      <c r="I2133" s="1">
        <v>45962</v>
      </c>
      <c r="J2133" t="s">
        <v>45</v>
      </c>
      <c r="K2133" t="s">
        <v>45</v>
      </c>
      <c r="L2133" t="s">
        <v>46</v>
      </c>
      <c r="M2133" s="1">
        <v>45644</v>
      </c>
      <c r="N2133" t="s">
        <v>47</v>
      </c>
      <c r="O2133" t="s">
        <v>48</v>
      </c>
      <c r="P2133" t="s">
        <v>49</v>
      </c>
      <c r="Q2133" t="s">
        <v>13905</v>
      </c>
      <c r="R2133" t="s">
        <v>13906</v>
      </c>
      <c r="S2133">
        <v>1750</v>
      </c>
      <c r="T2133" t="s">
        <v>92</v>
      </c>
      <c r="U2133" t="s">
        <v>1345</v>
      </c>
      <c r="V2133" t="s">
        <v>1346</v>
      </c>
      <c r="W2133" t="s">
        <v>1347</v>
      </c>
      <c r="X2133" t="s">
        <v>92</v>
      </c>
      <c r="Y2133" t="s">
        <v>110</v>
      </c>
      <c r="Z2133">
        <v>12205</v>
      </c>
      <c r="AA2133">
        <v>10</v>
      </c>
      <c r="AB2133">
        <v>48</v>
      </c>
      <c r="AC2133" t="s">
        <v>1348</v>
      </c>
      <c r="AD2133" t="s">
        <v>1349</v>
      </c>
      <c r="AE2133" t="s">
        <v>1350</v>
      </c>
      <c r="AF2133" t="s">
        <v>1351</v>
      </c>
      <c r="AG2133" t="s">
        <v>1352</v>
      </c>
      <c r="AH2133" t="s">
        <v>1353</v>
      </c>
      <c r="AJ2133" s="2">
        <v>45789.83792824074</v>
      </c>
      <c r="AK2133" t="s">
        <v>1371</v>
      </c>
      <c r="AL2133" t="s">
        <v>65</v>
      </c>
      <c r="AM2133" s="4">
        <v>0.73958333333333337</v>
      </c>
      <c r="AN2133" t="s">
        <v>66</v>
      </c>
      <c r="AO2133" t="s">
        <v>67</v>
      </c>
    </row>
    <row r="2134" spans="1:41" x14ac:dyDescent="0.2">
      <c r="A2134">
        <v>367677</v>
      </c>
      <c r="B2134" t="s">
        <v>13907</v>
      </c>
      <c r="C2134" t="s">
        <v>1000</v>
      </c>
      <c r="D2134" t="s">
        <v>13908</v>
      </c>
      <c r="E2134" t="s">
        <v>13909</v>
      </c>
      <c r="F2134">
        <v>400801</v>
      </c>
      <c r="G2134" s="1">
        <v>43551</v>
      </c>
      <c r="H2134" s="1">
        <v>45671</v>
      </c>
      <c r="J2134" t="s">
        <v>45</v>
      </c>
      <c r="K2134" t="s">
        <v>45</v>
      </c>
      <c r="L2134" t="s">
        <v>72</v>
      </c>
      <c r="M2134" s="1">
        <v>45671</v>
      </c>
      <c r="N2134" t="s">
        <v>47</v>
      </c>
      <c r="O2134" t="s">
        <v>48</v>
      </c>
      <c r="P2134" t="s">
        <v>49</v>
      </c>
      <c r="Q2134" t="s">
        <v>13910</v>
      </c>
      <c r="R2134" t="s">
        <v>13911</v>
      </c>
      <c r="S2134">
        <v>1720</v>
      </c>
      <c r="T2134" t="s">
        <v>92</v>
      </c>
      <c r="U2134" t="s">
        <v>1005</v>
      </c>
      <c r="V2134" t="s">
        <v>590</v>
      </c>
      <c r="W2134" t="s">
        <v>1006</v>
      </c>
      <c r="X2134" t="s">
        <v>92</v>
      </c>
      <c r="Y2134" t="s">
        <v>770</v>
      </c>
      <c r="Z2134">
        <v>10026</v>
      </c>
      <c r="AA2134">
        <v>19</v>
      </c>
      <c r="AB2134">
        <v>78</v>
      </c>
      <c r="AC2134" t="s">
        <v>1007</v>
      </c>
      <c r="AD2134" t="s">
        <v>1008</v>
      </c>
      <c r="AE2134" t="s">
        <v>1009</v>
      </c>
      <c r="AF2134" t="s">
        <v>2846</v>
      </c>
      <c r="AG2134" t="s">
        <v>2847</v>
      </c>
      <c r="AH2134" t="s">
        <v>2848</v>
      </c>
      <c r="AI2134" t="s">
        <v>1010</v>
      </c>
      <c r="AJ2134" s="2">
        <v>45686.261006944442</v>
      </c>
      <c r="AK2134" t="s">
        <v>1011</v>
      </c>
      <c r="AL2134" t="s">
        <v>65</v>
      </c>
      <c r="AM2134" s="3">
        <v>1.8055555555555556</v>
      </c>
      <c r="AN2134" t="s">
        <v>66</v>
      </c>
      <c r="AO2134" t="s">
        <v>67</v>
      </c>
    </row>
    <row r="2135" spans="1:41" x14ac:dyDescent="0.2">
      <c r="A2135">
        <v>364765</v>
      </c>
      <c r="B2135" t="s">
        <v>13912</v>
      </c>
      <c r="C2135" t="s">
        <v>345</v>
      </c>
      <c r="D2135" t="s">
        <v>13913</v>
      </c>
      <c r="E2135">
        <v>32714146</v>
      </c>
      <c r="F2135">
        <v>51901</v>
      </c>
      <c r="G2135" s="1">
        <v>36677</v>
      </c>
      <c r="H2135" s="1">
        <v>45558</v>
      </c>
      <c r="I2135" s="1">
        <v>45962</v>
      </c>
      <c r="J2135" t="s">
        <v>45</v>
      </c>
      <c r="K2135" t="s">
        <v>45</v>
      </c>
      <c r="L2135" t="s">
        <v>72</v>
      </c>
      <c r="M2135" s="1">
        <v>41734</v>
      </c>
      <c r="N2135" t="s">
        <v>47</v>
      </c>
      <c r="O2135" t="s">
        <v>48</v>
      </c>
      <c r="P2135" t="s">
        <v>49</v>
      </c>
      <c r="Q2135" t="s">
        <v>13914</v>
      </c>
      <c r="R2135" t="s">
        <v>13915</v>
      </c>
      <c r="S2135">
        <v>9380</v>
      </c>
      <c r="T2135" t="s">
        <v>52</v>
      </c>
      <c r="U2135">
        <v>2</v>
      </c>
      <c r="V2135" t="s">
        <v>945</v>
      </c>
      <c r="W2135" t="s">
        <v>54</v>
      </c>
      <c r="X2135" t="s">
        <v>55</v>
      </c>
      <c r="Y2135" t="s">
        <v>56</v>
      </c>
      <c r="Z2135">
        <v>1677</v>
      </c>
      <c r="AA2135">
        <v>53</v>
      </c>
      <c r="AB2135">
        <v>30</v>
      </c>
      <c r="AC2135" t="s">
        <v>946</v>
      </c>
      <c r="AD2135" t="s">
        <v>947</v>
      </c>
      <c r="AE2135" t="s">
        <v>948</v>
      </c>
      <c r="AI2135" t="s">
        <v>5572</v>
      </c>
      <c r="AJ2135" s="2">
        <v>45559.175995370373</v>
      </c>
      <c r="AK2135" t="s">
        <v>4471</v>
      </c>
      <c r="AL2135" t="s">
        <v>65</v>
      </c>
      <c r="AM2135" s="3">
        <v>1.0069444444444444</v>
      </c>
      <c r="AN2135" t="s">
        <v>66</v>
      </c>
      <c r="AO2135" t="s">
        <v>67</v>
      </c>
    </row>
    <row r="2136" spans="1:41" x14ac:dyDescent="0.2">
      <c r="A2136">
        <v>349945</v>
      </c>
      <c r="B2136" t="s">
        <v>13916</v>
      </c>
      <c r="C2136" t="s">
        <v>1107</v>
      </c>
      <c r="D2136" t="s">
        <v>2095</v>
      </c>
      <c r="E2136">
        <v>32567706</v>
      </c>
      <c r="F2136">
        <v>239204</v>
      </c>
      <c r="G2136" s="1">
        <v>41640</v>
      </c>
      <c r="H2136" s="1">
        <v>45106</v>
      </c>
      <c r="I2136" s="1">
        <v>46054</v>
      </c>
      <c r="J2136" t="s">
        <v>45</v>
      </c>
      <c r="K2136" t="s">
        <v>45</v>
      </c>
      <c r="L2136" t="s">
        <v>72</v>
      </c>
      <c r="M2136" s="1">
        <v>45106</v>
      </c>
      <c r="N2136" t="s">
        <v>47</v>
      </c>
      <c r="O2136" t="s">
        <v>48</v>
      </c>
      <c r="P2136" t="s">
        <v>49</v>
      </c>
      <c r="Q2136" t="s">
        <v>13917</v>
      </c>
      <c r="R2136" t="s">
        <v>13918</v>
      </c>
      <c r="S2136">
        <v>840</v>
      </c>
      <c r="T2136" t="s">
        <v>92</v>
      </c>
      <c r="U2136" t="s">
        <v>1111</v>
      </c>
      <c r="V2136" t="s">
        <v>1112</v>
      </c>
      <c r="W2136" t="s">
        <v>1113</v>
      </c>
      <c r="X2136" t="s">
        <v>52</v>
      </c>
      <c r="Y2136" t="s">
        <v>110</v>
      </c>
      <c r="Z2136">
        <v>1143</v>
      </c>
      <c r="AA2136">
        <v>26</v>
      </c>
      <c r="AB2136">
        <v>158</v>
      </c>
      <c r="AC2136" t="s">
        <v>1114</v>
      </c>
      <c r="AD2136" t="s">
        <v>7301</v>
      </c>
      <c r="AE2136" t="s">
        <v>1116</v>
      </c>
      <c r="AF2136" t="s">
        <v>13919</v>
      </c>
      <c r="AG2136" t="s">
        <v>13920</v>
      </c>
      <c r="AH2136" t="s">
        <v>13921</v>
      </c>
      <c r="AJ2136" s="2">
        <v>45107.752430555556</v>
      </c>
      <c r="AK2136" t="s">
        <v>1114</v>
      </c>
      <c r="AL2136" t="s">
        <v>65</v>
      </c>
      <c r="AM2136" s="3">
        <v>1.2847222222222223</v>
      </c>
      <c r="AN2136" t="s">
        <v>66</v>
      </c>
      <c r="AO2136" t="s">
        <v>67</v>
      </c>
    </row>
    <row r="2137" spans="1:41" x14ac:dyDescent="0.2">
      <c r="A2137">
        <v>363629</v>
      </c>
      <c r="B2137" t="s">
        <v>13922</v>
      </c>
      <c r="C2137" t="s">
        <v>69</v>
      </c>
      <c r="D2137" t="s">
        <v>6193</v>
      </c>
      <c r="E2137">
        <v>32374254</v>
      </c>
      <c r="F2137">
        <v>100711</v>
      </c>
      <c r="G2137" s="1">
        <v>31321</v>
      </c>
      <c r="H2137" s="1">
        <v>45497</v>
      </c>
      <c r="I2137" s="1">
        <v>46204</v>
      </c>
      <c r="J2137" t="s">
        <v>45</v>
      </c>
      <c r="K2137" t="s">
        <v>45</v>
      </c>
      <c r="L2137" t="s">
        <v>429</v>
      </c>
      <c r="M2137" s="1">
        <v>44833</v>
      </c>
      <c r="N2137" t="s">
        <v>47</v>
      </c>
      <c r="O2137" t="s">
        <v>48</v>
      </c>
      <c r="P2137" t="s">
        <v>49</v>
      </c>
      <c r="Q2137" t="s">
        <v>13923</v>
      </c>
      <c r="R2137" t="s">
        <v>13924</v>
      </c>
      <c r="S2137">
        <v>3085</v>
      </c>
      <c r="T2137" t="s">
        <v>52</v>
      </c>
      <c r="U2137">
        <v>1</v>
      </c>
      <c r="V2137" t="s">
        <v>4698</v>
      </c>
      <c r="W2137" t="s">
        <v>54</v>
      </c>
      <c r="X2137" t="s">
        <v>76</v>
      </c>
      <c r="Y2137" t="s">
        <v>56</v>
      </c>
      <c r="Z2137">
        <v>541</v>
      </c>
      <c r="AA2137">
        <v>68</v>
      </c>
      <c r="AB2137">
        <v>52</v>
      </c>
      <c r="AC2137" t="s">
        <v>13925</v>
      </c>
      <c r="AD2137" t="s">
        <v>4700</v>
      </c>
      <c r="AE2137" t="s">
        <v>4701</v>
      </c>
      <c r="AF2137" t="s">
        <v>4702</v>
      </c>
      <c r="AG2137" t="s">
        <v>4703</v>
      </c>
      <c r="AH2137" t="s">
        <v>6200</v>
      </c>
      <c r="AI2137" t="s">
        <v>6201</v>
      </c>
      <c r="AJ2137" s="2">
        <v>45518.677199074074</v>
      </c>
      <c r="AK2137" t="s">
        <v>10133</v>
      </c>
      <c r="AL2137" t="s">
        <v>65</v>
      </c>
      <c r="AM2137" s="3">
        <v>2.1805555555555554</v>
      </c>
      <c r="AN2137" t="s">
        <v>66</v>
      </c>
      <c r="AO2137" t="s">
        <v>67</v>
      </c>
    </row>
    <row r="2138" spans="1:41" x14ac:dyDescent="0.2">
      <c r="A2138">
        <v>368953</v>
      </c>
      <c r="B2138" t="s">
        <v>13922</v>
      </c>
      <c r="C2138" t="s">
        <v>182</v>
      </c>
      <c r="D2138" t="s">
        <v>4385</v>
      </c>
      <c r="E2138" t="s">
        <v>13926</v>
      </c>
      <c r="F2138">
        <v>40915</v>
      </c>
      <c r="G2138" s="1">
        <v>31847</v>
      </c>
      <c r="H2138" s="1">
        <v>45561</v>
      </c>
      <c r="I2138" s="1">
        <v>46174</v>
      </c>
      <c r="J2138" t="s">
        <v>45</v>
      </c>
      <c r="K2138" t="s">
        <v>45</v>
      </c>
      <c r="L2138" t="s">
        <v>46</v>
      </c>
      <c r="M2138" s="1">
        <v>41646</v>
      </c>
      <c r="N2138" t="s">
        <v>47</v>
      </c>
      <c r="O2138" t="s">
        <v>48</v>
      </c>
      <c r="P2138" t="s">
        <v>49</v>
      </c>
      <c r="Q2138" t="s">
        <v>13927</v>
      </c>
      <c r="R2138" t="s">
        <v>13928</v>
      </c>
      <c r="S2138">
        <v>5811</v>
      </c>
      <c r="T2138" t="s">
        <v>52</v>
      </c>
      <c r="U2138">
        <v>5</v>
      </c>
      <c r="V2138" t="s">
        <v>4509</v>
      </c>
      <c r="W2138" t="s">
        <v>54</v>
      </c>
      <c r="X2138" t="s">
        <v>493</v>
      </c>
      <c r="Y2138" t="s">
        <v>434</v>
      </c>
      <c r="Z2138">
        <v>725</v>
      </c>
      <c r="AA2138">
        <v>68</v>
      </c>
      <c r="AB2138">
        <v>160</v>
      </c>
      <c r="AC2138" t="s">
        <v>4510</v>
      </c>
      <c r="AD2138" t="s">
        <v>4511</v>
      </c>
      <c r="AE2138" t="s">
        <v>4512</v>
      </c>
      <c r="AF2138" t="s">
        <v>4513</v>
      </c>
      <c r="AG2138" t="s">
        <v>4514</v>
      </c>
      <c r="AH2138" t="s">
        <v>4515</v>
      </c>
      <c r="AI2138" t="s">
        <v>500</v>
      </c>
      <c r="AJ2138" s="2">
        <v>45722.923437500001</v>
      </c>
      <c r="AK2138" t="s">
        <v>501</v>
      </c>
      <c r="AL2138" t="s">
        <v>65</v>
      </c>
      <c r="AM2138" s="4">
        <v>0.65277777777777779</v>
      </c>
      <c r="AN2138" t="s">
        <v>66</v>
      </c>
      <c r="AO2138" t="s">
        <v>67</v>
      </c>
    </row>
    <row r="2139" spans="1:41" x14ac:dyDescent="0.2">
      <c r="A2139">
        <v>368751</v>
      </c>
      <c r="B2139" t="s">
        <v>13929</v>
      </c>
      <c r="C2139" t="s">
        <v>2298</v>
      </c>
      <c r="D2139" t="s">
        <v>4270</v>
      </c>
      <c r="E2139" t="s">
        <v>13930</v>
      </c>
      <c r="F2139">
        <v>227001</v>
      </c>
      <c r="G2139" s="1">
        <v>37967</v>
      </c>
      <c r="H2139" s="1">
        <v>45706</v>
      </c>
      <c r="J2139" t="s">
        <v>45</v>
      </c>
      <c r="K2139" t="s">
        <v>45</v>
      </c>
      <c r="L2139" t="s">
        <v>72</v>
      </c>
      <c r="N2139" t="s">
        <v>47</v>
      </c>
      <c r="O2139" t="s">
        <v>48</v>
      </c>
      <c r="P2139" t="s">
        <v>49</v>
      </c>
      <c r="Q2139" t="s">
        <v>13931</v>
      </c>
      <c r="R2139" t="s">
        <v>13932</v>
      </c>
      <c r="S2139">
        <v>366</v>
      </c>
      <c r="T2139" t="s">
        <v>92</v>
      </c>
      <c r="U2139" t="s">
        <v>5509</v>
      </c>
      <c r="V2139" t="s">
        <v>5510</v>
      </c>
      <c r="W2139" t="s">
        <v>5511</v>
      </c>
      <c r="X2139" t="s">
        <v>52</v>
      </c>
      <c r="Y2139" t="s">
        <v>770</v>
      </c>
      <c r="Z2139">
        <v>2438</v>
      </c>
      <c r="AA2139">
        <v>31</v>
      </c>
      <c r="AB2139">
        <v>144</v>
      </c>
      <c r="AC2139" t="s">
        <v>5512</v>
      </c>
      <c r="AD2139" t="s">
        <v>13933</v>
      </c>
      <c r="AE2139" t="s">
        <v>5514</v>
      </c>
      <c r="AF2139" t="s">
        <v>5515</v>
      </c>
      <c r="AG2139" t="s">
        <v>5516</v>
      </c>
      <c r="AH2139" t="s">
        <v>5517</v>
      </c>
      <c r="AI2139" t="s">
        <v>13934</v>
      </c>
      <c r="AJ2139" s="2">
        <v>45824.58525462963</v>
      </c>
      <c r="AK2139" t="s">
        <v>5519</v>
      </c>
      <c r="AL2139" t="s">
        <v>65</v>
      </c>
      <c r="AM2139" s="4">
        <v>0.40277777777777779</v>
      </c>
      <c r="AN2139" t="s">
        <v>66</v>
      </c>
      <c r="AO2139" t="s">
        <v>67</v>
      </c>
    </row>
    <row r="2140" spans="1:41" x14ac:dyDescent="0.2">
      <c r="A2140">
        <v>368955</v>
      </c>
      <c r="B2140" t="s">
        <v>13935</v>
      </c>
      <c r="C2140" t="s">
        <v>182</v>
      </c>
      <c r="D2140" t="s">
        <v>13936</v>
      </c>
      <c r="E2140">
        <v>32480260</v>
      </c>
      <c r="F2140">
        <v>41701</v>
      </c>
      <c r="G2140" s="1">
        <v>31847</v>
      </c>
      <c r="H2140" s="1">
        <v>45560</v>
      </c>
      <c r="I2140" s="1">
        <v>46204</v>
      </c>
      <c r="J2140" t="s">
        <v>45</v>
      </c>
      <c r="K2140" t="s">
        <v>45</v>
      </c>
      <c r="L2140" t="s">
        <v>46</v>
      </c>
      <c r="M2140" s="1">
        <v>45673</v>
      </c>
      <c r="N2140" t="s">
        <v>47</v>
      </c>
      <c r="O2140" t="s">
        <v>48</v>
      </c>
      <c r="P2140" t="s">
        <v>49</v>
      </c>
      <c r="Q2140" t="s">
        <v>13937</v>
      </c>
      <c r="R2140" t="s">
        <v>13938</v>
      </c>
      <c r="S2140">
        <v>3701</v>
      </c>
      <c r="T2140" t="s">
        <v>52</v>
      </c>
      <c r="U2140">
        <v>5</v>
      </c>
      <c r="V2140" t="s">
        <v>4509</v>
      </c>
      <c r="W2140" t="s">
        <v>54</v>
      </c>
      <c r="X2140" t="s">
        <v>493</v>
      </c>
      <c r="Y2140" t="s">
        <v>434</v>
      </c>
      <c r="Z2140">
        <v>723</v>
      </c>
      <c r="AA2140">
        <v>59</v>
      </c>
      <c r="AB2140">
        <v>152</v>
      </c>
      <c r="AC2140" t="s">
        <v>13939</v>
      </c>
      <c r="AD2140" t="s">
        <v>13940</v>
      </c>
      <c r="AE2140" t="s">
        <v>13941</v>
      </c>
      <c r="AF2140" t="s">
        <v>13942</v>
      </c>
      <c r="AG2140" t="s">
        <v>13943</v>
      </c>
      <c r="AH2140" t="s">
        <v>13944</v>
      </c>
      <c r="AI2140" t="s">
        <v>500</v>
      </c>
      <c r="AJ2140" s="2">
        <v>45722.923807870371</v>
      </c>
      <c r="AK2140" t="s">
        <v>501</v>
      </c>
      <c r="AL2140" t="s">
        <v>65</v>
      </c>
      <c r="AM2140" s="4">
        <v>0.41666666666666669</v>
      </c>
      <c r="AN2140" t="s">
        <v>66</v>
      </c>
      <c r="AO2140" t="s">
        <v>67</v>
      </c>
    </row>
    <row r="2141" spans="1:41" x14ac:dyDescent="0.2">
      <c r="A2141">
        <v>369542</v>
      </c>
      <c r="B2141" t="s">
        <v>13945</v>
      </c>
      <c r="C2141" t="s">
        <v>182</v>
      </c>
      <c r="D2141" t="s">
        <v>1616</v>
      </c>
      <c r="E2141" t="s">
        <v>13946</v>
      </c>
      <c r="F2141">
        <v>42609</v>
      </c>
      <c r="G2141" s="1">
        <v>32509</v>
      </c>
      <c r="H2141" s="1">
        <v>45734</v>
      </c>
      <c r="J2141" t="s">
        <v>45</v>
      </c>
      <c r="K2141" t="s">
        <v>45</v>
      </c>
      <c r="L2141" t="s">
        <v>72</v>
      </c>
      <c r="M2141" s="1">
        <v>38996</v>
      </c>
      <c r="N2141" t="s">
        <v>47</v>
      </c>
      <c r="O2141" t="s">
        <v>48</v>
      </c>
      <c r="P2141" t="s">
        <v>49</v>
      </c>
      <c r="Q2141" t="s">
        <v>13947</v>
      </c>
      <c r="R2141" t="s">
        <v>13948</v>
      </c>
      <c r="S2141">
        <v>1249</v>
      </c>
      <c r="T2141" t="s">
        <v>92</v>
      </c>
      <c r="U2141" t="s">
        <v>187</v>
      </c>
      <c r="V2141" t="s">
        <v>447</v>
      </c>
      <c r="W2141" t="s">
        <v>448</v>
      </c>
      <c r="X2141" t="s">
        <v>92</v>
      </c>
      <c r="Y2141" t="s">
        <v>450</v>
      </c>
      <c r="Z2141">
        <v>1219</v>
      </c>
      <c r="AA2141">
        <v>47</v>
      </c>
      <c r="AB2141">
        <v>144</v>
      </c>
      <c r="AC2141" t="s">
        <v>451</v>
      </c>
      <c r="AD2141" t="s">
        <v>452</v>
      </c>
      <c r="AE2141" t="s">
        <v>453</v>
      </c>
      <c r="AF2141" t="s">
        <v>454</v>
      </c>
      <c r="AG2141" t="s">
        <v>473</v>
      </c>
      <c r="AH2141" t="s">
        <v>474</v>
      </c>
      <c r="AJ2141" s="2">
        <v>45743.644872685189</v>
      </c>
      <c r="AK2141" t="s">
        <v>526</v>
      </c>
      <c r="AL2141" t="s">
        <v>65</v>
      </c>
      <c r="AM2141" s="3">
        <v>2.3680555555555554</v>
      </c>
      <c r="AN2141" t="s">
        <v>66</v>
      </c>
      <c r="AO2141" t="s">
        <v>67</v>
      </c>
    </row>
    <row r="2142" spans="1:41" x14ac:dyDescent="0.2">
      <c r="A2142">
        <v>357085</v>
      </c>
      <c r="B2142" t="s">
        <v>13949</v>
      </c>
      <c r="C2142" t="s">
        <v>103</v>
      </c>
      <c r="D2142" t="s">
        <v>13950</v>
      </c>
      <c r="E2142" t="s">
        <v>13951</v>
      </c>
      <c r="F2142">
        <v>310302</v>
      </c>
      <c r="G2142" s="1">
        <v>43213</v>
      </c>
      <c r="H2142" s="1">
        <v>45280</v>
      </c>
      <c r="I2142" s="1">
        <v>46310</v>
      </c>
      <c r="J2142" t="s">
        <v>45</v>
      </c>
      <c r="K2142" t="s">
        <v>45</v>
      </c>
      <c r="L2142" t="s">
        <v>72</v>
      </c>
      <c r="M2142" s="1">
        <v>44063</v>
      </c>
      <c r="N2142" t="s">
        <v>47</v>
      </c>
      <c r="O2142" t="s">
        <v>48</v>
      </c>
      <c r="P2142" t="s">
        <v>49</v>
      </c>
      <c r="Q2142" t="s">
        <v>13952</v>
      </c>
      <c r="R2142" t="s">
        <v>13953</v>
      </c>
      <c r="S2142">
        <v>1076</v>
      </c>
      <c r="T2142" t="s">
        <v>92</v>
      </c>
      <c r="U2142" t="s">
        <v>107</v>
      </c>
      <c r="V2142" t="s">
        <v>108</v>
      </c>
      <c r="W2142" t="s">
        <v>109</v>
      </c>
      <c r="X2142" t="s">
        <v>92</v>
      </c>
      <c r="Y2142" t="s">
        <v>110</v>
      </c>
      <c r="Z2142">
        <v>4467</v>
      </c>
      <c r="AA2142">
        <v>43</v>
      </c>
      <c r="AB2142">
        <v>189</v>
      </c>
      <c r="AC2142" t="s">
        <v>10950</v>
      </c>
      <c r="AD2142" t="s">
        <v>10951</v>
      </c>
      <c r="AE2142" t="s">
        <v>10952</v>
      </c>
      <c r="AF2142" t="s">
        <v>1464</v>
      </c>
      <c r="AG2142" t="s">
        <v>4566</v>
      </c>
      <c r="AH2142" t="s">
        <v>1465</v>
      </c>
      <c r="AJ2142" s="2">
        <v>45818.719537037039</v>
      </c>
      <c r="AK2142" t="s">
        <v>100</v>
      </c>
      <c r="AL2142" t="s">
        <v>65</v>
      </c>
      <c r="AM2142" s="3">
        <v>1.5729166666666667</v>
      </c>
      <c r="AN2142" t="s">
        <v>66</v>
      </c>
      <c r="AO2142" t="s">
        <v>101</v>
      </c>
    </row>
    <row r="2143" spans="1:41" x14ac:dyDescent="0.2">
      <c r="A2143">
        <v>370010</v>
      </c>
      <c r="B2143" t="s">
        <v>13954</v>
      </c>
      <c r="C2143" t="s">
        <v>182</v>
      </c>
      <c r="D2143" t="s">
        <v>811</v>
      </c>
      <c r="E2143" t="s">
        <v>13955</v>
      </c>
      <c r="F2143">
        <v>45115</v>
      </c>
      <c r="G2143" s="1">
        <v>44886</v>
      </c>
      <c r="H2143" s="1">
        <v>45617</v>
      </c>
      <c r="J2143" t="s">
        <v>45</v>
      </c>
      <c r="K2143" t="s">
        <v>45</v>
      </c>
      <c r="L2143" t="s">
        <v>46</v>
      </c>
      <c r="N2143" t="s">
        <v>47</v>
      </c>
      <c r="O2143" t="s">
        <v>48</v>
      </c>
      <c r="P2143" t="s">
        <v>49</v>
      </c>
      <c r="Q2143" t="s">
        <v>13956</v>
      </c>
      <c r="R2143" t="s">
        <v>13957</v>
      </c>
      <c r="S2143">
        <v>3797</v>
      </c>
      <c r="T2143" t="s">
        <v>92</v>
      </c>
      <c r="U2143" t="s">
        <v>187</v>
      </c>
      <c r="V2143" t="s">
        <v>447</v>
      </c>
      <c r="W2143" t="s">
        <v>448</v>
      </c>
      <c r="X2143" t="s">
        <v>92</v>
      </c>
      <c r="Y2143" t="s">
        <v>450</v>
      </c>
      <c r="Z2143">
        <v>12138</v>
      </c>
      <c r="AA2143">
        <v>16</v>
      </c>
      <c r="AB2143">
        <v>210</v>
      </c>
      <c r="AC2143" t="s">
        <v>451</v>
      </c>
      <c r="AD2143" t="s">
        <v>472</v>
      </c>
      <c r="AE2143" t="s">
        <v>453</v>
      </c>
      <c r="AF2143" t="s">
        <v>454</v>
      </c>
      <c r="AG2143" t="s">
        <v>473</v>
      </c>
      <c r="AH2143" t="s">
        <v>474</v>
      </c>
      <c r="AI2143" t="s">
        <v>13958</v>
      </c>
      <c r="AJ2143" s="2">
        <v>45761.752476851849</v>
      </c>
      <c r="AK2143" t="s">
        <v>650</v>
      </c>
      <c r="AL2143" t="s">
        <v>65</v>
      </c>
      <c r="AM2143" s="3">
        <v>1.3680555555555556</v>
      </c>
      <c r="AN2143" t="s">
        <v>66</v>
      </c>
      <c r="AO2143" t="s">
        <v>67</v>
      </c>
    </row>
    <row r="2144" spans="1:41" x14ac:dyDescent="0.2">
      <c r="A2144">
        <v>367693</v>
      </c>
      <c r="B2144" t="s">
        <v>13959</v>
      </c>
      <c r="C2144" t="s">
        <v>118</v>
      </c>
      <c r="D2144" t="s">
        <v>1396</v>
      </c>
      <c r="E2144" t="s">
        <v>13960</v>
      </c>
      <c r="F2144">
        <v>20612</v>
      </c>
      <c r="G2144" s="1">
        <v>41303</v>
      </c>
      <c r="H2144" s="1">
        <v>45685</v>
      </c>
      <c r="I2144" s="1">
        <v>46023</v>
      </c>
      <c r="J2144" t="s">
        <v>45</v>
      </c>
      <c r="K2144" t="s">
        <v>45</v>
      </c>
      <c r="L2144" t="s">
        <v>46</v>
      </c>
      <c r="N2144" t="s">
        <v>47</v>
      </c>
      <c r="O2144" t="s">
        <v>48</v>
      </c>
      <c r="P2144" t="s">
        <v>49</v>
      </c>
      <c r="Q2144" t="s">
        <v>13961</v>
      </c>
      <c r="R2144" t="s">
        <v>13962</v>
      </c>
      <c r="S2144">
        <v>5387</v>
      </c>
      <c r="T2144" t="s">
        <v>52</v>
      </c>
      <c r="U2144">
        <v>3</v>
      </c>
      <c r="V2144" t="s">
        <v>4644</v>
      </c>
      <c r="W2144" t="s">
        <v>54</v>
      </c>
      <c r="X2144" t="s">
        <v>55</v>
      </c>
      <c r="Y2144" t="s">
        <v>56</v>
      </c>
      <c r="Z2144">
        <v>5846</v>
      </c>
      <c r="AA2144">
        <v>20</v>
      </c>
      <c r="AB2144">
        <v>28</v>
      </c>
      <c r="AC2144" t="s">
        <v>8057</v>
      </c>
      <c r="AD2144" t="s">
        <v>13963</v>
      </c>
      <c r="AE2144" t="s">
        <v>8059</v>
      </c>
      <c r="AF2144" t="s">
        <v>13799</v>
      </c>
      <c r="AG2144" t="s">
        <v>13800</v>
      </c>
      <c r="AH2144" t="s">
        <v>13801</v>
      </c>
      <c r="AI2144" t="s">
        <v>13964</v>
      </c>
      <c r="AJ2144" s="2">
        <v>45686.595902777779</v>
      </c>
      <c r="AK2144" t="s">
        <v>64</v>
      </c>
      <c r="AL2144" t="s">
        <v>65</v>
      </c>
      <c r="AM2144" s="4">
        <v>0.93055555555555558</v>
      </c>
      <c r="AN2144" t="s">
        <v>66</v>
      </c>
      <c r="AO2144" t="s">
        <v>67</v>
      </c>
    </row>
    <row r="2145" spans="1:41" x14ac:dyDescent="0.2">
      <c r="A2145">
        <v>363274</v>
      </c>
      <c r="B2145" t="s">
        <v>13965</v>
      </c>
      <c r="C2145" t="s">
        <v>69</v>
      </c>
      <c r="D2145" t="s">
        <v>2006</v>
      </c>
      <c r="E2145" t="s">
        <v>13966</v>
      </c>
      <c r="F2145">
        <v>101222</v>
      </c>
      <c r="G2145" s="1">
        <v>34523</v>
      </c>
      <c r="H2145" s="1">
        <v>45506</v>
      </c>
      <c r="I2145" s="1">
        <v>46249</v>
      </c>
      <c r="J2145" t="s">
        <v>45</v>
      </c>
      <c r="K2145" t="s">
        <v>45</v>
      </c>
      <c r="L2145" t="s">
        <v>72</v>
      </c>
      <c r="M2145" s="1">
        <v>45506</v>
      </c>
      <c r="N2145" t="s">
        <v>47</v>
      </c>
      <c r="O2145" t="s">
        <v>48</v>
      </c>
      <c r="P2145" t="s">
        <v>49</v>
      </c>
      <c r="Q2145" t="s">
        <v>13967</v>
      </c>
      <c r="R2145" t="s">
        <v>13968</v>
      </c>
      <c r="S2145">
        <v>5400</v>
      </c>
      <c r="T2145" t="s">
        <v>52</v>
      </c>
      <c r="U2145">
        <v>4</v>
      </c>
      <c r="V2145" t="s">
        <v>2010</v>
      </c>
      <c r="W2145" t="s">
        <v>54</v>
      </c>
      <c r="X2145" t="s">
        <v>76</v>
      </c>
      <c r="Y2145" t="s">
        <v>56</v>
      </c>
      <c r="Z2145">
        <v>643</v>
      </c>
      <c r="AA2145">
        <v>64</v>
      </c>
      <c r="AB2145">
        <v>144</v>
      </c>
      <c r="AC2145" t="s">
        <v>11042</v>
      </c>
      <c r="AD2145" t="s">
        <v>11043</v>
      </c>
      <c r="AE2145" t="s">
        <v>11044</v>
      </c>
      <c r="AF2145" t="s">
        <v>2011</v>
      </c>
      <c r="AG2145" t="s">
        <v>2012</v>
      </c>
      <c r="AH2145" t="s">
        <v>2013</v>
      </c>
      <c r="AI2145" t="s">
        <v>11045</v>
      </c>
      <c r="AJ2145" s="2">
        <v>45508.822962962964</v>
      </c>
      <c r="AK2145" t="s">
        <v>717</v>
      </c>
      <c r="AL2145" t="s">
        <v>65</v>
      </c>
      <c r="AM2145" s="4">
        <v>0.79861111111111116</v>
      </c>
      <c r="AN2145" t="s">
        <v>66</v>
      </c>
      <c r="AO2145" t="s">
        <v>67</v>
      </c>
    </row>
    <row r="2146" spans="1:41" x14ac:dyDescent="0.2">
      <c r="A2146">
        <v>372350</v>
      </c>
      <c r="B2146" t="s">
        <v>13969</v>
      </c>
      <c r="C2146" t="s">
        <v>69</v>
      </c>
      <c r="D2146" t="s">
        <v>1419</v>
      </c>
      <c r="E2146" t="s">
        <v>13970</v>
      </c>
      <c r="F2146">
        <v>102401</v>
      </c>
      <c r="G2146" s="1">
        <v>37466</v>
      </c>
      <c r="H2146" s="1">
        <v>45833</v>
      </c>
      <c r="I2146" s="1">
        <v>46188</v>
      </c>
      <c r="J2146" t="s">
        <v>45</v>
      </c>
      <c r="K2146" t="s">
        <v>45</v>
      </c>
      <c r="L2146" t="s">
        <v>72</v>
      </c>
      <c r="M2146" s="1">
        <v>43655</v>
      </c>
      <c r="N2146" t="s">
        <v>47</v>
      </c>
      <c r="O2146" t="s">
        <v>48</v>
      </c>
      <c r="P2146" t="s">
        <v>49</v>
      </c>
      <c r="Q2146" t="s">
        <v>13971</v>
      </c>
      <c r="R2146" t="s">
        <v>13972</v>
      </c>
      <c r="S2146">
        <v>7332</v>
      </c>
      <c r="T2146" t="s">
        <v>52</v>
      </c>
      <c r="U2146">
        <v>4</v>
      </c>
      <c r="V2146" t="s">
        <v>75</v>
      </c>
      <c r="W2146" t="s">
        <v>54</v>
      </c>
      <c r="X2146" t="s">
        <v>76</v>
      </c>
      <c r="Y2146" t="s">
        <v>56</v>
      </c>
      <c r="Z2146">
        <v>2060</v>
      </c>
      <c r="AA2146">
        <v>49</v>
      </c>
      <c r="AB2146">
        <v>166</v>
      </c>
      <c r="AC2146" t="s">
        <v>3828</v>
      </c>
      <c r="AD2146" t="s">
        <v>3829</v>
      </c>
      <c r="AE2146" t="s">
        <v>3830</v>
      </c>
      <c r="AF2146" t="s">
        <v>12355</v>
      </c>
      <c r="AG2146" t="s">
        <v>12356</v>
      </c>
      <c r="AH2146" t="s">
        <v>12357</v>
      </c>
      <c r="AI2146" t="s">
        <v>179</v>
      </c>
      <c r="AJ2146" s="2">
        <v>45838.722592592596</v>
      </c>
      <c r="AK2146" t="s">
        <v>1999</v>
      </c>
      <c r="AL2146" t="s">
        <v>65</v>
      </c>
      <c r="AM2146" s="4">
        <v>0.79166666666666663</v>
      </c>
      <c r="AN2146" t="s">
        <v>66</v>
      </c>
      <c r="AO2146" t="s">
        <v>67</v>
      </c>
    </row>
    <row r="2147" spans="1:41" x14ac:dyDescent="0.2">
      <c r="A2147">
        <v>372325</v>
      </c>
      <c r="B2147" t="s">
        <v>13973</v>
      </c>
      <c r="C2147" t="s">
        <v>735</v>
      </c>
      <c r="D2147" t="s">
        <v>13974</v>
      </c>
      <c r="E2147" t="s">
        <v>13975</v>
      </c>
      <c r="F2147">
        <v>244201</v>
      </c>
      <c r="G2147" s="1">
        <v>36195</v>
      </c>
      <c r="H2147" s="1">
        <v>45832</v>
      </c>
      <c r="I2147" s="1">
        <v>46174</v>
      </c>
      <c r="J2147" t="s">
        <v>45</v>
      </c>
      <c r="K2147" t="s">
        <v>45</v>
      </c>
      <c r="L2147" t="s">
        <v>72</v>
      </c>
      <c r="M2147" s="1">
        <v>42138</v>
      </c>
      <c r="N2147" t="s">
        <v>47</v>
      </c>
      <c r="O2147" t="s">
        <v>48</v>
      </c>
      <c r="P2147" t="s">
        <v>49</v>
      </c>
      <c r="Q2147" t="s">
        <v>13976</v>
      </c>
      <c r="R2147" t="s">
        <v>13977</v>
      </c>
      <c r="S2147">
        <v>2649</v>
      </c>
      <c r="T2147" t="s">
        <v>365</v>
      </c>
      <c r="U2147" t="s">
        <v>969</v>
      </c>
      <c r="V2147" t="s">
        <v>2473</v>
      </c>
      <c r="W2147" t="s">
        <v>367</v>
      </c>
      <c r="X2147" t="s">
        <v>76</v>
      </c>
      <c r="Y2147" t="s">
        <v>434</v>
      </c>
      <c r="Z2147">
        <v>220</v>
      </c>
      <c r="AA2147">
        <v>62</v>
      </c>
      <c r="AB2147">
        <v>138</v>
      </c>
      <c r="AC2147" t="s">
        <v>2474</v>
      </c>
      <c r="AD2147" t="s">
        <v>2475</v>
      </c>
      <c r="AE2147" t="s">
        <v>2477</v>
      </c>
      <c r="AF2147" t="s">
        <v>2474</v>
      </c>
      <c r="AH2147" t="s">
        <v>2476</v>
      </c>
      <c r="AI2147" t="s">
        <v>179</v>
      </c>
      <c r="AJ2147" s="2">
        <v>45838.577511574076</v>
      </c>
      <c r="AK2147" t="s">
        <v>540</v>
      </c>
      <c r="AL2147" t="s">
        <v>65</v>
      </c>
      <c r="AM2147" s="3">
        <v>1.0347222222222223</v>
      </c>
      <c r="AN2147" t="s">
        <v>66</v>
      </c>
      <c r="AO2147" t="s">
        <v>67</v>
      </c>
    </row>
    <row r="2148" spans="1:41" x14ac:dyDescent="0.2">
      <c r="A2148">
        <v>369606</v>
      </c>
      <c r="B2148" t="s">
        <v>13978</v>
      </c>
      <c r="C2148" t="s">
        <v>182</v>
      </c>
      <c r="D2148" t="s">
        <v>610</v>
      </c>
      <c r="E2148" t="s">
        <v>13979</v>
      </c>
      <c r="F2148">
        <v>45711</v>
      </c>
      <c r="G2148" s="1">
        <v>37014</v>
      </c>
      <c r="H2148" s="1">
        <v>45742</v>
      </c>
      <c r="I2148" s="1">
        <v>46127</v>
      </c>
      <c r="J2148" t="s">
        <v>45</v>
      </c>
      <c r="K2148" t="s">
        <v>45</v>
      </c>
      <c r="L2148" t="s">
        <v>72</v>
      </c>
      <c r="M2148" s="1">
        <v>39999</v>
      </c>
      <c r="N2148" t="s">
        <v>47</v>
      </c>
      <c r="O2148" t="s">
        <v>48</v>
      </c>
      <c r="P2148" t="s">
        <v>49</v>
      </c>
      <c r="Q2148" t="s">
        <v>13980</v>
      </c>
      <c r="R2148" t="s">
        <v>13981</v>
      </c>
      <c r="S2148">
        <v>3651</v>
      </c>
      <c r="T2148" t="s">
        <v>52</v>
      </c>
      <c r="U2148">
        <v>5</v>
      </c>
      <c r="V2148" t="s">
        <v>614</v>
      </c>
      <c r="W2148" t="s">
        <v>54</v>
      </c>
      <c r="X2148" t="s">
        <v>493</v>
      </c>
      <c r="Y2148" t="s">
        <v>434</v>
      </c>
      <c r="Z2148">
        <v>592</v>
      </c>
      <c r="AA2148">
        <v>65</v>
      </c>
      <c r="AB2148">
        <v>78</v>
      </c>
      <c r="AC2148" t="s">
        <v>615</v>
      </c>
      <c r="AD2148" t="s">
        <v>616</v>
      </c>
      <c r="AE2148" t="s">
        <v>617</v>
      </c>
      <c r="AF2148" t="s">
        <v>4148</v>
      </c>
      <c r="AG2148" t="s">
        <v>619</v>
      </c>
      <c r="AH2148" t="s">
        <v>617</v>
      </c>
      <c r="AI2148" t="s">
        <v>620</v>
      </c>
      <c r="AJ2148" s="2">
        <v>45747.626898148148</v>
      </c>
      <c r="AK2148" t="s">
        <v>540</v>
      </c>
      <c r="AL2148" t="s">
        <v>65</v>
      </c>
      <c r="AM2148" s="4">
        <v>0.16666666666666666</v>
      </c>
      <c r="AN2148" t="s">
        <v>66</v>
      </c>
      <c r="AO2148" t="s">
        <v>67</v>
      </c>
    </row>
    <row r="2149" spans="1:41" x14ac:dyDescent="0.2">
      <c r="A2149">
        <v>361916</v>
      </c>
      <c r="B2149" t="s">
        <v>13982</v>
      </c>
      <c r="C2149" t="s">
        <v>345</v>
      </c>
      <c r="D2149" t="s">
        <v>8156</v>
      </c>
      <c r="E2149">
        <v>32778496</v>
      </c>
      <c r="F2149">
        <v>52407</v>
      </c>
      <c r="G2149" s="1">
        <v>32385</v>
      </c>
      <c r="H2149" s="1">
        <v>45463</v>
      </c>
      <c r="I2149" s="1">
        <v>46188</v>
      </c>
      <c r="J2149" t="s">
        <v>45</v>
      </c>
      <c r="K2149" t="s">
        <v>45</v>
      </c>
      <c r="L2149" t="s">
        <v>429</v>
      </c>
      <c r="M2149" s="1">
        <v>43260</v>
      </c>
      <c r="N2149" t="s">
        <v>47</v>
      </c>
      <c r="O2149" t="s">
        <v>48</v>
      </c>
      <c r="P2149" t="s">
        <v>49</v>
      </c>
      <c r="Q2149" t="s">
        <v>13983</v>
      </c>
      <c r="R2149" t="s">
        <v>13984</v>
      </c>
      <c r="S2149">
        <v>6710</v>
      </c>
      <c r="T2149" t="s">
        <v>365</v>
      </c>
      <c r="U2149" t="s">
        <v>432</v>
      </c>
      <c r="V2149" t="s">
        <v>6159</v>
      </c>
      <c r="W2149" t="s">
        <v>367</v>
      </c>
      <c r="X2149" t="s">
        <v>55</v>
      </c>
      <c r="Y2149" t="s">
        <v>434</v>
      </c>
      <c r="Z2149">
        <v>120</v>
      </c>
      <c r="AA2149">
        <v>52</v>
      </c>
      <c r="AB2149">
        <v>158</v>
      </c>
      <c r="AC2149" t="s">
        <v>6160</v>
      </c>
      <c r="AD2149" t="s">
        <v>6161</v>
      </c>
      <c r="AE2149" t="s">
        <v>6162</v>
      </c>
      <c r="AF2149" t="s">
        <v>6163</v>
      </c>
      <c r="AG2149" t="s">
        <v>6066</v>
      </c>
      <c r="AH2149" t="s">
        <v>6164</v>
      </c>
      <c r="AI2149" t="s">
        <v>6165</v>
      </c>
      <c r="AJ2149" s="2">
        <v>45468.839895833335</v>
      </c>
      <c r="AK2149" t="s">
        <v>64</v>
      </c>
      <c r="AL2149" t="s">
        <v>65</v>
      </c>
      <c r="AM2149" s="3">
        <v>1.4375</v>
      </c>
      <c r="AN2149" t="s">
        <v>66</v>
      </c>
      <c r="AO2149" t="s">
        <v>67</v>
      </c>
    </row>
    <row r="2150" spans="1:41" x14ac:dyDescent="0.2">
      <c r="A2150">
        <v>372351</v>
      </c>
      <c r="B2150" t="s">
        <v>13985</v>
      </c>
      <c r="C2150" t="s">
        <v>278</v>
      </c>
      <c r="D2150" t="s">
        <v>134</v>
      </c>
      <c r="E2150" t="s">
        <v>13986</v>
      </c>
      <c r="G2150" s="1">
        <v>45694</v>
      </c>
      <c r="H2150" s="1">
        <v>45831</v>
      </c>
      <c r="I2150" s="1">
        <v>46174</v>
      </c>
      <c r="J2150" t="s">
        <v>45</v>
      </c>
      <c r="K2150" t="s">
        <v>45</v>
      </c>
      <c r="L2150" t="s">
        <v>46</v>
      </c>
      <c r="N2150" t="s">
        <v>47</v>
      </c>
      <c r="O2150" t="s">
        <v>48</v>
      </c>
      <c r="P2150" t="s">
        <v>49</v>
      </c>
      <c r="Q2150" t="s">
        <v>13987</v>
      </c>
      <c r="R2150" t="s">
        <v>13988</v>
      </c>
      <c r="S2150">
        <v>6607</v>
      </c>
      <c r="T2150" t="s">
        <v>52</v>
      </c>
      <c r="U2150">
        <v>4</v>
      </c>
      <c r="V2150" t="s">
        <v>1185</v>
      </c>
      <c r="W2150" t="s">
        <v>54</v>
      </c>
      <c r="X2150" t="s">
        <v>55</v>
      </c>
      <c r="Y2150" t="s">
        <v>56</v>
      </c>
      <c r="Z2150">
        <v>12286</v>
      </c>
      <c r="AA2150">
        <v>8</v>
      </c>
      <c r="AB2150">
        <v>44</v>
      </c>
      <c r="AC2150" t="s">
        <v>1186</v>
      </c>
      <c r="AD2150" t="s">
        <v>1187</v>
      </c>
      <c r="AE2150" t="s">
        <v>1188</v>
      </c>
      <c r="AF2150" t="s">
        <v>1189</v>
      </c>
      <c r="AG2150" t="s">
        <v>1190</v>
      </c>
      <c r="AH2150" t="s">
        <v>1191</v>
      </c>
      <c r="AI2150" t="s">
        <v>179</v>
      </c>
      <c r="AJ2150" s="2">
        <v>45838.723645833335</v>
      </c>
      <c r="AK2150" t="s">
        <v>307</v>
      </c>
      <c r="AL2150" t="s">
        <v>65</v>
      </c>
      <c r="AM2150" s="3">
        <v>1.96875</v>
      </c>
      <c r="AN2150" t="s">
        <v>66</v>
      </c>
      <c r="AO2150" t="s">
        <v>67</v>
      </c>
    </row>
    <row r="2151" spans="1:41" x14ac:dyDescent="0.2">
      <c r="A2151">
        <v>368962</v>
      </c>
      <c r="B2151" t="s">
        <v>13989</v>
      </c>
      <c r="C2151" t="s">
        <v>182</v>
      </c>
      <c r="D2151" t="s">
        <v>3983</v>
      </c>
      <c r="E2151" t="s">
        <v>13990</v>
      </c>
      <c r="F2151">
        <v>43615</v>
      </c>
      <c r="G2151" s="1">
        <v>40714</v>
      </c>
      <c r="H2151" s="1">
        <v>45532</v>
      </c>
      <c r="I2151" s="1">
        <v>46157</v>
      </c>
      <c r="J2151" t="s">
        <v>45</v>
      </c>
      <c r="K2151" t="s">
        <v>45</v>
      </c>
      <c r="L2151" t="s">
        <v>46</v>
      </c>
      <c r="M2151" s="1">
        <v>43565</v>
      </c>
      <c r="N2151" t="s">
        <v>47</v>
      </c>
      <c r="O2151" t="s">
        <v>48</v>
      </c>
      <c r="P2151" t="s">
        <v>49</v>
      </c>
      <c r="Q2151" t="s">
        <v>13991</v>
      </c>
      <c r="R2151" t="s">
        <v>13992</v>
      </c>
      <c r="S2151">
        <v>5706</v>
      </c>
      <c r="T2151" t="s">
        <v>52</v>
      </c>
      <c r="U2151">
        <v>5</v>
      </c>
      <c r="V2151" t="s">
        <v>5607</v>
      </c>
      <c r="W2151" t="s">
        <v>54</v>
      </c>
      <c r="X2151" t="s">
        <v>493</v>
      </c>
      <c r="Y2151" t="s">
        <v>434</v>
      </c>
      <c r="Z2151">
        <v>3966</v>
      </c>
      <c r="AA2151">
        <v>29</v>
      </c>
      <c r="AB2151">
        <v>52</v>
      </c>
      <c r="AC2151" t="s">
        <v>5608</v>
      </c>
      <c r="AD2151" t="s">
        <v>5609</v>
      </c>
      <c r="AE2151" t="s">
        <v>5610</v>
      </c>
      <c r="AF2151" t="s">
        <v>5611</v>
      </c>
      <c r="AG2151" t="s">
        <v>5612</v>
      </c>
      <c r="AH2151" t="s">
        <v>13993</v>
      </c>
      <c r="AI2151" t="s">
        <v>13994</v>
      </c>
      <c r="AJ2151" s="2">
        <v>45722.926030092596</v>
      </c>
      <c r="AK2151" t="s">
        <v>1472</v>
      </c>
      <c r="AL2151" t="s">
        <v>65</v>
      </c>
      <c r="AM2151" s="3">
        <v>2.4027777777777777</v>
      </c>
      <c r="AN2151" t="s">
        <v>66</v>
      </c>
      <c r="AO2151" t="s">
        <v>67</v>
      </c>
    </row>
    <row r="2152" spans="1:41" x14ac:dyDescent="0.2">
      <c r="A2152">
        <v>366438</v>
      </c>
      <c r="B2152" t="s">
        <v>13995</v>
      </c>
      <c r="C2152" t="s">
        <v>118</v>
      </c>
      <c r="D2152" t="s">
        <v>1389</v>
      </c>
      <c r="E2152" t="s">
        <v>13996</v>
      </c>
      <c r="G2152" s="1">
        <v>45617</v>
      </c>
      <c r="H2152" s="1">
        <v>45566</v>
      </c>
      <c r="I2152" s="1">
        <v>45945</v>
      </c>
      <c r="J2152" t="s">
        <v>45</v>
      </c>
      <c r="K2152" t="s">
        <v>45</v>
      </c>
      <c r="L2152" t="s">
        <v>46</v>
      </c>
      <c r="N2152" t="s">
        <v>47</v>
      </c>
      <c r="O2152" t="s">
        <v>48</v>
      </c>
      <c r="P2152" t="s">
        <v>49</v>
      </c>
      <c r="Q2152" t="s">
        <v>13997</v>
      </c>
      <c r="R2152" t="s">
        <v>13998</v>
      </c>
      <c r="S2152">
        <v>6461</v>
      </c>
      <c r="T2152" t="s">
        <v>52</v>
      </c>
      <c r="U2152">
        <v>3</v>
      </c>
      <c r="V2152" t="s">
        <v>602</v>
      </c>
      <c r="W2152" t="s">
        <v>54</v>
      </c>
      <c r="X2152" t="s">
        <v>55</v>
      </c>
      <c r="Y2152" t="s">
        <v>56</v>
      </c>
      <c r="Z2152">
        <v>12243</v>
      </c>
      <c r="AA2152">
        <v>11</v>
      </c>
      <c r="AB2152">
        <v>44</v>
      </c>
      <c r="AC2152" t="s">
        <v>10765</v>
      </c>
      <c r="AD2152" t="s">
        <v>13999</v>
      </c>
      <c r="AE2152" t="s">
        <v>10767</v>
      </c>
      <c r="AI2152" t="s">
        <v>63</v>
      </c>
      <c r="AJ2152" s="2">
        <v>45621.744189814817</v>
      </c>
      <c r="AK2152" t="s">
        <v>307</v>
      </c>
      <c r="AL2152" t="s">
        <v>65</v>
      </c>
      <c r="AM2152" s="3">
        <v>1.6076388888888888</v>
      </c>
      <c r="AN2152" t="s">
        <v>66</v>
      </c>
      <c r="AO2152" t="s">
        <v>67</v>
      </c>
    </row>
    <row r="2153" spans="1:41" x14ac:dyDescent="0.2">
      <c r="A2153">
        <v>370155</v>
      </c>
      <c r="B2153" t="s">
        <v>14000</v>
      </c>
      <c r="C2153" t="s">
        <v>182</v>
      </c>
      <c r="D2153" t="s">
        <v>443</v>
      </c>
      <c r="E2153" t="s">
        <v>14001</v>
      </c>
      <c r="F2153">
        <v>44508</v>
      </c>
      <c r="G2153" s="1">
        <v>36985</v>
      </c>
      <c r="H2153" s="1">
        <v>45761</v>
      </c>
      <c r="I2153" s="1">
        <v>46143</v>
      </c>
      <c r="J2153" t="s">
        <v>45</v>
      </c>
      <c r="K2153" t="s">
        <v>45</v>
      </c>
      <c r="L2153" t="s">
        <v>429</v>
      </c>
      <c r="M2153" s="1">
        <v>42083</v>
      </c>
      <c r="N2153" t="s">
        <v>47</v>
      </c>
      <c r="O2153" t="s">
        <v>48</v>
      </c>
      <c r="P2153" t="s">
        <v>49</v>
      </c>
      <c r="Q2153" t="s">
        <v>14002</v>
      </c>
      <c r="R2153" t="s">
        <v>14003</v>
      </c>
      <c r="S2153">
        <v>4066</v>
      </c>
      <c r="T2153" t="s">
        <v>52</v>
      </c>
      <c r="U2153">
        <v>5</v>
      </c>
      <c r="V2153" t="s">
        <v>2763</v>
      </c>
      <c r="W2153" t="s">
        <v>54</v>
      </c>
      <c r="X2153" t="s">
        <v>493</v>
      </c>
      <c r="Y2153" t="s">
        <v>434</v>
      </c>
      <c r="Z2153">
        <v>1702</v>
      </c>
      <c r="AA2153">
        <v>50</v>
      </c>
      <c r="AB2153">
        <v>166</v>
      </c>
      <c r="AC2153" t="s">
        <v>14004</v>
      </c>
      <c r="AD2153" t="s">
        <v>14005</v>
      </c>
      <c r="AE2153" t="s">
        <v>14006</v>
      </c>
      <c r="AF2153" t="s">
        <v>14007</v>
      </c>
      <c r="AG2153" t="s">
        <v>14008</v>
      </c>
      <c r="AH2153" t="s">
        <v>14009</v>
      </c>
      <c r="AI2153" t="s">
        <v>14010</v>
      </c>
      <c r="AJ2153" s="2">
        <v>45763.993969907409</v>
      </c>
      <c r="AK2153" t="s">
        <v>2668</v>
      </c>
      <c r="AL2153" t="s">
        <v>65</v>
      </c>
      <c r="AM2153" s="3">
        <v>2.4375</v>
      </c>
      <c r="AN2153" t="s">
        <v>66</v>
      </c>
      <c r="AO2153" t="s">
        <v>67</v>
      </c>
    </row>
    <row r="2154" spans="1:41" x14ac:dyDescent="0.2">
      <c r="A2154">
        <v>367751</v>
      </c>
      <c r="B2154" t="s">
        <v>14011</v>
      </c>
      <c r="C2154" t="s">
        <v>662</v>
      </c>
      <c r="D2154" t="s">
        <v>6509</v>
      </c>
      <c r="E2154" t="s">
        <v>14012</v>
      </c>
      <c r="F2154">
        <v>417101</v>
      </c>
      <c r="G2154" s="1">
        <v>34649</v>
      </c>
      <c r="H2154" s="1">
        <v>45659</v>
      </c>
      <c r="I2154" s="1">
        <v>45976</v>
      </c>
      <c r="J2154" t="s">
        <v>45</v>
      </c>
      <c r="K2154" t="s">
        <v>45</v>
      </c>
      <c r="L2154" t="s">
        <v>72</v>
      </c>
      <c r="M2154" s="1">
        <v>44490</v>
      </c>
      <c r="N2154" t="s">
        <v>47</v>
      </c>
      <c r="O2154" t="s">
        <v>48</v>
      </c>
      <c r="P2154" t="s">
        <v>49</v>
      </c>
      <c r="Q2154" t="s">
        <v>14013</v>
      </c>
      <c r="R2154" t="s">
        <v>14014</v>
      </c>
      <c r="S2154">
        <v>5381</v>
      </c>
      <c r="T2154" t="s">
        <v>257</v>
      </c>
      <c r="U2154" t="s">
        <v>283</v>
      </c>
      <c r="V2154" t="s">
        <v>6513</v>
      </c>
      <c r="W2154" t="s">
        <v>260</v>
      </c>
      <c r="X2154" t="s">
        <v>257</v>
      </c>
      <c r="Y2154" t="s">
        <v>110</v>
      </c>
      <c r="Z2154">
        <v>1402</v>
      </c>
      <c r="AA2154">
        <v>46</v>
      </c>
      <c r="AB2154">
        <v>210</v>
      </c>
      <c r="AC2154" t="s">
        <v>2337</v>
      </c>
      <c r="AD2154" t="s">
        <v>14015</v>
      </c>
      <c r="AE2154" t="s">
        <v>2339</v>
      </c>
      <c r="AF2154" t="s">
        <v>1805</v>
      </c>
      <c r="AG2154" t="s">
        <v>1806</v>
      </c>
      <c r="AH2154" t="s">
        <v>1807</v>
      </c>
      <c r="AJ2154" s="2">
        <v>45688.722118055557</v>
      </c>
      <c r="AK2154" t="s">
        <v>84</v>
      </c>
      <c r="AL2154" t="s">
        <v>65</v>
      </c>
      <c r="AM2154" s="3">
        <v>2.2013888888888888</v>
      </c>
      <c r="AN2154" t="s">
        <v>66</v>
      </c>
      <c r="AO2154" t="s">
        <v>67</v>
      </c>
    </row>
    <row r="2155" spans="1:41" x14ac:dyDescent="0.2">
      <c r="A2155">
        <v>365299</v>
      </c>
      <c r="B2155" t="s">
        <v>14016</v>
      </c>
      <c r="C2155" t="s">
        <v>118</v>
      </c>
      <c r="D2155" t="s">
        <v>598</v>
      </c>
      <c r="E2155" t="s">
        <v>14017</v>
      </c>
      <c r="F2155">
        <v>20402</v>
      </c>
      <c r="G2155" s="1">
        <v>37944</v>
      </c>
      <c r="H2155" s="1">
        <v>45574</v>
      </c>
      <c r="I2155" s="1">
        <v>46249</v>
      </c>
      <c r="J2155" t="s">
        <v>45</v>
      </c>
      <c r="K2155" t="s">
        <v>45</v>
      </c>
      <c r="L2155" t="s">
        <v>46</v>
      </c>
      <c r="N2155" t="s">
        <v>47</v>
      </c>
      <c r="O2155" t="s">
        <v>48</v>
      </c>
      <c r="P2155" t="s">
        <v>49</v>
      </c>
      <c r="Q2155" t="s">
        <v>14018</v>
      </c>
      <c r="R2155" t="s">
        <v>14019</v>
      </c>
      <c r="S2155">
        <v>8061</v>
      </c>
      <c r="T2155" t="s">
        <v>296</v>
      </c>
      <c r="U2155" t="s">
        <v>1389</v>
      </c>
      <c r="V2155" t="s">
        <v>1390</v>
      </c>
      <c r="W2155" t="s">
        <v>299</v>
      </c>
      <c r="X2155" t="s">
        <v>55</v>
      </c>
      <c r="Y2155" t="s">
        <v>56</v>
      </c>
      <c r="Z2155">
        <v>2466</v>
      </c>
      <c r="AA2155">
        <v>42</v>
      </c>
      <c r="AB2155">
        <v>160</v>
      </c>
      <c r="AC2155" t="s">
        <v>12734</v>
      </c>
      <c r="AD2155" t="s">
        <v>12735</v>
      </c>
      <c r="AE2155" t="s">
        <v>12736</v>
      </c>
      <c r="AF2155" t="s">
        <v>14020</v>
      </c>
      <c r="AG2155" t="s">
        <v>14021</v>
      </c>
      <c r="AH2155" t="s">
        <v>14022</v>
      </c>
      <c r="AI2155" t="s">
        <v>1394</v>
      </c>
      <c r="AJ2155" s="2">
        <v>45576.564351851855</v>
      </c>
      <c r="AK2155" t="s">
        <v>609</v>
      </c>
      <c r="AL2155" t="s">
        <v>65</v>
      </c>
      <c r="AM2155" s="3">
        <v>1.7222222222222223</v>
      </c>
      <c r="AN2155" t="s">
        <v>66</v>
      </c>
      <c r="AO2155" t="s">
        <v>67</v>
      </c>
    </row>
    <row r="2156" spans="1:41" x14ac:dyDescent="0.2">
      <c r="A2156">
        <v>369060</v>
      </c>
      <c r="B2156" t="s">
        <v>14023</v>
      </c>
      <c r="C2156" t="s">
        <v>345</v>
      </c>
      <c r="D2156" t="s">
        <v>4380</v>
      </c>
      <c r="E2156" t="s">
        <v>14024</v>
      </c>
      <c r="F2156">
        <v>56202</v>
      </c>
      <c r="G2156" s="1">
        <v>35626</v>
      </c>
      <c r="H2156" s="1">
        <v>45722</v>
      </c>
      <c r="I2156" s="1">
        <v>45915</v>
      </c>
      <c r="J2156" t="s">
        <v>45</v>
      </c>
      <c r="K2156" t="s">
        <v>45</v>
      </c>
      <c r="L2156" t="s">
        <v>429</v>
      </c>
      <c r="N2156" t="s">
        <v>47</v>
      </c>
      <c r="O2156" t="s">
        <v>48</v>
      </c>
      <c r="P2156" t="s">
        <v>49</v>
      </c>
      <c r="Q2156" t="s">
        <v>14025</v>
      </c>
      <c r="R2156" t="s">
        <v>14026</v>
      </c>
      <c r="S2156">
        <v>5422</v>
      </c>
      <c r="T2156" t="s">
        <v>52</v>
      </c>
      <c r="U2156">
        <v>2</v>
      </c>
      <c r="V2156" t="s">
        <v>1522</v>
      </c>
      <c r="W2156" t="s">
        <v>54</v>
      </c>
      <c r="X2156" t="s">
        <v>55</v>
      </c>
      <c r="Y2156" t="s">
        <v>56</v>
      </c>
      <c r="Z2156">
        <v>644</v>
      </c>
      <c r="AA2156">
        <v>53</v>
      </c>
      <c r="AB2156">
        <v>30</v>
      </c>
      <c r="AC2156" t="s">
        <v>1526</v>
      </c>
      <c r="AD2156" t="s">
        <v>1527</v>
      </c>
      <c r="AE2156" t="s">
        <v>1528</v>
      </c>
      <c r="AF2156" t="s">
        <v>5142</v>
      </c>
      <c r="AG2156" t="s">
        <v>5143</v>
      </c>
      <c r="AH2156" t="s">
        <v>5144</v>
      </c>
      <c r="AI2156" t="s">
        <v>7769</v>
      </c>
      <c r="AJ2156" s="2">
        <v>45726.70994212963</v>
      </c>
      <c r="AK2156" t="s">
        <v>64</v>
      </c>
      <c r="AL2156" t="s">
        <v>65</v>
      </c>
      <c r="AM2156" s="4">
        <v>0.97916666666666663</v>
      </c>
      <c r="AN2156" t="s">
        <v>809</v>
      </c>
      <c r="AO2156" t="s">
        <v>67</v>
      </c>
    </row>
    <row r="2157" spans="1:41" x14ac:dyDescent="0.2">
      <c r="A2157">
        <v>369565</v>
      </c>
      <c r="B2157" t="s">
        <v>14027</v>
      </c>
      <c r="C2157" t="s">
        <v>182</v>
      </c>
      <c r="D2157" t="s">
        <v>8772</v>
      </c>
      <c r="E2157" t="s">
        <v>14028</v>
      </c>
      <c r="F2157">
        <v>44410</v>
      </c>
      <c r="G2157" s="1">
        <v>36974</v>
      </c>
      <c r="H2157" s="1">
        <v>45741</v>
      </c>
      <c r="I2157" s="1">
        <v>46113</v>
      </c>
      <c r="J2157" t="s">
        <v>45</v>
      </c>
      <c r="K2157" t="s">
        <v>45</v>
      </c>
      <c r="L2157" t="s">
        <v>429</v>
      </c>
      <c r="M2157" s="1">
        <v>42509</v>
      </c>
      <c r="N2157" t="s">
        <v>47</v>
      </c>
      <c r="O2157" t="s">
        <v>48</v>
      </c>
      <c r="P2157" t="s">
        <v>49</v>
      </c>
      <c r="Q2157" t="s">
        <v>14029</v>
      </c>
      <c r="R2157" t="s">
        <v>14030</v>
      </c>
      <c r="S2157">
        <v>1322</v>
      </c>
      <c r="T2157" t="s">
        <v>257</v>
      </c>
      <c r="U2157" t="s">
        <v>640</v>
      </c>
      <c r="V2157" t="s">
        <v>1706</v>
      </c>
      <c r="W2157" t="s">
        <v>260</v>
      </c>
      <c r="X2157" t="s">
        <v>493</v>
      </c>
      <c r="Y2157" t="s">
        <v>56</v>
      </c>
      <c r="Z2157">
        <v>924</v>
      </c>
      <c r="AA2157">
        <v>58</v>
      </c>
      <c r="AB2157">
        <v>158</v>
      </c>
      <c r="AC2157" t="s">
        <v>1707</v>
      </c>
      <c r="AD2157" t="s">
        <v>1708</v>
      </c>
      <c r="AE2157" t="s">
        <v>1709</v>
      </c>
      <c r="AF2157" t="s">
        <v>1710</v>
      </c>
      <c r="AG2157" t="s">
        <v>1711</v>
      </c>
      <c r="AH2157" t="s">
        <v>1712</v>
      </c>
      <c r="AI2157" t="s">
        <v>179</v>
      </c>
      <c r="AJ2157" s="2">
        <v>45743.949803240743</v>
      </c>
      <c r="AK2157" t="s">
        <v>1472</v>
      </c>
      <c r="AL2157" t="s">
        <v>65</v>
      </c>
      <c r="AM2157" s="3">
        <v>1.5694444444444444</v>
      </c>
      <c r="AN2157" t="s">
        <v>66</v>
      </c>
      <c r="AO2157" t="s">
        <v>67</v>
      </c>
    </row>
    <row r="2158" spans="1:41" x14ac:dyDescent="0.2">
      <c r="A2158">
        <v>368689</v>
      </c>
      <c r="B2158" t="s">
        <v>14027</v>
      </c>
      <c r="C2158" t="s">
        <v>1565</v>
      </c>
      <c r="D2158" t="s">
        <v>1566</v>
      </c>
      <c r="E2158" t="s">
        <v>14031</v>
      </c>
      <c r="F2158">
        <v>392602</v>
      </c>
      <c r="G2158" s="1">
        <v>37903</v>
      </c>
      <c r="H2158" s="1">
        <v>45715</v>
      </c>
      <c r="I2158" s="1">
        <v>46068</v>
      </c>
      <c r="J2158" t="s">
        <v>45</v>
      </c>
      <c r="K2158" t="s">
        <v>45</v>
      </c>
      <c r="L2158" t="s">
        <v>72</v>
      </c>
      <c r="M2158" s="1">
        <v>45715</v>
      </c>
      <c r="N2158" t="s">
        <v>47</v>
      </c>
      <c r="O2158" t="s">
        <v>48</v>
      </c>
      <c r="P2158" t="s">
        <v>49</v>
      </c>
      <c r="Q2158" t="s">
        <v>14032</v>
      </c>
      <c r="R2158" t="s">
        <v>14033</v>
      </c>
      <c r="S2158">
        <v>3080</v>
      </c>
      <c r="T2158" t="s">
        <v>257</v>
      </c>
      <c r="U2158" t="s">
        <v>258</v>
      </c>
      <c r="V2158" t="s">
        <v>14034</v>
      </c>
      <c r="W2158" t="s">
        <v>260</v>
      </c>
      <c r="X2158" t="s">
        <v>257</v>
      </c>
      <c r="Y2158" t="s">
        <v>110</v>
      </c>
      <c r="Z2158">
        <v>1353</v>
      </c>
      <c r="AA2158">
        <v>43</v>
      </c>
      <c r="AB2158">
        <v>160</v>
      </c>
      <c r="AC2158" t="s">
        <v>261</v>
      </c>
      <c r="AD2158" t="s">
        <v>262</v>
      </c>
      <c r="AE2158" t="s">
        <v>263</v>
      </c>
      <c r="AF2158" t="s">
        <v>264</v>
      </c>
      <c r="AG2158" t="s">
        <v>265</v>
      </c>
      <c r="AH2158" t="s">
        <v>266</v>
      </c>
      <c r="AJ2158" s="2">
        <v>45719.883773148147</v>
      </c>
      <c r="AK2158" t="s">
        <v>6321</v>
      </c>
      <c r="AL2158" t="s">
        <v>65</v>
      </c>
      <c r="AM2158" s="4">
        <v>0.86805555555555558</v>
      </c>
      <c r="AN2158" t="s">
        <v>66</v>
      </c>
      <c r="AO2158" t="s">
        <v>67</v>
      </c>
    </row>
    <row r="2159" spans="1:41" x14ac:dyDescent="0.2">
      <c r="A2159">
        <v>363500</v>
      </c>
      <c r="B2159" t="s">
        <v>14035</v>
      </c>
      <c r="C2159" t="s">
        <v>345</v>
      </c>
      <c r="D2159" t="s">
        <v>6060</v>
      </c>
      <c r="E2159" t="s">
        <v>14036</v>
      </c>
      <c r="F2159">
        <v>51402</v>
      </c>
      <c r="G2159" s="1">
        <v>32519</v>
      </c>
      <c r="H2159" s="1">
        <v>45504</v>
      </c>
      <c r="I2159" s="1">
        <v>45931</v>
      </c>
      <c r="J2159" t="s">
        <v>45</v>
      </c>
      <c r="K2159" t="s">
        <v>45</v>
      </c>
      <c r="L2159" t="s">
        <v>72</v>
      </c>
      <c r="M2159" s="1">
        <v>33736</v>
      </c>
      <c r="N2159" t="s">
        <v>47</v>
      </c>
      <c r="O2159" t="s">
        <v>48</v>
      </c>
      <c r="P2159" t="s">
        <v>49</v>
      </c>
      <c r="Q2159" t="s">
        <v>14037</v>
      </c>
      <c r="R2159" t="s">
        <v>14038</v>
      </c>
      <c r="S2159">
        <v>6672</v>
      </c>
      <c r="T2159" t="s">
        <v>365</v>
      </c>
      <c r="U2159" t="s">
        <v>432</v>
      </c>
      <c r="V2159" t="s">
        <v>4107</v>
      </c>
      <c r="W2159" t="s">
        <v>367</v>
      </c>
      <c r="X2159" t="s">
        <v>55</v>
      </c>
      <c r="Y2159" t="s">
        <v>434</v>
      </c>
      <c r="Z2159">
        <v>117</v>
      </c>
      <c r="AA2159">
        <v>48</v>
      </c>
      <c r="AB2159">
        <v>158</v>
      </c>
      <c r="AC2159" t="s">
        <v>5835</v>
      </c>
      <c r="AD2159" t="s">
        <v>4112</v>
      </c>
      <c r="AE2159" t="s">
        <v>4113</v>
      </c>
      <c r="AI2159" t="s">
        <v>179</v>
      </c>
      <c r="AJ2159" s="2">
        <v>45513.901030092595</v>
      </c>
      <c r="AK2159" t="s">
        <v>609</v>
      </c>
      <c r="AL2159" t="s">
        <v>65</v>
      </c>
      <c r="AM2159" s="4">
        <v>0.97916666666666663</v>
      </c>
      <c r="AN2159" t="s">
        <v>66</v>
      </c>
      <c r="AO2159" t="s">
        <v>67</v>
      </c>
    </row>
    <row r="2160" spans="1:41" x14ac:dyDescent="0.2">
      <c r="A2160">
        <v>339468</v>
      </c>
      <c r="B2160" t="s">
        <v>14039</v>
      </c>
      <c r="C2160" t="s">
        <v>182</v>
      </c>
      <c r="D2160" t="s">
        <v>779</v>
      </c>
      <c r="E2160" t="s">
        <v>14040</v>
      </c>
      <c r="F2160">
        <v>45631</v>
      </c>
      <c r="G2160" s="1">
        <v>39055</v>
      </c>
      <c r="H2160" s="1">
        <v>44179</v>
      </c>
      <c r="I2160" s="1">
        <v>46023</v>
      </c>
      <c r="J2160" t="s">
        <v>45</v>
      </c>
      <c r="K2160" t="s">
        <v>45</v>
      </c>
      <c r="L2160" t="s">
        <v>72</v>
      </c>
      <c r="M2160" s="1">
        <v>43964</v>
      </c>
      <c r="N2160" t="s">
        <v>89</v>
      </c>
      <c r="O2160" t="s">
        <v>48</v>
      </c>
      <c r="P2160" t="s">
        <v>49</v>
      </c>
      <c r="Q2160" t="s">
        <v>14041</v>
      </c>
      <c r="R2160" t="s">
        <v>14042</v>
      </c>
      <c r="S2160">
        <v>4060</v>
      </c>
      <c r="T2160" t="s">
        <v>365</v>
      </c>
      <c r="U2160" t="s">
        <v>815</v>
      </c>
      <c r="V2160" t="s">
        <v>816</v>
      </c>
      <c r="W2160" t="s">
        <v>367</v>
      </c>
      <c r="X2160" t="s">
        <v>76</v>
      </c>
      <c r="Y2160" t="s">
        <v>434</v>
      </c>
      <c r="Z2160">
        <v>2827</v>
      </c>
      <c r="AA2160">
        <v>34</v>
      </c>
      <c r="AB2160">
        <v>158</v>
      </c>
      <c r="AC2160" t="s">
        <v>4600</v>
      </c>
      <c r="AD2160" t="s">
        <v>818</v>
      </c>
      <c r="AE2160" t="s">
        <v>819</v>
      </c>
      <c r="AI2160" t="s">
        <v>179</v>
      </c>
      <c r="AJ2160" s="2">
        <v>44686.667534722219</v>
      </c>
      <c r="AK2160" t="s">
        <v>149</v>
      </c>
      <c r="AL2160" t="s">
        <v>65</v>
      </c>
      <c r="AM2160" s="3">
        <v>1.5208333333333333</v>
      </c>
      <c r="AN2160" t="s">
        <v>66</v>
      </c>
      <c r="AO2160" t="s">
        <v>67</v>
      </c>
    </row>
    <row r="2161" spans="1:41" x14ac:dyDescent="0.2">
      <c r="A2161">
        <v>366847</v>
      </c>
      <c r="B2161" t="s">
        <v>14043</v>
      </c>
      <c r="C2161" t="s">
        <v>1244</v>
      </c>
      <c r="D2161" t="s">
        <v>14044</v>
      </c>
      <c r="E2161" t="s">
        <v>14045</v>
      </c>
      <c r="F2161">
        <v>465401</v>
      </c>
      <c r="G2161" s="1">
        <v>38482</v>
      </c>
      <c r="H2161" s="1">
        <v>45635</v>
      </c>
      <c r="J2161" t="s">
        <v>45</v>
      </c>
      <c r="K2161" t="s">
        <v>45</v>
      </c>
      <c r="L2161" t="s">
        <v>72</v>
      </c>
      <c r="M2161" s="1">
        <v>42290</v>
      </c>
      <c r="N2161" t="s">
        <v>47</v>
      </c>
      <c r="O2161" t="s">
        <v>48</v>
      </c>
      <c r="P2161" t="s">
        <v>49</v>
      </c>
      <c r="Q2161" t="s">
        <v>14046</v>
      </c>
      <c r="R2161" t="s">
        <v>14047</v>
      </c>
      <c r="S2161">
        <v>2725</v>
      </c>
      <c r="T2161" t="s">
        <v>92</v>
      </c>
      <c r="U2161" t="s">
        <v>1249</v>
      </c>
      <c r="V2161" t="s">
        <v>1250</v>
      </c>
      <c r="W2161" t="s">
        <v>1251</v>
      </c>
      <c r="X2161" t="s">
        <v>92</v>
      </c>
      <c r="Y2161" t="s">
        <v>770</v>
      </c>
      <c r="Z2161">
        <v>2699</v>
      </c>
      <c r="AA2161">
        <v>28</v>
      </c>
      <c r="AB2161">
        <v>144</v>
      </c>
      <c r="AC2161" t="s">
        <v>1252</v>
      </c>
      <c r="AD2161" t="s">
        <v>8854</v>
      </c>
      <c r="AE2161" t="s">
        <v>1254</v>
      </c>
      <c r="AF2161" t="s">
        <v>1255</v>
      </c>
      <c r="AG2161" t="s">
        <v>1256</v>
      </c>
      <c r="AH2161" t="s">
        <v>1257</v>
      </c>
      <c r="AI2161" t="s">
        <v>1256</v>
      </c>
      <c r="AJ2161" s="2">
        <v>45640.521319444444</v>
      </c>
      <c r="AK2161" t="s">
        <v>1255</v>
      </c>
      <c r="AL2161" t="s">
        <v>65</v>
      </c>
      <c r="AM2161" s="4">
        <v>0.72916666666666663</v>
      </c>
      <c r="AN2161" t="s">
        <v>66</v>
      </c>
      <c r="AO2161" t="s">
        <v>67</v>
      </c>
    </row>
    <row r="2162" spans="1:41" x14ac:dyDescent="0.2">
      <c r="A2162">
        <v>364123</v>
      </c>
      <c r="B2162" t="s">
        <v>14048</v>
      </c>
      <c r="C2162" t="s">
        <v>735</v>
      </c>
      <c r="D2162" t="s">
        <v>1628</v>
      </c>
      <c r="E2162" t="s">
        <v>14049</v>
      </c>
      <c r="F2162">
        <v>241405</v>
      </c>
      <c r="G2162" s="1">
        <v>38163</v>
      </c>
      <c r="H2162" s="1">
        <v>45526</v>
      </c>
      <c r="I2162" s="1">
        <v>46235</v>
      </c>
      <c r="J2162" t="s">
        <v>45</v>
      </c>
      <c r="K2162" t="s">
        <v>45</v>
      </c>
      <c r="L2162" t="s">
        <v>4306</v>
      </c>
      <c r="N2162" t="s">
        <v>47</v>
      </c>
      <c r="O2162" t="s">
        <v>48</v>
      </c>
      <c r="P2162" t="s">
        <v>49</v>
      </c>
      <c r="Q2162" t="s">
        <v>14050</v>
      </c>
      <c r="R2162" t="s">
        <v>14051</v>
      </c>
      <c r="S2162">
        <v>6043</v>
      </c>
      <c r="T2162" t="s">
        <v>296</v>
      </c>
      <c r="U2162" t="s">
        <v>2267</v>
      </c>
      <c r="V2162" t="s">
        <v>9084</v>
      </c>
      <c r="W2162" t="s">
        <v>299</v>
      </c>
      <c r="X2162" t="s">
        <v>76</v>
      </c>
      <c r="Y2162" t="s">
        <v>56</v>
      </c>
      <c r="Z2162">
        <v>1408</v>
      </c>
      <c r="AA2162">
        <v>39</v>
      </c>
      <c r="AB2162">
        <v>158</v>
      </c>
      <c r="AC2162" t="s">
        <v>9085</v>
      </c>
      <c r="AD2162" t="s">
        <v>9086</v>
      </c>
      <c r="AE2162" t="s">
        <v>9087</v>
      </c>
      <c r="AF2162" t="s">
        <v>9088</v>
      </c>
      <c r="AG2162" t="s">
        <v>9089</v>
      </c>
      <c r="AH2162" t="s">
        <v>9090</v>
      </c>
      <c r="AI2162" t="s">
        <v>2274</v>
      </c>
      <c r="AJ2162" s="2">
        <v>45533.60696759259</v>
      </c>
      <c r="AK2162" t="s">
        <v>568</v>
      </c>
      <c r="AL2162" t="s">
        <v>65</v>
      </c>
      <c r="AM2162" s="3">
        <v>1.7291666666666667</v>
      </c>
      <c r="AN2162" t="s">
        <v>66</v>
      </c>
      <c r="AO2162" t="s">
        <v>67</v>
      </c>
    </row>
    <row r="2163" spans="1:41" x14ac:dyDescent="0.2">
      <c r="A2163">
        <v>365896</v>
      </c>
      <c r="B2163" t="s">
        <v>14052</v>
      </c>
      <c r="C2163" t="s">
        <v>692</v>
      </c>
      <c r="D2163" t="s">
        <v>10890</v>
      </c>
      <c r="E2163" t="s">
        <v>14053</v>
      </c>
      <c r="F2163">
        <v>480902</v>
      </c>
      <c r="G2163" s="1">
        <v>42388</v>
      </c>
      <c r="H2163" s="1">
        <v>45592</v>
      </c>
      <c r="I2163" s="1">
        <v>46296</v>
      </c>
      <c r="J2163" t="s">
        <v>45</v>
      </c>
      <c r="K2163" t="s">
        <v>45</v>
      </c>
      <c r="L2163" t="s">
        <v>72</v>
      </c>
      <c r="M2163" s="1">
        <v>44596</v>
      </c>
      <c r="N2163" t="s">
        <v>47</v>
      </c>
      <c r="O2163" t="s">
        <v>48</v>
      </c>
      <c r="P2163" t="s">
        <v>49</v>
      </c>
      <c r="Q2163" t="s">
        <v>14054</v>
      </c>
      <c r="R2163" t="s">
        <v>14055</v>
      </c>
      <c r="S2163">
        <v>4520</v>
      </c>
      <c r="T2163" t="s">
        <v>365</v>
      </c>
      <c r="U2163" t="s">
        <v>432</v>
      </c>
      <c r="V2163" t="s">
        <v>4190</v>
      </c>
      <c r="W2163" t="s">
        <v>367</v>
      </c>
      <c r="X2163" t="s">
        <v>76</v>
      </c>
      <c r="Y2163" t="s">
        <v>434</v>
      </c>
      <c r="Z2163">
        <v>8106</v>
      </c>
      <c r="AA2163">
        <v>29</v>
      </c>
      <c r="AB2163">
        <v>78</v>
      </c>
      <c r="AC2163" t="s">
        <v>8231</v>
      </c>
      <c r="AD2163" t="s">
        <v>8232</v>
      </c>
      <c r="AE2163" t="s">
        <v>8233</v>
      </c>
      <c r="AF2163" t="s">
        <v>8234</v>
      </c>
      <c r="AG2163" t="s">
        <v>8235</v>
      </c>
      <c r="AH2163" t="s">
        <v>8236</v>
      </c>
      <c r="AI2163" t="s">
        <v>14056</v>
      </c>
      <c r="AJ2163" s="2">
        <v>45594.863217592596</v>
      </c>
      <c r="AK2163" t="s">
        <v>704</v>
      </c>
      <c r="AL2163" t="s">
        <v>65</v>
      </c>
      <c r="AM2163" s="4">
        <v>0.73611111111111116</v>
      </c>
      <c r="AN2163" t="s">
        <v>66</v>
      </c>
      <c r="AO2163" t="s">
        <v>67</v>
      </c>
    </row>
    <row r="2164" spans="1:41" x14ac:dyDescent="0.2">
      <c r="A2164">
        <v>369909</v>
      </c>
      <c r="B2164" t="s">
        <v>14057</v>
      </c>
      <c r="C2164" t="s">
        <v>69</v>
      </c>
      <c r="D2164" t="s">
        <v>69</v>
      </c>
      <c r="E2164" t="s">
        <v>14058</v>
      </c>
      <c r="F2164">
        <v>101100</v>
      </c>
      <c r="G2164" s="1">
        <v>37041</v>
      </c>
      <c r="H2164" s="1">
        <v>45756</v>
      </c>
      <c r="I2164" s="1">
        <v>46127</v>
      </c>
      <c r="J2164" t="s">
        <v>45</v>
      </c>
      <c r="K2164" t="s">
        <v>45</v>
      </c>
      <c r="L2164" t="s">
        <v>429</v>
      </c>
      <c r="M2164" s="1">
        <v>45131</v>
      </c>
      <c r="N2164" t="s">
        <v>47</v>
      </c>
      <c r="O2164" t="s">
        <v>48</v>
      </c>
      <c r="P2164" t="s">
        <v>49</v>
      </c>
      <c r="Q2164" t="s">
        <v>14059</v>
      </c>
      <c r="R2164" t="s">
        <v>14060</v>
      </c>
      <c r="S2164">
        <v>1357</v>
      </c>
      <c r="T2164" t="s">
        <v>52</v>
      </c>
      <c r="U2164">
        <v>1</v>
      </c>
      <c r="V2164" t="s">
        <v>4698</v>
      </c>
      <c r="W2164" t="s">
        <v>54</v>
      </c>
      <c r="X2164" t="s">
        <v>76</v>
      </c>
      <c r="Y2164" t="s">
        <v>56</v>
      </c>
      <c r="Z2164">
        <v>919</v>
      </c>
      <c r="AA2164">
        <v>65</v>
      </c>
      <c r="AB2164">
        <v>78</v>
      </c>
      <c r="AC2164" t="s">
        <v>11126</v>
      </c>
      <c r="AD2164" t="s">
        <v>11127</v>
      </c>
      <c r="AE2164" t="s">
        <v>14061</v>
      </c>
      <c r="AF2164" t="s">
        <v>4702</v>
      </c>
      <c r="AG2164" t="s">
        <v>4703</v>
      </c>
      <c r="AH2164" t="s">
        <v>6200</v>
      </c>
      <c r="AI2164" t="s">
        <v>6201</v>
      </c>
      <c r="AJ2164" s="2">
        <v>45757.700775462959</v>
      </c>
      <c r="AK2164" t="s">
        <v>180</v>
      </c>
      <c r="AL2164" t="s">
        <v>65</v>
      </c>
      <c r="AM2164" s="4">
        <v>0.45833333333333331</v>
      </c>
      <c r="AN2164" t="s">
        <v>66</v>
      </c>
      <c r="AO2164" t="s">
        <v>67</v>
      </c>
    </row>
    <row r="2165" spans="1:41" x14ac:dyDescent="0.2">
      <c r="A2165">
        <v>368963</v>
      </c>
      <c r="B2165" t="s">
        <v>14062</v>
      </c>
      <c r="C2165" t="s">
        <v>182</v>
      </c>
      <c r="D2165" t="s">
        <v>2901</v>
      </c>
      <c r="E2165">
        <v>32892212</v>
      </c>
      <c r="F2165">
        <v>45017</v>
      </c>
      <c r="G2165" s="1">
        <v>38308</v>
      </c>
      <c r="H2165" s="1">
        <v>45489</v>
      </c>
      <c r="I2165" s="1">
        <v>46096</v>
      </c>
      <c r="J2165" t="s">
        <v>45</v>
      </c>
      <c r="K2165" t="s">
        <v>45</v>
      </c>
      <c r="L2165" t="s">
        <v>429</v>
      </c>
      <c r="M2165" s="1">
        <v>44364</v>
      </c>
      <c r="N2165" t="s">
        <v>47</v>
      </c>
      <c r="O2165" t="s">
        <v>48</v>
      </c>
      <c r="P2165" t="s">
        <v>49</v>
      </c>
      <c r="Q2165" t="s">
        <v>14063</v>
      </c>
      <c r="R2165" t="s">
        <v>14064</v>
      </c>
      <c r="S2165">
        <v>6475</v>
      </c>
      <c r="T2165" t="s">
        <v>52</v>
      </c>
      <c r="U2165">
        <v>5</v>
      </c>
      <c r="V2165" t="s">
        <v>2763</v>
      </c>
      <c r="W2165" t="s">
        <v>54</v>
      </c>
      <c r="X2165" t="s">
        <v>493</v>
      </c>
      <c r="Y2165" t="s">
        <v>434</v>
      </c>
      <c r="Z2165">
        <v>2606</v>
      </c>
      <c r="AA2165">
        <v>32</v>
      </c>
      <c r="AB2165">
        <v>144</v>
      </c>
      <c r="AC2165" t="s">
        <v>2764</v>
      </c>
      <c r="AD2165" t="s">
        <v>2765</v>
      </c>
      <c r="AE2165" t="s">
        <v>3367</v>
      </c>
      <c r="AF2165" t="s">
        <v>14065</v>
      </c>
      <c r="AG2165" t="s">
        <v>14066</v>
      </c>
      <c r="AH2165" t="s">
        <v>14067</v>
      </c>
      <c r="AI2165" t="s">
        <v>500</v>
      </c>
      <c r="AJ2165" s="2">
        <v>45722.926053240742</v>
      </c>
      <c r="AK2165" t="s">
        <v>501</v>
      </c>
      <c r="AL2165" t="s">
        <v>65</v>
      </c>
      <c r="AM2165" s="3">
        <v>2.1527777777777777</v>
      </c>
      <c r="AN2165" t="s">
        <v>66</v>
      </c>
      <c r="AO2165" t="s">
        <v>67</v>
      </c>
    </row>
    <row r="2166" spans="1:41" x14ac:dyDescent="0.2">
      <c r="A2166">
        <v>364127</v>
      </c>
      <c r="B2166" t="s">
        <v>14068</v>
      </c>
      <c r="C2166" t="s">
        <v>735</v>
      </c>
      <c r="D2166" t="s">
        <v>3861</v>
      </c>
      <c r="E2166" t="s">
        <v>14069</v>
      </c>
      <c r="F2166">
        <v>241206</v>
      </c>
      <c r="G2166" s="1">
        <v>38553</v>
      </c>
      <c r="H2166" s="1">
        <v>45527</v>
      </c>
      <c r="I2166" s="1">
        <v>46235</v>
      </c>
      <c r="J2166" t="s">
        <v>45</v>
      </c>
      <c r="K2166" t="s">
        <v>45</v>
      </c>
      <c r="L2166" t="s">
        <v>545</v>
      </c>
      <c r="M2166" s="1">
        <v>42459</v>
      </c>
      <c r="N2166" t="s">
        <v>47</v>
      </c>
      <c r="O2166" t="s">
        <v>48</v>
      </c>
      <c r="P2166" t="s">
        <v>49</v>
      </c>
      <c r="Q2166" t="s">
        <v>14070</v>
      </c>
      <c r="R2166" t="s">
        <v>14071</v>
      </c>
      <c r="S2166">
        <v>2481</v>
      </c>
      <c r="T2166" t="s">
        <v>52</v>
      </c>
      <c r="U2166">
        <v>1</v>
      </c>
      <c r="V2166" t="s">
        <v>2926</v>
      </c>
      <c r="W2166" t="s">
        <v>54</v>
      </c>
      <c r="X2166" t="s">
        <v>76</v>
      </c>
      <c r="Y2166" t="s">
        <v>56</v>
      </c>
      <c r="Z2166">
        <v>1189</v>
      </c>
      <c r="AA2166">
        <v>67</v>
      </c>
      <c r="AB2166">
        <v>78</v>
      </c>
      <c r="AC2166" t="s">
        <v>2927</v>
      </c>
      <c r="AD2166" t="s">
        <v>2928</v>
      </c>
      <c r="AE2166" t="s">
        <v>2929</v>
      </c>
      <c r="AF2166" t="s">
        <v>11266</v>
      </c>
      <c r="AG2166" t="s">
        <v>11267</v>
      </c>
      <c r="AH2166" t="s">
        <v>11268</v>
      </c>
      <c r="AI2166" t="s">
        <v>14072</v>
      </c>
      <c r="AJ2166" s="2">
        <v>45533.63890046296</v>
      </c>
      <c r="AK2166" t="s">
        <v>568</v>
      </c>
      <c r="AL2166" t="s">
        <v>65</v>
      </c>
      <c r="AM2166" s="3">
        <v>1.0972222222222223</v>
      </c>
      <c r="AN2166" t="s">
        <v>66</v>
      </c>
      <c r="AO2166" t="s">
        <v>67</v>
      </c>
    </row>
    <row r="2167" spans="1:41" x14ac:dyDescent="0.2">
      <c r="A2167">
        <v>370884</v>
      </c>
      <c r="B2167" t="s">
        <v>14073</v>
      </c>
      <c r="C2167" t="s">
        <v>86</v>
      </c>
      <c r="D2167" t="s">
        <v>14074</v>
      </c>
      <c r="E2167" t="s">
        <v>14075</v>
      </c>
      <c r="F2167">
        <v>206401</v>
      </c>
      <c r="G2167" s="1">
        <v>36617</v>
      </c>
      <c r="H2167" s="1">
        <v>45786</v>
      </c>
      <c r="I2167" s="1">
        <v>46143</v>
      </c>
      <c r="J2167" t="s">
        <v>45</v>
      </c>
      <c r="K2167" t="s">
        <v>45</v>
      </c>
      <c r="L2167" t="s">
        <v>72</v>
      </c>
      <c r="M2167" s="1">
        <v>40830</v>
      </c>
      <c r="N2167" t="s">
        <v>47</v>
      </c>
      <c r="O2167" t="s">
        <v>48</v>
      </c>
      <c r="P2167" t="s">
        <v>49</v>
      </c>
      <c r="Q2167" t="s">
        <v>14076</v>
      </c>
      <c r="R2167" t="s">
        <v>14077</v>
      </c>
      <c r="S2167">
        <v>741</v>
      </c>
      <c r="T2167" t="s">
        <v>92</v>
      </c>
      <c r="U2167" t="s">
        <v>93</v>
      </c>
      <c r="V2167" t="s">
        <v>506</v>
      </c>
      <c r="W2167" t="s">
        <v>507</v>
      </c>
      <c r="X2167" t="s">
        <v>92</v>
      </c>
      <c r="Y2167" t="s">
        <v>110</v>
      </c>
      <c r="Z2167">
        <v>1974</v>
      </c>
      <c r="AA2167">
        <v>40</v>
      </c>
      <c r="AB2167">
        <v>78</v>
      </c>
      <c r="AC2167" t="s">
        <v>508</v>
      </c>
      <c r="AD2167" t="s">
        <v>509</v>
      </c>
      <c r="AE2167" t="s">
        <v>510</v>
      </c>
      <c r="AF2167" t="s">
        <v>14078</v>
      </c>
      <c r="AG2167" t="s">
        <v>14079</v>
      </c>
      <c r="AH2167" t="s">
        <v>14080</v>
      </c>
      <c r="AI2167" t="s">
        <v>509</v>
      </c>
      <c r="AJ2167" s="2">
        <v>45788.749745370369</v>
      </c>
      <c r="AK2167" t="s">
        <v>508</v>
      </c>
      <c r="AL2167" t="s">
        <v>65</v>
      </c>
      <c r="AM2167" s="4">
        <v>0.43055555555555558</v>
      </c>
      <c r="AN2167" t="s">
        <v>66</v>
      </c>
      <c r="AO2167" t="s">
        <v>67</v>
      </c>
    </row>
    <row r="2168" spans="1:41" x14ac:dyDescent="0.2">
      <c r="A2168">
        <v>372609</v>
      </c>
      <c r="B2168" t="s">
        <v>14081</v>
      </c>
      <c r="C2168" t="s">
        <v>278</v>
      </c>
      <c r="E2168" t="s">
        <v>14082</v>
      </c>
      <c r="F2168">
        <v>421101</v>
      </c>
      <c r="G2168" s="1">
        <v>36253</v>
      </c>
      <c r="H2168" s="1">
        <v>45846</v>
      </c>
      <c r="I2168" s="1">
        <v>46204</v>
      </c>
      <c r="J2168" t="s">
        <v>45</v>
      </c>
      <c r="K2168" t="s">
        <v>45</v>
      </c>
      <c r="L2168" t="s">
        <v>429</v>
      </c>
      <c r="N2168" t="s">
        <v>47</v>
      </c>
      <c r="O2168" t="s">
        <v>48</v>
      </c>
      <c r="P2168" t="s">
        <v>49</v>
      </c>
      <c r="Q2168" t="s">
        <v>14083</v>
      </c>
      <c r="R2168" t="s">
        <v>14084</v>
      </c>
      <c r="S2168">
        <v>5200</v>
      </c>
      <c r="T2168" t="s">
        <v>52</v>
      </c>
      <c r="U2168">
        <v>4</v>
      </c>
      <c r="V2168" t="s">
        <v>1991</v>
      </c>
      <c r="W2168" t="s">
        <v>54</v>
      </c>
      <c r="X2168" t="s">
        <v>76</v>
      </c>
      <c r="Y2168" t="s">
        <v>56</v>
      </c>
      <c r="Z2168">
        <v>931</v>
      </c>
      <c r="AA2168">
        <v>51</v>
      </c>
      <c r="AB2168">
        <v>144</v>
      </c>
      <c r="AC2168" t="s">
        <v>14085</v>
      </c>
      <c r="AD2168" t="s">
        <v>1993</v>
      </c>
      <c r="AE2168" t="s">
        <v>1994</v>
      </c>
      <c r="AF2168" t="s">
        <v>1995</v>
      </c>
      <c r="AG2168" t="s">
        <v>1996</v>
      </c>
      <c r="AH2168" t="s">
        <v>1997</v>
      </c>
      <c r="AI2168" t="s">
        <v>1998</v>
      </c>
      <c r="AJ2168" s="2">
        <v>45846.993113425924</v>
      </c>
      <c r="AK2168" t="s">
        <v>1167</v>
      </c>
      <c r="AL2168" t="s">
        <v>65</v>
      </c>
      <c r="AM2168" s="3">
        <v>2.3263888888888888</v>
      </c>
      <c r="AN2168" t="s">
        <v>66</v>
      </c>
      <c r="AO2168" t="s">
        <v>67</v>
      </c>
    </row>
    <row r="2169" spans="1:41" x14ac:dyDescent="0.2">
      <c r="A2169">
        <v>367781</v>
      </c>
      <c r="B2169" t="s">
        <v>14086</v>
      </c>
      <c r="C2169" t="s">
        <v>118</v>
      </c>
      <c r="D2169" t="s">
        <v>1396</v>
      </c>
      <c r="E2169">
        <v>32338270</v>
      </c>
      <c r="F2169">
        <v>20603</v>
      </c>
      <c r="G2169" s="1">
        <v>35510</v>
      </c>
      <c r="H2169" s="1">
        <v>45688</v>
      </c>
      <c r="I2169" s="1">
        <v>46023</v>
      </c>
      <c r="J2169" t="s">
        <v>45</v>
      </c>
      <c r="K2169" t="s">
        <v>45</v>
      </c>
      <c r="L2169" t="s">
        <v>72</v>
      </c>
      <c r="M2169" s="1">
        <v>45107</v>
      </c>
      <c r="N2169" t="s">
        <v>47</v>
      </c>
      <c r="O2169" t="s">
        <v>48</v>
      </c>
      <c r="P2169" t="s">
        <v>49</v>
      </c>
      <c r="Q2169" t="s">
        <v>14087</v>
      </c>
      <c r="R2169" t="s">
        <v>14088</v>
      </c>
      <c r="S2169">
        <v>5232</v>
      </c>
      <c r="T2169" t="s">
        <v>52</v>
      </c>
      <c r="U2169">
        <v>3</v>
      </c>
      <c r="V2169" t="s">
        <v>4644</v>
      </c>
      <c r="W2169" t="s">
        <v>54</v>
      </c>
      <c r="X2169" t="s">
        <v>55</v>
      </c>
      <c r="Y2169" t="s">
        <v>56</v>
      </c>
      <c r="Z2169">
        <v>635</v>
      </c>
      <c r="AA2169">
        <v>58</v>
      </c>
      <c r="AB2169">
        <v>146</v>
      </c>
      <c r="AC2169" t="s">
        <v>8057</v>
      </c>
      <c r="AD2169" t="s">
        <v>13963</v>
      </c>
      <c r="AE2169" t="s">
        <v>8059</v>
      </c>
      <c r="AF2169" t="s">
        <v>13799</v>
      </c>
      <c r="AG2169" t="s">
        <v>13800</v>
      </c>
      <c r="AH2169" t="s">
        <v>13801</v>
      </c>
      <c r="AI2169" t="s">
        <v>14089</v>
      </c>
      <c r="AJ2169" s="2">
        <v>45691.620763888888</v>
      </c>
      <c r="AK2169" t="s">
        <v>609</v>
      </c>
      <c r="AL2169" t="s">
        <v>65</v>
      </c>
      <c r="AM2169" s="4">
        <v>2.0833333333333332E-2</v>
      </c>
      <c r="AN2169" t="s">
        <v>66</v>
      </c>
      <c r="AO2169" t="s">
        <v>67</v>
      </c>
    </row>
    <row r="2170" spans="1:41" x14ac:dyDescent="0.2">
      <c r="A2170">
        <v>371333</v>
      </c>
      <c r="B2170" t="s">
        <v>14090</v>
      </c>
      <c r="C2170" t="s">
        <v>182</v>
      </c>
      <c r="D2170" t="s">
        <v>4385</v>
      </c>
      <c r="E2170" t="s">
        <v>14091</v>
      </c>
      <c r="F2170">
        <v>40994</v>
      </c>
      <c r="G2170" s="1">
        <v>45777</v>
      </c>
      <c r="H2170" s="1">
        <v>45546</v>
      </c>
      <c r="I2170" s="1">
        <v>45945</v>
      </c>
      <c r="J2170" t="s">
        <v>45</v>
      </c>
      <c r="K2170" t="s">
        <v>45</v>
      </c>
      <c r="L2170" t="s">
        <v>72</v>
      </c>
      <c r="N2170" t="s">
        <v>89</v>
      </c>
      <c r="O2170" t="s">
        <v>121</v>
      </c>
      <c r="P2170" t="s">
        <v>49</v>
      </c>
      <c r="Q2170" t="s">
        <v>14092</v>
      </c>
      <c r="R2170" t="s">
        <v>14093</v>
      </c>
      <c r="S2170">
        <v>4716</v>
      </c>
      <c r="T2170" t="s">
        <v>52</v>
      </c>
      <c r="U2170">
        <v>5</v>
      </c>
      <c r="V2170" t="s">
        <v>4509</v>
      </c>
      <c r="W2170" t="s">
        <v>54</v>
      </c>
      <c r="X2170" t="s">
        <v>52</v>
      </c>
      <c r="Y2170" t="s">
        <v>125</v>
      </c>
      <c r="Z2170">
        <v>726</v>
      </c>
      <c r="AA2170">
        <v>100</v>
      </c>
      <c r="AB2170">
        <v>34</v>
      </c>
      <c r="AC2170" t="s">
        <v>5738</v>
      </c>
      <c r="AD2170" t="s">
        <v>5739</v>
      </c>
      <c r="AE2170" t="s">
        <v>14094</v>
      </c>
      <c r="AF2170" t="s">
        <v>14095</v>
      </c>
      <c r="AG2170" t="s">
        <v>5742</v>
      </c>
      <c r="AH2170" t="s">
        <v>5743</v>
      </c>
      <c r="AI2170" t="s">
        <v>14096</v>
      </c>
      <c r="AJ2170" s="2">
        <v>45805.599652777775</v>
      </c>
      <c r="AK2170" t="s">
        <v>800</v>
      </c>
      <c r="AL2170" t="s">
        <v>65</v>
      </c>
      <c r="AM2170" s="3">
        <v>1.4236111111111112</v>
      </c>
      <c r="AN2170" t="s">
        <v>66</v>
      </c>
      <c r="AO2170" t="s">
        <v>67</v>
      </c>
    </row>
    <row r="2171" spans="1:41" x14ac:dyDescent="0.2">
      <c r="A2171">
        <v>367724</v>
      </c>
      <c r="B2171" t="s">
        <v>14097</v>
      </c>
      <c r="C2171" t="s">
        <v>182</v>
      </c>
      <c r="D2171" t="s">
        <v>4385</v>
      </c>
      <c r="E2171" t="s">
        <v>14098</v>
      </c>
      <c r="F2171">
        <v>40692</v>
      </c>
      <c r="G2171" s="1">
        <v>45687</v>
      </c>
      <c r="H2171" s="1">
        <v>45671</v>
      </c>
      <c r="I2171" s="1">
        <v>46023</v>
      </c>
      <c r="J2171" t="s">
        <v>45</v>
      </c>
      <c r="K2171" t="s">
        <v>45</v>
      </c>
      <c r="L2171" t="s">
        <v>72</v>
      </c>
      <c r="M2171" s="1">
        <v>43591</v>
      </c>
      <c r="N2171" t="s">
        <v>47</v>
      </c>
      <c r="O2171" t="s">
        <v>121</v>
      </c>
      <c r="P2171" t="s">
        <v>49</v>
      </c>
      <c r="Q2171" t="s">
        <v>14099</v>
      </c>
      <c r="R2171" t="s">
        <v>14100</v>
      </c>
      <c r="S2171">
        <v>2329</v>
      </c>
      <c r="T2171" t="s">
        <v>52</v>
      </c>
      <c r="U2171">
        <v>5</v>
      </c>
      <c r="V2171" t="s">
        <v>4509</v>
      </c>
      <c r="W2171" t="s">
        <v>54</v>
      </c>
      <c r="X2171" t="s">
        <v>76</v>
      </c>
      <c r="Y2171" t="s">
        <v>125</v>
      </c>
      <c r="Z2171">
        <v>532</v>
      </c>
      <c r="AA2171">
        <v>101</v>
      </c>
      <c r="AB2171">
        <v>52</v>
      </c>
      <c r="AC2171" t="s">
        <v>4510</v>
      </c>
      <c r="AD2171" t="s">
        <v>4511</v>
      </c>
      <c r="AE2171" t="s">
        <v>4512</v>
      </c>
      <c r="AF2171" t="s">
        <v>4513</v>
      </c>
      <c r="AG2171" t="s">
        <v>4514</v>
      </c>
      <c r="AH2171" t="s">
        <v>4515</v>
      </c>
      <c r="AI2171" t="s">
        <v>14101</v>
      </c>
      <c r="AJ2171" s="2">
        <v>45687.780995370369</v>
      </c>
      <c r="AK2171" t="s">
        <v>660</v>
      </c>
      <c r="AL2171" t="s">
        <v>65</v>
      </c>
      <c r="AM2171" s="3">
        <v>2.4930555555555554</v>
      </c>
      <c r="AN2171" t="s">
        <v>66</v>
      </c>
      <c r="AO2171" t="s">
        <v>67</v>
      </c>
    </row>
    <row r="2172" spans="1:41" x14ac:dyDescent="0.2">
      <c r="A2172">
        <v>368421</v>
      </c>
      <c r="B2172" t="s">
        <v>14102</v>
      </c>
      <c r="C2172" t="s">
        <v>182</v>
      </c>
      <c r="D2172" t="s">
        <v>4385</v>
      </c>
      <c r="E2172">
        <v>32481116</v>
      </c>
      <c r="F2172">
        <v>40971</v>
      </c>
      <c r="G2172" s="1">
        <v>45425</v>
      </c>
      <c r="H2172" s="1">
        <v>45707</v>
      </c>
      <c r="I2172" s="1">
        <v>46054</v>
      </c>
      <c r="J2172" t="s">
        <v>45</v>
      </c>
      <c r="K2172" t="s">
        <v>45</v>
      </c>
      <c r="L2172" t="s">
        <v>72</v>
      </c>
      <c r="M2172" s="1">
        <v>42946</v>
      </c>
      <c r="N2172" t="s">
        <v>89</v>
      </c>
      <c r="O2172" t="s">
        <v>121</v>
      </c>
      <c r="P2172" t="s">
        <v>49</v>
      </c>
      <c r="Q2172" t="s">
        <v>14103</v>
      </c>
      <c r="R2172" t="s">
        <v>14104</v>
      </c>
      <c r="S2172">
        <v>3830</v>
      </c>
      <c r="T2172" t="s">
        <v>52</v>
      </c>
      <c r="U2172">
        <v>5</v>
      </c>
      <c r="V2172" t="s">
        <v>4509</v>
      </c>
      <c r="W2172" t="s">
        <v>54</v>
      </c>
      <c r="X2172" t="s">
        <v>76</v>
      </c>
      <c r="Y2172" t="s">
        <v>125</v>
      </c>
      <c r="Z2172">
        <v>724</v>
      </c>
      <c r="AA2172">
        <v>100</v>
      </c>
      <c r="AB2172">
        <v>38</v>
      </c>
      <c r="AC2172" t="s">
        <v>4510</v>
      </c>
      <c r="AD2172" t="s">
        <v>4511</v>
      </c>
      <c r="AE2172" t="s">
        <v>4512</v>
      </c>
      <c r="AF2172" t="s">
        <v>4513</v>
      </c>
      <c r="AG2172" t="s">
        <v>14105</v>
      </c>
      <c r="AH2172" t="s">
        <v>14106</v>
      </c>
      <c r="AI2172" t="s">
        <v>4396</v>
      </c>
      <c r="AJ2172" s="2">
        <v>45710.740868055553</v>
      </c>
      <c r="AK2172" t="s">
        <v>132</v>
      </c>
      <c r="AL2172" t="s">
        <v>65</v>
      </c>
      <c r="AM2172" s="3">
        <v>1.7083333333333333</v>
      </c>
      <c r="AN2172" t="s">
        <v>66</v>
      </c>
      <c r="AO2172" t="s">
        <v>67</v>
      </c>
    </row>
    <row r="2173" spans="1:41" x14ac:dyDescent="0.2">
      <c r="A2173">
        <v>371763</v>
      </c>
      <c r="B2173" t="s">
        <v>14107</v>
      </c>
      <c r="C2173" t="s">
        <v>182</v>
      </c>
      <c r="D2173" t="s">
        <v>4385</v>
      </c>
      <c r="E2173" t="s">
        <v>14108</v>
      </c>
      <c r="F2173">
        <v>40693</v>
      </c>
      <c r="G2173" s="1">
        <v>45715</v>
      </c>
      <c r="H2173" s="1">
        <v>45719</v>
      </c>
      <c r="I2173" s="1">
        <v>46082</v>
      </c>
      <c r="J2173" t="s">
        <v>45</v>
      </c>
      <c r="K2173" t="s">
        <v>45</v>
      </c>
      <c r="L2173" t="s">
        <v>72</v>
      </c>
      <c r="M2173" s="1">
        <v>43676</v>
      </c>
      <c r="N2173" t="s">
        <v>89</v>
      </c>
      <c r="O2173" t="s">
        <v>121</v>
      </c>
      <c r="P2173" t="s">
        <v>49</v>
      </c>
      <c r="Q2173" t="s">
        <v>14109</v>
      </c>
      <c r="R2173" t="s">
        <v>14110</v>
      </c>
      <c r="S2173">
        <v>5363</v>
      </c>
      <c r="T2173" t="s">
        <v>52</v>
      </c>
      <c r="U2173">
        <v>5</v>
      </c>
      <c r="V2173" t="s">
        <v>4509</v>
      </c>
      <c r="W2173" t="s">
        <v>54</v>
      </c>
      <c r="X2173" t="s">
        <v>76</v>
      </c>
      <c r="Y2173" t="s">
        <v>125</v>
      </c>
      <c r="Z2173">
        <v>1528</v>
      </c>
      <c r="AA2173">
        <v>111</v>
      </c>
      <c r="AB2173">
        <v>210</v>
      </c>
      <c r="AC2173" t="s">
        <v>14111</v>
      </c>
      <c r="AD2173" t="s">
        <v>14112</v>
      </c>
      <c r="AE2173" t="s">
        <v>14113</v>
      </c>
      <c r="AF2173" t="s">
        <v>14114</v>
      </c>
      <c r="AG2173" t="s">
        <v>14115</v>
      </c>
      <c r="AH2173" t="s">
        <v>14116</v>
      </c>
      <c r="AI2173" t="s">
        <v>14117</v>
      </c>
      <c r="AJ2173" s="2">
        <v>45818.886238425926</v>
      </c>
      <c r="AK2173" t="s">
        <v>132</v>
      </c>
      <c r="AL2173" t="s">
        <v>65</v>
      </c>
      <c r="AM2173" s="3">
        <v>1.1597222222222223</v>
      </c>
      <c r="AN2173" t="s">
        <v>66</v>
      </c>
      <c r="AO2173" t="s">
        <v>67</v>
      </c>
    </row>
    <row r="2174" spans="1:41" x14ac:dyDescent="0.2">
      <c r="A2174">
        <v>372013</v>
      </c>
      <c r="B2174" t="s">
        <v>14118</v>
      </c>
      <c r="C2174" t="s">
        <v>182</v>
      </c>
      <c r="D2174" t="s">
        <v>13936</v>
      </c>
      <c r="E2174" t="s">
        <v>14119</v>
      </c>
      <c r="G2174" s="1">
        <v>45799</v>
      </c>
      <c r="H2174" s="1">
        <v>45673</v>
      </c>
      <c r="I2174" s="1">
        <v>46037</v>
      </c>
      <c r="J2174" t="s">
        <v>45</v>
      </c>
      <c r="K2174" t="s">
        <v>45</v>
      </c>
      <c r="L2174" t="s">
        <v>72</v>
      </c>
      <c r="M2174" s="1">
        <v>44044</v>
      </c>
      <c r="N2174" t="s">
        <v>89</v>
      </c>
      <c r="O2174" t="s">
        <v>121</v>
      </c>
      <c r="P2174" t="s">
        <v>49</v>
      </c>
      <c r="Q2174" t="s">
        <v>14120</v>
      </c>
      <c r="R2174" t="s">
        <v>14121</v>
      </c>
      <c r="S2174">
        <v>2663</v>
      </c>
      <c r="T2174" t="s">
        <v>52</v>
      </c>
      <c r="U2174">
        <v>5</v>
      </c>
      <c r="V2174" t="s">
        <v>4509</v>
      </c>
      <c r="W2174" t="s">
        <v>54</v>
      </c>
      <c r="X2174" t="s">
        <v>76</v>
      </c>
      <c r="Y2174" t="s">
        <v>125</v>
      </c>
      <c r="Z2174">
        <v>11046</v>
      </c>
      <c r="AA2174">
        <v>39</v>
      </c>
      <c r="AB2174">
        <v>160</v>
      </c>
      <c r="AC2174" t="s">
        <v>14111</v>
      </c>
      <c r="AD2174" t="s">
        <v>14112</v>
      </c>
      <c r="AE2174" t="s">
        <v>14122</v>
      </c>
      <c r="AF2174" t="s">
        <v>14123</v>
      </c>
      <c r="AG2174" t="s">
        <v>14124</v>
      </c>
      <c r="AH2174" t="s">
        <v>14125</v>
      </c>
      <c r="AI2174" t="s">
        <v>4396</v>
      </c>
      <c r="AJ2174" s="2">
        <v>45826.889664351853</v>
      </c>
      <c r="AK2174" t="s">
        <v>276</v>
      </c>
      <c r="AL2174" t="s">
        <v>65</v>
      </c>
      <c r="AM2174" s="4">
        <v>0.34722222222222221</v>
      </c>
      <c r="AN2174" t="s">
        <v>66</v>
      </c>
      <c r="AO2174" t="s">
        <v>67</v>
      </c>
    </row>
    <row r="2175" spans="1:41" x14ac:dyDescent="0.2">
      <c r="A2175">
        <v>367908</v>
      </c>
      <c r="B2175" t="s">
        <v>14126</v>
      </c>
      <c r="C2175" t="s">
        <v>103</v>
      </c>
      <c r="D2175" t="s">
        <v>134</v>
      </c>
      <c r="E2175" t="s">
        <v>14127</v>
      </c>
      <c r="F2175">
        <v>315201</v>
      </c>
      <c r="G2175" s="1">
        <v>37601</v>
      </c>
      <c r="H2175" s="1">
        <v>45687</v>
      </c>
      <c r="J2175" t="s">
        <v>45</v>
      </c>
      <c r="K2175" t="s">
        <v>326</v>
      </c>
      <c r="L2175" t="s">
        <v>72</v>
      </c>
      <c r="N2175" t="s">
        <v>47</v>
      </c>
      <c r="O2175" t="s">
        <v>48</v>
      </c>
      <c r="P2175" t="s">
        <v>49</v>
      </c>
      <c r="Q2175" t="s">
        <v>14128</v>
      </c>
      <c r="R2175" t="s">
        <v>14129</v>
      </c>
      <c r="S2175">
        <v>6</v>
      </c>
      <c r="T2175" t="s">
        <v>156</v>
      </c>
      <c r="U2175" t="s">
        <v>157</v>
      </c>
      <c r="V2175" t="s">
        <v>14130</v>
      </c>
      <c r="W2175" t="s">
        <v>159</v>
      </c>
      <c r="X2175" t="s">
        <v>156</v>
      </c>
      <c r="Y2175" t="s">
        <v>450</v>
      </c>
      <c r="Z2175">
        <v>1547</v>
      </c>
      <c r="AA2175">
        <v>33</v>
      </c>
      <c r="AB2175">
        <v>160</v>
      </c>
      <c r="AC2175" t="s">
        <v>4748</v>
      </c>
      <c r="AD2175" t="s">
        <v>14131</v>
      </c>
      <c r="AE2175" t="s">
        <v>4750</v>
      </c>
      <c r="AI2175" t="s">
        <v>14132</v>
      </c>
      <c r="AJ2175" s="2">
        <v>45693.795590277776</v>
      </c>
      <c r="AK2175" t="s">
        <v>526</v>
      </c>
      <c r="AL2175" t="s">
        <v>65</v>
      </c>
      <c r="AM2175" s="4">
        <v>0.73611111111111116</v>
      </c>
      <c r="AN2175" t="s">
        <v>66</v>
      </c>
      <c r="AO2175" t="s">
        <v>67</v>
      </c>
    </row>
    <row r="2176" spans="1:41" x14ac:dyDescent="0.2">
      <c r="A2176">
        <v>369753</v>
      </c>
      <c r="B2176" t="s">
        <v>14133</v>
      </c>
      <c r="C2176" t="s">
        <v>309</v>
      </c>
      <c r="D2176" t="s">
        <v>8509</v>
      </c>
      <c r="E2176" t="s">
        <v>14134</v>
      </c>
      <c r="G2176" s="1">
        <v>45689</v>
      </c>
      <c r="H2176" s="1">
        <v>45566</v>
      </c>
      <c r="J2176" t="s">
        <v>45</v>
      </c>
      <c r="K2176" t="s">
        <v>45</v>
      </c>
      <c r="L2176" t="s">
        <v>46</v>
      </c>
      <c r="N2176" t="s">
        <v>47</v>
      </c>
      <c r="O2176" t="s">
        <v>48</v>
      </c>
      <c r="P2176" t="s">
        <v>49</v>
      </c>
      <c r="Q2176" t="s">
        <v>14135</v>
      </c>
      <c r="R2176" t="s">
        <v>14136</v>
      </c>
      <c r="S2176">
        <v>182</v>
      </c>
      <c r="T2176" t="s">
        <v>92</v>
      </c>
      <c r="U2176" t="s">
        <v>313</v>
      </c>
      <c r="V2176" t="s">
        <v>314</v>
      </c>
      <c r="W2176" t="s">
        <v>315</v>
      </c>
      <c r="X2176" t="s">
        <v>92</v>
      </c>
      <c r="Y2176" t="s">
        <v>96</v>
      </c>
      <c r="Z2176">
        <v>12295</v>
      </c>
      <c r="AA2176">
        <v>6</v>
      </c>
      <c r="AB2176">
        <v>44</v>
      </c>
      <c r="AC2176" t="s">
        <v>316</v>
      </c>
      <c r="AD2176" t="s">
        <v>317</v>
      </c>
      <c r="AE2176" t="s">
        <v>318</v>
      </c>
      <c r="AF2176" t="s">
        <v>8548</v>
      </c>
      <c r="AG2176" t="s">
        <v>8549</v>
      </c>
      <c r="AH2176" t="s">
        <v>8550</v>
      </c>
      <c r="AJ2176" s="2">
        <v>45750.931527777779</v>
      </c>
      <c r="AK2176" t="s">
        <v>276</v>
      </c>
      <c r="AL2176" t="s">
        <v>65</v>
      </c>
      <c r="AM2176" s="3">
        <v>2.0034722222222223</v>
      </c>
      <c r="AN2176" t="s">
        <v>66</v>
      </c>
      <c r="AO2176" t="s">
        <v>67</v>
      </c>
    </row>
    <row r="2177" spans="1:41" x14ac:dyDescent="0.2">
      <c r="A2177">
        <v>369437</v>
      </c>
      <c r="B2177" t="s">
        <v>14137</v>
      </c>
      <c r="C2177" t="s">
        <v>979</v>
      </c>
      <c r="D2177" t="s">
        <v>14138</v>
      </c>
      <c r="E2177" t="s">
        <v>14139</v>
      </c>
      <c r="F2177">
        <v>32801</v>
      </c>
      <c r="G2177" s="1">
        <v>38099</v>
      </c>
      <c r="H2177" s="1">
        <v>45729</v>
      </c>
      <c r="I2177" s="1">
        <v>46082</v>
      </c>
      <c r="J2177" t="s">
        <v>45</v>
      </c>
      <c r="K2177" t="s">
        <v>326</v>
      </c>
      <c r="L2177" t="s">
        <v>72</v>
      </c>
      <c r="M2177" s="1">
        <v>42704</v>
      </c>
      <c r="N2177" t="s">
        <v>47</v>
      </c>
      <c r="O2177" t="s">
        <v>48</v>
      </c>
      <c r="P2177" t="s">
        <v>49</v>
      </c>
      <c r="Q2177" t="s">
        <v>14140</v>
      </c>
      <c r="R2177" t="s">
        <v>14141</v>
      </c>
      <c r="S2177">
        <v>389</v>
      </c>
      <c r="T2177" t="s">
        <v>92</v>
      </c>
      <c r="U2177" t="s">
        <v>2996</v>
      </c>
      <c r="V2177" t="s">
        <v>2997</v>
      </c>
      <c r="W2177" t="s">
        <v>2998</v>
      </c>
      <c r="X2177" t="s">
        <v>92</v>
      </c>
      <c r="Y2177" t="s">
        <v>110</v>
      </c>
      <c r="Z2177">
        <v>2564</v>
      </c>
      <c r="AA2177">
        <v>25</v>
      </c>
      <c r="AB2177">
        <v>158</v>
      </c>
      <c r="AC2177" t="s">
        <v>2999</v>
      </c>
      <c r="AD2177" t="s">
        <v>3000</v>
      </c>
      <c r="AE2177" t="s">
        <v>3001</v>
      </c>
      <c r="AF2177" t="s">
        <v>8436</v>
      </c>
      <c r="AG2177" t="s">
        <v>3003</v>
      </c>
      <c r="AH2177" t="s">
        <v>3004</v>
      </c>
      <c r="AJ2177" s="2">
        <v>45740.808333333334</v>
      </c>
      <c r="AK2177" t="s">
        <v>2999</v>
      </c>
      <c r="AL2177" t="s">
        <v>475</v>
      </c>
      <c r="AM2177" s="4">
        <v>0.44444444444444442</v>
      </c>
      <c r="AN2177" t="s">
        <v>66</v>
      </c>
      <c r="AO2177" t="s">
        <v>67</v>
      </c>
    </row>
    <row r="2178" spans="1:41" x14ac:dyDescent="0.2">
      <c r="A2178">
        <v>364125</v>
      </c>
      <c r="B2178" t="s">
        <v>14142</v>
      </c>
      <c r="C2178" t="s">
        <v>735</v>
      </c>
      <c r="D2178" t="s">
        <v>2922</v>
      </c>
      <c r="E2178" t="s">
        <v>14143</v>
      </c>
      <c r="F2178">
        <v>241519</v>
      </c>
      <c r="G2178" s="1">
        <v>34151</v>
      </c>
      <c r="H2178" s="1">
        <v>45525</v>
      </c>
      <c r="I2178" s="1">
        <v>46235</v>
      </c>
      <c r="J2178" t="s">
        <v>45</v>
      </c>
      <c r="K2178" t="s">
        <v>45</v>
      </c>
      <c r="L2178" t="s">
        <v>46</v>
      </c>
      <c r="M2178" s="1">
        <v>43661</v>
      </c>
      <c r="N2178" t="s">
        <v>47</v>
      </c>
      <c r="O2178" t="s">
        <v>48</v>
      </c>
      <c r="P2178" t="s">
        <v>49</v>
      </c>
      <c r="Q2178" t="s">
        <v>14144</v>
      </c>
      <c r="R2178" t="s">
        <v>14145</v>
      </c>
      <c r="S2178">
        <v>7897</v>
      </c>
      <c r="T2178" t="s">
        <v>52</v>
      </c>
      <c r="U2178">
        <v>1</v>
      </c>
      <c r="V2178" t="s">
        <v>2926</v>
      </c>
      <c r="W2178" t="s">
        <v>54</v>
      </c>
      <c r="X2178" t="s">
        <v>76</v>
      </c>
      <c r="Y2178" t="s">
        <v>56</v>
      </c>
      <c r="Z2178">
        <v>1007</v>
      </c>
      <c r="AA2178">
        <v>69</v>
      </c>
      <c r="AB2178">
        <v>166</v>
      </c>
      <c r="AC2178" t="s">
        <v>2927</v>
      </c>
      <c r="AD2178" t="s">
        <v>2928</v>
      </c>
      <c r="AE2178" t="s">
        <v>2929</v>
      </c>
      <c r="AF2178" t="s">
        <v>2930</v>
      </c>
      <c r="AG2178" t="s">
        <v>2931</v>
      </c>
      <c r="AH2178" t="s">
        <v>2932</v>
      </c>
      <c r="AI2178" t="s">
        <v>14146</v>
      </c>
      <c r="AJ2178" s="2">
        <v>45533.623518518521</v>
      </c>
      <c r="AK2178" t="s">
        <v>568</v>
      </c>
      <c r="AL2178" t="s">
        <v>65</v>
      </c>
      <c r="AM2178" s="3">
        <v>2.4722222222222223</v>
      </c>
      <c r="AN2178" t="s">
        <v>66</v>
      </c>
      <c r="AO2178" t="s">
        <v>67</v>
      </c>
    </row>
    <row r="2179" spans="1:41" x14ac:dyDescent="0.2">
      <c r="A2179">
        <v>364196</v>
      </c>
      <c r="B2179" t="s">
        <v>14147</v>
      </c>
      <c r="C2179" t="s">
        <v>167</v>
      </c>
      <c r="D2179" t="s">
        <v>3344</v>
      </c>
      <c r="E2179" t="s">
        <v>14148</v>
      </c>
      <c r="F2179">
        <v>351419</v>
      </c>
      <c r="G2179" s="1">
        <v>36719</v>
      </c>
      <c r="H2179" s="1">
        <v>45531</v>
      </c>
      <c r="I2179" s="1">
        <v>46266</v>
      </c>
      <c r="J2179" t="s">
        <v>45</v>
      </c>
      <c r="K2179" t="s">
        <v>45</v>
      </c>
      <c r="L2179" t="s">
        <v>72</v>
      </c>
      <c r="M2179" s="1">
        <v>41842</v>
      </c>
      <c r="N2179" t="s">
        <v>47</v>
      </c>
      <c r="O2179" t="s">
        <v>48</v>
      </c>
      <c r="P2179" t="s">
        <v>49</v>
      </c>
      <c r="Q2179" t="s">
        <v>14149</v>
      </c>
      <c r="R2179" t="s">
        <v>14150</v>
      </c>
      <c r="S2179">
        <v>6607</v>
      </c>
      <c r="T2179" t="s">
        <v>52</v>
      </c>
      <c r="U2179">
        <v>6</v>
      </c>
      <c r="V2179" t="s">
        <v>2875</v>
      </c>
      <c r="W2179" t="s">
        <v>54</v>
      </c>
      <c r="X2179" t="s">
        <v>76</v>
      </c>
      <c r="Y2179" t="s">
        <v>56</v>
      </c>
      <c r="Z2179">
        <v>872</v>
      </c>
      <c r="AA2179">
        <v>53</v>
      </c>
      <c r="AB2179">
        <v>28</v>
      </c>
      <c r="AC2179" t="s">
        <v>2876</v>
      </c>
      <c r="AD2179" t="s">
        <v>2877</v>
      </c>
      <c r="AE2179" t="s">
        <v>2878</v>
      </c>
      <c r="AF2179" t="s">
        <v>2879</v>
      </c>
      <c r="AG2179" t="s">
        <v>2880</v>
      </c>
      <c r="AH2179" t="s">
        <v>2881</v>
      </c>
      <c r="AI2179" t="s">
        <v>2882</v>
      </c>
      <c r="AJ2179" s="2">
        <v>45534.91542824074</v>
      </c>
      <c r="AK2179" t="s">
        <v>704</v>
      </c>
      <c r="AL2179" t="s">
        <v>65</v>
      </c>
      <c r="AM2179" s="4">
        <v>0.65277777777777779</v>
      </c>
      <c r="AN2179" t="s">
        <v>66</v>
      </c>
      <c r="AO2179" t="s">
        <v>67</v>
      </c>
    </row>
    <row r="2180" spans="1:41" x14ac:dyDescent="0.2">
      <c r="A2180">
        <v>365749</v>
      </c>
      <c r="B2180" t="s">
        <v>14151</v>
      </c>
      <c r="C2180" t="s">
        <v>692</v>
      </c>
      <c r="D2180" t="s">
        <v>2256</v>
      </c>
      <c r="E2180" t="s">
        <v>14152</v>
      </c>
      <c r="F2180">
        <v>481003</v>
      </c>
      <c r="G2180" s="1">
        <v>33822</v>
      </c>
      <c r="H2180" s="1">
        <v>45590</v>
      </c>
      <c r="I2180" s="1">
        <v>46296</v>
      </c>
      <c r="J2180" t="s">
        <v>45</v>
      </c>
      <c r="K2180" t="s">
        <v>45</v>
      </c>
      <c r="L2180" t="s">
        <v>72</v>
      </c>
      <c r="M2180" s="1">
        <v>42270</v>
      </c>
      <c r="N2180" t="s">
        <v>47</v>
      </c>
      <c r="O2180" t="s">
        <v>48</v>
      </c>
      <c r="P2180" t="s">
        <v>49</v>
      </c>
      <c r="Q2180" t="s">
        <v>14153</v>
      </c>
      <c r="R2180" t="s">
        <v>14154</v>
      </c>
      <c r="S2180">
        <v>6440</v>
      </c>
      <c r="T2180" t="s">
        <v>365</v>
      </c>
      <c r="U2180" t="s">
        <v>432</v>
      </c>
      <c r="V2180" t="s">
        <v>3668</v>
      </c>
      <c r="W2180" t="s">
        <v>367</v>
      </c>
      <c r="X2180" t="s">
        <v>76</v>
      </c>
      <c r="Y2180" t="s">
        <v>434</v>
      </c>
      <c r="Z2180">
        <v>376</v>
      </c>
      <c r="AA2180">
        <v>56</v>
      </c>
      <c r="AB2180">
        <v>38</v>
      </c>
      <c r="AC2180" t="s">
        <v>3669</v>
      </c>
      <c r="AD2180" t="s">
        <v>3670</v>
      </c>
      <c r="AE2180" t="s">
        <v>3671</v>
      </c>
      <c r="AF2180" t="s">
        <v>4528</v>
      </c>
      <c r="AG2180" t="s">
        <v>4529</v>
      </c>
      <c r="AH2180" t="s">
        <v>4530</v>
      </c>
      <c r="AI2180" t="s">
        <v>14155</v>
      </c>
      <c r="AJ2180" s="2">
        <v>45591.117210648146</v>
      </c>
      <c r="AK2180" t="s">
        <v>704</v>
      </c>
      <c r="AL2180" t="s">
        <v>65</v>
      </c>
      <c r="AM2180" s="3">
        <v>1.9305555555555556</v>
      </c>
      <c r="AN2180" t="s">
        <v>66</v>
      </c>
      <c r="AO2180" t="s">
        <v>67</v>
      </c>
    </row>
    <row r="2181" spans="1:41" x14ac:dyDescent="0.2">
      <c r="A2181">
        <v>372171</v>
      </c>
      <c r="B2181" t="s">
        <v>14156</v>
      </c>
      <c r="C2181" t="s">
        <v>69</v>
      </c>
      <c r="D2181" t="s">
        <v>3815</v>
      </c>
      <c r="E2181" t="s">
        <v>14157</v>
      </c>
      <c r="F2181">
        <v>103903</v>
      </c>
      <c r="G2181" s="1">
        <v>33051</v>
      </c>
      <c r="H2181" s="1">
        <v>45832</v>
      </c>
      <c r="I2181" s="1">
        <v>46188</v>
      </c>
      <c r="J2181" t="s">
        <v>45</v>
      </c>
      <c r="K2181" t="s">
        <v>45</v>
      </c>
      <c r="L2181" t="s">
        <v>72</v>
      </c>
      <c r="M2181" s="1">
        <v>41775</v>
      </c>
      <c r="N2181" t="s">
        <v>47</v>
      </c>
      <c r="O2181" t="s">
        <v>48</v>
      </c>
      <c r="P2181" t="s">
        <v>49</v>
      </c>
      <c r="Q2181" t="s">
        <v>14158</v>
      </c>
      <c r="R2181" t="s">
        <v>14159</v>
      </c>
      <c r="S2181">
        <v>6854</v>
      </c>
      <c r="T2181" t="s">
        <v>365</v>
      </c>
      <c r="U2181" t="s">
        <v>532</v>
      </c>
      <c r="V2181" t="s">
        <v>936</v>
      </c>
      <c r="W2181" t="s">
        <v>367</v>
      </c>
      <c r="X2181" t="s">
        <v>76</v>
      </c>
      <c r="Y2181" t="s">
        <v>434</v>
      </c>
      <c r="Z2181">
        <v>173</v>
      </c>
      <c r="AA2181">
        <v>60</v>
      </c>
      <c r="AB2181">
        <v>158</v>
      </c>
      <c r="AC2181" t="s">
        <v>937</v>
      </c>
      <c r="AD2181" t="s">
        <v>938</v>
      </c>
      <c r="AE2181" t="s">
        <v>939</v>
      </c>
      <c r="AI2181" t="s">
        <v>179</v>
      </c>
      <c r="AJ2181" s="2">
        <v>45832.953275462962</v>
      </c>
      <c r="AK2181" t="s">
        <v>276</v>
      </c>
      <c r="AL2181" t="s">
        <v>65</v>
      </c>
      <c r="AM2181" s="3">
        <v>1.9444444444444444</v>
      </c>
      <c r="AN2181" t="s">
        <v>66</v>
      </c>
      <c r="AO2181" t="s">
        <v>67</v>
      </c>
    </row>
    <row r="2182" spans="1:41" x14ac:dyDescent="0.2">
      <c r="A2182">
        <v>366011</v>
      </c>
      <c r="B2182" t="s">
        <v>14160</v>
      </c>
      <c r="C2182" t="s">
        <v>558</v>
      </c>
      <c r="D2182" t="s">
        <v>746</v>
      </c>
      <c r="E2182" t="s">
        <v>14161</v>
      </c>
      <c r="F2182">
        <v>260302</v>
      </c>
      <c r="G2182" s="1">
        <v>40484</v>
      </c>
      <c r="H2182" s="1">
        <v>45593</v>
      </c>
      <c r="I2182" s="1">
        <v>46174</v>
      </c>
      <c r="J2182" t="s">
        <v>45</v>
      </c>
      <c r="K2182" t="s">
        <v>326</v>
      </c>
      <c r="L2182" t="s">
        <v>72</v>
      </c>
      <c r="M2182" s="1">
        <v>44466</v>
      </c>
      <c r="N2182" t="s">
        <v>47</v>
      </c>
      <c r="O2182" t="s">
        <v>48</v>
      </c>
      <c r="P2182" t="s">
        <v>49</v>
      </c>
      <c r="Q2182" t="s">
        <v>14162</v>
      </c>
      <c r="R2182" t="s">
        <v>14163</v>
      </c>
      <c r="S2182">
        <v>8502</v>
      </c>
      <c r="T2182" t="s">
        <v>52</v>
      </c>
      <c r="U2182">
        <v>4</v>
      </c>
      <c r="V2182" t="s">
        <v>1271</v>
      </c>
      <c r="W2182" t="s">
        <v>54</v>
      </c>
      <c r="X2182" t="s">
        <v>76</v>
      </c>
      <c r="Y2182" t="s">
        <v>56</v>
      </c>
      <c r="Z2182">
        <v>3100</v>
      </c>
      <c r="AA2182">
        <v>36</v>
      </c>
      <c r="AB2182">
        <v>38</v>
      </c>
      <c r="AC2182" t="s">
        <v>14164</v>
      </c>
      <c r="AD2182" t="s">
        <v>14165</v>
      </c>
      <c r="AE2182" t="s">
        <v>14166</v>
      </c>
      <c r="AF2182" t="s">
        <v>14167</v>
      </c>
      <c r="AG2182" t="s">
        <v>14168</v>
      </c>
      <c r="AH2182" t="s">
        <v>8478</v>
      </c>
      <c r="AI2182" t="s">
        <v>14169</v>
      </c>
      <c r="AJ2182" s="2">
        <v>45600.764062499999</v>
      </c>
      <c r="AK2182" t="s">
        <v>180</v>
      </c>
      <c r="AL2182" t="s">
        <v>65</v>
      </c>
      <c r="AM2182" s="3">
        <v>1.7222222222222223</v>
      </c>
      <c r="AN2182" t="s">
        <v>66</v>
      </c>
      <c r="AO2182" t="s">
        <v>67</v>
      </c>
    </row>
    <row r="2183" spans="1:41" x14ac:dyDescent="0.2">
      <c r="A2183">
        <v>372904</v>
      </c>
      <c r="B2183" t="s">
        <v>14160</v>
      </c>
      <c r="C2183" t="s">
        <v>69</v>
      </c>
      <c r="D2183" t="s">
        <v>3278</v>
      </c>
      <c r="E2183" t="s">
        <v>14170</v>
      </c>
      <c r="F2183">
        <v>103210</v>
      </c>
      <c r="G2183" s="1">
        <v>33015</v>
      </c>
      <c r="H2183" s="1">
        <v>45791</v>
      </c>
      <c r="I2183" s="1">
        <v>46218</v>
      </c>
      <c r="J2183" t="s">
        <v>45</v>
      </c>
      <c r="K2183" t="s">
        <v>45</v>
      </c>
      <c r="L2183" t="s">
        <v>429</v>
      </c>
      <c r="M2183" s="1">
        <v>42460</v>
      </c>
      <c r="N2183" t="s">
        <v>47</v>
      </c>
      <c r="O2183" t="s">
        <v>48</v>
      </c>
      <c r="P2183" t="s">
        <v>49</v>
      </c>
      <c r="Q2183" t="s">
        <v>14171</v>
      </c>
      <c r="R2183" t="s">
        <v>14172</v>
      </c>
      <c r="S2183">
        <v>5660</v>
      </c>
      <c r="T2183" t="s">
        <v>365</v>
      </c>
      <c r="U2183" t="s">
        <v>532</v>
      </c>
      <c r="V2183" t="s">
        <v>3282</v>
      </c>
      <c r="W2183" t="s">
        <v>367</v>
      </c>
      <c r="X2183" t="s">
        <v>76</v>
      </c>
      <c r="Y2183" t="s">
        <v>434</v>
      </c>
      <c r="Z2183">
        <v>156</v>
      </c>
      <c r="AA2183">
        <v>54</v>
      </c>
      <c r="AB2183">
        <v>158</v>
      </c>
      <c r="AC2183" t="s">
        <v>3283</v>
      </c>
      <c r="AD2183" t="s">
        <v>3284</v>
      </c>
      <c r="AE2183" t="s">
        <v>14173</v>
      </c>
      <c r="AI2183" t="s">
        <v>179</v>
      </c>
      <c r="AJ2183" s="2">
        <v>45855.883912037039</v>
      </c>
      <c r="AK2183" t="s">
        <v>556</v>
      </c>
      <c r="AL2183" t="s">
        <v>65</v>
      </c>
      <c r="AM2183" s="3">
        <v>1.7569444444444444</v>
      </c>
      <c r="AN2183" t="s">
        <v>66</v>
      </c>
      <c r="AO2183" t="s">
        <v>67</v>
      </c>
    </row>
    <row r="2184" spans="1:41" x14ac:dyDescent="0.2">
      <c r="A2184">
        <v>370157</v>
      </c>
      <c r="B2184" t="s">
        <v>14174</v>
      </c>
      <c r="C2184" t="s">
        <v>692</v>
      </c>
      <c r="D2184" t="s">
        <v>413</v>
      </c>
      <c r="E2184" t="s">
        <v>14175</v>
      </c>
      <c r="F2184">
        <v>482107</v>
      </c>
      <c r="G2184" s="1">
        <v>42156</v>
      </c>
      <c r="H2184" s="1">
        <v>45588</v>
      </c>
      <c r="I2184" s="1">
        <v>45931</v>
      </c>
      <c r="J2184" t="s">
        <v>45</v>
      </c>
      <c r="K2184" t="s">
        <v>45</v>
      </c>
      <c r="L2184" t="s">
        <v>72</v>
      </c>
      <c r="N2184" t="s">
        <v>47</v>
      </c>
      <c r="O2184" t="s">
        <v>48</v>
      </c>
      <c r="P2184" t="s">
        <v>49</v>
      </c>
      <c r="Q2184" t="s">
        <v>14176</v>
      </c>
      <c r="R2184" t="s">
        <v>14177</v>
      </c>
      <c r="S2184">
        <v>8530</v>
      </c>
      <c r="T2184" t="s">
        <v>52</v>
      </c>
      <c r="U2184">
        <v>2</v>
      </c>
      <c r="V2184" t="s">
        <v>7146</v>
      </c>
      <c r="W2184" t="s">
        <v>54</v>
      </c>
      <c r="X2184" t="s">
        <v>76</v>
      </c>
      <c r="Y2184" t="s">
        <v>56</v>
      </c>
      <c r="Z2184">
        <v>7486</v>
      </c>
      <c r="AA2184">
        <v>28</v>
      </c>
      <c r="AB2184">
        <v>28</v>
      </c>
      <c r="AC2184" t="s">
        <v>6674</v>
      </c>
      <c r="AD2184" t="s">
        <v>6675</v>
      </c>
      <c r="AE2184" t="s">
        <v>6676</v>
      </c>
      <c r="AF2184" t="s">
        <v>11845</v>
      </c>
      <c r="AG2184" t="s">
        <v>11846</v>
      </c>
      <c r="AH2184" t="s">
        <v>11847</v>
      </c>
      <c r="AI2184" t="s">
        <v>179</v>
      </c>
      <c r="AJ2184" s="2">
        <v>45764.615706018521</v>
      </c>
      <c r="AK2184" t="s">
        <v>11845</v>
      </c>
      <c r="AL2184" t="s">
        <v>65</v>
      </c>
      <c r="AM2184" s="3">
        <v>1.1458333333333333</v>
      </c>
      <c r="AN2184" t="s">
        <v>66</v>
      </c>
      <c r="AO2184" t="s">
        <v>67</v>
      </c>
    </row>
    <row r="2185" spans="1:41" x14ac:dyDescent="0.2">
      <c r="A2185">
        <v>363641</v>
      </c>
      <c r="B2185" t="s">
        <v>14178</v>
      </c>
      <c r="C2185" t="s">
        <v>735</v>
      </c>
      <c r="D2185" t="s">
        <v>2790</v>
      </c>
      <c r="E2185" t="s">
        <v>14179</v>
      </c>
      <c r="F2185">
        <v>240210</v>
      </c>
      <c r="G2185" s="1">
        <v>37804</v>
      </c>
      <c r="H2185" s="1">
        <v>45504</v>
      </c>
      <c r="I2185" s="1">
        <v>46218</v>
      </c>
      <c r="J2185" t="s">
        <v>45</v>
      </c>
      <c r="K2185" t="s">
        <v>45</v>
      </c>
      <c r="L2185" t="s">
        <v>72</v>
      </c>
      <c r="M2185" s="1">
        <v>40015</v>
      </c>
      <c r="N2185" t="s">
        <v>47</v>
      </c>
      <c r="O2185" t="s">
        <v>48</v>
      </c>
      <c r="P2185" t="s">
        <v>49</v>
      </c>
      <c r="Q2185" t="s">
        <v>14180</v>
      </c>
      <c r="R2185" t="s">
        <v>14181</v>
      </c>
      <c r="S2185">
        <v>3574</v>
      </c>
      <c r="T2185" t="s">
        <v>257</v>
      </c>
      <c r="U2185" t="s">
        <v>283</v>
      </c>
      <c r="V2185" t="s">
        <v>7378</v>
      </c>
      <c r="W2185" t="s">
        <v>260</v>
      </c>
      <c r="X2185" t="s">
        <v>257</v>
      </c>
      <c r="Y2185" t="s">
        <v>110</v>
      </c>
      <c r="Z2185">
        <v>2028</v>
      </c>
      <c r="AA2185">
        <v>38</v>
      </c>
      <c r="AB2185">
        <v>210</v>
      </c>
      <c r="AC2185" t="s">
        <v>7379</v>
      </c>
      <c r="AD2185" t="s">
        <v>7380</v>
      </c>
      <c r="AE2185" t="s">
        <v>7381</v>
      </c>
      <c r="AI2185" t="s">
        <v>7380</v>
      </c>
      <c r="AJ2185" s="2">
        <v>45518.802083333336</v>
      </c>
      <c r="AK2185" t="s">
        <v>7382</v>
      </c>
      <c r="AL2185" t="s">
        <v>65</v>
      </c>
      <c r="AM2185" s="3">
        <v>2.2083333333333335</v>
      </c>
      <c r="AN2185" t="s">
        <v>66</v>
      </c>
      <c r="AO2185" t="s">
        <v>67</v>
      </c>
    </row>
    <row r="2186" spans="1:41" x14ac:dyDescent="0.2">
      <c r="A2186">
        <v>372722</v>
      </c>
      <c r="B2186" t="s">
        <v>14182</v>
      </c>
      <c r="C2186" t="s">
        <v>345</v>
      </c>
      <c r="D2186" t="s">
        <v>1315</v>
      </c>
      <c r="E2186" t="s">
        <v>14183</v>
      </c>
      <c r="F2186">
        <v>53103</v>
      </c>
      <c r="G2186" s="1">
        <v>41183</v>
      </c>
      <c r="H2186" s="1">
        <v>45551</v>
      </c>
      <c r="I2186" s="1">
        <v>46218</v>
      </c>
      <c r="J2186" t="s">
        <v>45</v>
      </c>
      <c r="K2186" t="s">
        <v>45</v>
      </c>
      <c r="L2186" t="s">
        <v>72</v>
      </c>
      <c r="M2186" s="1">
        <v>41102</v>
      </c>
      <c r="N2186" t="s">
        <v>47</v>
      </c>
      <c r="O2186" t="s">
        <v>48</v>
      </c>
      <c r="P2186" t="s">
        <v>49</v>
      </c>
      <c r="Q2186" t="s">
        <v>14184</v>
      </c>
      <c r="R2186" t="s">
        <v>14185</v>
      </c>
      <c r="S2186">
        <v>8683</v>
      </c>
      <c r="T2186" t="s">
        <v>52</v>
      </c>
      <c r="U2186">
        <v>2</v>
      </c>
      <c r="V2186" t="s">
        <v>1522</v>
      </c>
      <c r="W2186" t="s">
        <v>54</v>
      </c>
      <c r="X2186" t="s">
        <v>55</v>
      </c>
      <c r="Y2186" t="s">
        <v>56</v>
      </c>
      <c r="Z2186">
        <v>2249</v>
      </c>
      <c r="AA2186">
        <v>47</v>
      </c>
      <c r="AB2186">
        <v>158</v>
      </c>
      <c r="AC2186" t="s">
        <v>1523</v>
      </c>
      <c r="AD2186" t="s">
        <v>1524</v>
      </c>
      <c r="AE2186" t="s">
        <v>1525</v>
      </c>
      <c r="AF2186" t="s">
        <v>1526</v>
      </c>
      <c r="AG2186" t="s">
        <v>1527</v>
      </c>
      <c r="AH2186" t="s">
        <v>1528</v>
      </c>
      <c r="AI2186" t="s">
        <v>1529</v>
      </c>
      <c r="AJ2186" s="2">
        <v>45852.482071759259</v>
      </c>
      <c r="AK2186" t="s">
        <v>132</v>
      </c>
      <c r="AL2186" t="s">
        <v>65</v>
      </c>
      <c r="AM2186" s="3">
        <v>2.2638888888888888</v>
      </c>
      <c r="AN2186" t="s">
        <v>66</v>
      </c>
      <c r="AO2186" t="s">
        <v>67</v>
      </c>
    </row>
    <row r="2187" spans="1:41" x14ac:dyDescent="0.2">
      <c r="A2187">
        <v>372788</v>
      </c>
      <c r="B2187" t="s">
        <v>14186</v>
      </c>
      <c r="C2187" t="s">
        <v>167</v>
      </c>
      <c r="D2187" t="s">
        <v>8708</v>
      </c>
      <c r="E2187">
        <v>32477262</v>
      </c>
      <c r="F2187">
        <v>350912</v>
      </c>
      <c r="G2187" s="1">
        <v>29668</v>
      </c>
      <c r="H2187" s="1">
        <v>45827</v>
      </c>
      <c r="I2187" s="1">
        <v>46174</v>
      </c>
      <c r="J2187" t="s">
        <v>45</v>
      </c>
      <c r="K2187" t="s">
        <v>45</v>
      </c>
      <c r="L2187" t="s">
        <v>46</v>
      </c>
      <c r="M2187" s="1">
        <v>45211</v>
      </c>
      <c r="N2187" t="s">
        <v>47</v>
      </c>
      <c r="O2187" t="s">
        <v>48</v>
      </c>
      <c r="P2187" t="s">
        <v>49</v>
      </c>
      <c r="Q2187" t="s">
        <v>14187</v>
      </c>
      <c r="R2187" t="s">
        <v>14188</v>
      </c>
      <c r="S2187">
        <v>3362</v>
      </c>
      <c r="T2187" t="s">
        <v>52</v>
      </c>
      <c r="U2187">
        <v>6</v>
      </c>
      <c r="V2187" t="s">
        <v>11237</v>
      </c>
      <c r="W2187" t="s">
        <v>54</v>
      </c>
      <c r="X2187" t="s">
        <v>76</v>
      </c>
      <c r="Y2187" t="s">
        <v>56</v>
      </c>
      <c r="Z2187">
        <v>792</v>
      </c>
      <c r="AA2187">
        <v>54</v>
      </c>
      <c r="AB2187">
        <v>160</v>
      </c>
      <c r="AC2187" t="s">
        <v>3548</v>
      </c>
      <c r="AD2187" t="s">
        <v>3549</v>
      </c>
      <c r="AE2187" t="s">
        <v>3550</v>
      </c>
      <c r="AF2187" t="s">
        <v>4330</v>
      </c>
      <c r="AG2187" t="s">
        <v>3552</v>
      </c>
      <c r="AH2187" t="s">
        <v>3553</v>
      </c>
      <c r="AI2187" t="s">
        <v>179</v>
      </c>
      <c r="AJ2187" s="2">
        <v>45853.762465277781</v>
      </c>
      <c r="AK2187" t="s">
        <v>3554</v>
      </c>
      <c r="AL2187" t="s">
        <v>65</v>
      </c>
      <c r="AM2187" s="4">
        <v>0.2986111111111111</v>
      </c>
      <c r="AN2187" t="s">
        <v>66</v>
      </c>
      <c r="AO2187" t="s">
        <v>67</v>
      </c>
    </row>
    <row r="2188" spans="1:41" x14ac:dyDescent="0.2">
      <c r="A2188">
        <v>372728</v>
      </c>
      <c r="B2188" t="s">
        <v>14189</v>
      </c>
      <c r="C2188" t="s">
        <v>735</v>
      </c>
      <c r="D2188" t="s">
        <v>2922</v>
      </c>
      <c r="E2188" t="s">
        <v>14190</v>
      </c>
      <c r="F2188">
        <v>241512</v>
      </c>
      <c r="G2188" s="1">
        <v>41109</v>
      </c>
      <c r="H2188" s="1">
        <v>45525</v>
      </c>
      <c r="I2188" s="1">
        <v>46235</v>
      </c>
      <c r="J2188" t="s">
        <v>45</v>
      </c>
      <c r="K2188" t="s">
        <v>45</v>
      </c>
      <c r="L2188" t="s">
        <v>46</v>
      </c>
      <c r="M2188" s="1">
        <v>42586</v>
      </c>
      <c r="N2188" t="s">
        <v>47</v>
      </c>
      <c r="O2188" t="s">
        <v>48</v>
      </c>
      <c r="P2188" t="s">
        <v>49</v>
      </c>
      <c r="Q2188" t="s">
        <v>14191</v>
      </c>
      <c r="R2188" t="s">
        <v>14192</v>
      </c>
      <c r="S2188">
        <v>5510</v>
      </c>
      <c r="T2188" t="s">
        <v>52</v>
      </c>
      <c r="U2188">
        <v>1</v>
      </c>
      <c r="V2188" t="s">
        <v>2443</v>
      </c>
      <c r="W2188" t="s">
        <v>54</v>
      </c>
      <c r="X2188" t="s">
        <v>76</v>
      </c>
      <c r="Y2188" t="s">
        <v>56</v>
      </c>
      <c r="Z2188">
        <v>4006</v>
      </c>
      <c r="AA2188">
        <v>39</v>
      </c>
      <c r="AB2188">
        <v>30</v>
      </c>
      <c r="AC2188" t="s">
        <v>2794</v>
      </c>
      <c r="AD2188" t="s">
        <v>2795</v>
      </c>
      <c r="AE2188" t="s">
        <v>2796</v>
      </c>
      <c r="AF2188" t="s">
        <v>2797</v>
      </c>
      <c r="AG2188" t="s">
        <v>2798</v>
      </c>
      <c r="AH2188" t="s">
        <v>2799</v>
      </c>
      <c r="AI2188" t="s">
        <v>5474</v>
      </c>
      <c r="AJ2188" s="2">
        <v>45852.626388888886</v>
      </c>
      <c r="AK2188" t="s">
        <v>132</v>
      </c>
      <c r="AL2188" t="s">
        <v>65</v>
      </c>
      <c r="AM2188" s="3">
        <v>1.6180555555555556</v>
      </c>
      <c r="AN2188" t="s">
        <v>66</v>
      </c>
      <c r="AO2188" t="s">
        <v>67</v>
      </c>
    </row>
    <row r="2189" spans="1:41" x14ac:dyDescent="0.2">
      <c r="A2189">
        <v>372321</v>
      </c>
      <c r="B2189" t="s">
        <v>14193</v>
      </c>
      <c r="C2189" t="s">
        <v>323</v>
      </c>
      <c r="D2189" t="s">
        <v>372</v>
      </c>
      <c r="E2189" t="s">
        <v>14194</v>
      </c>
      <c r="F2189">
        <v>500618</v>
      </c>
      <c r="G2189" s="1">
        <v>36652</v>
      </c>
      <c r="H2189" s="1">
        <v>45795</v>
      </c>
      <c r="I2189" s="1">
        <v>46037</v>
      </c>
      <c r="J2189" t="s">
        <v>45</v>
      </c>
      <c r="K2189" t="s">
        <v>45</v>
      </c>
      <c r="L2189" t="s">
        <v>72</v>
      </c>
      <c r="M2189" s="1">
        <v>45422</v>
      </c>
      <c r="N2189" t="s">
        <v>47</v>
      </c>
      <c r="O2189" t="s">
        <v>48</v>
      </c>
      <c r="P2189" t="s">
        <v>49</v>
      </c>
      <c r="Q2189" t="s">
        <v>14195</v>
      </c>
      <c r="R2189" t="s">
        <v>14196</v>
      </c>
      <c r="S2189">
        <v>935</v>
      </c>
      <c r="T2189" t="s">
        <v>365</v>
      </c>
      <c r="U2189" t="s">
        <v>366</v>
      </c>
      <c r="V2189" t="s">
        <v>330</v>
      </c>
      <c r="W2189" t="s">
        <v>367</v>
      </c>
      <c r="X2189" t="s">
        <v>76</v>
      </c>
      <c r="Y2189" t="s">
        <v>110</v>
      </c>
      <c r="Z2189">
        <v>36</v>
      </c>
      <c r="AA2189">
        <v>36</v>
      </c>
      <c r="AB2189">
        <v>158</v>
      </c>
      <c r="AC2189" t="s">
        <v>368</v>
      </c>
      <c r="AD2189" t="s">
        <v>369</v>
      </c>
      <c r="AE2189" t="s">
        <v>370</v>
      </c>
      <c r="AF2189" t="s">
        <v>384</v>
      </c>
      <c r="AG2189" t="s">
        <v>385</v>
      </c>
      <c r="AH2189" t="s">
        <v>386</v>
      </c>
      <c r="AJ2189" s="2">
        <v>45838.502002314817</v>
      </c>
      <c r="AK2189" t="s">
        <v>132</v>
      </c>
      <c r="AL2189" t="s">
        <v>65</v>
      </c>
      <c r="AM2189" s="4">
        <v>0.8125</v>
      </c>
      <c r="AN2189" t="s">
        <v>66</v>
      </c>
      <c r="AO2189" t="s">
        <v>67</v>
      </c>
    </row>
    <row r="2190" spans="1:41" x14ac:dyDescent="0.2">
      <c r="A2190">
        <v>372327</v>
      </c>
      <c r="B2190" t="s">
        <v>14197</v>
      </c>
      <c r="C2190" t="s">
        <v>735</v>
      </c>
      <c r="D2190" t="s">
        <v>14198</v>
      </c>
      <c r="E2190">
        <v>52103570</v>
      </c>
      <c r="F2190">
        <v>242501</v>
      </c>
      <c r="G2190" s="1">
        <v>38647</v>
      </c>
      <c r="H2190" s="1">
        <v>45832</v>
      </c>
      <c r="I2190" s="1">
        <v>46174</v>
      </c>
      <c r="J2190" t="s">
        <v>45</v>
      </c>
      <c r="K2190" t="s">
        <v>45</v>
      </c>
      <c r="L2190" t="s">
        <v>72</v>
      </c>
      <c r="N2190" t="s">
        <v>47</v>
      </c>
      <c r="O2190" t="s">
        <v>48</v>
      </c>
      <c r="P2190" t="s">
        <v>49</v>
      </c>
      <c r="Q2190" t="s">
        <v>14199</v>
      </c>
      <c r="R2190" t="s">
        <v>14200</v>
      </c>
      <c r="S2190">
        <v>2181</v>
      </c>
      <c r="T2190" t="s">
        <v>296</v>
      </c>
      <c r="U2190" t="s">
        <v>1487</v>
      </c>
      <c r="V2190" t="s">
        <v>14201</v>
      </c>
      <c r="W2190" t="s">
        <v>299</v>
      </c>
      <c r="X2190" t="s">
        <v>76</v>
      </c>
      <c r="Y2190" t="s">
        <v>56</v>
      </c>
      <c r="Z2190">
        <v>200</v>
      </c>
      <c r="AA2190">
        <v>50</v>
      </c>
      <c r="AB2190">
        <v>144</v>
      </c>
      <c r="AC2190" t="s">
        <v>14202</v>
      </c>
      <c r="AD2190" t="s">
        <v>14203</v>
      </c>
      <c r="AE2190" t="s">
        <v>14204</v>
      </c>
      <c r="AI2190" t="s">
        <v>1494</v>
      </c>
      <c r="AJ2190" s="2">
        <v>45838.58184027778</v>
      </c>
      <c r="AK2190" t="s">
        <v>540</v>
      </c>
      <c r="AL2190" t="s">
        <v>65</v>
      </c>
      <c r="AM2190" s="4">
        <v>0.78472222222222221</v>
      </c>
      <c r="AN2190" t="s">
        <v>809</v>
      </c>
      <c r="AO2190" t="s">
        <v>67</v>
      </c>
    </row>
    <row r="2191" spans="1:41" x14ac:dyDescent="0.2">
      <c r="A2191">
        <v>368868</v>
      </c>
      <c r="B2191" t="s">
        <v>14205</v>
      </c>
      <c r="C2191" t="s">
        <v>182</v>
      </c>
      <c r="D2191" t="s">
        <v>779</v>
      </c>
      <c r="E2191" t="s">
        <v>14206</v>
      </c>
      <c r="F2191">
        <v>45632</v>
      </c>
      <c r="G2191" s="1">
        <v>39721</v>
      </c>
      <c r="H2191" s="1">
        <v>45712</v>
      </c>
      <c r="I2191" s="1">
        <v>46068</v>
      </c>
      <c r="J2191" t="s">
        <v>45</v>
      </c>
      <c r="K2191" t="s">
        <v>45</v>
      </c>
      <c r="L2191" t="s">
        <v>429</v>
      </c>
      <c r="M2191" s="1">
        <v>41535</v>
      </c>
      <c r="N2191" t="s">
        <v>47</v>
      </c>
      <c r="O2191" t="s">
        <v>48</v>
      </c>
      <c r="P2191" t="s">
        <v>49</v>
      </c>
      <c r="Q2191" t="s">
        <v>14207</v>
      </c>
      <c r="R2191" t="s">
        <v>14208</v>
      </c>
      <c r="S2191">
        <v>3830</v>
      </c>
      <c r="T2191" t="s">
        <v>365</v>
      </c>
      <c r="U2191" t="s">
        <v>815</v>
      </c>
      <c r="V2191" t="s">
        <v>816</v>
      </c>
      <c r="W2191" t="s">
        <v>367</v>
      </c>
      <c r="X2191" t="s">
        <v>493</v>
      </c>
      <c r="Y2191" t="s">
        <v>434</v>
      </c>
      <c r="Z2191">
        <v>1522</v>
      </c>
      <c r="AA2191">
        <v>75</v>
      </c>
      <c r="AB2191">
        <v>66</v>
      </c>
      <c r="AC2191" t="s">
        <v>4600</v>
      </c>
      <c r="AD2191" t="s">
        <v>818</v>
      </c>
      <c r="AE2191" t="s">
        <v>819</v>
      </c>
      <c r="AI2191" t="s">
        <v>179</v>
      </c>
      <c r="AJ2191" s="2">
        <v>45722.883136574077</v>
      </c>
      <c r="AK2191" t="s">
        <v>1472</v>
      </c>
      <c r="AL2191" t="s">
        <v>65</v>
      </c>
      <c r="AM2191" s="4">
        <v>0.61111111111111116</v>
      </c>
      <c r="AN2191" t="s">
        <v>66</v>
      </c>
      <c r="AO2191" t="s">
        <v>67</v>
      </c>
    </row>
    <row r="2192" spans="1:41" x14ac:dyDescent="0.2">
      <c r="A2192">
        <v>371150</v>
      </c>
      <c r="B2192" t="s">
        <v>14209</v>
      </c>
      <c r="C2192" t="s">
        <v>182</v>
      </c>
      <c r="D2192" t="s">
        <v>183</v>
      </c>
      <c r="E2192" t="s">
        <v>14210</v>
      </c>
      <c r="F2192">
        <v>45440</v>
      </c>
      <c r="G2192" s="1">
        <v>34876</v>
      </c>
      <c r="H2192" s="1">
        <v>45686</v>
      </c>
      <c r="I2192" s="1">
        <v>46037</v>
      </c>
      <c r="J2192" t="s">
        <v>45</v>
      </c>
      <c r="K2192" t="s">
        <v>45</v>
      </c>
      <c r="L2192" t="s">
        <v>72</v>
      </c>
      <c r="M2192" s="1">
        <v>41445</v>
      </c>
      <c r="N2192" t="s">
        <v>47</v>
      </c>
      <c r="O2192" t="s">
        <v>48</v>
      </c>
      <c r="P2192" t="s">
        <v>49</v>
      </c>
      <c r="Q2192" t="s">
        <v>14211</v>
      </c>
      <c r="R2192" t="s">
        <v>14212</v>
      </c>
      <c r="S2192">
        <v>2760</v>
      </c>
      <c r="T2192" t="s">
        <v>92</v>
      </c>
      <c r="U2192" t="s">
        <v>187</v>
      </c>
      <c r="V2192" t="s">
        <v>188</v>
      </c>
      <c r="W2192" t="s">
        <v>189</v>
      </c>
      <c r="X2192" t="s">
        <v>92</v>
      </c>
      <c r="Y2192" t="s">
        <v>110</v>
      </c>
      <c r="Z2192">
        <v>1409</v>
      </c>
      <c r="AA2192">
        <v>60</v>
      </c>
      <c r="AB2192">
        <v>38</v>
      </c>
      <c r="AC2192" t="s">
        <v>190</v>
      </c>
      <c r="AD2192" t="s">
        <v>191</v>
      </c>
      <c r="AE2192" t="s">
        <v>192</v>
      </c>
      <c r="AF2192" t="s">
        <v>193</v>
      </c>
      <c r="AG2192" t="s">
        <v>10727</v>
      </c>
      <c r="AH2192" t="s">
        <v>195</v>
      </c>
      <c r="AJ2192" s="2">
        <v>45797.726469907408</v>
      </c>
      <c r="AK2192" t="s">
        <v>193</v>
      </c>
      <c r="AL2192" t="s">
        <v>65</v>
      </c>
      <c r="AM2192" s="3">
        <v>2.3541666666666665</v>
      </c>
      <c r="AN2192" t="s">
        <v>66</v>
      </c>
      <c r="AO2192" t="s">
        <v>67</v>
      </c>
    </row>
    <row r="2193" spans="1:41" x14ac:dyDescent="0.2">
      <c r="A2193">
        <v>373040</v>
      </c>
      <c r="B2193" t="s">
        <v>14213</v>
      </c>
      <c r="C2193" t="s">
        <v>1565</v>
      </c>
      <c r="D2193" t="s">
        <v>14214</v>
      </c>
      <c r="E2193">
        <v>52111166</v>
      </c>
      <c r="F2193">
        <v>395202</v>
      </c>
      <c r="G2193" s="1">
        <v>33765</v>
      </c>
      <c r="H2193" s="1">
        <v>45520</v>
      </c>
      <c r="I2193" s="1">
        <v>46266</v>
      </c>
      <c r="J2193" t="s">
        <v>45</v>
      </c>
      <c r="K2193" t="s">
        <v>45</v>
      </c>
      <c r="L2193" t="s">
        <v>429</v>
      </c>
      <c r="M2193" s="1">
        <v>45101</v>
      </c>
      <c r="N2193" t="s">
        <v>47</v>
      </c>
      <c r="O2193" t="s">
        <v>48</v>
      </c>
      <c r="P2193" t="s">
        <v>49</v>
      </c>
      <c r="Q2193" t="s">
        <v>14215</v>
      </c>
      <c r="R2193" t="s">
        <v>14216</v>
      </c>
      <c r="S2193">
        <v>3786</v>
      </c>
      <c r="T2193" t="s">
        <v>296</v>
      </c>
      <c r="U2193" t="s">
        <v>1941</v>
      </c>
      <c r="V2193" t="s">
        <v>14217</v>
      </c>
      <c r="W2193" t="s">
        <v>299</v>
      </c>
      <c r="X2193" t="s">
        <v>76</v>
      </c>
      <c r="Y2193" t="s">
        <v>56</v>
      </c>
      <c r="Z2193">
        <v>19</v>
      </c>
      <c r="AA2193">
        <v>56</v>
      </c>
      <c r="AB2193">
        <v>38</v>
      </c>
      <c r="AC2193" t="s">
        <v>14218</v>
      </c>
      <c r="AD2193" t="s">
        <v>14219</v>
      </c>
      <c r="AE2193" t="s">
        <v>14220</v>
      </c>
      <c r="AF2193" t="s">
        <v>14221</v>
      </c>
      <c r="AG2193" t="s">
        <v>14222</v>
      </c>
      <c r="AH2193" t="s">
        <v>14223</v>
      </c>
      <c r="AI2193" t="s">
        <v>1946</v>
      </c>
      <c r="AJ2193" s="2">
        <v>45856.050173611111</v>
      </c>
      <c r="AK2193" t="s">
        <v>556</v>
      </c>
      <c r="AL2193" t="s">
        <v>65</v>
      </c>
      <c r="AM2193" s="3">
        <v>1.7291666666666667</v>
      </c>
      <c r="AN2193" t="s">
        <v>66</v>
      </c>
      <c r="AO2193" t="s">
        <v>67</v>
      </c>
    </row>
    <row r="2194" spans="1:41" x14ac:dyDescent="0.2">
      <c r="A2194">
        <v>365054</v>
      </c>
      <c r="B2194" t="s">
        <v>14224</v>
      </c>
      <c r="C2194" t="s">
        <v>345</v>
      </c>
      <c r="D2194" t="s">
        <v>6669</v>
      </c>
      <c r="E2194" t="s">
        <v>14225</v>
      </c>
      <c r="F2194">
        <v>50406</v>
      </c>
      <c r="G2194" s="1">
        <v>33015</v>
      </c>
      <c r="H2194" s="1">
        <v>45560</v>
      </c>
      <c r="I2194" s="1">
        <v>45915</v>
      </c>
      <c r="J2194" t="s">
        <v>45</v>
      </c>
      <c r="K2194" t="s">
        <v>45</v>
      </c>
      <c r="L2194" t="s">
        <v>4306</v>
      </c>
      <c r="N2194" t="s">
        <v>47</v>
      </c>
      <c r="O2194" t="s">
        <v>48</v>
      </c>
      <c r="P2194" t="s">
        <v>49</v>
      </c>
      <c r="Q2194" t="s">
        <v>14226</v>
      </c>
      <c r="R2194" t="s">
        <v>14227</v>
      </c>
      <c r="S2194">
        <v>8917</v>
      </c>
      <c r="T2194" t="s">
        <v>52</v>
      </c>
      <c r="U2194">
        <v>2</v>
      </c>
      <c r="V2194" t="s">
        <v>6673</v>
      </c>
      <c r="W2194" t="s">
        <v>54</v>
      </c>
      <c r="X2194" t="s">
        <v>55</v>
      </c>
      <c r="Y2194" t="s">
        <v>56</v>
      </c>
      <c r="Z2194">
        <v>587</v>
      </c>
      <c r="AA2194">
        <v>56</v>
      </c>
      <c r="AB2194">
        <v>160</v>
      </c>
      <c r="AC2194" t="s">
        <v>6674</v>
      </c>
      <c r="AD2194" t="s">
        <v>6675</v>
      </c>
      <c r="AE2194" t="s">
        <v>6676</v>
      </c>
      <c r="AF2194" t="s">
        <v>6677</v>
      </c>
      <c r="AG2194" t="s">
        <v>6678</v>
      </c>
      <c r="AH2194" t="s">
        <v>14228</v>
      </c>
      <c r="AI2194" t="s">
        <v>179</v>
      </c>
      <c r="AJ2194" s="2">
        <v>45567.684525462966</v>
      </c>
      <c r="AK2194" t="s">
        <v>609</v>
      </c>
      <c r="AL2194" t="s">
        <v>65</v>
      </c>
      <c r="AM2194" s="3">
        <v>2.4027777777777777</v>
      </c>
      <c r="AN2194" t="s">
        <v>66</v>
      </c>
      <c r="AO2194" t="s">
        <v>67</v>
      </c>
    </row>
    <row r="2195" spans="1:41" x14ac:dyDescent="0.2">
      <c r="A2195">
        <v>373035</v>
      </c>
      <c r="B2195" t="s">
        <v>14229</v>
      </c>
      <c r="C2195" t="s">
        <v>735</v>
      </c>
      <c r="D2195" t="s">
        <v>10923</v>
      </c>
      <c r="E2195" t="s">
        <v>14230</v>
      </c>
      <c r="F2195">
        <v>243402</v>
      </c>
      <c r="G2195" s="1">
        <v>37100</v>
      </c>
      <c r="H2195" s="1">
        <v>45525</v>
      </c>
      <c r="I2195" s="1">
        <v>46249</v>
      </c>
      <c r="J2195" t="s">
        <v>45</v>
      </c>
      <c r="K2195" t="s">
        <v>45</v>
      </c>
      <c r="L2195" t="s">
        <v>4306</v>
      </c>
      <c r="M2195" s="1">
        <v>41540</v>
      </c>
      <c r="N2195" t="s">
        <v>47</v>
      </c>
      <c r="O2195" t="s">
        <v>48</v>
      </c>
      <c r="P2195" t="s">
        <v>49</v>
      </c>
      <c r="Q2195" t="s">
        <v>14231</v>
      </c>
      <c r="R2195" t="s">
        <v>14232</v>
      </c>
      <c r="S2195">
        <v>8232</v>
      </c>
      <c r="T2195" t="s">
        <v>52</v>
      </c>
      <c r="U2195">
        <v>1</v>
      </c>
      <c r="V2195" t="s">
        <v>2162</v>
      </c>
      <c r="W2195" t="s">
        <v>54</v>
      </c>
      <c r="X2195" t="s">
        <v>76</v>
      </c>
      <c r="Y2195" t="s">
        <v>56</v>
      </c>
      <c r="Z2195">
        <v>1494</v>
      </c>
      <c r="AA2195">
        <v>49</v>
      </c>
      <c r="AB2195">
        <v>174</v>
      </c>
      <c r="AC2195" t="s">
        <v>14233</v>
      </c>
      <c r="AD2195" t="s">
        <v>10927</v>
      </c>
      <c r="AE2195" t="s">
        <v>14234</v>
      </c>
      <c r="AI2195" t="s">
        <v>12896</v>
      </c>
      <c r="AJ2195" s="2">
        <v>45856.042245370372</v>
      </c>
      <c r="AK2195" t="s">
        <v>556</v>
      </c>
      <c r="AL2195" t="s">
        <v>65</v>
      </c>
      <c r="AM2195" s="4">
        <v>0.20833333333333334</v>
      </c>
      <c r="AN2195" t="s">
        <v>66</v>
      </c>
      <c r="AO2195" t="s">
        <v>67</v>
      </c>
    </row>
    <row r="2196" spans="1:41" x14ac:dyDescent="0.2">
      <c r="A2196">
        <v>371928</v>
      </c>
      <c r="B2196" t="s">
        <v>14235</v>
      </c>
      <c r="C2196" t="s">
        <v>323</v>
      </c>
      <c r="D2196" t="s">
        <v>12439</v>
      </c>
      <c r="E2196" t="s">
        <v>14236</v>
      </c>
      <c r="F2196">
        <v>500810</v>
      </c>
      <c r="G2196" s="1">
        <v>33777</v>
      </c>
      <c r="H2196" s="1">
        <v>45820</v>
      </c>
      <c r="I2196" s="1">
        <v>46037</v>
      </c>
      <c r="J2196" t="s">
        <v>45</v>
      </c>
      <c r="K2196" t="s">
        <v>45</v>
      </c>
      <c r="L2196" t="s">
        <v>72</v>
      </c>
      <c r="M2196" s="1">
        <v>41782</v>
      </c>
      <c r="N2196" t="s">
        <v>47</v>
      </c>
      <c r="O2196" t="s">
        <v>48</v>
      </c>
      <c r="P2196" t="s">
        <v>49</v>
      </c>
      <c r="Q2196" t="s">
        <v>14237</v>
      </c>
      <c r="R2196" t="s">
        <v>14238</v>
      </c>
      <c r="S2196">
        <v>321</v>
      </c>
      <c r="T2196" t="s">
        <v>257</v>
      </c>
      <c r="U2196" t="s">
        <v>329</v>
      </c>
      <c r="V2196" t="s">
        <v>4990</v>
      </c>
      <c r="W2196" t="s">
        <v>260</v>
      </c>
      <c r="Y2196" t="s">
        <v>110</v>
      </c>
      <c r="Z2196">
        <v>492</v>
      </c>
      <c r="AA2196">
        <v>42</v>
      </c>
      <c r="AB2196">
        <v>166</v>
      </c>
      <c r="AC2196" t="s">
        <v>331</v>
      </c>
      <c r="AD2196" t="s">
        <v>332</v>
      </c>
      <c r="AE2196" t="s">
        <v>333</v>
      </c>
      <c r="AF2196" t="s">
        <v>334</v>
      </c>
      <c r="AG2196" t="s">
        <v>335</v>
      </c>
      <c r="AH2196" t="s">
        <v>336</v>
      </c>
      <c r="AI2196" t="s">
        <v>343</v>
      </c>
      <c r="AJ2196" s="2">
        <v>45824.897974537038</v>
      </c>
      <c r="AK2196" t="s">
        <v>331</v>
      </c>
      <c r="AL2196" t="s">
        <v>65</v>
      </c>
      <c r="AM2196" s="3">
        <v>2.375</v>
      </c>
      <c r="AN2196" t="s">
        <v>66</v>
      </c>
      <c r="AO2196" t="s">
        <v>67</v>
      </c>
    </row>
    <row r="2197" spans="1:41" x14ac:dyDescent="0.2">
      <c r="A2197">
        <v>366247</v>
      </c>
      <c r="B2197" t="s">
        <v>14239</v>
      </c>
      <c r="C2197" t="s">
        <v>182</v>
      </c>
      <c r="D2197" t="s">
        <v>1086</v>
      </c>
      <c r="E2197" t="s">
        <v>14240</v>
      </c>
      <c r="G2197" s="1">
        <v>44987</v>
      </c>
      <c r="H2197" s="1">
        <v>44872</v>
      </c>
      <c r="J2197" t="s">
        <v>45</v>
      </c>
      <c r="K2197" t="s">
        <v>45</v>
      </c>
      <c r="L2197" t="s">
        <v>72</v>
      </c>
      <c r="N2197" t="s">
        <v>47</v>
      </c>
      <c r="O2197" t="s">
        <v>121</v>
      </c>
      <c r="P2197" t="s">
        <v>49</v>
      </c>
      <c r="Q2197" t="s">
        <v>14241</v>
      </c>
      <c r="R2197" t="s">
        <v>14242</v>
      </c>
      <c r="S2197">
        <v>2040</v>
      </c>
      <c r="T2197" t="s">
        <v>92</v>
      </c>
      <c r="U2197" t="s">
        <v>187</v>
      </c>
      <c r="V2197" t="s">
        <v>447</v>
      </c>
      <c r="W2197" t="s">
        <v>448</v>
      </c>
      <c r="X2197" t="s">
        <v>92</v>
      </c>
      <c r="Y2197" t="s">
        <v>450</v>
      </c>
      <c r="Z2197">
        <v>11026</v>
      </c>
      <c r="AA2197">
        <v>23</v>
      </c>
      <c r="AB2197">
        <v>78</v>
      </c>
      <c r="AC2197" t="s">
        <v>451</v>
      </c>
      <c r="AD2197" t="s">
        <v>452</v>
      </c>
      <c r="AE2197" t="s">
        <v>453</v>
      </c>
      <c r="AF2197" t="s">
        <v>14243</v>
      </c>
      <c r="AG2197" t="s">
        <v>14244</v>
      </c>
      <c r="AH2197" t="s">
        <v>14245</v>
      </c>
      <c r="AJ2197" s="2">
        <v>45610.715358796297</v>
      </c>
      <c r="AK2197" t="s">
        <v>456</v>
      </c>
      <c r="AL2197" t="s">
        <v>65</v>
      </c>
      <c r="AM2197" s="3">
        <v>2.0486111111111112</v>
      </c>
      <c r="AN2197" t="s">
        <v>66</v>
      </c>
      <c r="AO2197" t="s">
        <v>67</v>
      </c>
    </row>
    <row r="2198" spans="1:41" x14ac:dyDescent="0.2">
      <c r="A2198">
        <v>372647</v>
      </c>
      <c r="B2198" t="s">
        <v>14246</v>
      </c>
      <c r="C2198" t="s">
        <v>182</v>
      </c>
      <c r="D2198" t="s">
        <v>183</v>
      </c>
      <c r="E2198" t="s">
        <v>14247</v>
      </c>
      <c r="G2198" s="1">
        <v>43893</v>
      </c>
      <c r="H2198" s="1">
        <v>45042</v>
      </c>
      <c r="I2198" s="1">
        <v>46082</v>
      </c>
      <c r="J2198" t="s">
        <v>45</v>
      </c>
      <c r="K2198" t="s">
        <v>45</v>
      </c>
      <c r="L2198" t="s">
        <v>72</v>
      </c>
      <c r="N2198" t="s">
        <v>47</v>
      </c>
      <c r="O2198" t="s">
        <v>48</v>
      </c>
      <c r="P2198" t="s">
        <v>49</v>
      </c>
      <c r="Q2198" t="s">
        <v>14248</v>
      </c>
      <c r="R2198" t="s">
        <v>14249</v>
      </c>
      <c r="S2198">
        <v>1979</v>
      </c>
      <c r="T2198" t="s">
        <v>92</v>
      </c>
      <c r="U2198" t="s">
        <v>187</v>
      </c>
      <c r="V2198" t="s">
        <v>14250</v>
      </c>
      <c r="W2198" t="s">
        <v>189</v>
      </c>
      <c r="X2198" t="s">
        <v>92</v>
      </c>
      <c r="Y2198" t="s">
        <v>110</v>
      </c>
      <c r="Z2198">
        <v>10886</v>
      </c>
      <c r="AA2198">
        <v>12</v>
      </c>
      <c r="AB2198">
        <v>78</v>
      </c>
      <c r="AC2198" t="s">
        <v>14251</v>
      </c>
      <c r="AD2198" t="s">
        <v>14252</v>
      </c>
      <c r="AE2198" t="s">
        <v>14253</v>
      </c>
      <c r="AF2198" t="s">
        <v>14254</v>
      </c>
      <c r="AG2198" t="s">
        <v>14255</v>
      </c>
      <c r="AH2198" t="s">
        <v>14256</v>
      </c>
      <c r="AJ2198" s="2">
        <v>45848.70076388889</v>
      </c>
      <c r="AK2198" t="s">
        <v>100</v>
      </c>
      <c r="AL2198" t="s">
        <v>65</v>
      </c>
      <c r="AM2198" s="3">
        <v>2.0138888888888888</v>
      </c>
      <c r="AN2198" t="s">
        <v>66</v>
      </c>
      <c r="AO2198" t="s">
        <v>67</v>
      </c>
    </row>
    <row r="2199" spans="1:41" x14ac:dyDescent="0.2">
      <c r="A2199">
        <v>367492</v>
      </c>
      <c r="B2199" t="s">
        <v>14257</v>
      </c>
      <c r="C2199" t="s">
        <v>662</v>
      </c>
      <c r="D2199" t="s">
        <v>14258</v>
      </c>
      <c r="E2199" t="s">
        <v>14259</v>
      </c>
      <c r="F2199">
        <v>419402</v>
      </c>
      <c r="G2199" s="1">
        <v>37652</v>
      </c>
      <c r="H2199" s="1">
        <v>45561</v>
      </c>
      <c r="I2199" s="1">
        <v>45931</v>
      </c>
      <c r="J2199" t="s">
        <v>45</v>
      </c>
      <c r="K2199" t="s">
        <v>45</v>
      </c>
      <c r="L2199" t="s">
        <v>72</v>
      </c>
      <c r="M2199" s="1">
        <v>43504</v>
      </c>
      <c r="N2199" t="s">
        <v>47</v>
      </c>
      <c r="O2199" t="s">
        <v>48</v>
      </c>
      <c r="P2199" t="s">
        <v>49</v>
      </c>
      <c r="Q2199" t="s">
        <v>14260</v>
      </c>
      <c r="R2199" t="s">
        <v>14261</v>
      </c>
      <c r="S2199">
        <v>925</v>
      </c>
      <c r="T2199" t="s">
        <v>92</v>
      </c>
      <c r="U2199" t="s">
        <v>1197</v>
      </c>
      <c r="V2199" t="s">
        <v>1198</v>
      </c>
      <c r="W2199" t="s">
        <v>1199</v>
      </c>
      <c r="X2199" t="s">
        <v>52</v>
      </c>
      <c r="Y2199" t="s">
        <v>110</v>
      </c>
      <c r="Z2199">
        <v>2082</v>
      </c>
      <c r="AA2199">
        <v>42</v>
      </c>
      <c r="AB2199">
        <v>158</v>
      </c>
      <c r="AC2199" t="s">
        <v>1200</v>
      </c>
      <c r="AD2199" t="s">
        <v>1201</v>
      </c>
      <c r="AE2199" t="s">
        <v>1202</v>
      </c>
      <c r="AF2199" t="s">
        <v>4740</v>
      </c>
      <c r="AG2199" t="s">
        <v>4741</v>
      </c>
      <c r="AH2199" t="s">
        <v>4742</v>
      </c>
      <c r="AJ2199" s="2">
        <v>45678.826527777775</v>
      </c>
      <c r="AK2199" t="s">
        <v>4740</v>
      </c>
      <c r="AL2199" t="s">
        <v>65</v>
      </c>
      <c r="AM2199" s="4">
        <v>0.20833333333333334</v>
      </c>
      <c r="AN2199" t="s">
        <v>66</v>
      </c>
      <c r="AO2199" t="s">
        <v>67</v>
      </c>
    </row>
    <row r="2200" spans="1:41" x14ac:dyDescent="0.2">
      <c r="A2200">
        <v>373016</v>
      </c>
      <c r="B2200" t="s">
        <v>14262</v>
      </c>
      <c r="C2200" t="s">
        <v>5138</v>
      </c>
      <c r="D2200" t="s">
        <v>168</v>
      </c>
      <c r="E2200" t="s">
        <v>14263</v>
      </c>
      <c r="F2200">
        <v>142301</v>
      </c>
      <c r="G2200" s="1">
        <v>39716</v>
      </c>
      <c r="H2200" s="1">
        <v>45581</v>
      </c>
      <c r="I2200" s="1">
        <v>45931</v>
      </c>
      <c r="J2200" t="s">
        <v>45</v>
      </c>
      <c r="K2200" t="s">
        <v>45</v>
      </c>
      <c r="L2200" t="s">
        <v>46</v>
      </c>
      <c r="N2200" t="s">
        <v>47</v>
      </c>
      <c r="O2200" t="s">
        <v>48</v>
      </c>
      <c r="P2200" t="s">
        <v>49</v>
      </c>
      <c r="Q2200" t="s">
        <v>14264</v>
      </c>
      <c r="R2200" t="s">
        <v>14265</v>
      </c>
      <c r="S2200">
        <v>1100</v>
      </c>
      <c r="T2200" t="s">
        <v>296</v>
      </c>
      <c r="U2200" t="s">
        <v>9316</v>
      </c>
      <c r="V2200" t="s">
        <v>14266</v>
      </c>
      <c r="W2200" t="s">
        <v>299</v>
      </c>
      <c r="X2200" t="s">
        <v>76</v>
      </c>
      <c r="Y2200" t="s">
        <v>56</v>
      </c>
      <c r="Z2200">
        <v>3001</v>
      </c>
      <c r="AA2200">
        <v>34</v>
      </c>
      <c r="AB2200">
        <v>138</v>
      </c>
      <c r="AC2200" t="s">
        <v>14267</v>
      </c>
      <c r="AD2200" t="s">
        <v>14268</v>
      </c>
      <c r="AE2200" t="s">
        <v>14269</v>
      </c>
      <c r="AF2200" t="s">
        <v>14270</v>
      </c>
      <c r="AG2200" t="s">
        <v>14271</v>
      </c>
      <c r="AH2200" t="s">
        <v>14272</v>
      </c>
      <c r="AI2200" t="s">
        <v>9322</v>
      </c>
      <c r="AJ2200" s="2">
        <v>45856.019085648149</v>
      </c>
      <c r="AK2200" t="s">
        <v>556</v>
      </c>
      <c r="AL2200" t="s">
        <v>65</v>
      </c>
      <c r="AM2200" s="3">
        <v>1.0069444444444444</v>
      </c>
      <c r="AN2200" t="s">
        <v>66</v>
      </c>
      <c r="AO2200" t="s">
        <v>67</v>
      </c>
    </row>
    <row r="2201" spans="1:41" x14ac:dyDescent="0.2">
      <c r="A2201">
        <v>369913</v>
      </c>
      <c r="B2201" t="s">
        <v>14273</v>
      </c>
      <c r="C2201" t="s">
        <v>69</v>
      </c>
      <c r="D2201" t="s">
        <v>14274</v>
      </c>
      <c r="E2201" t="s">
        <v>14275</v>
      </c>
      <c r="F2201">
        <v>100603</v>
      </c>
      <c r="G2201" s="1">
        <v>40289</v>
      </c>
      <c r="H2201" s="1">
        <v>45755</v>
      </c>
      <c r="I2201" s="1">
        <v>46127</v>
      </c>
      <c r="J2201" t="s">
        <v>45</v>
      </c>
      <c r="K2201" t="s">
        <v>45</v>
      </c>
      <c r="L2201" t="s">
        <v>429</v>
      </c>
      <c r="M2201" s="1">
        <v>43557</v>
      </c>
      <c r="N2201" t="s">
        <v>47</v>
      </c>
      <c r="O2201" t="s">
        <v>48</v>
      </c>
      <c r="P2201" t="s">
        <v>49</v>
      </c>
      <c r="Q2201" t="s">
        <v>14276</v>
      </c>
      <c r="R2201" t="s">
        <v>14277</v>
      </c>
      <c r="S2201">
        <v>2542</v>
      </c>
      <c r="T2201" t="s">
        <v>52</v>
      </c>
      <c r="U2201">
        <v>1</v>
      </c>
      <c r="V2201" t="s">
        <v>4698</v>
      </c>
      <c r="W2201" t="s">
        <v>54</v>
      </c>
      <c r="X2201" t="s">
        <v>76</v>
      </c>
      <c r="Y2201" t="s">
        <v>56</v>
      </c>
      <c r="Z2201">
        <v>543</v>
      </c>
      <c r="AA2201">
        <v>62</v>
      </c>
      <c r="AB2201">
        <v>176</v>
      </c>
      <c r="AC2201" t="s">
        <v>14278</v>
      </c>
      <c r="AD2201" t="s">
        <v>14279</v>
      </c>
      <c r="AE2201" t="s">
        <v>14280</v>
      </c>
      <c r="AF2201" t="s">
        <v>4702</v>
      </c>
      <c r="AG2201" t="s">
        <v>4703</v>
      </c>
      <c r="AH2201" t="s">
        <v>6200</v>
      </c>
      <c r="AI2201" t="s">
        <v>6201</v>
      </c>
      <c r="AJ2201" s="2">
        <v>45757.708356481482</v>
      </c>
      <c r="AK2201" t="s">
        <v>180</v>
      </c>
      <c r="AL2201" t="s">
        <v>65</v>
      </c>
      <c r="AM2201" s="4">
        <v>0.45833333333333331</v>
      </c>
      <c r="AN2201" t="s">
        <v>66</v>
      </c>
      <c r="AO2201" t="s">
        <v>67</v>
      </c>
    </row>
    <row r="2202" spans="1:41" x14ac:dyDescent="0.2">
      <c r="A2202">
        <v>366376</v>
      </c>
      <c r="B2202" t="s">
        <v>14281</v>
      </c>
      <c r="C2202" t="s">
        <v>182</v>
      </c>
      <c r="D2202" t="s">
        <v>610</v>
      </c>
      <c r="E2202" t="s">
        <v>14282</v>
      </c>
      <c r="F2202">
        <v>45730</v>
      </c>
      <c r="G2202" s="1">
        <v>32509</v>
      </c>
      <c r="H2202" s="1">
        <v>45614</v>
      </c>
      <c r="J2202" t="s">
        <v>45</v>
      </c>
      <c r="K2202" t="s">
        <v>72</v>
      </c>
      <c r="L2202" t="s">
        <v>72</v>
      </c>
      <c r="N2202" t="s">
        <v>47</v>
      </c>
      <c r="O2202" t="s">
        <v>48</v>
      </c>
      <c r="P2202" t="s">
        <v>49</v>
      </c>
      <c r="Q2202" t="s">
        <v>14283</v>
      </c>
      <c r="R2202" t="s">
        <v>14284</v>
      </c>
      <c r="S2202">
        <v>2345</v>
      </c>
      <c r="T2202" t="s">
        <v>92</v>
      </c>
      <c r="U2202" t="s">
        <v>187</v>
      </c>
      <c r="V2202" t="s">
        <v>447</v>
      </c>
      <c r="W2202" t="s">
        <v>448</v>
      </c>
      <c r="X2202" t="s">
        <v>92</v>
      </c>
      <c r="Y2202" t="s">
        <v>450</v>
      </c>
      <c r="Z2202">
        <v>1266</v>
      </c>
      <c r="AA2202">
        <v>48</v>
      </c>
      <c r="AB2202">
        <v>66</v>
      </c>
      <c r="AC2202" t="s">
        <v>451</v>
      </c>
      <c r="AD2202" t="s">
        <v>4047</v>
      </c>
      <c r="AE2202" t="s">
        <v>453</v>
      </c>
      <c r="AF2202" t="s">
        <v>454</v>
      </c>
      <c r="AG2202" t="s">
        <v>473</v>
      </c>
      <c r="AH2202" t="s">
        <v>474</v>
      </c>
      <c r="AJ2202" s="2">
        <v>45616.622719907406</v>
      </c>
      <c r="AK2202" t="s">
        <v>456</v>
      </c>
      <c r="AL2202" t="s">
        <v>65</v>
      </c>
      <c r="AM2202" s="3">
        <v>1.1597222222222223</v>
      </c>
      <c r="AN2202" t="s">
        <v>66</v>
      </c>
      <c r="AO2202" t="s">
        <v>67</v>
      </c>
    </row>
    <row r="2203" spans="1:41" x14ac:dyDescent="0.2">
      <c r="A2203">
        <v>370404</v>
      </c>
      <c r="B2203" t="s">
        <v>14285</v>
      </c>
      <c r="C2203" t="s">
        <v>69</v>
      </c>
      <c r="D2203" t="s">
        <v>7603</v>
      </c>
      <c r="E2203" t="s">
        <v>14286</v>
      </c>
      <c r="F2203">
        <v>102907</v>
      </c>
      <c r="G2203" s="1">
        <v>33038</v>
      </c>
      <c r="H2203" s="1">
        <v>45771</v>
      </c>
      <c r="I2203" s="1">
        <v>46174</v>
      </c>
      <c r="J2203" t="s">
        <v>45</v>
      </c>
      <c r="K2203" t="s">
        <v>45</v>
      </c>
      <c r="L2203" t="s">
        <v>429</v>
      </c>
      <c r="M2203" s="1">
        <v>42256</v>
      </c>
      <c r="N2203" t="s">
        <v>47</v>
      </c>
      <c r="O2203" t="s">
        <v>48</v>
      </c>
      <c r="P2203" t="s">
        <v>49</v>
      </c>
      <c r="Q2203" t="s">
        <v>14287</v>
      </c>
      <c r="R2203" t="s">
        <v>14288</v>
      </c>
      <c r="S2203">
        <v>4930</v>
      </c>
      <c r="T2203" t="s">
        <v>365</v>
      </c>
      <c r="U2203" t="s">
        <v>532</v>
      </c>
      <c r="V2203" t="s">
        <v>3689</v>
      </c>
      <c r="W2203" t="s">
        <v>367</v>
      </c>
      <c r="X2203" t="s">
        <v>76</v>
      </c>
      <c r="Y2203" t="s">
        <v>434</v>
      </c>
      <c r="Z2203">
        <v>187</v>
      </c>
      <c r="AA2203">
        <v>63</v>
      </c>
      <c r="AB2203">
        <v>166</v>
      </c>
      <c r="AC2203" t="s">
        <v>3690</v>
      </c>
      <c r="AD2203" t="s">
        <v>3691</v>
      </c>
      <c r="AE2203" t="s">
        <v>3692</v>
      </c>
      <c r="AF2203" t="s">
        <v>6127</v>
      </c>
      <c r="AG2203" t="s">
        <v>3694</v>
      </c>
      <c r="AH2203" t="s">
        <v>3695</v>
      </c>
      <c r="AI2203" t="s">
        <v>179</v>
      </c>
      <c r="AJ2203" s="2">
        <v>45775.571631944447</v>
      </c>
      <c r="AK2203" t="s">
        <v>568</v>
      </c>
      <c r="AL2203" t="s">
        <v>65</v>
      </c>
      <c r="AM2203" s="3">
        <v>2.2569444444444446</v>
      </c>
      <c r="AN2203" t="s">
        <v>66</v>
      </c>
      <c r="AO2203" t="s">
        <v>67</v>
      </c>
    </row>
    <row r="2204" spans="1:41" x14ac:dyDescent="0.2">
      <c r="A2204">
        <v>359261</v>
      </c>
      <c r="B2204" t="s">
        <v>14289</v>
      </c>
      <c r="C2204" t="s">
        <v>182</v>
      </c>
      <c r="D2204" t="s">
        <v>3934</v>
      </c>
      <c r="E2204" t="s">
        <v>14290</v>
      </c>
      <c r="F2204">
        <v>43914</v>
      </c>
      <c r="G2204" s="1">
        <v>36075</v>
      </c>
      <c r="H2204" s="1">
        <v>44832</v>
      </c>
      <c r="J2204" t="s">
        <v>45</v>
      </c>
      <c r="K2204" t="s">
        <v>45</v>
      </c>
      <c r="L2204" t="s">
        <v>72</v>
      </c>
      <c r="N2204" t="s">
        <v>47</v>
      </c>
      <c r="O2204" t="s">
        <v>48</v>
      </c>
      <c r="P2204" t="s">
        <v>49</v>
      </c>
      <c r="Q2204" t="s">
        <v>14291</v>
      </c>
      <c r="R2204" t="s">
        <v>14292</v>
      </c>
      <c r="S2204">
        <v>2066</v>
      </c>
      <c r="T2204" t="s">
        <v>92</v>
      </c>
      <c r="U2204" t="s">
        <v>187</v>
      </c>
      <c r="V2204" t="s">
        <v>3997</v>
      </c>
      <c r="W2204" t="s">
        <v>448</v>
      </c>
      <c r="X2204" t="s">
        <v>449</v>
      </c>
      <c r="Y2204" t="s">
        <v>770</v>
      </c>
      <c r="Z2204">
        <v>1507</v>
      </c>
      <c r="AA2204">
        <v>23</v>
      </c>
      <c r="AB2204">
        <v>74</v>
      </c>
      <c r="AC2204" t="s">
        <v>3998</v>
      </c>
      <c r="AD2204" t="s">
        <v>3999</v>
      </c>
      <c r="AE2204" t="s">
        <v>4000</v>
      </c>
      <c r="AF2204" t="s">
        <v>4001</v>
      </c>
      <c r="AG2204" t="s">
        <v>4002</v>
      </c>
      <c r="AH2204" t="s">
        <v>4003</v>
      </c>
      <c r="AJ2204" s="2">
        <v>45386.803206018521</v>
      </c>
      <c r="AK2204" t="s">
        <v>149</v>
      </c>
      <c r="AL2204" t="s">
        <v>65</v>
      </c>
      <c r="AM2204" s="4">
        <v>0.79166666666666663</v>
      </c>
      <c r="AN2204" t="s">
        <v>66</v>
      </c>
      <c r="AO2204" t="s">
        <v>67</v>
      </c>
    </row>
    <row r="2205" spans="1:41" x14ac:dyDescent="0.2">
      <c r="A2205">
        <v>372547</v>
      </c>
      <c r="B2205" t="s">
        <v>14293</v>
      </c>
      <c r="C2205" t="s">
        <v>69</v>
      </c>
      <c r="D2205" t="s">
        <v>69</v>
      </c>
      <c r="E2205">
        <v>32375122</v>
      </c>
      <c r="F2205">
        <v>101031</v>
      </c>
      <c r="G2205" s="1">
        <v>31321</v>
      </c>
      <c r="H2205" s="1">
        <v>45835</v>
      </c>
      <c r="I2205" s="1">
        <v>46204</v>
      </c>
      <c r="J2205" t="s">
        <v>45</v>
      </c>
      <c r="K2205" t="s">
        <v>45</v>
      </c>
      <c r="L2205" t="s">
        <v>46</v>
      </c>
      <c r="N2205" t="s">
        <v>47</v>
      </c>
      <c r="O2205" t="s">
        <v>48</v>
      </c>
      <c r="P2205" t="s">
        <v>49</v>
      </c>
      <c r="Q2205" t="s">
        <v>14294</v>
      </c>
      <c r="R2205" t="s">
        <v>14295</v>
      </c>
      <c r="S2205">
        <v>3666</v>
      </c>
      <c r="T2205" t="s">
        <v>52</v>
      </c>
      <c r="U2205">
        <v>1</v>
      </c>
      <c r="V2205" t="s">
        <v>4698</v>
      </c>
      <c r="W2205" t="s">
        <v>54</v>
      </c>
      <c r="X2205" t="s">
        <v>76</v>
      </c>
      <c r="Y2205" t="s">
        <v>56</v>
      </c>
      <c r="Z2205">
        <v>542</v>
      </c>
      <c r="AA2205">
        <v>70</v>
      </c>
      <c r="AB2205">
        <v>166</v>
      </c>
      <c r="AC2205" t="s">
        <v>13925</v>
      </c>
      <c r="AD2205" t="s">
        <v>4700</v>
      </c>
      <c r="AE2205" t="s">
        <v>4701</v>
      </c>
      <c r="AF2205" t="s">
        <v>4702</v>
      </c>
      <c r="AG2205" t="s">
        <v>4703</v>
      </c>
      <c r="AH2205" t="s">
        <v>6200</v>
      </c>
      <c r="AI2205" t="s">
        <v>6201</v>
      </c>
      <c r="AJ2205" s="2">
        <v>45845.561481481483</v>
      </c>
      <c r="AK2205" t="s">
        <v>568</v>
      </c>
      <c r="AL2205" t="s">
        <v>65</v>
      </c>
      <c r="AM2205" s="4">
        <v>0.6875</v>
      </c>
      <c r="AN2205" t="s">
        <v>66</v>
      </c>
      <c r="AO2205" t="s">
        <v>67</v>
      </c>
    </row>
    <row r="2206" spans="1:41" x14ac:dyDescent="0.2">
      <c r="A2206">
        <v>366425</v>
      </c>
      <c r="B2206" t="s">
        <v>14296</v>
      </c>
      <c r="C2206" t="s">
        <v>754</v>
      </c>
      <c r="D2206" t="s">
        <v>14297</v>
      </c>
      <c r="E2206" t="s">
        <v>14298</v>
      </c>
      <c r="F2206">
        <v>182201</v>
      </c>
      <c r="G2206" s="1">
        <v>35886</v>
      </c>
      <c r="H2206" s="1">
        <v>45617</v>
      </c>
      <c r="J2206" t="s">
        <v>45</v>
      </c>
      <c r="K2206" t="s">
        <v>45</v>
      </c>
      <c r="L2206" t="s">
        <v>72</v>
      </c>
      <c r="N2206" t="s">
        <v>47</v>
      </c>
      <c r="O2206" t="s">
        <v>48</v>
      </c>
      <c r="P2206" t="s">
        <v>49</v>
      </c>
      <c r="Q2206" t="s">
        <v>14299</v>
      </c>
      <c r="R2206" t="s">
        <v>14300</v>
      </c>
      <c r="S2206">
        <v>53</v>
      </c>
      <c r="T2206" t="s">
        <v>92</v>
      </c>
      <c r="U2206" t="s">
        <v>4785</v>
      </c>
      <c r="V2206" t="s">
        <v>768</v>
      </c>
      <c r="W2206" t="s">
        <v>4786</v>
      </c>
      <c r="X2206" t="s">
        <v>92</v>
      </c>
      <c r="Y2206" t="s">
        <v>770</v>
      </c>
      <c r="Z2206">
        <v>2653</v>
      </c>
      <c r="AA2206">
        <v>37</v>
      </c>
      <c r="AB2206">
        <v>45</v>
      </c>
      <c r="AC2206" t="s">
        <v>4787</v>
      </c>
      <c r="AD2206" t="s">
        <v>4788</v>
      </c>
      <c r="AE2206" t="s">
        <v>4789</v>
      </c>
      <c r="AF2206" t="s">
        <v>4790</v>
      </c>
      <c r="AG2206" t="s">
        <v>4788</v>
      </c>
      <c r="AH2206" t="s">
        <v>4792</v>
      </c>
      <c r="AJ2206" s="2">
        <v>45618.578923611109</v>
      </c>
      <c r="AK2206" t="s">
        <v>4793</v>
      </c>
      <c r="AL2206" t="s">
        <v>65</v>
      </c>
      <c r="AM2206" s="3">
        <v>2.0277777777777777</v>
      </c>
      <c r="AN2206" t="s">
        <v>66</v>
      </c>
      <c r="AO2206" t="s">
        <v>101</v>
      </c>
    </row>
    <row r="2207" spans="1:41" x14ac:dyDescent="0.2">
      <c r="A2207">
        <v>371128</v>
      </c>
      <c r="B2207" t="s">
        <v>14301</v>
      </c>
      <c r="C2207" t="s">
        <v>69</v>
      </c>
      <c r="D2207" t="s">
        <v>2006</v>
      </c>
      <c r="E2207" t="s">
        <v>14302</v>
      </c>
      <c r="G2207" s="1">
        <v>45796</v>
      </c>
      <c r="H2207" s="1">
        <v>45700</v>
      </c>
      <c r="I2207" s="1">
        <v>45962</v>
      </c>
      <c r="J2207" t="s">
        <v>45</v>
      </c>
      <c r="K2207" t="s">
        <v>45</v>
      </c>
      <c r="L2207" t="s">
        <v>72</v>
      </c>
      <c r="N2207" t="s">
        <v>47</v>
      </c>
      <c r="O2207" t="s">
        <v>121</v>
      </c>
      <c r="P2207" t="s">
        <v>49</v>
      </c>
      <c r="Q2207" t="s">
        <v>14303</v>
      </c>
      <c r="R2207" t="s">
        <v>14304</v>
      </c>
      <c r="S2207">
        <v>5700</v>
      </c>
      <c r="T2207" t="s">
        <v>365</v>
      </c>
      <c r="U2207" t="s">
        <v>532</v>
      </c>
      <c r="V2207" t="s">
        <v>2853</v>
      </c>
      <c r="W2207" t="s">
        <v>367</v>
      </c>
      <c r="X2207" t="s">
        <v>76</v>
      </c>
      <c r="Y2207" t="s">
        <v>14305</v>
      </c>
      <c r="Z2207">
        <v>8286</v>
      </c>
      <c r="AA2207">
        <v>126</v>
      </c>
      <c r="AB2207">
        <v>68</v>
      </c>
      <c r="AC2207" t="s">
        <v>650</v>
      </c>
      <c r="AD2207" t="s">
        <v>9410</v>
      </c>
      <c r="AE2207" t="s">
        <v>2856</v>
      </c>
      <c r="AF2207" t="s">
        <v>100</v>
      </c>
      <c r="AG2207" t="s">
        <v>3089</v>
      </c>
      <c r="AH2207" t="s">
        <v>2856</v>
      </c>
      <c r="AJ2207" s="2">
        <v>45796.851643518516</v>
      </c>
      <c r="AK2207" t="s">
        <v>375</v>
      </c>
      <c r="AL2207" t="s">
        <v>65</v>
      </c>
      <c r="AM2207" t="s">
        <v>14306</v>
      </c>
      <c r="AN2207" t="s">
        <v>66</v>
      </c>
      <c r="AO2207" t="s">
        <v>67</v>
      </c>
    </row>
    <row r="2208" spans="1:41" x14ac:dyDescent="0.2">
      <c r="A2208">
        <v>370497</v>
      </c>
      <c r="B2208" t="s">
        <v>14307</v>
      </c>
      <c r="C2208" t="s">
        <v>69</v>
      </c>
      <c r="D2208" t="s">
        <v>3081</v>
      </c>
      <c r="E2208" t="s">
        <v>14308</v>
      </c>
      <c r="G2208" s="1">
        <v>45775</v>
      </c>
      <c r="H2208" s="1">
        <v>45776</v>
      </c>
      <c r="J2208" t="s">
        <v>45</v>
      </c>
      <c r="K2208" t="s">
        <v>45</v>
      </c>
      <c r="L2208" t="s">
        <v>72</v>
      </c>
      <c r="N2208" t="s">
        <v>89</v>
      </c>
      <c r="O2208" t="s">
        <v>121</v>
      </c>
      <c r="P2208" t="s">
        <v>49</v>
      </c>
      <c r="Q2208" t="s">
        <v>2851</v>
      </c>
      <c r="R2208" t="s">
        <v>3083</v>
      </c>
      <c r="S2208">
        <v>2830</v>
      </c>
      <c r="T2208" t="s">
        <v>365</v>
      </c>
      <c r="U2208" t="s">
        <v>532</v>
      </c>
      <c r="V2208" t="s">
        <v>2853</v>
      </c>
      <c r="W2208" t="s">
        <v>367</v>
      </c>
      <c r="X2208" t="s">
        <v>76</v>
      </c>
      <c r="Y2208" t="s">
        <v>14305</v>
      </c>
      <c r="Z2208">
        <v>8330</v>
      </c>
      <c r="AA2208">
        <v>82</v>
      </c>
      <c r="AB2208">
        <v>68</v>
      </c>
      <c r="AC2208" t="s">
        <v>650</v>
      </c>
      <c r="AD2208" t="s">
        <v>9410</v>
      </c>
      <c r="AE2208" t="s">
        <v>2856</v>
      </c>
      <c r="AF2208" t="s">
        <v>100</v>
      </c>
      <c r="AG2208" t="s">
        <v>3089</v>
      </c>
      <c r="AH2208" t="s">
        <v>3093</v>
      </c>
      <c r="AJ2208" s="2">
        <v>45776.801631944443</v>
      </c>
      <c r="AK2208" t="s">
        <v>650</v>
      </c>
      <c r="AL2208" t="s">
        <v>65</v>
      </c>
      <c r="AM2208" t="s">
        <v>14309</v>
      </c>
      <c r="AN2208" t="s">
        <v>66</v>
      </c>
      <c r="AO2208" t="s">
        <v>67</v>
      </c>
    </row>
    <row r="2209" spans="1:41" x14ac:dyDescent="0.2">
      <c r="A2209">
        <v>370530</v>
      </c>
      <c r="B2209" t="s">
        <v>14310</v>
      </c>
      <c r="C2209" t="s">
        <v>69</v>
      </c>
      <c r="D2209" t="s">
        <v>3081</v>
      </c>
      <c r="E2209" t="s">
        <v>14311</v>
      </c>
      <c r="G2209" s="1">
        <v>45776</v>
      </c>
      <c r="H2209" s="1">
        <v>45777</v>
      </c>
      <c r="J2209" t="s">
        <v>45</v>
      </c>
      <c r="K2209" t="s">
        <v>45</v>
      </c>
      <c r="L2209" t="s">
        <v>72</v>
      </c>
      <c r="N2209" t="s">
        <v>89</v>
      </c>
      <c r="O2209" t="s">
        <v>121</v>
      </c>
      <c r="P2209" t="s">
        <v>49</v>
      </c>
      <c r="Q2209" t="s">
        <v>2851</v>
      </c>
      <c r="R2209" t="s">
        <v>3083</v>
      </c>
      <c r="S2209">
        <v>2865</v>
      </c>
      <c r="T2209" t="s">
        <v>365</v>
      </c>
      <c r="U2209" t="s">
        <v>532</v>
      </c>
      <c r="V2209" t="s">
        <v>2853</v>
      </c>
      <c r="W2209" t="s">
        <v>367</v>
      </c>
      <c r="X2209" t="s">
        <v>76</v>
      </c>
      <c r="Y2209" t="s">
        <v>14305</v>
      </c>
      <c r="Z2209">
        <v>8331</v>
      </c>
      <c r="AA2209">
        <v>81</v>
      </c>
      <c r="AB2209">
        <v>68</v>
      </c>
      <c r="AC2209" t="s">
        <v>650</v>
      </c>
      <c r="AD2209" t="s">
        <v>9410</v>
      </c>
      <c r="AE2209" t="s">
        <v>2856</v>
      </c>
      <c r="AF2209" t="s">
        <v>100</v>
      </c>
      <c r="AG2209" t="s">
        <v>3089</v>
      </c>
      <c r="AH2209" t="s">
        <v>2856</v>
      </c>
      <c r="AJ2209" s="2">
        <v>45777.688807870371</v>
      </c>
      <c r="AK2209" t="s">
        <v>650</v>
      </c>
      <c r="AL2209" t="s">
        <v>65</v>
      </c>
      <c r="AM2209" t="s">
        <v>14312</v>
      </c>
      <c r="AN2209" t="s">
        <v>66</v>
      </c>
      <c r="AO2209" t="s">
        <v>67</v>
      </c>
    </row>
    <row r="2210" spans="1:41" x14ac:dyDescent="0.2">
      <c r="A2210">
        <v>372833</v>
      </c>
      <c r="B2210" t="s">
        <v>14313</v>
      </c>
      <c r="C2210" t="s">
        <v>69</v>
      </c>
      <c r="D2210" t="s">
        <v>3081</v>
      </c>
      <c r="E2210" t="s">
        <v>14314</v>
      </c>
      <c r="G2210" s="1">
        <v>45784</v>
      </c>
      <c r="H2210" s="1">
        <v>45785</v>
      </c>
      <c r="J2210" t="s">
        <v>45</v>
      </c>
      <c r="K2210" t="s">
        <v>45</v>
      </c>
      <c r="L2210" t="s">
        <v>72</v>
      </c>
      <c r="N2210" t="s">
        <v>89</v>
      </c>
      <c r="O2210" t="s">
        <v>121</v>
      </c>
      <c r="P2210" t="s">
        <v>49</v>
      </c>
      <c r="Q2210" t="s">
        <v>2851</v>
      </c>
      <c r="R2210" t="s">
        <v>3083</v>
      </c>
      <c r="S2210">
        <v>2841</v>
      </c>
      <c r="T2210" t="s">
        <v>365</v>
      </c>
      <c r="U2210" t="s">
        <v>532</v>
      </c>
      <c r="V2210" t="s">
        <v>2853</v>
      </c>
      <c r="W2210" t="s">
        <v>409</v>
      </c>
      <c r="X2210" t="s">
        <v>76</v>
      </c>
      <c r="Y2210" t="s">
        <v>14305</v>
      </c>
      <c r="Z2210">
        <v>8332</v>
      </c>
      <c r="AA2210">
        <v>99</v>
      </c>
      <c r="AB2210">
        <v>68</v>
      </c>
      <c r="AC2210" t="s">
        <v>650</v>
      </c>
      <c r="AD2210" t="s">
        <v>9410</v>
      </c>
      <c r="AE2210" t="s">
        <v>2856</v>
      </c>
      <c r="AF2210" t="s">
        <v>100</v>
      </c>
      <c r="AG2210" t="s">
        <v>3089</v>
      </c>
      <c r="AH2210" t="s">
        <v>2856</v>
      </c>
      <c r="AJ2210" s="2">
        <v>45854.566284722219</v>
      </c>
      <c r="AK2210" t="s">
        <v>650</v>
      </c>
      <c r="AL2210" t="s">
        <v>65</v>
      </c>
      <c r="AM2210" t="s">
        <v>14315</v>
      </c>
      <c r="AN2210" t="s">
        <v>66</v>
      </c>
      <c r="AO2210" t="s">
        <v>67</v>
      </c>
    </row>
    <row r="2211" spans="1:41" x14ac:dyDescent="0.2">
      <c r="A2211">
        <v>371013</v>
      </c>
      <c r="B2211" t="s">
        <v>14316</v>
      </c>
      <c r="C2211" t="s">
        <v>69</v>
      </c>
      <c r="D2211" t="s">
        <v>3081</v>
      </c>
      <c r="E2211" t="s">
        <v>14317</v>
      </c>
      <c r="F2211">
        <v>109917</v>
      </c>
      <c r="G2211" s="1">
        <v>45789</v>
      </c>
      <c r="H2211" s="1">
        <v>45792</v>
      </c>
      <c r="J2211" t="s">
        <v>45</v>
      </c>
      <c r="K2211" t="s">
        <v>45</v>
      </c>
      <c r="L2211" t="s">
        <v>72</v>
      </c>
      <c r="N2211" t="s">
        <v>89</v>
      </c>
      <c r="O2211" t="s">
        <v>121</v>
      </c>
      <c r="P2211" t="s">
        <v>49</v>
      </c>
      <c r="Q2211" t="s">
        <v>2851</v>
      </c>
      <c r="R2211" t="s">
        <v>3083</v>
      </c>
      <c r="S2211">
        <v>2830</v>
      </c>
      <c r="T2211" t="s">
        <v>365</v>
      </c>
      <c r="U2211" t="s">
        <v>532</v>
      </c>
      <c r="V2211" t="s">
        <v>2853</v>
      </c>
      <c r="W2211" t="s">
        <v>367</v>
      </c>
      <c r="X2211" t="s">
        <v>76</v>
      </c>
      <c r="Y2211" t="s">
        <v>14305</v>
      </c>
      <c r="Z2211">
        <v>8333</v>
      </c>
      <c r="AA2211">
        <v>72</v>
      </c>
      <c r="AB2211">
        <v>68</v>
      </c>
      <c r="AC2211" t="s">
        <v>650</v>
      </c>
      <c r="AD2211" t="s">
        <v>9410</v>
      </c>
      <c r="AE2211" t="s">
        <v>2856</v>
      </c>
      <c r="AF2211" t="s">
        <v>100</v>
      </c>
      <c r="AG2211" t="s">
        <v>3089</v>
      </c>
      <c r="AH2211" t="s">
        <v>2856</v>
      </c>
      <c r="AJ2211" s="2">
        <v>45792.761689814812</v>
      </c>
      <c r="AK2211" t="s">
        <v>650</v>
      </c>
      <c r="AL2211" t="s">
        <v>65</v>
      </c>
      <c r="AM2211" t="s">
        <v>14318</v>
      </c>
      <c r="AN2211" t="s">
        <v>66</v>
      </c>
      <c r="AO2211" t="s">
        <v>67</v>
      </c>
    </row>
    <row r="2212" spans="1:41" x14ac:dyDescent="0.2">
      <c r="A2212">
        <v>371191</v>
      </c>
      <c r="B2212" t="s">
        <v>14319</v>
      </c>
      <c r="C2212" t="s">
        <v>69</v>
      </c>
      <c r="D2212" t="s">
        <v>3081</v>
      </c>
      <c r="E2212" t="s">
        <v>14320</v>
      </c>
      <c r="G2212" s="1">
        <v>45797</v>
      </c>
      <c r="H2212" s="1">
        <v>45798</v>
      </c>
      <c r="J2212" t="s">
        <v>45</v>
      </c>
      <c r="K2212" t="s">
        <v>45</v>
      </c>
      <c r="L2212" t="s">
        <v>72</v>
      </c>
      <c r="N2212" t="s">
        <v>89</v>
      </c>
      <c r="O2212" t="s">
        <v>121</v>
      </c>
      <c r="P2212" t="s">
        <v>49</v>
      </c>
      <c r="Q2212" t="s">
        <v>2851</v>
      </c>
      <c r="R2212" t="s">
        <v>3083</v>
      </c>
      <c r="S2212">
        <v>2830</v>
      </c>
      <c r="T2212" t="s">
        <v>365</v>
      </c>
      <c r="U2212" t="s">
        <v>532</v>
      </c>
      <c r="V2212" t="s">
        <v>2853</v>
      </c>
      <c r="W2212" t="s">
        <v>367</v>
      </c>
      <c r="X2212" t="s">
        <v>76</v>
      </c>
      <c r="Y2212" t="s">
        <v>14305</v>
      </c>
      <c r="Z2212">
        <v>8334</v>
      </c>
      <c r="AA2212">
        <v>71</v>
      </c>
      <c r="AB2212">
        <v>68</v>
      </c>
      <c r="AC2212" t="s">
        <v>650</v>
      </c>
      <c r="AD2212" t="s">
        <v>9410</v>
      </c>
      <c r="AE2212" t="s">
        <v>2856</v>
      </c>
      <c r="AF2212" t="s">
        <v>100</v>
      </c>
      <c r="AG2212" t="s">
        <v>3089</v>
      </c>
      <c r="AH2212" t="s">
        <v>2856</v>
      </c>
      <c r="AJ2212" s="2">
        <v>45798.522905092592</v>
      </c>
      <c r="AK2212" t="s">
        <v>650</v>
      </c>
      <c r="AL2212" t="s">
        <v>65</v>
      </c>
      <c r="AM2212" t="s">
        <v>14321</v>
      </c>
      <c r="AN2212" t="s">
        <v>66</v>
      </c>
      <c r="AO2212" t="s">
        <v>67</v>
      </c>
    </row>
    <row r="2213" spans="1:41" x14ac:dyDescent="0.2">
      <c r="A2213">
        <v>371236</v>
      </c>
      <c r="B2213" t="s">
        <v>14322</v>
      </c>
      <c r="C2213" t="s">
        <v>69</v>
      </c>
      <c r="D2213" t="s">
        <v>3081</v>
      </c>
      <c r="E2213" t="s">
        <v>14323</v>
      </c>
      <c r="F2213">
        <v>40794</v>
      </c>
      <c r="G2213" s="1">
        <v>45798</v>
      </c>
      <c r="H2213" s="1">
        <v>45799</v>
      </c>
      <c r="J2213" t="s">
        <v>45</v>
      </c>
      <c r="K2213" t="s">
        <v>45</v>
      </c>
      <c r="L2213" t="s">
        <v>72</v>
      </c>
      <c r="N2213" t="s">
        <v>89</v>
      </c>
      <c r="O2213" t="s">
        <v>121</v>
      </c>
      <c r="P2213" t="s">
        <v>49</v>
      </c>
      <c r="Q2213" t="s">
        <v>2851</v>
      </c>
      <c r="R2213" t="s">
        <v>3083</v>
      </c>
      <c r="S2213">
        <v>2830</v>
      </c>
      <c r="T2213" t="s">
        <v>365</v>
      </c>
      <c r="U2213" t="s">
        <v>532</v>
      </c>
      <c r="V2213" t="s">
        <v>2853</v>
      </c>
      <c r="W2213" t="s">
        <v>367</v>
      </c>
      <c r="X2213" t="s">
        <v>76</v>
      </c>
      <c r="Y2213" t="s">
        <v>14305</v>
      </c>
      <c r="Z2213">
        <v>8335</v>
      </c>
      <c r="AA2213">
        <v>108</v>
      </c>
      <c r="AB2213">
        <v>68</v>
      </c>
      <c r="AC2213" t="s">
        <v>650</v>
      </c>
      <c r="AD2213" t="s">
        <v>9410</v>
      </c>
      <c r="AE2213" t="s">
        <v>2856</v>
      </c>
      <c r="AF2213" t="s">
        <v>100</v>
      </c>
      <c r="AG2213" t="s">
        <v>3089</v>
      </c>
      <c r="AH2213" t="s">
        <v>2856</v>
      </c>
      <c r="AJ2213" s="2">
        <v>45799.708611111113</v>
      </c>
      <c r="AK2213" t="s">
        <v>650</v>
      </c>
      <c r="AL2213" t="s">
        <v>65</v>
      </c>
      <c r="AM2213" t="s">
        <v>14324</v>
      </c>
      <c r="AN2213" t="s">
        <v>66</v>
      </c>
      <c r="AO2213" t="s">
        <v>67</v>
      </c>
    </row>
    <row r="2214" spans="1:41" x14ac:dyDescent="0.2">
      <c r="A2214">
        <v>372827</v>
      </c>
      <c r="B2214" t="s">
        <v>14325</v>
      </c>
      <c r="C2214" t="s">
        <v>69</v>
      </c>
      <c r="D2214" t="s">
        <v>3081</v>
      </c>
      <c r="E2214" t="s">
        <v>14326</v>
      </c>
      <c r="G2214" s="1">
        <v>45701</v>
      </c>
      <c r="H2214" s="1">
        <v>45707</v>
      </c>
      <c r="J2214" t="s">
        <v>45</v>
      </c>
      <c r="K2214" t="s">
        <v>45</v>
      </c>
      <c r="L2214" t="s">
        <v>72</v>
      </c>
      <c r="N2214" t="s">
        <v>89</v>
      </c>
      <c r="O2214" t="s">
        <v>121</v>
      </c>
      <c r="P2214" t="s">
        <v>49</v>
      </c>
      <c r="Q2214" t="s">
        <v>2851</v>
      </c>
      <c r="R2214" t="s">
        <v>3083</v>
      </c>
      <c r="S2214">
        <v>2830</v>
      </c>
      <c r="T2214" t="s">
        <v>365</v>
      </c>
      <c r="U2214" t="s">
        <v>532</v>
      </c>
      <c r="V2214" t="s">
        <v>2853</v>
      </c>
      <c r="W2214" t="s">
        <v>367</v>
      </c>
      <c r="X2214" t="s">
        <v>76</v>
      </c>
      <c r="Y2214" t="s">
        <v>14305</v>
      </c>
      <c r="Z2214">
        <v>8287</v>
      </c>
      <c r="AA2214">
        <v>108</v>
      </c>
      <c r="AB2214">
        <v>68</v>
      </c>
      <c r="AC2214" t="s">
        <v>650</v>
      </c>
      <c r="AD2214" t="s">
        <v>9410</v>
      </c>
      <c r="AE2214" t="s">
        <v>2856</v>
      </c>
      <c r="AF2214" t="s">
        <v>100</v>
      </c>
      <c r="AG2214" t="s">
        <v>3089</v>
      </c>
      <c r="AH2214" t="s">
        <v>2856</v>
      </c>
      <c r="AJ2214" s="2">
        <v>45854.560717592591</v>
      </c>
      <c r="AK2214" t="s">
        <v>650</v>
      </c>
      <c r="AL2214" t="s">
        <v>65</v>
      </c>
      <c r="AM2214" t="s">
        <v>14327</v>
      </c>
      <c r="AN2214" t="s">
        <v>66</v>
      </c>
      <c r="AO2214" t="s">
        <v>67</v>
      </c>
    </row>
    <row r="2215" spans="1:41" x14ac:dyDescent="0.2">
      <c r="A2215">
        <v>372828</v>
      </c>
      <c r="B2215" t="s">
        <v>14328</v>
      </c>
      <c r="C2215" t="s">
        <v>69</v>
      </c>
      <c r="D2215" t="s">
        <v>3081</v>
      </c>
      <c r="E2215" t="s">
        <v>14329</v>
      </c>
      <c r="G2215" s="1">
        <v>45799</v>
      </c>
      <c r="H2215" s="1">
        <v>45810</v>
      </c>
      <c r="J2215" t="s">
        <v>45</v>
      </c>
      <c r="K2215" t="s">
        <v>45</v>
      </c>
      <c r="L2215" t="s">
        <v>72</v>
      </c>
      <c r="N2215" t="s">
        <v>89</v>
      </c>
      <c r="O2215" t="s">
        <v>121</v>
      </c>
      <c r="P2215" t="s">
        <v>49</v>
      </c>
      <c r="Q2215" t="s">
        <v>2851</v>
      </c>
      <c r="R2215" t="s">
        <v>3083</v>
      </c>
      <c r="S2215">
        <v>2830</v>
      </c>
      <c r="T2215" t="s">
        <v>365</v>
      </c>
      <c r="U2215" t="s">
        <v>532</v>
      </c>
      <c r="V2215" t="s">
        <v>2853</v>
      </c>
      <c r="W2215" t="s">
        <v>367</v>
      </c>
      <c r="X2215" t="s">
        <v>76</v>
      </c>
      <c r="Y2215" t="s">
        <v>14305</v>
      </c>
      <c r="Z2215">
        <v>8288</v>
      </c>
      <c r="AA2215">
        <v>123</v>
      </c>
      <c r="AB2215">
        <v>68</v>
      </c>
      <c r="AC2215" t="s">
        <v>650</v>
      </c>
      <c r="AD2215" t="s">
        <v>9410</v>
      </c>
      <c r="AE2215" t="s">
        <v>2856</v>
      </c>
      <c r="AF2215" t="s">
        <v>100</v>
      </c>
      <c r="AG2215" t="s">
        <v>3089</v>
      </c>
      <c r="AH2215" t="s">
        <v>2856</v>
      </c>
      <c r="AJ2215" s="2">
        <v>45854.562581018516</v>
      </c>
      <c r="AK2215" t="s">
        <v>650</v>
      </c>
      <c r="AL2215" t="s">
        <v>65</v>
      </c>
      <c r="AM2215" t="s">
        <v>14330</v>
      </c>
      <c r="AN2215" t="s">
        <v>66</v>
      </c>
      <c r="AO2215" t="s">
        <v>67</v>
      </c>
    </row>
    <row r="2216" spans="1:41" x14ac:dyDescent="0.2">
      <c r="A2216">
        <v>372829</v>
      </c>
      <c r="B2216" t="s">
        <v>14331</v>
      </c>
      <c r="C2216" t="s">
        <v>69</v>
      </c>
      <c r="D2216" t="s">
        <v>3081</v>
      </c>
      <c r="E2216" t="s">
        <v>14332</v>
      </c>
      <c r="G2216" s="1">
        <v>45799</v>
      </c>
      <c r="H2216" s="1">
        <v>45806</v>
      </c>
      <c r="J2216" t="s">
        <v>45</v>
      </c>
      <c r="K2216" t="s">
        <v>45</v>
      </c>
      <c r="L2216" t="s">
        <v>72</v>
      </c>
      <c r="N2216" t="s">
        <v>89</v>
      </c>
      <c r="O2216" t="s">
        <v>121</v>
      </c>
      <c r="P2216" t="s">
        <v>49</v>
      </c>
      <c r="Q2216" t="s">
        <v>2851</v>
      </c>
      <c r="R2216" t="s">
        <v>3083</v>
      </c>
      <c r="S2216">
        <v>2830</v>
      </c>
      <c r="T2216" t="s">
        <v>365</v>
      </c>
      <c r="U2216" t="s">
        <v>532</v>
      </c>
      <c r="V2216" t="s">
        <v>2853</v>
      </c>
      <c r="W2216" t="s">
        <v>367</v>
      </c>
      <c r="X2216" t="s">
        <v>76</v>
      </c>
      <c r="Y2216" t="s">
        <v>14305</v>
      </c>
      <c r="Z2216">
        <v>8289</v>
      </c>
      <c r="AA2216">
        <v>119</v>
      </c>
      <c r="AB2216">
        <v>68</v>
      </c>
      <c r="AC2216" t="s">
        <v>650</v>
      </c>
      <c r="AD2216" t="s">
        <v>9410</v>
      </c>
      <c r="AE2216" t="s">
        <v>2856</v>
      </c>
      <c r="AF2216" t="s">
        <v>100</v>
      </c>
      <c r="AG2216" t="s">
        <v>3089</v>
      </c>
      <c r="AH2216" t="s">
        <v>2856</v>
      </c>
      <c r="AJ2216" s="2">
        <v>45854.563611111109</v>
      </c>
      <c r="AK2216" t="s">
        <v>650</v>
      </c>
      <c r="AL2216" t="s">
        <v>65</v>
      </c>
      <c r="AM2216" t="s">
        <v>14333</v>
      </c>
      <c r="AN2216" t="s">
        <v>66</v>
      </c>
      <c r="AO2216" t="s">
        <v>67</v>
      </c>
    </row>
    <row r="2217" spans="1:41" x14ac:dyDescent="0.2">
      <c r="A2217">
        <v>368585</v>
      </c>
      <c r="B2217" t="s">
        <v>14334</v>
      </c>
      <c r="C2217" t="s">
        <v>69</v>
      </c>
      <c r="D2217" t="s">
        <v>3081</v>
      </c>
      <c r="E2217" t="s">
        <v>14335</v>
      </c>
      <c r="G2217" s="1">
        <v>45714</v>
      </c>
      <c r="H2217" s="1">
        <v>45715</v>
      </c>
      <c r="J2217" t="s">
        <v>45</v>
      </c>
      <c r="K2217" t="s">
        <v>45</v>
      </c>
      <c r="L2217" t="s">
        <v>72</v>
      </c>
      <c r="N2217" t="s">
        <v>89</v>
      </c>
      <c r="O2217" t="s">
        <v>121</v>
      </c>
      <c r="P2217" t="s">
        <v>49</v>
      </c>
      <c r="Q2217" t="s">
        <v>2851</v>
      </c>
      <c r="R2217" t="s">
        <v>3083</v>
      </c>
      <c r="S2217">
        <v>2865</v>
      </c>
      <c r="T2217" t="s">
        <v>365</v>
      </c>
      <c r="U2217" t="s">
        <v>532</v>
      </c>
      <c r="V2217" t="s">
        <v>2853</v>
      </c>
      <c r="W2217" t="s">
        <v>367</v>
      </c>
      <c r="X2217" t="s">
        <v>76</v>
      </c>
      <c r="Y2217" t="s">
        <v>14305</v>
      </c>
      <c r="Z2217">
        <v>8290</v>
      </c>
      <c r="AA2217">
        <v>125</v>
      </c>
      <c r="AB2217">
        <v>68</v>
      </c>
      <c r="AC2217" t="s">
        <v>650</v>
      </c>
      <c r="AD2217" t="s">
        <v>9410</v>
      </c>
      <c r="AE2217" t="s">
        <v>2856</v>
      </c>
      <c r="AF2217" t="s">
        <v>100</v>
      </c>
      <c r="AG2217" t="s">
        <v>3089</v>
      </c>
      <c r="AH2217" t="s">
        <v>2856</v>
      </c>
      <c r="AJ2217" s="2">
        <v>45715.728807870371</v>
      </c>
      <c r="AK2217" t="s">
        <v>650</v>
      </c>
      <c r="AL2217" t="s">
        <v>65</v>
      </c>
      <c r="AM2217" t="s">
        <v>14336</v>
      </c>
      <c r="AN2217" t="s">
        <v>66</v>
      </c>
      <c r="AO2217" t="s">
        <v>67</v>
      </c>
    </row>
    <row r="2218" spans="1:41" x14ac:dyDescent="0.2">
      <c r="A2218">
        <v>372830</v>
      </c>
      <c r="B2218" t="s">
        <v>14337</v>
      </c>
      <c r="C2218" t="s">
        <v>69</v>
      </c>
      <c r="D2218" t="s">
        <v>3081</v>
      </c>
      <c r="E2218" t="s">
        <v>14338</v>
      </c>
      <c r="G2218" s="1">
        <v>45715</v>
      </c>
      <c r="H2218" s="1">
        <v>45719</v>
      </c>
      <c r="J2218" t="s">
        <v>45</v>
      </c>
      <c r="K2218" t="s">
        <v>45</v>
      </c>
      <c r="L2218" t="s">
        <v>72</v>
      </c>
      <c r="N2218" t="s">
        <v>89</v>
      </c>
      <c r="O2218" t="s">
        <v>121</v>
      </c>
      <c r="P2218" t="s">
        <v>49</v>
      </c>
      <c r="Q2218" t="s">
        <v>2851</v>
      </c>
      <c r="R2218" t="s">
        <v>3083</v>
      </c>
      <c r="S2218">
        <v>2865</v>
      </c>
      <c r="T2218" t="s">
        <v>365</v>
      </c>
      <c r="U2218" t="s">
        <v>532</v>
      </c>
      <c r="V2218" t="s">
        <v>2853</v>
      </c>
      <c r="W2218" t="s">
        <v>367</v>
      </c>
      <c r="X2218" t="s">
        <v>76</v>
      </c>
      <c r="Y2218" t="s">
        <v>14305</v>
      </c>
      <c r="Z2218">
        <v>8326</v>
      </c>
      <c r="AA2218">
        <v>86</v>
      </c>
      <c r="AB2218">
        <v>68</v>
      </c>
      <c r="AC2218" t="s">
        <v>650</v>
      </c>
      <c r="AD2218" t="s">
        <v>9410</v>
      </c>
      <c r="AE2218" t="s">
        <v>2856</v>
      </c>
      <c r="AF2218" t="s">
        <v>100</v>
      </c>
      <c r="AG2218" t="s">
        <v>3089</v>
      </c>
      <c r="AH2218" t="s">
        <v>2856</v>
      </c>
      <c r="AJ2218" s="2">
        <v>45854.564826388887</v>
      </c>
      <c r="AK2218" t="s">
        <v>650</v>
      </c>
      <c r="AL2218" t="s">
        <v>65</v>
      </c>
      <c r="AM2218" t="s">
        <v>14339</v>
      </c>
      <c r="AN2218" t="s">
        <v>66</v>
      </c>
      <c r="AO2218" t="s">
        <v>67</v>
      </c>
    </row>
    <row r="2219" spans="1:41" x14ac:dyDescent="0.2">
      <c r="A2219">
        <v>369288</v>
      </c>
      <c r="B2219" t="s">
        <v>14340</v>
      </c>
      <c r="C2219" t="s">
        <v>69</v>
      </c>
      <c r="D2219" t="s">
        <v>3081</v>
      </c>
      <c r="E2219" t="s">
        <v>14341</v>
      </c>
      <c r="F2219">
        <v>109697</v>
      </c>
      <c r="G2219" s="1">
        <v>45729</v>
      </c>
      <c r="H2219" s="1">
        <v>45733</v>
      </c>
      <c r="J2219" t="s">
        <v>45</v>
      </c>
      <c r="K2219" t="s">
        <v>45</v>
      </c>
      <c r="L2219" t="s">
        <v>72</v>
      </c>
      <c r="N2219" t="s">
        <v>89</v>
      </c>
      <c r="O2219" t="s">
        <v>121</v>
      </c>
      <c r="P2219" t="s">
        <v>49</v>
      </c>
      <c r="Q2219" t="s">
        <v>2851</v>
      </c>
      <c r="R2219" t="s">
        <v>3083</v>
      </c>
      <c r="S2219">
        <v>2830</v>
      </c>
      <c r="T2219" t="s">
        <v>365</v>
      </c>
      <c r="U2219" t="s">
        <v>532</v>
      </c>
      <c r="V2219" t="s">
        <v>2853</v>
      </c>
      <c r="W2219" t="s">
        <v>367</v>
      </c>
      <c r="X2219" t="s">
        <v>76</v>
      </c>
      <c r="Y2219" t="s">
        <v>14305</v>
      </c>
      <c r="Z2219">
        <v>8327</v>
      </c>
      <c r="AA2219">
        <v>93</v>
      </c>
      <c r="AB2219">
        <v>68</v>
      </c>
      <c r="AC2219" t="s">
        <v>650</v>
      </c>
      <c r="AD2219" t="s">
        <v>9410</v>
      </c>
      <c r="AE2219" t="s">
        <v>2856</v>
      </c>
      <c r="AF2219" t="s">
        <v>100</v>
      </c>
      <c r="AG2219" t="s">
        <v>3089</v>
      </c>
      <c r="AH2219" t="s">
        <v>2856</v>
      </c>
      <c r="AJ2219" s="2">
        <v>45733.83834490741</v>
      </c>
      <c r="AK2219" t="s">
        <v>650</v>
      </c>
      <c r="AL2219" t="s">
        <v>65</v>
      </c>
      <c r="AM2219" t="s">
        <v>14342</v>
      </c>
      <c r="AN2219" t="s">
        <v>66</v>
      </c>
      <c r="AO2219" t="s">
        <v>67</v>
      </c>
    </row>
    <row r="2220" spans="1:41" x14ac:dyDescent="0.2">
      <c r="A2220">
        <v>372832</v>
      </c>
      <c r="B2220" t="s">
        <v>14343</v>
      </c>
      <c r="C2220" t="s">
        <v>69</v>
      </c>
      <c r="D2220" t="s">
        <v>3081</v>
      </c>
      <c r="E2220" t="s">
        <v>14344</v>
      </c>
      <c r="G2220" s="1">
        <v>45729</v>
      </c>
      <c r="H2220" s="1">
        <v>45733</v>
      </c>
      <c r="J2220" t="s">
        <v>45</v>
      </c>
      <c r="K2220" t="s">
        <v>45</v>
      </c>
      <c r="L2220" t="s">
        <v>72</v>
      </c>
      <c r="N2220" t="s">
        <v>89</v>
      </c>
      <c r="O2220" t="s">
        <v>121</v>
      </c>
      <c r="P2220" t="s">
        <v>49</v>
      </c>
      <c r="Q2220" t="s">
        <v>2851</v>
      </c>
      <c r="R2220" t="s">
        <v>3083</v>
      </c>
      <c r="S2220">
        <v>2830</v>
      </c>
      <c r="T2220" t="s">
        <v>365</v>
      </c>
      <c r="U2220" t="s">
        <v>532</v>
      </c>
      <c r="V2220" t="s">
        <v>2853</v>
      </c>
      <c r="W2220" t="s">
        <v>367</v>
      </c>
      <c r="X2220" t="s">
        <v>76</v>
      </c>
      <c r="Y2220" t="s">
        <v>14305</v>
      </c>
      <c r="Z2220">
        <v>8328</v>
      </c>
      <c r="AA2220">
        <v>99</v>
      </c>
      <c r="AB2220">
        <v>68</v>
      </c>
      <c r="AC2220" t="s">
        <v>650</v>
      </c>
      <c r="AD2220" t="s">
        <v>9410</v>
      </c>
      <c r="AE2220" t="s">
        <v>2856</v>
      </c>
      <c r="AF2220" t="s">
        <v>100</v>
      </c>
      <c r="AG2220" t="s">
        <v>3089</v>
      </c>
      <c r="AH2220" t="s">
        <v>2856</v>
      </c>
      <c r="AJ2220" s="2">
        <v>45854.565474537034</v>
      </c>
      <c r="AK2220" t="s">
        <v>650</v>
      </c>
      <c r="AL2220" t="s">
        <v>65</v>
      </c>
      <c r="AM2220" t="s">
        <v>14345</v>
      </c>
      <c r="AN2220" t="s">
        <v>66</v>
      </c>
      <c r="AO2220" t="s">
        <v>67</v>
      </c>
    </row>
    <row r="2221" spans="1:41" x14ac:dyDescent="0.2">
      <c r="A2221">
        <v>370739</v>
      </c>
      <c r="B2221" t="s">
        <v>14346</v>
      </c>
      <c r="C2221" t="s">
        <v>69</v>
      </c>
      <c r="D2221" t="s">
        <v>3081</v>
      </c>
      <c r="E2221" t="s">
        <v>14347</v>
      </c>
      <c r="G2221" s="1">
        <v>45782</v>
      </c>
      <c r="H2221" s="1">
        <v>45782</v>
      </c>
      <c r="J2221" t="s">
        <v>45</v>
      </c>
      <c r="K2221" t="s">
        <v>45</v>
      </c>
      <c r="L2221" t="s">
        <v>72</v>
      </c>
      <c r="N2221" t="s">
        <v>89</v>
      </c>
      <c r="O2221" t="s">
        <v>121</v>
      </c>
      <c r="P2221" t="s">
        <v>49</v>
      </c>
      <c r="Q2221" t="s">
        <v>2851</v>
      </c>
      <c r="R2221" t="s">
        <v>3083</v>
      </c>
      <c r="S2221">
        <v>2830</v>
      </c>
      <c r="T2221" t="s">
        <v>365</v>
      </c>
      <c r="U2221" t="s">
        <v>532</v>
      </c>
      <c r="V2221" t="s">
        <v>2853</v>
      </c>
      <c r="W2221" t="s">
        <v>367</v>
      </c>
      <c r="X2221" t="s">
        <v>76</v>
      </c>
      <c r="Y2221" t="s">
        <v>14305</v>
      </c>
      <c r="Z2221">
        <v>8329</v>
      </c>
      <c r="AA2221">
        <v>91</v>
      </c>
      <c r="AB2221">
        <v>68</v>
      </c>
      <c r="AC2221" t="s">
        <v>650</v>
      </c>
      <c r="AD2221" t="s">
        <v>9410</v>
      </c>
      <c r="AE2221" t="s">
        <v>2856</v>
      </c>
      <c r="AF2221" t="s">
        <v>100</v>
      </c>
      <c r="AG2221" t="s">
        <v>3089</v>
      </c>
      <c r="AH2221" t="s">
        <v>2856</v>
      </c>
      <c r="AJ2221" s="2">
        <v>45783.766388888886</v>
      </c>
      <c r="AK2221" t="s">
        <v>650</v>
      </c>
      <c r="AL2221" t="s">
        <v>65</v>
      </c>
      <c r="AM2221" t="s">
        <v>14348</v>
      </c>
      <c r="AN2221" t="s">
        <v>66</v>
      </c>
      <c r="AO2221" t="s">
        <v>67</v>
      </c>
    </row>
    <row r="2222" spans="1:41" x14ac:dyDescent="0.2">
      <c r="A2222">
        <v>371557</v>
      </c>
      <c r="B2222" t="s">
        <v>14349</v>
      </c>
      <c r="C2222" t="s">
        <v>323</v>
      </c>
      <c r="D2222" t="s">
        <v>372</v>
      </c>
      <c r="E2222">
        <v>12606314</v>
      </c>
      <c r="F2222">
        <v>500738</v>
      </c>
      <c r="G2222" s="1">
        <v>34176</v>
      </c>
      <c r="H2222" s="1">
        <v>45785</v>
      </c>
      <c r="I2222" s="1">
        <v>46037</v>
      </c>
      <c r="J2222" t="s">
        <v>45</v>
      </c>
      <c r="K2222" t="s">
        <v>45</v>
      </c>
      <c r="L2222" t="s">
        <v>72</v>
      </c>
      <c r="M2222" s="1">
        <v>45082</v>
      </c>
      <c r="N2222" t="s">
        <v>47</v>
      </c>
      <c r="O2222" t="s">
        <v>48</v>
      </c>
      <c r="P2222" t="s">
        <v>49</v>
      </c>
      <c r="Q2222" t="s">
        <v>14350</v>
      </c>
      <c r="R2222" t="s">
        <v>14351</v>
      </c>
      <c r="S2222">
        <v>1165</v>
      </c>
      <c r="T2222" t="s">
        <v>156</v>
      </c>
      <c r="U2222" t="s">
        <v>460</v>
      </c>
      <c r="V2222" t="s">
        <v>330</v>
      </c>
      <c r="W2222" t="s">
        <v>159</v>
      </c>
      <c r="X2222" t="s">
        <v>76</v>
      </c>
      <c r="Y2222" t="s">
        <v>110</v>
      </c>
      <c r="Z2222">
        <v>462</v>
      </c>
      <c r="AA2222">
        <v>42</v>
      </c>
      <c r="AB2222">
        <v>158</v>
      </c>
      <c r="AC2222" t="s">
        <v>368</v>
      </c>
      <c r="AD2222" t="s">
        <v>369</v>
      </c>
      <c r="AE2222" t="s">
        <v>370</v>
      </c>
      <c r="AF2222" t="s">
        <v>463</v>
      </c>
      <c r="AG2222" t="s">
        <v>464</v>
      </c>
      <c r="AH2222" t="s">
        <v>465</v>
      </c>
      <c r="AI2222" t="s">
        <v>466</v>
      </c>
      <c r="AJ2222" s="2">
        <v>45814.909988425927</v>
      </c>
      <c r="AK2222" t="s">
        <v>727</v>
      </c>
      <c r="AL2222" t="s">
        <v>65</v>
      </c>
      <c r="AM2222" s="4">
        <v>0.91666666666666663</v>
      </c>
      <c r="AN2222" t="s">
        <v>66</v>
      </c>
      <c r="AO2222" t="s">
        <v>67</v>
      </c>
    </row>
    <row r="2223" spans="1:41" x14ac:dyDescent="0.2">
      <c r="A2223">
        <v>367679</v>
      </c>
      <c r="B2223" t="s">
        <v>14352</v>
      </c>
      <c r="C2223" t="s">
        <v>1000</v>
      </c>
      <c r="D2223" t="s">
        <v>3250</v>
      </c>
      <c r="E2223">
        <v>2606490</v>
      </c>
      <c r="F2223">
        <v>409201</v>
      </c>
      <c r="G2223" s="1">
        <v>37916</v>
      </c>
      <c r="H2223" s="1">
        <v>45643</v>
      </c>
      <c r="J2223" t="s">
        <v>45</v>
      </c>
      <c r="K2223" t="s">
        <v>45</v>
      </c>
      <c r="L2223" t="s">
        <v>72</v>
      </c>
      <c r="M2223" s="1">
        <v>45643</v>
      </c>
      <c r="N2223" t="s">
        <v>47</v>
      </c>
      <c r="O2223" t="s">
        <v>48</v>
      </c>
      <c r="P2223" t="s">
        <v>49</v>
      </c>
      <c r="Q2223" t="s">
        <v>14353</v>
      </c>
      <c r="R2223" t="s">
        <v>14354</v>
      </c>
      <c r="S2223">
        <v>1920</v>
      </c>
      <c r="T2223" t="s">
        <v>92</v>
      </c>
      <c r="U2223" t="s">
        <v>1005</v>
      </c>
      <c r="V2223" t="s">
        <v>590</v>
      </c>
      <c r="W2223" t="s">
        <v>1006</v>
      </c>
      <c r="X2223" t="s">
        <v>92</v>
      </c>
      <c r="Y2223" t="s">
        <v>770</v>
      </c>
      <c r="Z2223">
        <v>2414</v>
      </c>
      <c r="AA2223">
        <v>32</v>
      </c>
      <c r="AB2223">
        <v>144</v>
      </c>
      <c r="AC2223" t="s">
        <v>2845</v>
      </c>
      <c r="AD2223" t="s">
        <v>1008</v>
      </c>
      <c r="AE2223" t="s">
        <v>1009</v>
      </c>
      <c r="AF2223" t="s">
        <v>2846</v>
      </c>
      <c r="AG2223" t="s">
        <v>2847</v>
      </c>
      <c r="AH2223" t="s">
        <v>2848</v>
      </c>
      <c r="AI2223" t="s">
        <v>1010</v>
      </c>
      <c r="AJ2223" s="2">
        <v>45686.26394675926</v>
      </c>
      <c r="AK2223" t="s">
        <v>1011</v>
      </c>
      <c r="AL2223" t="s">
        <v>65</v>
      </c>
      <c r="AM2223" s="4">
        <v>0.25694444444444442</v>
      </c>
      <c r="AN2223" t="s">
        <v>66</v>
      </c>
      <c r="AO2223" t="s">
        <v>67</v>
      </c>
    </row>
    <row r="2224" spans="1:41" x14ac:dyDescent="0.2">
      <c r="A2224">
        <v>371618</v>
      </c>
      <c r="B2224" t="s">
        <v>14355</v>
      </c>
      <c r="C2224" t="s">
        <v>118</v>
      </c>
      <c r="D2224" t="s">
        <v>4931</v>
      </c>
      <c r="E2224" t="s">
        <v>14356</v>
      </c>
      <c r="G2224" s="1">
        <v>45817</v>
      </c>
      <c r="H2224" s="1">
        <v>45628</v>
      </c>
      <c r="I2224" s="1">
        <v>46006</v>
      </c>
      <c r="J2224" t="s">
        <v>45</v>
      </c>
      <c r="K2224" t="s">
        <v>45</v>
      </c>
      <c r="L2224" t="s">
        <v>72</v>
      </c>
      <c r="M2224" s="1">
        <v>44217</v>
      </c>
      <c r="N2224" t="s">
        <v>47</v>
      </c>
      <c r="O2224" t="s">
        <v>121</v>
      </c>
      <c r="P2224" t="s">
        <v>49</v>
      </c>
      <c r="Q2224" t="s">
        <v>14357</v>
      </c>
      <c r="R2224" t="s">
        <v>14358</v>
      </c>
      <c r="S2224">
        <v>5144</v>
      </c>
      <c r="T2224" t="s">
        <v>52</v>
      </c>
      <c r="U2224">
        <v>3</v>
      </c>
      <c r="V2224" t="s">
        <v>4935</v>
      </c>
      <c r="W2224" t="s">
        <v>54</v>
      </c>
      <c r="X2224" t="s">
        <v>76</v>
      </c>
      <c r="Y2224" t="s">
        <v>125</v>
      </c>
      <c r="Z2224">
        <v>3094</v>
      </c>
      <c r="AA2224">
        <v>64</v>
      </c>
      <c r="AB2224">
        <v>38</v>
      </c>
      <c r="AC2224" t="s">
        <v>14359</v>
      </c>
      <c r="AD2224" t="s">
        <v>14360</v>
      </c>
      <c r="AE2224" t="s">
        <v>14361</v>
      </c>
      <c r="AF2224" t="s">
        <v>14362</v>
      </c>
      <c r="AG2224" t="s">
        <v>14363</v>
      </c>
      <c r="AH2224" t="s">
        <v>14364</v>
      </c>
      <c r="AI2224" t="s">
        <v>14360</v>
      </c>
      <c r="AJ2224" s="2">
        <v>45817.714594907404</v>
      </c>
      <c r="AK2224" t="s">
        <v>800</v>
      </c>
      <c r="AL2224" t="s">
        <v>65</v>
      </c>
      <c r="AM2224" s="3">
        <v>2.2013888888888888</v>
      </c>
      <c r="AN2224" t="s">
        <v>66</v>
      </c>
      <c r="AO2224" t="s">
        <v>67</v>
      </c>
    </row>
    <row r="2225" spans="1:41" x14ac:dyDescent="0.2">
      <c r="A2225">
        <v>372859</v>
      </c>
      <c r="B2225" t="s">
        <v>14365</v>
      </c>
      <c r="C2225" t="s">
        <v>236</v>
      </c>
      <c r="E2225" t="s">
        <v>14366</v>
      </c>
      <c r="J2225" t="s">
        <v>45</v>
      </c>
      <c r="K2225" t="s">
        <v>45</v>
      </c>
      <c r="L2225" t="s">
        <v>46</v>
      </c>
      <c r="N2225" t="s">
        <v>89</v>
      </c>
      <c r="O2225" t="s">
        <v>48</v>
      </c>
      <c r="P2225" t="s">
        <v>49</v>
      </c>
      <c r="T2225" t="s">
        <v>92</v>
      </c>
      <c r="U2225" t="s">
        <v>1509</v>
      </c>
      <c r="V2225" t="s">
        <v>506</v>
      </c>
      <c r="W2225" t="s">
        <v>1510</v>
      </c>
      <c r="X2225" t="s">
        <v>92</v>
      </c>
      <c r="Y2225" t="s">
        <v>96</v>
      </c>
      <c r="Z2225">
        <v>12317</v>
      </c>
      <c r="AA2225">
        <v>2</v>
      </c>
      <c r="AB2225">
        <v>44</v>
      </c>
      <c r="AC2225" t="s">
        <v>1511</v>
      </c>
      <c r="AD2225" t="s">
        <v>1512</v>
      </c>
      <c r="AE2225" t="s">
        <v>14367</v>
      </c>
      <c r="AF2225" t="s">
        <v>14368</v>
      </c>
      <c r="AG2225" t="s">
        <v>14369</v>
      </c>
      <c r="AH2225" t="s">
        <v>14370</v>
      </c>
      <c r="AJ2225" s="2">
        <v>45854.885150462964</v>
      </c>
      <c r="AK2225" t="s">
        <v>1511</v>
      </c>
      <c r="AL2225" t="s">
        <v>7779</v>
      </c>
      <c r="AM2225" s="3">
        <v>1.4270833333333333</v>
      </c>
      <c r="AN2225" t="s">
        <v>66</v>
      </c>
      <c r="AO2225" t="s">
        <v>67</v>
      </c>
    </row>
    <row r="2226" spans="1:41" x14ac:dyDescent="0.2">
      <c r="A2226">
        <v>372803</v>
      </c>
      <c r="B2226" t="s">
        <v>14371</v>
      </c>
      <c r="C2226" t="s">
        <v>69</v>
      </c>
      <c r="D2226" t="s">
        <v>4660</v>
      </c>
      <c r="E2226" t="s">
        <v>14372</v>
      </c>
      <c r="F2226">
        <v>100204</v>
      </c>
      <c r="G2226" s="1">
        <v>35718</v>
      </c>
      <c r="H2226" s="1">
        <v>45853</v>
      </c>
      <c r="I2226" s="1">
        <v>46204</v>
      </c>
      <c r="J2226" t="s">
        <v>45</v>
      </c>
      <c r="K2226" t="s">
        <v>45</v>
      </c>
      <c r="L2226" t="s">
        <v>72</v>
      </c>
      <c r="M2226" s="1">
        <v>44503</v>
      </c>
      <c r="N2226" t="s">
        <v>47</v>
      </c>
      <c r="O2226" t="s">
        <v>48</v>
      </c>
      <c r="P2226" t="s">
        <v>49</v>
      </c>
      <c r="Q2226" t="s">
        <v>14373</v>
      </c>
      <c r="R2226" t="s">
        <v>14374</v>
      </c>
      <c r="S2226">
        <v>2600</v>
      </c>
      <c r="T2226" t="s">
        <v>52</v>
      </c>
      <c r="U2226">
        <v>1</v>
      </c>
      <c r="V2226" t="s">
        <v>3148</v>
      </c>
      <c r="W2226" t="s">
        <v>54</v>
      </c>
      <c r="X2226" t="s">
        <v>76</v>
      </c>
      <c r="Y2226" t="s">
        <v>56</v>
      </c>
      <c r="Z2226">
        <v>963</v>
      </c>
      <c r="AA2226">
        <v>56</v>
      </c>
      <c r="AB2226">
        <v>146</v>
      </c>
      <c r="AC2226" t="s">
        <v>3149</v>
      </c>
      <c r="AD2226" t="s">
        <v>3150</v>
      </c>
      <c r="AE2226" t="s">
        <v>3151</v>
      </c>
      <c r="AI2226" t="s">
        <v>179</v>
      </c>
      <c r="AJ2226" s="2">
        <v>45854.16134259259</v>
      </c>
      <c r="AK2226" t="s">
        <v>568</v>
      </c>
      <c r="AL2226" t="s">
        <v>65</v>
      </c>
      <c r="AM2226" s="4">
        <v>0.34722222222222221</v>
      </c>
      <c r="AN2226" t="s">
        <v>66</v>
      </c>
      <c r="AO2226" t="s">
        <v>67</v>
      </c>
    </row>
    <row r="2227" spans="1:41" x14ac:dyDescent="0.2">
      <c r="A2227">
        <v>371926</v>
      </c>
      <c r="B2227" t="s">
        <v>14375</v>
      </c>
      <c r="C2227" t="s">
        <v>831</v>
      </c>
      <c r="D2227" t="s">
        <v>14376</v>
      </c>
      <c r="E2227" t="s">
        <v>14377</v>
      </c>
      <c r="F2227">
        <v>441531</v>
      </c>
      <c r="G2227" s="1">
        <v>41051</v>
      </c>
      <c r="H2227" s="1">
        <v>45813</v>
      </c>
      <c r="I2227" s="1">
        <v>46143</v>
      </c>
      <c r="J2227" t="s">
        <v>45</v>
      </c>
      <c r="K2227" t="s">
        <v>45</v>
      </c>
      <c r="L2227" t="s">
        <v>46</v>
      </c>
      <c r="M2227" s="1">
        <v>45035</v>
      </c>
      <c r="N2227" t="s">
        <v>47</v>
      </c>
      <c r="O2227" t="s">
        <v>48</v>
      </c>
      <c r="P2227" t="s">
        <v>49</v>
      </c>
      <c r="Q2227" t="s">
        <v>14378</v>
      </c>
      <c r="R2227" t="s">
        <v>14379</v>
      </c>
      <c r="S2227">
        <v>200</v>
      </c>
      <c r="T2227" t="s">
        <v>257</v>
      </c>
      <c r="U2227" t="s">
        <v>758</v>
      </c>
      <c r="V2227" t="s">
        <v>14380</v>
      </c>
      <c r="W2227" t="s">
        <v>260</v>
      </c>
      <c r="X2227" t="s">
        <v>257</v>
      </c>
      <c r="Y2227" t="s">
        <v>110</v>
      </c>
      <c r="Z2227">
        <v>2433</v>
      </c>
      <c r="AA2227">
        <v>28</v>
      </c>
      <c r="AB2227">
        <v>189</v>
      </c>
      <c r="AC2227" t="s">
        <v>14381</v>
      </c>
      <c r="AD2227" t="s">
        <v>14382</v>
      </c>
      <c r="AE2227" t="s">
        <v>14383</v>
      </c>
      <c r="AF2227" t="s">
        <v>14384</v>
      </c>
      <c r="AG2227" t="s">
        <v>14385</v>
      </c>
      <c r="AH2227" t="s">
        <v>14386</v>
      </c>
      <c r="AJ2227" s="2">
        <v>45824.873483796298</v>
      </c>
      <c r="AK2227" t="s">
        <v>84</v>
      </c>
      <c r="AL2227" t="s">
        <v>65</v>
      </c>
      <c r="AM2227" s="3">
        <v>1.5104166666666667</v>
      </c>
      <c r="AN2227" t="s">
        <v>66</v>
      </c>
      <c r="AO2227" t="s">
        <v>101</v>
      </c>
    </row>
    <row r="2228" spans="1:41" x14ac:dyDescent="0.2">
      <c r="A2228">
        <v>372593</v>
      </c>
      <c r="B2228" t="s">
        <v>14387</v>
      </c>
      <c r="C2228" t="s">
        <v>118</v>
      </c>
      <c r="D2228" t="s">
        <v>1389</v>
      </c>
      <c r="E2228" t="s">
        <v>14388</v>
      </c>
      <c r="F2228">
        <v>20221</v>
      </c>
      <c r="G2228" s="1">
        <v>39923</v>
      </c>
      <c r="H2228" s="1">
        <v>45632</v>
      </c>
      <c r="I2228" s="1">
        <v>45945</v>
      </c>
      <c r="J2228" t="s">
        <v>45</v>
      </c>
      <c r="K2228" t="s">
        <v>45</v>
      </c>
      <c r="L2228" t="s">
        <v>72</v>
      </c>
      <c r="M2228" s="1">
        <v>43060</v>
      </c>
      <c r="N2228" t="s">
        <v>47</v>
      </c>
      <c r="O2228" t="s">
        <v>48</v>
      </c>
      <c r="P2228" t="s">
        <v>49</v>
      </c>
      <c r="Q2228" t="s">
        <v>14389</v>
      </c>
      <c r="R2228" t="s">
        <v>14390</v>
      </c>
      <c r="S2228">
        <v>7842</v>
      </c>
      <c r="T2228" t="s">
        <v>52</v>
      </c>
      <c r="U2228">
        <v>3</v>
      </c>
      <c r="V2228" t="s">
        <v>602</v>
      </c>
      <c r="W2228" t="s">
        <v>54</v>
      </c>
      <c r="X2228" t="s">
        <v>55</v>
      </c>
      <c r="Y2228" t="s">
        <v>56</v>
      </c>
      <c r="Z2228">
        <v>604</v>
      </c>
      <c r="AA2228">
        <v>48</v>
      </c>
      <c r="AB2228">
        <v>158</v>
      </c>
      <c r="AC2228" t="s">
        <v>8692</v>
      </c>
      <c r="AD2228" t="s">
        <v>8693</v>
      </c>
      <c r="AE2228" t="s">
        <v>8694</v>
      </c>
      <c r="AF2228" t="s">
        <v>8695</v>
      </c>
      <c r="AG2228" t="s">
        <v>8696</v>
      </c>
      <c r="AH2228" t="s">
        <v>8697</v>
      </c>
      <c r="AI2228" t="s">
        <v>8693</v>
      </c>
      <c r="AJ2228" s="2">
        <v>45846.727152777778</v>
      </c>
      <c r="AK2228" t="s">
        <v>132</v>
      </c>
      <c r="AL2228" t="s">
        <v>65</v>
      </c>
      <c r="AM2228" s="3">
        <v>2.0625</v>
      </c>
      <c r="AN2228" t="s">
        <v>66</v>
      </c>
      <c r="AO2228" t="s">
        <v>67</v>
      </c>
    </row>
    <row r="2229" spans="1:41" x14ac:dyDescent="0.2">
      <c r="A2229">
        <v>372915</v>
      </c>
      <c r="B2229" t="s">
        <v>14391</v>
      </c>
      <c r="C2229" t="s">
        <v>167</v>
      </c>
      <c r="D2229" t="s">
        <v>6941</v>
      </c>
      <c r="E2229" t="s">
        <v>14392</v>
      </c>
      <c r="F2229">
        <v>353120</v>
      </c>
      <c r="G2229" s="1">
        <v>30573</v>
      </c>
      <c r="H2229" s="1">
        <v>45714</v>
      </c>
      <c r="I2229" s="1">
        <v>46054</v>
      </c>
      <c r="J2229" t="s">
        <v>45</v>
      </c>
      <c r="K2229" t="s">
        <v>45</v>
      </c>
      <c r="L2229" t="s">
        <v>429</v>
      </c>
      <c r="M2229" s="1">
        <v>45007</v>
      </c>
      <c r="N2229" t="s">
        <v>47</v>
      </c>
      <c r="O2229" t="s">
        <v>48</v>
      </c>
      <c r="P2229" t="s">
        <v>49</v>
      </c>
      <c r="Q2229" t="s">
        <v>14393</v>
      </c>
      <c r="R2229" t="s">
        <v>14394</v>
      </c>
      <c r="S2229">
        <v>1180</v>
      </c>
      <c r="T2229" t="s">
        <v>365</v>
      </c>
      <c r="U2229" t="s">
        <v>532</v>
      </c>
      <c r="V2229" t="s">
        <v>3595</v>
      </c>
      <c r="W2229" t="s">
        <v>367</v>
      </c>
      <c r="X2229" t="s">
        <v>76</v>
      </c>
      <c r="Y2229" t="s">
        <v>434</v>
      </c>
      <c r="Z2229">
        <v>311</v>
      </c>
      <c r="AA2229">
        <v>70</v>
      </c>
      <c r="AB2229">
        <v>146</v>
      </c>
      <c r="AC2229" t="s">
        <v>3596</v>
      </c>
      <c r="AD2229" t="s">
        <v>3597</v>
      </c>
      <c r="AE2229" t="s">
        <v>3598</v>
      </c>
      <c r="AF2229" t="s">
        <v>3599</v>
      </c>
      <c r="AG2229" t="s">
        <v>3600</v>
      </c>
      <c r="AH2229" t="s">
        <v>3601</v>
      </c>
      <c r="AI2229" t="s">
        <v>179</v>
      </c>
      <c r="AJ2229" s="2">
        <v>45855.896122685182</v>
      </c>
      <c r="AK2229" t="s">
        <v>556</v>
      </c>
      <c r="AL2229" t="s">
        <v>65</v>
      </c>
      <c r="AM2229" s="3">
        <v>2.4750000000000001</v>
      </c>
      <c r="AN2229" t="s">
        <v>66</v>
      </c>
      <c r="AO2229" t="s">
        <v>67</v>
      </c>
    </row>
    <row r="2230" spans="1:41" x14ac:dyDescent="0.2">
      <c r="A2230">
        <v>365889</v>
      </c>
      <c r="B2230" t="s">
        <v>14395</v>
      </c>
      <c r="C2230" t="s">
        <v>735</v>
      </c>
      <c r="D2230" t="s">
        <v>2245</v>
      </c>
      <c r="E2230" t="s">
        <v>14396</v>
      </c>
      <c r="F2230">
        <v>245106</v>
      </c>
      <c r="G2230" s="1">
        <v>38653</v>
      </c>
      <c r="H2230" s="1">
        <v>45592</v>
      </c>
      <c r="I2230" s="1">
        <v>45931</v>
      </c>
      <c r="J2230" t="s">
        <v>45</v>
      </c>
      <c r="K2230" t="s">
        <v>45</v>
      </c>
      <c r="L2230" t="s">
        <v>72</v>
      </c>
      <c r="M2230" s="1">
        <v>38653</v>
      </c>
      <c r="N2230" t="s">
        <v>47</v>
      </c>
      <c r="O2230" t="s">
        <v>48</v>
      </c>
      <c r="P2230" t="s">
        <v>49</v>
      </c>
      <c r="Q2230" t="s">
        <v>14397</v>
      </c>
      <c r="R2230" t="s">
        <v>14398</v>
      </c>
      <c r="S2230">
        <v>6584</v>
      </c>
      <c r="T2230" t="s">
        <v>296</v>
      </c>
      <c r="U2230" t="s">
        <v>1487</v>
      </c>
      <c r="V2230" t="s">
        <v>2510</v>
      </c>
      <c r="W2230" t="s">
        <v>299</v>
      </c>
      <c r="X2230" t="s">
        <v>76</v>
      </c>
      <c r="Y2230" t="s">
        <v>56</v>
      </c>
      <c r="Z2230">
        <v>6</v>
      </c>
      <c r="AA2230">
        <v>50</v>
      </c>
      <c r="AB2230">
        <v>144</v>
      </c>
      <c r="AC2230" t="s">
        <v>2511</v>
      </c>
      <c r="AD2230" t="s">
        <v>2512</v>
      </c>
      <c r="AE2230" t="s">
        <v>2513</v>
      </c>
      <c r="AF2230" t="s">
        <v>2514</v>
      </c>
      <c r="AG2230" t="s">
        <v>11052</v>
      </c>
      <c r="AH2230" t="s">
        <v>2516</v>
      </c>
      <c r="AI2230" t="s">
        <v>1494</v>
      </c>
      <c r="AJ2230" s="2">
        <v>45594.836863425924</v>
      </c>
      <c r="AK2230" t="s">
        <v>704</v>
      </c>
      <c r="AL2230" t="s">
        <v>65</v>
      </c>
      <c r="AM2230" s="4">
        <v>0.76388888888888884</v>
      </c>
      <c r="AN2230" t="s">
        <v>809</v>
      </c>
      <c r="AO2230" t="s">
        <v>67</v>
      </c>
    </row>
    <row r="2231" spans="1:41" x14ac:dyDescent="0.2">
      <c r="A2231">
        <v>373072</v>
      </c>
      <c r="B2231" t="s">
        <v>14399</v>
      </c>
      <c r="C2231" t="s">
        <v>345</v>
      </c>
      <c r="D2231" t="s">
        <v>3845</v>
      </c>
      <c r="E2231" t="s">
        <v>14400</v>
      </c>
      <c r="G2231" s="1">
        <v>45527</v>
      </c>
      <c r="H2231" s="1">
        <v>45460</v>
      </c>
      <c r="I2231" s="1">
        <v>46127</v>
      </c>
      <c r="J2231" t="s">
        <v>45</v>
      </c>
      <c r="K2231" t="s">
        <v>45</v>
      </c>
      <c r="L2231" t="s">
        <v>72</v>
      </c>
      <c r="M2231" s="1">
        <v>42143</v>
      </c>
      <c r="N2231" t="s">
        <v>89</v>
      </c>
      <c r="O2231" t="s">
        <v>121</v>
      </c>
      <c r="P2231" t="s">
        <v>49</v>
      </c>
      <c r="Q2231" t="s">
        <v>14401</v>
      </c>
      <c r="R2231" t="s">
        <v>14402</v>
      </c>
      <c r="S2231">
        <v>9100</v>
      </c>
      <c r="T2231" t="s">
        <v>52</v>
      </c>
      <c r="U2231">
        <v>2</v>
      </c>
      <c r="V2231" t="s">
        <v>1522</v>
      </c>
      <c r="W2231" t="s">
        <v>54</v>
      </c>
      <c r="X2231" t="s">
        <v>52</v>
      </c>
      <c r="Y2231" t="s">
        <v>125</v>
      </c>
      <c r="Z2231">
        <v>1705</v>
      </c>
      <c r="AA2231">
        <v>77</v>
      </c>
      <c r="AB2231">
        <v>52</v>
      </c>
      <c r="AC2231" t="s">
        <v>1523</v>
      </c>
      <c r="AD2231" t="s">
        <v>1524</v>
      </c>
      <c r="AE2231" t="s">
        <v>1525</v>
      </c>
      <c r="AF2231" t="s">
        <v>1526</v>
      </c>
      <c r="AG2231" t="s">
        <v>1527</v>
      </c>
      <c r="AH2231" t="s">
        <v>1528</v>
      </c>
      <c r="AJ2231" s="2">
        <v>45856.726168981484</v>
      </c>
      <c r="AK2231" t="s">
        <v>132</v>
      </c>
      <c r="AL2231" t="s">
        <v>65</v>
      </c>
      <c r="AM2231" s="3">
        <v>2.3125</v>
      </c>
      <c r="AN2231" t="s">
        <v>66</v>
      </c>
      <c r="AO2231" t="s">
        <v>67</v>
      </c>
    </row>
    <row r="2232" spans="1:41" x14ac:dyDescent="0.2">
      <c r="A2232">
        <v>372104</v>
      </c>
      <c r="B2232" t="s">
        <v>14403</v>
      </c>
      <c r="C2232" t="s">
        <v>345</v>
      </c>
      <c r="D2232" t="s">
        <v>14404</v>
      </c>
      <c r="E2232" t="s">
        <v>14405</v>
      </c>
      <c r="F2232">
        <v>50199</v>
      </c>
      <c r="G2232" s="1">
        <v>45555</v>
      </c>
      <c r="H2232" s="1">
        <v>45831</v>
      </c>
      <c r="I2232" s="1">
        <v>46204</v>
      </c>
      <c r="J2232" t="s">
        <v>45</v>
      </c>
      <c r="K2232" t="s">
        <v>45</v>
      </c>
      <c r="L2232" t="s">
        <v>72</v>
      </c>
      <c r="N2232" t="s">
        <v>89</v>
      </c>
      <c r="O2232" t="s">
        <v>121</v>
      </c>
      <c r="P2232" t="s">
        <v>49</v>
      </c>
      <c r="Q2232" t="s">
        <v>14406</v>
      </c>
      <c r="R2232" t="s">
        <v>14407</v>
      </c>
      <c r="S2232">
        <v>8854</v>
      </c>
      <c r="T2232" t="s">
        <v>52</v>
      </c>
      <c r="U2232">
        <v>2</v>
      </c>
      <c r="V2232" t="s">
        <v>1522</v>
      </c>
      <c r="W2232" t="s">
        <v>54</v>
      </c>
      <c r="X2232" t="s">
        <v>76</v>
      </c>
      <c r="Y2232" t="s">
        <v>125</v>
      </c>
      <c r="Z2232">
        <v>848</v>
      </c>
      <c r="AA2232">
        <v>122</v>
      </c>
      <c r="AB2232">
        <v>52</v>
      </c>
      <c r="AC2232" t="s">
        <v>1931</v>
      </c>
      <c r="AD2232" t="s">
        <v>1932</v>
      </c>
      <c r="AE2232" t="s">
        <v>1933</v>
      </c>
      <c r="AF2232" t="s">
        <v>1934</v>
      </c>
      <c r="AG2232" t="s">
        <v>14408</v>
      </c>
      <c r="AH2232" t="s">
        <v>1936</v>
      </c>
      <c r="AI2232" t="s">
        <v>14409</v>
      </c>
      <c r="AJ2232" s="2">
        <v>45831.486296296294</v>
      </c>
      <c r="AK2232" t="s">
        <v>800</v>
      </c>
      <c r="AL2232" t="s">
        <v>65</v>
      </c>
      <c r="AM2232" s="3">
        <v>2.3194444444444446</v>
      </c>
      <c r="AN2232" t="s">
        <v>66</v>
      </c>
      <c r="AO2232" t="s">
        <v>67</v>
      </c>
    </row>
    <row r="2233" spans="1:41" x14ac:dyDescent="0.2">
      <c r="A2233">
        <v>371754</v>
      </c>
      <c r="B2233" t="s">
        <v>14410</v>
      </c>
      <c r="C2233" t="s">
        <v>345</v>
      </c>
      <c r="D2233" t="s">
        <v>3131</v>
      </c>
      <c r="E2233" t="s">
        <v>14411</v>
      </c>
      <c r="G2233" s="1">
        <v>45818</v>
      </c>
      <c r="H2233" s="1">
        <v>45611</v>
      </c>
      <c r="I2233" s="1">
        <v>45962</v>
      </c>
      <c r="J2233" t="s">
        <v>45</v>
      </c>
      <c r="K2233" t="s">
        <v>45</v>
      </c>
      <c r="L2233" t="s">
        <v>72</v>
      </c>
      <c r="N2233" t="s">
        <v>47</v>
      </c>
      <c r="O2233" t="s">
        <v>121</v>
      </c>
      <c r="P2233" t="s">
        <v>49</v>
      </c>
      <c r="Q2233" t="s">
        <v>14412</v>
      </c>
      <c r="R2233" t="s">
        <v>14413</v>
      </c>
      <c r="S2233">
        <v>11554</v>
      </c>
      <c r="T2233" t="s">
        <v>52</v>
      </c>
      <c r="U2233">
        <v>2</v>
      </c>
      <c r="V2233" t="s">
        <v>1522</v>
      </c>
      <c r="W2233" t="s">
        <v>54</v>
      </c>
      <c r="X2233" t="s">
        <v>52</v>
      </c>
      <c r="Y2233" t="s">
        <v>125</v>
      </c>
      <c r="Z2233">
        <v>1706</v>
      </c>
      <c r="AA2233">
        <v>58</v>
      </c>
      <c r="AB2233">
        <v>158</v>
      </c>
      <c r="AC2233" t="s">
        <v>2688</v>
      </c>
      <c r="AD2233" t="s">
        <v>2689</v>
      </c>
      <c r="AE2233" t="s">
        <v>2690</v>
      </c>
      <c r="AF2233" t="s">
        <v>1526</v>
      </c>
      <c r="AG2233" t="s">
        <v>1527</v>
      </c>
      <c r="AH2233" t="s">
        <v>1528</v>
      </c>
      <c r="AJ2233" s="2">
        <v>45818.869583333333</v>
      </c>
      <c r="AK2233" t="s">
        <v>132</v>
      </c>
      <c r="AL2233" t="s">
        <v>65</v>
      </c>
      <c r="AM2233" s="3">
        <v>2.3611111111111112</v>
      </c>
      <c r="AN2233" t="s">
        <v>66</v>
      </c>
      <c r="AO2233" t="s">
        <v>67</v>
      </c>
    </row>
    <row r="2234" spans="1:41" x14ac:dyDescent="0.2">
      <c r="A2234">
        <v>362428</v>
      </c>
      <c r="B2234" t="s">
        <v>14414</v>
      </c>
      <c r="C2234" t="s">
        <v>345</v>
      </c>
      <c r="D2234" t="s">
        <v>3845</v>
      </c>
      <c r="E2234" t="s">
        <v>14415</v>
      </c>
      <c r="G2234" s="1">
        <v>45457</v>
      </c>
      <c r="H2234" s="1">
        <v>45456</v>
      </c>
      <c r="I2234" s="1">
        <v>46204</v>
      </c>
      <c r="J2234" t="s">
        <v>45</v>
      </c>
      <c r="K2234" t="s">
        <v>45</v>
      </c>
      <c r="L2234" t="s">
        <v>72</v>
      </c>
      <c r="M2234" s="1">
        <v>41188</v>
      </c>
      <c r="N2234" t="s">
        <v>47</v>
      </c>
      <c r="O2234" t="s">
        <v>121</v>
      </c>
      <c r="P2234" t="s">
        <v>49</v>
      </c>
      <c r="Q2234" t="s">
        <v>14416</v>
      </c>
      <c r="R2234" t="s">
        <v>14417</v>
      </c>
      <c r="S2234">
        <v>8854</v>
      </c>
      <c r="T2234" t="s">
        <v>52</v>
      </c>
      <c r="U2234">
        <v>2</v>
      </c>
      <c r="V2234" t="s">
        <v>1522</v>
      </c>
      <c r="W2234" t="s">
        <v>54</v>
      </c>
      <c r="X2234" t="s">
        <v>76</v>
      </c>
      <c r="Y2234" t="s">
        <v>125</v>
      </c>
      <c r="Z2234">
        <v>1955</v>
      </c>
      <c r="AA2234">
        <v>64</v>
      </c>
      <c r="AB2234">
        <v>160</v>
      </c>
      <c r="AC2234" t="s">
        <v>9858</v>
      </c>
      <c r="AD2234" t="s">
        <v>9859</v>
      </c>
      <c r="AE2234" t="s">
        <v>9860</v>
      </c>
      <c r="AI2234" t="s">
        <v>14418</v>
      </c>
      <c r="AJ2234" s="2">
        <v>45486.988449074073</v>
      </c>
      <c r="AK2234" t="s">
        <v>9858</v>
      </c>
      <c r="AL2234" t="s">
        <v>65</v>
      </c>
      <c r="AM2234" s="3">
        <v>2.3402777777777777</v>
      </c>
      <c r="AN2234" t="s">
        <v>66</v>
      </c>
      <c r="AO2234" t="s">
        <v>67</v>
      </c>
    </row>
    <row r="2235" spans="1:41" x14ac:dyDescent="0.2">
      <c r="A2235">
        <v>364239</v>
      </c>
      <c r="B2235" t="s">
        <v>14419</v>
      </c>
      <c r="C2235" t="s">
        <v>345</v>
      </c>
      <c r="D2235" t="s">
        <v>7763</v>
      </c>
      <c r="E2235" t="s">
        <v>14420</v>
      </c>
      <c r="G2235" s="1">
        <v>45535</v>
      </c>
      <c r="H2235" s="1">
        <v>45488</v>
      </c>
      <c r="I2235" s="1">
        <v>46235</v>
      </c>
      <c r="J2235" t="s">
        <v>45</v>
      </c>
      <c r="K2235" t="s">
        <v>45</v>
      </c>
      <c r="L2235" t="s">
        <v>72</v>
      </c>
      <c r="N2235" t="s">
        <v>47</v>
      </c>
      <c r="O2235" t="s">
        <v>121</v>
      </c>
      <c r="P2235" t="s">
        <v>49</v>
      </c>
      <c r="Q2235" t="s">
        <v>14421</v>
      </c>
      <c r="R2235" t="s">
        <v>14422</v>
      </c>
      <c r="S2235">
        <v>9210</v>
      </c>
      <c r="T2235" t="s">
        <v>52</v>
      </c>
      <c r="U2235">
        <v>2</v>
      </c>
      <c r="V2235" t="s">
        <v>1522</v>
      </c>
      <c r="W2235" t="s">
        <v>54</v>
      </c>
      <c r="X2235" t="s">
        <v>76</v>
      </c>
      <c r="Y2235" t="s">
        <v>125</v>
      </c>
      <c r="Z2235">
        <v>12170</v>
      </c>
      <c r="AA2235">
        <v>17</v>
      </c>
      <c r="AB2235">
        <v>210</v>
      </c>
      <c r="AC2235" t="s">
        <v>14423</v>
      </c>
      <c r="AD2235" t="s">
        <v>14424</v>
      </c>
      <c r="AE2235" t="s">
        <v>14425</v>
      </c>
      <c r="AJ2235" s="2">
        <v>45538.729467592595</v>
      </c>
      <c r="AK2235" t="s">
        <v>660</v>
      </c>
      <c r="AL2235" t="s">
        <v>65</v>
      </c>
      <c r="AM2235" s="4">
        <v>0.19097222222222221</v>
      </c>
      <c r="AN2235" t="s">
        <v>66</v>
      </c>
      <c r="AO2235" t="s">
        <v>67</v>
      </c>
    </row>
    <row r="2236" spans="1:41" x14ac:dyDescent="0.2">
      <c r="A2236">
        <v>371999</v>
      </c>
      <c r="B2236" t="s">
        <v>14426</v>
      </c>
      <c r="C2236" t="s">
        <v>323</v>
      </c>
      <c r="D2236" t="s">
        <v>2171</v>
      </c>
      <c r="E2236">
        <v>32750776</v>
      </c>
      <c r="F2236">
        <v>500973</v>
      </c>
      <c r="G2236" s="1">
        <v>39588</v>
      </c>
      <c r="H2236" s="1">
        <v>45779</v>
      </c>
      <c r="I2236" s="1">
        <v>46037</v>
      </c>
      <c r="J2236" t="s">
        <v>45</v>
      </c>
      <c r="K2236" t="s">
        <v>45</v>
      </c>
      <c r="L2236" t="s">
        <v>72</v>
      </c>
      <c r="M2236" s="1">
        <v>45825</v>
      </c>
      <c r="N2236" t="s">
        <v>47</v>
      </c>
      <c r="O2236" t="s">
        <v>48</v>
      </c>
      <c r="P2236" t="s">
        <v>49</v>
      </c>
      <c r="Q2236" t="s">
        <v>14427</v>
      </c>
      <c r="R2236" t="s">
        <v>14428</v>
      </c>
      <c r="S2236">
        <v>136</v>
      </c>
      <c r="T2236" t="s">
        <v>92</v>
      </c>
      <c r="U2236" t="s">
        <v>329</v>
      </c>
      <c r="V2236" t="s">
        <v>722</v>
      </c>
      <c r="W2236" t="s">
        <v>723</v>
      </c>
      <c r="X2236" t="s">
        <v>92</v>
      </c>
      <c r="Y2236" t="s">
        <v>110</v>
      </c>
      <c r="Z2236">
        <v>2989</v>
      </c>
      <c r="AA2236">
        <v>33</v>
      </c>
      <c r="AB2236">
        <v>138</v>
      </c>
      <c r="AC2236" t="s">
        <v>2175</v>
      </c>
      <c r="AD2236" t="s">
        <v>2408</v>
      </c>
      <c r="AE2236" t="s">
        <v>2177</v>
      </c>
      <c r="AF2236" t="s">
        <v>2406</v>
      </c>
      <c r="AG2236" t="s">
        <v>332</v>
      </c>
      <c r="AH2236" t="s">
        <v>333</v>
      </c>
      <c r="AI2236" t="s">
        <v>2409</v>
      </c>
      <c r="AJ2236" s="2">
        <v>45826.695902777778</v>
      </c>
      <c r="AK2236" t="s">
        <v>331</v>
      </c>
      <c r="AL2236" t="s">
        <v>65</v>
      </c>
      <c r="AM2236" s="3">
        <v>2.1041666666666665</v>
      </c>
      <c r="AN2236" t="s">
        <v>66</v>
      </c>
      <c r="AO2236" t="s">
        <v>67</v>
      </c>
    </row>
    <row r="2237" spans="1:41" x14ac:dyDescent="0.2">
      <c r="A2237">
        <v>365757</v>
      </c>
      <c r="B2237" t="s">
        <v>14429</v>
      </c>
      <c r="C2237" t="s">
        <v>309</v>
      </c>
      <c r="D2237" t="s">
        <v>309</v>
      </c>
      <c r="E2237" t="s">
        <v>14430</v>
      </c>
      <c r="F2237">
        <v>499905</v>
      </c>
      <c r="G2237" s="1">
        <v>36357</v>
      </c>
      <c r="H2237" s="1">
        <v>45376</v>
      </c>
      <c r="I2237" s="1">
        <v>46096</v>
      </c>
      <c r="J2237" t="s">
        <v>45</v>
      </c>
      <c r="K2237" t="s">
        <v>45</v>
      </c>
      <c r="L2237" t="s">
        <v>72</v>
      </c>
      <c r="M2237" s="1">
        <v>45376</v>
      </c>
      <c r="N2237" t="s">
        <v>47</v>
      </c>
      <c r="O2237" t="s">
        <v>48</v>
      </c>
      <c r="P2237" t="s">
        <v>49</v>
      </c>
      <c r="Q2237" t="s">
        <v>14431</v>
      </c>
      <c r="R2237" t="s">
        <v>14432</v>
      </c>
      <c r="S2237">
        <v>6430</v>
      </c>
      <c r="T2237" t="s">
        <v>1328</v>
      </c>
      <c r="U2237" t="s">
        <v>3114</v>
      </c>
      <c r="V2237" t="s">
        <v>6371</v>
      </c>
      <c r="W2237" t="s">
        <v>3116</v>
      </c>
      <c r="X2237" t="s">
        <v>1328</v>
      </c>
      <c r="Y2237" t="s">
        <v>110</v>
      </c>
      <c r="Z2237">
        <v>1645</v>
      </c>
      <c r="AA2237">
        <v>28</v>
      </c>
      <c r="AB2237">
        <v>76</v>
      </c>
      <c r="AC2237" t="s">
        <v>6372</v>
      </c>
      <c r="AD2237" t="s">
        <v>6373</v>
      </c>
      <c r="AE2237" t="s">
        <v>6374</v>
      </c>
      <c r="AF2237" t="s">
        <v>14433</v>
      </c>
      <c r="AG2237" t="s">
        <v>14434</v>
      </c>
      <c r="AH2237" t="s">
        <v>14435</v>
      </c>
      <c r="AJ2237" s="2">
        <v>45591.575243055559</v>
      </c>
      <c r="AK2237" t="s">
        <v>132</v>
      </c>
      <c r="AL2237" t="s">
        <v>65</v>
      </c>
      <c r="AM2237" s="3">
        <v>2.4652777777777777</v>
      </c>
      <c r="AN2237" t="s">
        <v>66</v>
      </c>
      <c r="AO2237" t="s">
        <v>67</v>
      </c>
    </row>
    <row r="2238" spans="1:41" x14ac:dyDescent="0.2">
      <c r="A2238">
        <v>365751</v>
      </c>
      <c r="B2238" t="s">
        <v>14436</v>
      </c>
      <c r="C2238" t="s">
        <v>309</v>
      </c>
      <c r="D2238" t="s">
        <v>309</v>
      </c>
      <c r="E2238" t="s">
        <v>14437</v>
      </c>
      <c r="F2238">
        <v>499900</v>
      </c>
      <c r="G2238" s="1">
        <v>39504</v>
      </c>
      <c r="H2238" s="1">
        <v>45375</v>
      </c>
      <c r="I2238" s="1">
        <v>46096</v>
      </c>
      <c r="J2238" t="s">
        <v>45</v>
      </c>
      <c r="K2238" t="s">
        <v>45</v>
      </c>
      <c r="L2238" t="s">
        <v>72</v>
      </c>
      <c r="M2238" s="1">
        <v>45375</v>
      </c>
      <c r="N2238" t="s">
        <v>47</v>
      </c>
      <c r="O2238" t="s">
        <v>48</v>
      </c>
      <c r="P2238" t="s">
        <v>49</v>
      </c>
      <c r="Q2238" t="s">
        <v>14438</v>
      </c>
      <c r="R2238" t="s">
        <v>14439</v>
      </c>
      <c r="S2238">
        <v>3366</v>
      </c>
      <c r="T2238" t="s">
        <v>1328</v>
      </c>
      <c r="U2238" t="s">
        <v>3114</v>
      </c>
      <c r="V2238" t="s">
        <v>6371</v>
      </c>
      <c r="W2238" t="s">
        <v>3116</v>
      </c>
      <c r="X2238" t="s">
        <v>1328</v>
      </c>
      <c r="Y2238" t="s">
        <v>110</v>
      </c>
      <c r="Z2238">
        <v>2922</v>
      </c>
      <c r="AA2238">
        <v>19</v>
      </c>
      <c r="AB2238">
        <v>66</v>
      </c>
      <c r="AC2238" t="s">
        <v>6372</v>
      </c>
      <c r="AD2238" t="s">
        <v>6373</v>
      </c>
      <c r="AE2238" t="s">
        <v>6374</v>
      </c>
      <c r="AF2238" t="s">
        <v>14433</v>
      </c>
      <c r="AG2238" t="s">
        <v>14434</v>
      </c>
      <c r="AH2238" t="s">
        <v>14435</v>
      </c>
      <c r="AJ2238" s="2">
        <v>45591.571956018517</v>
      </c>
      <c r="AK2238" t="s">
        <v>132</v>
      </c>
      <c r="AL2238" t="s">
        <v>65</v>
      </c>
      <c r="AM2238" s="3">
        <v>2.1180555555555554</v>
      </c>
      <c r="AN2238" t="s">
        <v>66</v>
      </c>
      <c r="AO2238" t="s">
        <v>67</v>
      </c>
    </row>
    <row r="2239" spans="1:41" x14ac:dyDescent="0.2">
      <c r="A2239">
        <v>365627</v>
      </c>
      <c r="B2239" t="s">
        <v>14440</v>
      </c>
      <c r="C2239" t="s">
        <v>309</v>
      </c>
      <c r="D2239" t="s">
        <v>309</v>
      </c>
      <c r="E2239">
        <v>32666200</v>
      </c>
      <c r="F2239">
        <v>499906</v>
      </c>
      <c r="G2239" s="1">
        <v>36375</v>
      </c>
      <c r="H2239" s="1">
        <v>45377</v>
      </c>
      <c r="I2239" s="1">
        <v>46096</v>
      </c>
      <c r="J2239" t="s">
        <v>45</v>
      </c>
      <c r="K2239" t="s">
        <v>45</v>
      </c>
      <c r="L2239" t="s">
        <v>72</v>
      </c>
      <c r="M2239" s="1">
        <v>45377</v>
      </c>
      <c r="N2239" t="s">
        <v>47</v>
      </c>
      <c r="O2239" t="s">
        <v>48</v>
      </c>
      <c r="P2239" t="s">
        <v>49</v>
      </c>
      <c r="Q2239" t="s">
        <v>14441</v>
      </c>
      <c r="R2239" t="s">
        <v>14442</v>
      </c>
      <c r="S2239">
        <v>5385</v>
      </c>
      <c r="T2239" t="s">
        <v>1328</v>
      </c>
      <c r="U2239" t="s">
        <v>3114</v>
      </c>
      <c r="V2239" t="s">
        <v>6371</v>
      </c>
      <c r="W2239" t="s">
        <v>3116</v>
      </c>
      <c r="X2239" t="s">
        <v>1328</v>
      </c>
      <c r="Y2239" t="s">
        <v>110</v>
      </c>
      <c r="Z2239">
        <v>1647</v>
      </c>
      <c r="AA2239">
        <v>25</v>
      </c>
      <c r="AB2239">
        <v>76</v>
      </c>
      <c r="AC2239" t="s">
        <v>6372</v>
      </c>
      <c r="AD2239" t="s">
        <v>14443</v>
      </c>
      <c r="AE2239" t="s">
        <v>6374</v>
      </c>
      <c r="AF2239" t="s">
        <v>14444</v>
      </c>
      <c r="AG2239" t="s">
        <v>14445</v>
      </c>
      <c r="AH2239" t="s">
        <v>14435</v>
      </c>
      <c r="AJ2239" s="2">
        <v>45588.826284722221</v>
      </c>
      <c r="AK2239" t="s">
        <v>6372</v>
      </c>
      <c r="AL2239" t="s">
        <v>65</v>
      </c>
      <c r="AM2239" s="3">
        <v>2.3263888888888888</v>
      </c>
      <c r="AN2239" t="s">
        <v>66</v>
      </c>
      <c r="AO2239" t="s">
        <v>67</v>
      </c>
    </row>
    <row r="2240" spans="1:41" x14ac:dyDescent="0.2">
      <c r="A2240">
        <v>365758</v>
      </c>
      <c r="B2240" t="s">
        <v>14446</v>
      </c>
      <c r="C2240" t="s">
        <v>309</v>
      </c>
      <c r="D2240" t="s">
        <v>309</v>
      </c>
      <c r="E2240">
        <v>32669284</v>
      </c>
      <c r="F2240">
        <v>490104</v>
      </c>
      <c r="G2240" s="1">
        <v>41508</v>
      </c>
      <c r="H2240" s="1">
        <v>41507</v>
      </c>
      <c r="J2240" t="s">
        <v>72</v>
      </c>
      <c r="K2240" t="s">
        <v>72</v>
      </c>
      <c r="L2240" t="s">
        <v>72</v>
      </c>
      <c r="M2240" s="1">
        <v>41359</v>
      </c>
      <c r="N2240" t="s">
        <v>89</v>
      </c>
      <c r="O2240" t="s">
        <v>121</v>
      </c>
      <c r="P2240" t="s">
        <v>49</v>
      </c>
      <c r="Q2240" t="s">
        <v>14447</v>
      </c>
      <c r="R2240" t="s">
        <v>14448</v>
      </c>
      <c r="S2240">
        <v>15</v>
      </c>
      <c r="T2240" t="s">
        <v>1328</v>
      </c>
      <c r="U2240" t="s">
        <v>3114</v>
      </c>
      <c r="V2240" t="s">
        <v>6371</v>
      </c>
      <c r="W2240" t="s">
        <v>3116</v>
      </c>
      <c r="X2240" t="s">
        <v>1328</v>
      </c>
      <c r="Y2240" t="s">
        <v>410</v>
      </c>
      <c r="Z2240">
        <v>1659</v>
      </c>
      <c r="AA2240">
        <v>29</v>
      </c>
      <c r="AB2240">
        <v>76</v>
      </c>
      <c r="AC2240" t="s">
        <v>6372</v>
      </c>
      <c r="AD2240" t="s">
        <v>6373</v>
      </c>
      <c r="AE2240" t="s">
        <v>6374</v>
      </c>
      <c r="AJ2240" s="2">
        <v>45591.576377314814</v>
      </c>
      <c r="AK2240" t="s">
        <v>132</v>
      </c>
      <c r="AL2240" t="s">
        <v>3105</v>
      </c>
      <c r="AM2240" s="3">
        <v>2.3888888888888888</v>
      </c>
      <c r="AN2240" t="s">
        <v>66</v>
      </c>
      <c r="AO2240" t="s">
        <v>67</v>
      </c>
    </row>
    <row r="2241" spans="1:41" x14ac:dyDescent="0.2">
      <c r="A2241">
        <v>365840</v>
      </c>
      <c r="B2241" t="s">
        <v>14449</v>
      </c>
      <c r="C2241" t="s">
        <v>309</v>
      </c>
      <c r="D2241" t="s">
        <v>309</v>
      </c>
      <c r="E2241" t="s">
        <v>14450</v>
      </c>
      <c r="J2241" t="s">
        <v>326</v>
      </c>
      <c r="K2241" t="s">
        <v>45</v>
      </c>
      <c r="L2241" t="s">
        <v>72</v>
      </c>
      <c r="N2241" t="s">
        <v>89</v>
      </c>
      <c r="O2241" t="s">
        <v>121</v>
      </c>
      <c r="P2241" t="s">
        <v>49</v>
      </c>
      <c r="T2241" t="s">
        <v>1328</v>
      </c>
      <c r="U2241" t="s">
        <v>3114</v>
      </c>
      <c r="V2241" t="s">
        <v>6371</v>
      </c>
      <c r="W2241" t="s">
        <v>3116</v>
      </c>
      <c r="X2241" t="s">
        <v>1328</v>
      </c>
      <c r="Y2241" t="s">
        <v>410</v>
      </c>
      <c r="Z2241">
        <v>6326</v>
      </c>
      <c r="AA2241">
        <v>4</v>
      </c>
      <c r="AB2241">
        <v>14</v>
      </c>
      <c r="AC2241" t="s">
        <v>6372</v>
      </c>
      <c r="AD2241" t="s">
        <v>6373</v>
      </c>
      <c r="AE2241" t="s">
        <v>6374</v>
      </c>
      <c r="AJ2241" s="2">
        <v>45594.575509259259</v>
      </c>
      <c r="AK2241" t="s">
        <v>132</v>
      </c>
      <c r="AL2241" t="s">
        <v>65</v>
      </c>
      <c r="AM2241" s="3">
        <v>1.375</v>
      </c>
      <c r="AN2241" t="s">
        <v>66</v>
      </c>
      <c r="AO2241" t="s">
        <v>67</v>
      </c>
    </row>
    <row r="2242" spans="1:41" x14ac:dyDescent="0.2">
      <c r="A2242">
        <v>365760</v>
      </c>
      <c r="B2242" t="s">
        <v>14451</v>
      </c>
      <c r="C2242" t="s">
        <v>309</v>
      </c>
      <c r="D2242" t="s">
        <v>309</v>
      </c>
      <c r="E2242" t="s">
        <v>14452</v>
      </c>
      <c r="F2242">
        <v>499904</v>
      </c>
      <c r="G2242" s="1">
        <v>38084</v>
      </c>
      <c r="H2242" s="1">
        <v>45376</v>
      </c>
      <c r="I2242" s="1">
        <v>46096</v>
      </c>
      <c r="J2242" t="s">
        <v>45</v>
      </c>
      <c r="K2242" t="s">
        <v>45</v>
      </c>
      <c r="L2242" t="s">
        <v>72</v>
      </c>
      <c r="M2242" s="1">
        <v>45376</v>
      </c>
      <c r="N2242" t="s">
        <v>47</v>
      </c>
      <c r="O2242" t="s">
        <v>48</v>
      </c>
      <c r="P2242" t="s">
        <v>49</v>
      </c>
      <c r="Q2242" t="s">
        <v>14453</v>
      </c>
      <c r="R2242" t="s">
        <v>14454</v>
      </c>
      <c r="S2242">
        <v>5690</v>
      </c>
      <c r="T2242" t="s">
        <v>1328</v>
      </c>
      <c r="U2242" t="s">
        <v>3114</v>
      </c>
      <c r="V2242" t="s">
        <v>6371</v>
      </c>
      <c r="W2242" t="s">
        <v>3116</v>
      </c>
      <c r="X2242" t="s">
        <v>1328</v>
      </c>
      <c r="Y2242" t="s">
        <v>110</v>
      </c>
      <c r="Z2242">
        <v>2544</v>
      </c>
      <c r="AA2242">
        <v>21</v>
      </c>
      <c r="AB2242">
        <v>160</v>
      </c>
      <c r="AC2242" t="s">
        <v>6372</v>
      </c>
      <c r="AD2242" t="s">
        <v>6373</v>
      </c>
      <c r="AE2242" t="s">
        <v>6374</v>
      </c>
      <c r="AF2242" t="s">
        <v>14433</v>
      </c>
      <c r="AG2242" t="s">
        <v>14434</v>
      </c>
      <c r="AH2242" t="s">
        <v>14435</v>
      </c>
      <c r="AJ2242" s="2">
        <v>45591.57712962963</v>
      </c>
      <c r="AK2242" t="s">
        <v>132</v>
      </c>
      <c r="AL2242" t="s">
        <v>65</v>
      </c>
      <c r="AM2242" s="3">
        <v>2.0416666666666665</v>
      </c>
      <c r="AN2242" t="s">
        <v>66</v>
      </c>
      <c r="AO2242" t="s">
        <v>67</v>
      </c>
    </row>
    <row r="2243" spans="1:41" x14ac:dyDescent="0.2">
      <c r="A2243">
        <v>365761</v>
      </c>
      <c r="B2243" t="s">
        <v>14455</v>
      </c>
      <c r="C2243" t="s">
        <v>309</v>
      </c>
      <c r="D2243" t="s">
        <v>309</v>
      </c>
      <c r="E2243">
        <v>32667176</v>
      </c>
      <c r="F2243">
        <v>499907</v>
      </c>
      <c r="G2243" s="1">
        <v>36376</v>
      </c>
      <c r="H2243" s="1">
        <v>45377</v>
      </c>
      <c r="I2243" s="1">
        <v>46096</v>
      </c>
      <c r="J2243" t="s">
        <v>45</v>
      </c>
      <c r="K2243" t="s">
        <v>45</v>
      </c>
      <c r="L2243" t="s">
        <v>72</v>
      </c>
      <c r="M2243" s="1">
        <v>45377</v>
      </c>
      <c r="N2243" t="s">
        <v>47</v>
      </c>
      <c r="O2243" t="s">
        <v>48</v>
      </c>
      <c r="P2243" t="s">
        <v>49</v>
      </c>
      <c r="Q2243" t="s">
        <v>14456</v>
      </c>
      <c r="R2243" t="s">
        <v>14457</v>
      </c>
      <c r="S2243">
        <v>4290</v>
      </c>
      <c r="T2243" t="s">
        <v>1328</v>
      </c>
      <c r="U2243" t="s">
        <v>3114</v>
      </c>
      <c r="V2243" t="s">
        <v>6371</v>
      </c>
      <c r="W2243" t="s">
        <v>3116</v>
      </c>
      <c r="X2243" t="s">
        <v>1328</v>
      </c>
      <c r="Y2243" t="s">
        <v>110</v>
      </c>
      <c r="Z2243">
        <v>1648</v>
      </c>
      <c r="AA2243">
        <v>25</v>
      </c>
      <c r="AB2243">
        <v>76</v>
      </c>
      <c r="AC2243" t="s">
        <v>6372</v>
      </c>
      <c r="AD2243" t="s">
        <v>6373</v>
      </c>
      <c r="AE2243" t="s">
        <v>6374</v>
      </c>
      <c r="AF2243" t="s">
        <v>14433</v>
      </c>
      <c r="AG2243" t="s">
        <v>14434</v>
      </c>
      <c r="AH2243" t="s">
        <v>14435</v>
      </c>
      <c r="AJ2243" s="2">
        <v>45591.577430555553</v>
      </c>
      <c r="AK2243" t="s">
        <v>132</v>
      </c>
      <c r="AL2243" t="s">
        <v>65</v>
      </c>
      <c r="AM2243" s="3">
        <v>2.3472222222222223</v>
      </c>
      <c r="AN2243" t="s">
        <v>66</v>
      </c>
      <c r="AO2243" t="s">
        <v>67</v>
      </c>
    </row>
    <row r="2244" spans="1:41" x14ac:dyDescent="0.2">
      <c r="A2244">
        <v>372154</v>
      </c>
      <c r="B2244" t="s">
        <v>14458</v>
      </c>
      <c r="C2244" t="s">
        <v>309</v>
      </c>
      <c r="D2244" t="s">
        <v>8509</v>
      </c>
      <c r="E2244" t="s">
        <v>14459</v>
      </c>
      <c r="G2244" s="1">
        <v>45832</v>
      </c>
      <c r="H2244" s="1">
        <v>45832</v>
      </c>
      <c r="J2244" t="s">
        <v>45</v>
      </c>
      <c r="K2244" t="s">
        <v>45</v>
      </c>
      <c r="L2244" t="s">
        <v>46</v>
      </c>
      <c r="N2244" t="s">
        <v>47</v>
      </c>
      <c r="O2244" t="s">
        <v>48</v>
      </c>
      <c r="P2244" t="s">
        <v>49</v>
      </c>
      <c r="Q2244" t="s">
        <v>14460</v>
      </c>
      <c r="R2244" t="s">
        <v>14461</v>
      </c>
      <c r="S2244">
        <v>1263</v>
      </c>
      <c r="T2244" t="s">
        <v>92</v>
      </c>
      <c r="U2244" t="s">
        <v>313</v>
      </c>
      <c r="V2244" t="s">
        <v>314</v>
      </c>
      <c r="W2244" t="s">
        <v>315</v>
      </c>
      <c r="X2244" t="s">
        <v>92</v>
      </c>
      <c r="Y2244" t="s">
        <v>96</v>
      </c>
      <c r="Z2244">
        <v>12306</v>
      </c>
      <c r="AA2244">
        <v>4</v>
      </c>
      <c r="AB2244">
        <v>44</v>
      </c>
      <c r="AC2244" t="s">
        <v>316</v>
      </c>
      <c r="AD2244" t="s">
        <v>317</v>
      </c>
      <c r="AE2244" t="s">
        <v>318</v>
      </c>
      <c r="AF2244" t="s">
        <v>8548</v>
      </c>
      <c r="AG2244" t="s">
        <v>8549</v>
      </c>
      <c r="AH2244" t="s">
        <v>8550</v>
      </c>
      <c r="AJ2244" s="2">
        <v>45832.802314814813</v>
      </c>
      <c r="AK2244" t="s">
        <v>132</v>
      </c>
      <c r="AL2244" t="s">
        <v>65</v>
      </c>
      <c r="AM2244" s="3">
        <v>1.09375</v>
      </c>
      <c r="AN2244" t="s">
        <v>66</v>
      </c>
      <c r="AO2244" t="s">
        <v>67</v>
      </c>
    </row>
    <row r="2245" spans="1:41" x14ac:dyDescent="0.2">
      <c r="A2245">
        <v>369647</v>
      </c>
      <c r="B2245" t="s">
        <v>14462</v>
      </c>
      <c r="C2245" t="s">
        <v>309</v>
      </c>
      <c r="D2245" t="s">
        <v>309</v>
      </c>
      <c r="E2245" t="s">
        <v>14463</v>
      </c>
      <c r="F2245" t="s">
        <v>8867</v>
      </c>
      <c r="G2245" s="1">
        <v>45348</v>
      </c>
      <c r="H2245" s="1">
        <v>45733</v>
      </c>
      <c r="I2245" s="1">
        <v>45992</v>
      </c>
      <c r="J2245" t="s">
        <v>45</v>
      </c>
      <c r="K2245" t="s">
        <v>45</v>
      </c>
      <c r="L2245" t="s">
        <v>72</v>
      </c>
      <c r="N2245" t="s">
        <v>89</v>
      </c>
      <c r="O2245" t="s">
        <v>121</v>
      </c>
      <c r="P2245" t="s">
        <v>49</v>
      </c>
      <c r="Q2245" t="s">
        <v>14464</v>
      </c>
      <c r="R2245" t="s">
        <v>14465</v>
      </c>
      <c r="S2245">
        <v>770</v>
      </c>
      <c r="T2245" t="s">
        <v>92</v>
      </c>
      <c r="U2245" t="s">
        <v>313</v>
      </c>
      <c r="V2245" t="s">
        <v>314</v>
      </c>
      <c r="W2245" t="s">
        <v>315</v>
      </c>
      <c r="X2245" t="s">
        <v>92</v>
      </c>
      <c r="Y2245" t="s">
        <v>110</v>
      </c>
      <c r="Z2245">
        <v>4729</v>
      </c>
      <c r="AA2245">
        <v>33</v>
      </c>
      <c r="AB2245">
        <v>210</v>
      </c>
      <c r="AC2245" t="s">
        <v>316</v>
      </c>
      <c r="AD2245" t="s">
        <v>317</v>
      </c>
      <c r="AE2245" t="s">
        <v>10530</v>
      </c>
      <c r="AF2245" t="s">
        <v>319</v>
      </c>
      <c r="AG2245" t="s">
        <v>320</v>
      </c>
      <c r="AH2245" t="s">
        <v>8873</v>
      </c>
      <c r="AI2245" t="s">
        <v>321</v>
      </c>
      <c r="AJ2245" s="2">
        <v>45747.956134259257</v>
      </c>
      <c r="AK2245" t="s">
        <v>316</v>
      </c>
      <c r="AL2245" t="s">
        <v>65</v>
      </c>
      <c r="AM2245" s="3">
        <v>2.0208333333333335</v>
      </c>
      <c r="AN2245" t="s">
        <v>66</v>
      </c>
      <c r="AO2245" t="s">
        <v>67</v>
      </c>
    </row>
    <row r="2246" spans="1:41" x14ac:dyDescent="0.2">
      <c r="A2246">
        <v>371320</v>
      </c>
      <c r="B2246" t="s">
        <v>14466</v>
      </c>
      <c r="C2246" t="s">
        <v>309</v>
      </c>
      <c r="D2246" t="s">
        <v>309</v>
      </c>
      <c r="E2246" t="s">
        <v>14467</v>
      </c>
      <c r="F2246">
        <v>496036</v>
      </c>
      <c r="G2246" s="1">
        <v>40956</v>
      </c>
      <c r="H2246" s="1">
        <v>45802</v>
      </c>
      <c r="J2246" t="s">
        <v>45</v>
      </c>
      <c r="K2246" t="s">
        <v>45</v>
      </c>
      <c r="L2246" t="s">
        <v>72</v>
      </c>
      <c r="M2246" s="1">
        <v>44698</v>
      </c>
      <c r="N2246" t="s">
        <v>47</v>
      </c>
      <c r="O2246" t="s">
        <v>48</v>
      </c>
      <c r="P2246" t="s">
        <v>406</v>
      </c>
      <c r="Q2246" t="s">
        <v>14468</v>
      </c>
      <c r="R2246" t="s">
        <v>14469</v>
      </c>
      <c r="S2246">
        <v>113</v>
      </c>
      <c r="T2246" t="s">
        <v>257</v>
      </c>
      <c r="U2246" t="s">
        <v>640</v>
      </c>
      <c r="V2246" t="s">
        <v>14470</v>
      </c>
      <c r="W2246" t="s">
        <v>260</v>
      </c>
      <c r="X2246" t="s">
        <v>257</v>
      </c>
      <c r="Y2246" t="s">
        <v>642</v>
      </c>
      <c r="Z2246">
        <v>5374</v>
      </c>
      <c r="AA2246">
        <v>28</v>
      </c>
      <c r="AB2246">
        <v>34</v>
      </c>
      <c r="AC2246" t="s">
        <v>643</v>
      </c>
      <c r="AD2246" t="s">
        <v>644</v>
      </c>
      <c r="AE2246" t="s">
        <v>645</v>
      </c>
      <c r="AF2246" t="s">
        <v>646</v>
      </c>
      <c r="AG2246" t="s">
        <v>647</v>
      </c>
      <c r="AH2246" t="s">
        <v>648</v>
      </c>
      <c r="AI2246" t="s">
        <v>11418</v>
      </c>
      <c r="AJ2246" s="2">
        <v>45805.02207175926</v>
      </c>
      <c r="AK2246" t="s">
        <v>643</v>
      </c>
      <c r="AL2246" t="s">
        <v>651</v>
      </c>
      <c r="AM2246" s="3">
        <v>1</v>
      </c>
      <c r="AN2246" t="s">
        <v>66</v>
      </c>
      <c r="AO2246" t="s">
        <v>67</v>
      </c>
    </row>
    <row r="2247" spans="1:41" x14ac:dyDescent="0.2">
      <c r="A2247">
        <v>371814</v>
      </c>
      <c r="B2247" t="s">
        <v>14471</v>
      </c>
      <c r="C2247" t="s">
        <v>309</v>
      </c>
      <c r="D2247" t="s">
        <v>309</v>
      </c>
      <c r="E2247" t="s">
        <v>14472</v>
      </c>
      <c r="F2247">
        <v>496037</v>
      </c>
      <c r="G2247" s="1">
        <v>40956</v>
      </c>
      <c r="H2247" s="1">
        <v>45818</v>
      </c>
      <c r="J2247" t="s">
        <v>45</v>
      </c>
      <c r="K2247" t="s">
        <v>45</v>
      </c>
      <c r="L2247" t="s">
        <v>72</v>
      </c>
      <c r="M2247" s="1">
        <v>44697</v>
      </c>
      <c r="N2247" t="s">
        <v>47</v>
      </c>
      <c r="O2247" t="s">
        <v>48</v>
      </c>
      <c r="P2247" t="s">
        <v>406</v>
      </c>
      <c r="Q2247" t="s">
        <v>14473</v>
      </c>
      <c r="R2247" t="s">
        <v>14474</v>
      </c>
      <c r="S2247">
        <v>97</v>
      </c>
      <c r="T2247" t="s">
        <v>257</v>
      </c>
      <c r="U2247" t="s">
        <v>640</v>
      </c>
      <c r="V2247" t="s">
        <v>14475</v>
      </c>
      <c r="W2247" t="s">
        <v>260</v>
      </c>
      <c r="X2247" t="s">
        <v>257</v>
      </c>
      <c r="Y2247" t="s">
        <v>642</v>
      </c>
      <c r="Z2247">
        <v>5367</v>
      </c>
      <c r="AA2247">
        <v>24</v>
      </c>
      <c r="AB2247">
        <v>34</v>
      </c>
      <c r="AC2247" t="s">
        <v>643</v>
      </c>
      <c r="AD2247" t="s">
        <v>644</v>
      </c>
      <c r="AE2247" t="s">
        <v>645</v>
      </c>
      <c r="AF2247" t="s">
        <v>646</v>
      </c>
      <c r="AG2247" t="s">
        <v>647</v>
      </c>
      <c r="AH2247" t="s">
        <v>648</v>
      </c>
      <c r="AI2247" t="s">
        <v>11418</v>
      </c>
      <c r="AJ2247" s="2">
        <v>45819.939236111109</v>
      </c>
      <c r="AK2247" t="s">
        <v>643</v>
      </c>
      <c r="AL2247" t="s">
        <v>651</v>
      </c>
      <c r="AM2247" s="4">
        <v>0.95138888888888884</v>
      </c>
      <c r="AN2247" t="s">
        <v>66</v>
      </c>
      <c r="AO2247" t="s">
        <v>67</v>
      </c>
    </row>
    <row r="2248" spans="1:41" x14ac:dyDescent="0.2">
      <c r="A2248">
        <v>359262</v>
      </c>
      <c r="B2248" t="s">
        <v>14476</v>
      </c>
      <c r="C2248" t="s">
        <v>182</v>
      </c>
      <c r="D2248" t="s">
        <v>622</v>
      </c>
      <c r="E2248" t="s">
        <v>14477</v>
      </c>
      <c r="F2248">
        <v>43309</v>
      </c>
      <c r="G2248" s="1">
        <v>35575</v>
      </c>
      <c r="H2248" s="1">
        <v>44832</v>
      </c>
      <c r="J2248" t="s">
        <v>45</v>
      </c>
      <c r="K2248" t="s">
        <v>45</v>
      </c>
      <c r="L2248" t="s">
        <v>72</v>
      </c>
      <c r="N2248" t="s">
        <v>47</v>
      </c>
      <c r="O2248" t="s">
        <v>48</v>
      </c>
      <c r="P2248" t="s">
        <v>49</v>
      </c>
      <c r="Q2248" t="s">
        <v>14478</v>
      </c>
      <c r="R2248" t="s">
        <v>14479</v>
      </c>
      <c r="S2248">
        <v>644</v>
      </c>
      <c r="T2248" t="s">
        <v>92</v>
      </c>
      <c r="U2248" t="s">
        <v>187</v>
      </c>
      <c r="V2248" t="s">
        <v>3997</v>
      </c>
      <c r="W2248" t="s">
        <v>448</v>
      </c>
      <c r="X2248" t="s">
        <v>449</v>
      </c>
      <c r="Y2248" t="s">
        <v>770</v>
      </c>
      <c r="Z2248">
        <v>1307</v>
      </c>
      <c r="AA2248">
        <v>31</v>
      </c>
      <c r="AB2248">
        <v>74</v>
      </c>
      <c r="AC2248" t="s">
        <v>3998</v>
      </c>
      <c r="AD2248" t="s">
        <v>3999</v>
      </c>
      <c r="AE2248" t="s">
        <v>4000</v>
      </c>
      <c r="AF2248" t="s">
        <v>4001</v>
      </c>
      <c r="AG2248" t="s">
        <v>4002</v>
      </c>
      <c r="AH2248" t="s">
        <v>4003</v>
      </c>
      <c r="AI2248" t="s">
        <v>3999</v>
      </c>
      <c r="AJ2248" s="2">
        <v>45386.803576388891</v>
      </c>
      <c r="AK2248" t="s">
        <v>149</v>
      </c>
      <c r="AL2248" t="s">
        <v>65</v>
      </c>
      <c r="AM2248" s="4">
        <v>0.77083333333333337</v>
      </c>
      <c r="AN2248" t="s">
        <v>66</v>
      </c>
      <c r="AO2248" t="s">
        <v>67</v>
      </c>
    </row>
    <row r="2249" spans="1:41" x14ac:dyDescent="0.2">
      <c r="A2249">
        <v>369728</v>
      </c>
      <c r="B2249" t="s">
        <v>14480</v>
      </c>
      <c r="C2249" t="s">
        <v>182</v>
      </c>
      <c r="D2249" t="s">
        <v>4421</v>
      </c>
      <c r="E2249" t="s">
        <v>14481</v>
      </c>
      <c r="F2249">
        <v>45229</v>
      </c>
      <c r="G2249" s="1">
        <v>43881</v>
      </c>
      <c r="H2249" s="1">
        <v>45715</v>
      </c>
      <c r="I2249" s="1">
        <v>46082</v>
      </c>
      <c r="J2249" t="s">
        <v>45</v>
      </c>
      <c r="K2249" t="s">
        <v>45</v>
      </c>
      <c r="L2249" t="s">
        <v>72</v>
      </c>
      <c r="N2249" t="s">
        <v>47</v>
      </c>
      <c r="O2249" t="s">
        <v>48</v>
      </c>
      <c r="P2249" t="s">
        <v>49</v>
      </c>
      <c r="Q2249" t="s">
        <v>14482</v>
      </c>
      <c r="R2249" t="s">
        <v>14483</v>
      </c>
      <c r="S2249">
        <v>1170</v>
      </c>
      <c r="T2249" t="s">
        <v>92</v>
      </c>
      <c r="U2249" t="s">
        <v>187</v>
      </c>
      <c r="V2249" t="s">
        <v>4425</v>
      </c>
      <c r="W2249" t="s">
        <v>4426</v>
      </c>
      <c r="X2249" t="s">
        <v>92</v>
      </c>
      <c r="Y2249" t="s">
        <v>110</v>
      </c>
      <c r="Z2249">
        <v>10126</v>
      </c>
      <c r="AA2249">
        <v>15</v>
      </c>
      <c r="AB2249">
        <v>78</v>
      </c>
      <c r="AC2249" t="s">
        <v>4427</v>
      </c>
      <c r="AD2249" t="s">
        <v>4428</v>
      </c>
      <c r="AE2249" t="s">
        <v>4429</v>
      </c>
      <c r="AF2249" t="s">
        <v>4430</v>
      </c>
      <c r="AG2249" t="s">
        <v>4431</v>
      </c>
      <c r="AH2249" t="s">
        <v>4432</v>
      </c>
      <c r="AI2249" t="s">
        <v>4433</v>
      </c>
      <c r="AJ2249" s="2">
        <v>45847.727812500001</v>
      </c>
      <c r="AK2249" t="s">
        <v>4427</v>
      </c>
      <c r="AL2249" t="s">
        <v>65</v>
      </c>
      <c r="AM2249" s="3">
        <v>1.8333333333333333</v>
      </c>
      <c r="AN2249" t="s">
        <v>66</v>
      </c>
      <c r="AO2249" t="s">
        <v>67</v>
      </c>
    </row>
    <row r="2250" spans="1:41" x14ac:dyDescent="0.2">
      <c r="A2250">
        <v>370830</v>
      </c>
      <c r="B2250" t="s">
        <v>14484</v>
      </c>
      <c r="C2250" t="s">
        <v>309</v>
      </c>
      <c r="D2250" t="s">
        <v>11608</v>
      </c>
      <c r="E2250" t="s">
        <v>14485</v>
      </c>
      <c r="F2250">
        <v>494002</v>
      </c>
      <c r="G2250" s="1">
        <v>40948</v>
      </c>
      <c r="H2250" s="1">
        <v>45776</v>
      </c>
      <c r="J2250" t="s">
        <v>45</v>
      </c>
      <c r="K2250" t="s">
        <v>45</v>
      </c>
      <c r="L2250" t="s">
        <v>72</v>
      </c>
      <c r="M2250" s="1">
        <v>45776</v>
      </c>
      <c r="N2250" t="s">
        <v>47</v>
      </c>
      <c r="O2250" t="s">
        <v>48</v>
      </c>
      <c r="P2250" t="s">
        <v>406</v>
      </c>
      <c r="Q2250" t="s">
        <v>14486</v>
      </c>
      <c r="R2250" t="s">
        <v>14487</v>
      </c>
      <c r="S2250">
        <v>3805</v>
      </c>
      <c r="T2250" t="s">
        <v>257</v>
      </c>
      <c r="U2250" t="s">
        <v>640</v>
      </c>
      <c r="V2250" t="s">
        <v>11612</v>
      </c>
      <c r="W2250" t="s">
        <v>260</v>
      </c>
      <c r="X2250" t="s">
        <v>257</v>
      </c>
      <c r="Y2250" t="s">
        <v>642</v>
      </c>
      <c r="Z2250">
        <v>5366</v>
      </c>
      <c r="AA2250">
        <v>24</v>
      </c>
      <c r="AB2250">
        <v>34</v>
      </c>
      <c r="AC2250" t="s">
        <v>643</v>
      </c>
      <c r="AD2250" t="s">
        <v>644</v>
      </c>
      <c r="AE2250" t="s">
        <v>645</v>
      </c>
      <c r="AF2250" t="s">
        <v>646</v>
      </c>
      <c r="AG2250" t="s">
        <v>647</v>
      </c>
      <c r="AH2250" t="s">
        <v>648</v>
      </c>
      <c r="AI2250" t="s">
        <v>647</v>
      </c>
      <c r="AJ2250" s="2">
        <v>45785.570034722223</v>
      </c>
      <c r="AK2250" t="s">
        <v>650</v>
      </c>
      <c r="AL2250" t="s">
        <v>651</v>
      </c>
      <c r="AM2250" s="4">
        <v>0.94444444444444442</v>
      </c>
      <c r="AN2250" t="s">
        <v>66</v>
      </c>
      <c r="AO2250" t="s">
        <v>67</v>
      </c>
    </row>
    <row r="2251" spans="1:41" x14ac:dyDescent="0.2">
      <c r="A2251">
        <v>372040</v>
      </c>
      <c r="B2251" t="s">
        <v>14488</v>
      </c>
      <c r="C2251" t="s">
        <v>309</v>
      </c>
      <c r="D2251" t="s">
        <v>8539</v>
      </c>
      <c r="E2251" t="s">
        <v>14489</v>
      </c>
      <c r="F2251">
        <v>495007</v>
      </c>
      <c r="G2251" s="1">
        <v>39874</v>
      </c>
      <c r="H2251" s="1">
        <v>45824</v>
      </c>
      <c r="I2251" s="1">
        <v>46204</v>
      </c>
      <c r="J2251" t="s">
        <v>45</v>
      </c>
      <c r="K2251" t="s">
        <v>72</v>
      </c>
      <c r="L2251" t="s">
        <v>72</v>
      </c>
      <c r="M2251" s="1">
        <v>45567</v>
      </c>
      <c r="N2251" t="s">
        <v>47</v>
      </c>
      <c r="O2251" t="s">
        <v>48</v>
      </c>
      <c r="P2251" t="s">
        <v>49</v>
      </c>
      <c r="Q2251" t="s">
        <v>14490</v>
      </c>
      <c r="R2251" t="s">
        <v>14491</v>
      </c>
      <c r="S2251">
        <v>3274</v>
      </c>
      <c r="T2251" t="s">
        <v>92</v>
      </c>
      <c r="U2251" t="s">
        <v>313</v>
      </c>
      <c r="V2251" t="s">
        <v>314</v>
      </c>
      <c r="W2251" t="s">
        <v>315</v>
      </c>
      <c r="X2251" t="s">
        <v>92</v>
      </c>
      <c r="Y2251" t="s">
        <v>110</v>
      </c>
      <c r="Z2251">
        <v>3060</v>
      </c>
      <c r="AA2251">
        <v>23</v>
      </c>
      <c r="AB2251">
        <v>80</v>
      </c>
      <c r="AC2251" t="s">
        <v>316</v>
      </c>
      <c r="AD2251" t="s">
        <v>317</v>
      </c>
      <c r="AE2251" t="s">
        <v>318</v>
      </c>
      <c r="AF2251" t="s">
        <v>10022</v>
      </c>
      <c r="AG2251" t="s">
        <v>10023</v>
      </c>
      <c r="AH2251" t="s">
        <v>10024</v>
      </c>
      <c r="AI2251" t="s">
        <v>317</v>
      </c>
      <c r="AJ2251" s="2">
        <v>45827.993530092594</v>
      </c>
      <c r="AK2251" t="s">
        <v>316</v>
      </c>
      <c r="AL2251" t="s">
        <v>475</v>
      </c>
      <c r="AM2251" s="3">
        <v>1.4583333333333333</v>
      </c>
      <c r="AN2251" t="s">
        <v>66</v>
      </c>
      <c r="AO2251" t="s">
        <v>67</v>
      </c>
    </row>
    <row r="2252" spans="1:41" x14ac:dyDescent="0.2">
      <c r="A2252">
        <v>372501</v>
      </c>
      <c r="B2252" t="s">
        <v>14492</v>
      </c>
      <c r="C2252" t="s">
        <v>309</v>
      </c>
      <c r="D2252" t="s">
        <v>309</v>
      </c>
      <c r="E2252" t="s">
        <v>14493</v>
      </c>
      <c r="F2252">
        <v>496029</v>
      </c>
      <c r="G2252" s="1">
        <v>39058</v>
      </c>
      <c r="H2252" s="1">
        <v>45736</v>
      </c>
      <c r="I2252" s="1">
        <v>45992</v>
      </c>
      <c r="J2252" t="s">
        <v>45</v>
      </c>
      <c r="K2252" t="s">
        <v>45</v>
      </c>
      <c r="L2252" t="s">
        <v>72</v>
      </c>
      <c r="M2252" s="1">
        <v>43194</v>
      </c>
      <c r="N2252" t="s">
        <v>47</v>
      </c>
      <c r="O2252" t="s">
        <v>48</v>
      </c>
      <c r="P2252" t="s">
        <v>49</v>
      </c>
      <c r="Q2252" t="s">
        <v>14494</v>
      </c>
      <c r="R2252" t="s">
        <v>14495</v>
      </c>
      <c r="S2252">
        <v>6658</v>
      </c>
      <c r="T2252" t="s">
        <v>92</v>
      </c>
      <c r="U2252" t="s">
        <v>313</v>
      </c>
      <c r="V2252" t="s">
        <v>314</v>
      </c>
      <c r="W2252" t="s">
        <v>315</v>
      </c>
      <c r="X2252" t="s">
        <v>92</v>
      </c>
      <c r="Y2252" t="s">
        <v>110</v>
      </c>
      <c r="Z2252">
        <v>2894</v>
      </c>
      <c r="AA2252">
        <v>28</v>
      </c>
      <c r="AB2252">
        <v>166</v>
      </c>
      <c r="AC2252" t="s">
        <v>316</v>
      </c>
      <c r="AD2252" t="s">
        <v>317</v>
      </c>
      <c r="AF2252" t="s">
        <v>319</v>
      </c>
      <c r="AG2252" t="s">
        <v>320</v>
      </c>
      <c r="AH2252" t="s">
        <v>14496</v>
      </c>
      <c r="AI2252" t="s">
        <v>321</v>
      </c>
      <c r="AJ2252" s="2">
        <v>45841.483414351853</v>
      </c>
      <c r="AK2252" t="s">
        <v>132</v>
      </c>
      <c r="AL2252" t="s">
        <v>65</v>
      </c>
      <c r="AM2252" s="4">
        <v>3.4722222222222224E-2</v>
      </c>
      <c r="AN2252" t="s">
        <v>66</v>
      </c>
      <c r="AO2252" t="s">
        <v>67</v>
      </c>
    </row>
    <row r="2253" spans="1:41" x14ac:dyDescent="0.2">
      <c r="A2253">
        <v>369248</v>
      </c>
      <c r="B2253" t="s">
        <v>14497</v>
      </c>
      <c r="C2253" t="s">
        <v>309</v>
      </c>
      <c r="D2253" t="s">
        <v>8539</v>
      </c>
      <c r="E2253" t="s">
        <v>14498</v>
      </c>
      <c r="F2253">
        <v>495009</v>
      </c>
      <c r="G2253" s="1">
        <v>39876</v>
      </c>
      <c r="H2253" s="1">
        <v>45547</v>
      </c>
      <c r="I2253" s="1">
        <v>46204</v>
      </c>
      <c r="J2253" t="s">
        <v>45</v>
      </c>
      <c r="K2253" t="s">
        <v>72</v>
      </c>
      <c r="L2253" t="s">
        <v>72</v>
      </c>
      <c r="M2253" s="1">
        <v>45728</v>
      </c>
      <c r="N2253" t="s">
        <v>47</v>
      </c>
      <c r="O2253" t="s">
        <v>48</v>
      </c>
      <c r="P2253" t="s">
        <v>49</v>
      </c>
      <c r="Q2253" t="s">
        <v>14499</v>
      </c>
      <c r="R2253" t="s">
        <v>14500</v>
      </c>
      <c r="S2253">
        <v>2068</v>
      </c>
      <c r="T2253" t="s">
        <v>92</v>
      </c>
      <c r="U2253" t="s">
        <v>313</v>
      </c>
      <c r="V2253" t="s">
        <v>314</v>
      </c>
      <c r="W2253" t="s">
        <v>315</v>
      </c>
      <c r="X2253" t="s">
        <v>92</v>
      </c>
      <c r="Y2253" t="s">
        <v>110</v>
      </c>
      <c r="Z2253">
        <v>3056</v>
      </c>
      <c r="AA2253">
        <v>25</v>
      </c>
      <c r="AB2253">
        <v>80</v>
      </c>
      <c r="AC2253" t="s">
        <v>316</v>
      </c>
      <c r="AD2253" t="s">
        <v>317</v>
      </c>
      <c r="AE2253" t="s">
        <v>318</v>
      </c>
      <c r="AF2253" t="s">
        <v>10022</v>
      </c>
      <c r="AG2253" t="s">
        <v>10023</v>
      </c>
      <c r="AH2253" t="s">
        <v>10024</v>
      </c>
      <c r="AI2253" t="s">
        <v>317</v>
      </c>
      <c r="AJ2253" s="2">
        <v>45729.865520833337</v>
      </c>
      <c r="AK2253" t="s">
        <v>132</v>
      </c>
      <c r="AL2253" t="s">
        <v>475</v>
      </c>
      <c r="AM2253" s="3">
        <v>1.4513888888888888</v>
      </c>
      <c r="AN2253" t="s">
        <v>66</v>
      </c>
      <c r="AO2253" t="s">
        <v>67</v>
      </c>
    </row>
    <row r="2254" spans="1:41" x14ac:dyDescent="0.2">
      <c r="A2254">
        <v>369648</v>
      </c>
      <c r="B2254" t="s">
        <v>14501</v>
      </c>
      <c r="C2254" t="s">
        <v>309</v>
      </c>
      <c r="D2254" t="s">
        <v>309</v>
      </c>
      <c r="E2254" t="s">
        <v>14502</v>
      </c>
      <c r="F2254">
        <v>496026</v>
      </c>
      <c r="G2254" s="1">
        <v>37725</v>
      </c>
      <c r="H2254" s="1">
        <v>45734</v>
      </c>
      <c r="I2254" s="1">
        <v>45992</v>
      </c>
      <c r="J2254" t="s">
        <v>45</v>
      </c>
      <c r="K2254" t="s">
        <v>45</v>
      </c>
      <c r="L2254" t="s">
        <v>72</v>
      </c>
      <c r="N2254" t="s">
        <v>47</v>
      </c>
      <c r="O2254" t="s">
        <v>48</v>
      </c>
      <c r="P2254" t="s">
        <v>49</v>
      </c>
      <c r="Q2254" t="s">
        <v>14503</v>
      </c>
      <c r="R2254" t="s">
        <v>14504</v>
      </c>
      <c r="S2254">
        <v>2222</v>
      </c>
      <c r="T2254" t="s">
        <v>92</v>
      </c>
      <c r="U2254" t="s">
        <v>313</v>
      </c>
      <c r="V2254" t="s">
        <v>314</v>
      </c>
      <c r="W2254" t="s">
        <v>315</v>
      </c>
      <c r="X2254" t="s">
        <v>52</v>
      </c>
      <c r="Y2254" t="s">
        <v>110</v>
      </c>
      <c r="Z2254">
        <v>2317</v>
      </c>
      <c r="AA2254">
        <v>40</v>
      </c>
      <c r="AB2254">
        <v>176</v>
      </c>
      <c r="AC2254" t="s">
        <v>316</v>
      </c>
      <c r="AD2254" t="s">
        <v>317</v>
      </c>
      <c r="AE2254" t="s">
        <v>318</v>
      </c>
      <c r="AF2254" t="s">
        <v>319</v>
      </c>
      <c r="AG2254" t="s">
        <v>320</v>
      </c>
      <c r="AI2254" t="s">
        <v>321</v>
      </c>
      <c r="AJ2254" s="2">
        <v>45747.975092592591</v>
      </c>
      <c r="AK2254" t="s">
        <v>316</v>
      </c>
      <c r="AL2254" t="s">
        <v>65</v>
      </c>
      <c r="AM2254" s="3">
        <v>1.5777777777777777</v>
      </c>
      <c r="AN2254" t="s">
        <v>66</v>
      </c>
      <c r="AO2254" t="s">
        <v>67</v>
      </c>
    </row>
    <row r="2255" spans="1:41" x14ac:dyDescent="0.2">
      <c r="A2255">
        <v>369649</v>
      </c>
      <c r="B2255" t="s">
        <v>14505</v>
      </c>
      <c r="C2255" t="s">
        <v>309</v>
      </c>
      <c r="D2255" t="s">
        <v>309</v>
      </c>
      <c r="E2255">
        <v>48703040</v>
      </c>
      <c r="F2255">
        <v>496027</v>
      </c>
      <c r="G2255" s="1">
        <v>37725</v>
      </c>
      <c r="H2255" s="1">
        <v>45735</v>
      </c>
      <c r="I2255" s="1">
        <v>45992</v>
      </c>
      <c r="J2255" t="s">
        <v>45</v>
      </c>
      <c r="K2255" t="s">
        <v>45</v>
      </c>
      <c r="L2255" t="s">
        <v>72</v>
      </c>
      <c r="N2255" t="s">
        <v>47</v>
      </c>
      <c r="O2255" t="s">
        <v>48</v>
      </c>
      <c r="P2255" t="s">
        <v>49</v>
      </c>
      <c r="Q2255" t="s">
        <v>14506</v>
      </c>
      <c r="R2255" t="s">
        <v>14507</v>
      </c>
      <c r="S2255">
        <v>2725</v>
      </c>
      <c r="T2255" t="s">
        <v>92</v>
      </c>
      <c r="U2255" t="s">
        <v>313</v>
      </c>
      <c r="V2255" t="s">
        <v>314</v>
      </c>
      <c r="W2255" t="s">
        <v>315</v>
      </c>
      <c r="X2255" t="s">
        <v>52</v>
      </c>
      <c r="Y2255" t="s">
        <v>110</v>
      </c>
      <c r="Z2255">
        <v>2381</v>
      </c>
      <c r="AA2255">
        <v>36</v>
      </c>
      <c r="AB2255">
        <v>176</v>
      </c>
      <c r="AC2255" t="s">
        <v>316</v>
      </c>
      <c r="AD2255" t="s">
        <v>317</v>
      </c>
      <c r="AE2255" t="s">
        <v>318</v>
      </c>
      <c r="AF2255" t="s">
        <v>10447</v>
      </c>
      <c r="AG2255" t="s">
        <v>10448</v>
      </c>
      <c r="AH2255" t="s">
        <v>10449</v>
      </c>
      <c r="AI2255" t="s">
        <v>10450</v>
      </c>
      <c r="AJ2255" s="2">
        <v>45747.98296296296</v>
      </c>
      <c r="AK2255" t="s">
        <v>316</v>
      </c>
      <c r="AL2255" t="s">
        <v>65</v>
      </c>
      <c r="AM2255" s="3">
        <v>1.5708333333333333</v>
      </c>
      <c r="AN2255" t="s">
        <v>66</v>
      </c>
      <c r="AO2255" t="s">
        <v>67</v>
      </c>
    </row>
    <row r="2256" spans="1:41" x14ac:dyDescent="0.2">
      <c r="A2256">
        <v>370161</v>
      </c>
      <c r="B2256" t="s">
        <v>14508</v>
      </c>
      <c r="C2256" t="s">
        <v>662</v>
      </c>
      <c r="D2256" t="s">
        <v>14509</v>
      </c>
      <c r="E2256" t="s">
        <v>14510</v>
      </c>
      <c r="F2256">
        <v>417105</v>
      </c>
      <c r="G2256" s="1">
        <v>39479</v>
      </c>
      <c r="H2256" s="1">
        <v>45763</v>
      </c>
      <c r="I2256" s="1">
        <v>46023</v>
      </c>
      <c r="J2256" t="s">
        <v>45</v>
      </c>
      <c r="K2256" t="s">
        <v>45</v>
      </c>
      <c r="L2256" t="s">
        <v>46</v>
      </c>
      <c r="N2256" t="s">
        <v>47</v>
      </c>
      <c r="O2256" t="s">
        <v>48</v>
      </c>
      <c r="P2256" t="s">
        <v>49</v>
      </c>
      <c r="Q2256" t="s">
        <v>14511</v>
      </c>
      <c r="R2256" t="s">
        <v>14512</v>
      </c>
      <c r="S2256">
        <v>3873</v>
      </c>
      <c r="T2256" t="s">
        <v>257</v>
      </c>
      <c r="U2256" t="s">
        <v>283</v>
      </c>
      <c r="V2256" t="s">
        <v>6513</v>
      </c>
      <c r="W2256" t="s">
        <v>260</v>
      </c>
      <c r="X2256" t="s">
        <v>257</v>
      </c>
      <c r="Y2256" t="s">
        <v>110</v>
      </c>
      <c r="Z2256">
        <v>3106</v>
      </c>
      <c r="AA2256">
        <v>30</v>
      </c>
      <c r="AB2256">
        <v>52</v>
      </c>
      <c r="AC2256" t="s">
        <v>1805</v>
      </c>
      <c r="AD2256" t="s">
        <v>1806</v>
      </c>
      <c r="AE2256" t="s">
        <v>1807</v>
      </c>
      <c r="AF2256" t="s">
        <v>1808</v>
      </c>
      <c r="AG2256" t="s">
        <v>1809</v>
      </c>
      <c r="AH2256" t="s">
        <v>1810</v>
      </c>
      <c r="AI2256" t="s">
        <v>2280</v>
      </c>
      <c r="AJ2256" s="2">
        <v>45764.622754629629</v>
      </c>
      <c r="AK2256" t="s">
        <v>1811</v>
      </c>
      <c r="AL2256" t="s">
        <v>65</v>
      </c>
      <c r="AM2256" s="3">
        <v>2.2430555555555554</v>
      </c>
      <c r="AN2256" t="s">
        <v>66</v>
      </c>
      <c r="AO2256" t="s">
        <v>67</v>
      </c>
    </row>
    <row r="2257" spans="1:41" x14ac:dyDescent="0.2">
      <c r="A2257">
        <v>361285</v>
      </c>
      <c r="B2257" t="s">
        <v>14513</v>
      </c>
      <c r="C2257" t="s">
        <v>692</v>
      </c>
      <c r="D2257" t="s">
        <v>3845</v>
      </c>
      <c r="E2257" s="5" t="s">
        <v>14514</v>
      </c>
      <c r="G2257" s="1">
        <v>45393</v>
      </c>
      <c r="H2257" s="1">
        <v>45296</v>
      </c>
      <c r="J2257" t="s">
        <v>45</v>
      </c>
      <c r="K2257" t="s">
        <v>45</v>
      </c>
      <c r="L2257" t="s">
        <v>72</v>
      </c>
      <c r="N2257" t="s">
        <v>89</v>
      </c>
      <c r="O2257" t="s">
        <v>121</v>
      </c>
      <c r="P2257" t="s">
        <v>49</v>
      </c>
      <c r="Q2257" t="s">
        <v>14515</v>
      </c>
      <c r="R2257" t="s">
        <v>14516</v>
      </c>
      <c r="S2257">
        <v>7610</v>
      </c>
      <c r="T2257" t="s">
        <v>365</v>
      </c>
      <c r="U2257" t="s">
        <v>432</v>
      </c>
      <c r="V2257" t="s">
        <v>4190</v>
      </c>
      <c r="W2257" t="s">
        <v>367</v>
      </c>
      <c r="X2257" t="s">
        <v>76</v>
      </c>
      <c r="Y2257" t="s">
        <v>96</v>
      </c>
      <c r="Z2257">
        <v>12199</v>
      </c>
      <c r="AA2257">
        <v>10</v>
      </c>
      <c r="AB2257">
        <v>48</v>
      </c>
      <c r="AC2257" t="s">
        <v>8234</v>
      </c>
      <c r="AD2257" t="s">
        <v>8235</v>
      </c>
      <c r="AE2257" t="s">
        <v>14517</v>
      </c>
      <c r="AF2257" t="s">
        <v>8231</v>
      </c>
      <c r="AG2257" t="s">
        <v>8232</v>
      </c>
      <c r="AH2257" t="s">
        <v>8233</v>
      </c>
      <c r="AI2257" t="s">
        <v>14518</v>
      </c>
      <c r="AJ2257" s="2">
        <v>45450.834652777776</v>
      </c>
      <c r="AK2257" t="s">
        <v>800</v>
      </c>
      <c r="AL2257" t="s">
        <v>65</v>
      </c>
      <c r="AM2257" s="4">
        <v>0.70486111111111116</v>
      </c>
      <c r="AN2257" t="s">
        <v>66</v>
      </c>
      <c r="AO2257" t="s">
        <v>67</v>
      </c>
    </row>
    <row r="2258" spans="1:41" x14ac:dyDescent="0.2">
      <c r="A2258">
        <v>370925</v>
      </c>
      <c r="B2258" t="s">
        <v>14519</v>
      </c>
      <c r="C2258" t="s">
        <v>692</v>
      </c>
      <c r="D2258" t="s">
        <v>1849</v>
      </c>
      <c r="E2258" t="s">
        <v>14520</v>
      </c>
      <c r="G2258" s="1">
        <v>45790</v>
      </c>
      <c r="H2258" s="1">
        <v>45763</v>
      </c>
      <c r="I2258" s="1">
        <v>46113</v>
      </c>
      <c r="J2258" t="s">
        <v>45</v>
      </c>
      <c r="K2258" t="s">
        <v>45</v>
      </c>
      <c r="L2258" t="s">
        <v>72</v>
      </c>
      <c r="N2258" t="s">
        <v>47</v>
      </c>
      <c r="O2258" t="s">
        <v>121</v>
      </c>
      <c r="P2258" t="s">
        <v>49</v>
      </c>
      <c r="Q2258" t="s">
        <v>14521</v>
      </c>
      <c r="R2258" t="s">
        <v>14522</v>
      </c>
      <c r="S2258">
        <v>9090</v>
      </c>
      <c r="T2258" t="s">
        <v>365</v>
      </c>
      <c r="U2258" t="s">
        <v>432</v>
      </c>
      <c r="V2258" t="s">
        <v>14523</v>
      </c>
      <c r="W2258" t="s">
        <v>367</v>
      </c>
      <c r="X2258" t="s">
        <v>76</v>
      </c>
      <c r="Y2258" t="s">
        <v>125</v>
      </c>
      <c r="Z2258">
        <v>12200</v>
      </c>
      <c r="AA2258">
        <v>11</v>
      </c>
      <c r="AB2258">
        <v>48</v>
      </c>
      <c r="AC2258" t="s">
        <v>5708</v>
      </c>
      <c r="AD2258" t="s">
        <v>5709</v>
      </c>
      <c r="AE2258" t="s">
        <v>5710</v>
      </c>
      <c r="AF2258" t="s">
        <v>14524</v>
      </c>
      <c r="AG2258" t="s">
        <v>14525</v>
      </c>
      <c r="AH2258" t="s">
        <v>14526</v>
      </c>
      <c r="AJ2258" s="2">
        <v>45790.722939814812</v>
      </c>
      <c r="AK2258" t="s">
        <v>800</v>
      </c>
      <c r="AL2258" t="s">
        <v>65</v>
      </c>
      <c r="AM2258" s="4">
        <v>0.71180555555555558</v>
      </c>
      <c r="AN2258" t="s">
        <v>66</v>
      </c>
      <c r="AO2258" t="s">
        <v>67</v>
      </c>
    </row>
    <row r="2259" spans="1:41" x14ac:dyDescent="0.2">
      <c r="A2259">
        <v>364600</v>
      </c>
      <c r="B2259" t="s">
        <v>14527</v>
      </c>
      <c r="C2259" t="s">
        <v>735</v>
      </c>
      <c r="D2259" t="s">
        <v>3495</v>
      </c>
      <c r="E2259" t="s">
        <v>14528</v>
      </c>
      <c r="F2259">
        <v>245610</v>
      </c>
      <c r="G2259" s="1">
        <v>45513</v>
      </c>
      <c r="H2259" s="1">
        <v>45513</v>
      </c>
      <c r="I2259" s="1">
        <v>46235</v>
      </c>
      <c r="J2259" t="s">
        <v>45</v>
      </c>
      <c r="K2259" t="s">
        <v>45</v>
      </c>
      <c r="L2259" t="s">
        <v>46</v>
      </c>
      <c r="N2259" t="s">
        <v>47</v>
      </c>
      <c r="O2259" t="s">
        <v>48</v>
      </c>
      <c r="P2259" t="s">
        <v>49</v>
      </c>
      <c r="Q2259" t="s">
        <v>14529</v>
      </c>
      <c r="R2259" t="s">
        <v>14530</v>
      </c>
      <c r="S2259">
        <v>9774</v>
      </c>
      <c r="T2259" t="s">
        <v>52</v>
      </c>
      <c r="U2259">
        <v>1</v>
      </c>
      <c r="V2259" t="s">
        <v>1122</v>
      </c>
      <c r="W2259" t="s">
        <v>54</v>
      </c>
      <c r="X2259" t="s">
        <v>76</v>
      </c>
      <c r="Y2259" t="s">
        <v>56</v>
      </c>
      <c r="Z2259">
        <v>12225</v>
      </c>
      <c r="AA2259">
        <v>13</v>
      </c>
      <c r="AB2259">
        <v>210</v>
      </c>
      <c r="AC2259" t="s">
        <v>5936</v>
      </c>
      <c r="AD2259" t="s">
        <v>5937</v>
      </c>
      <c r="AE2259" t="s">
        <v>5938</v>
      </c>
      <c r="AF2259" t="s">
        <v>1832</v>
      </c>
      <c r="AG2259" t="s">
        <v>1833</v>
      </c>
      <c r="AH2259" t="s">
        <v>1834</v>
      </c>
      <c r="AI2259" t="s">
        <v>179</v>
      </c>
      <c r="AJ2259" s="2">
        <v>45553.650243055556</v>
      </c>
      <c r="AK2259" t="s">
        <v>132</v>
      </c>
      <c r="AL2259" t="s">
        <v>65</v>
      </c>
      <c r="AM2259" s="3">
        <v>1.0694444444444444</v>
      </c>
      <c r="AN2259" t="s">
        <v>66</v>
      </c>
      <c r="AO2259" t="s">
        <v>67</v>
      </c>
    </row>
    <row r="2260" spans="1:41" x14ac:dyDescent="0.2">
      <c r="A2260">
        <v>372530</v>
      </c>
      <c r="B2260" t="s">
        <v>14531</v>
      </c>
      <c r="C2260" t="s">
        <v>692</v>
      </c>
      <c r="D2260" t="s">
        <v>3845</v>
      </c>
      <c r="E2260" t="s">
        <v>14532</v>
      </c>
      <c r="F2260">
        <v>480115</v>
      </c>
      <c r="G2260" s="1">
        <v>33063</v>
      </c>
      <c r="H2260" s="1">
        <v>45825</v>
      </c>
      <c r="I2260" s="1">
        <v>46188</v>
      </c>
      <c r="J2260" t="s">
        <v>45</v>
      </c>
      <c r="K2260" t="s">
        <v>45</v>
      </c>
      <c r="L2260" t="s">
        <v>72</v>
      </c>
      <c r="M2260" s="1">
        <v>38924</v>
      </c>
      <c r="N2260" t="s">
        <v>47</v>
      </c>
      <c r="O2260" t="s">
        <v>48</v>
      </c>
      <c r="P2260" t="s">
        <v>49</v>
      </c>
      <c r="Q2260" t="s">
        <v>14533</v>
      </c>
      <c r="R2260" t="s">
        <v>14534</v>
      </c>
      <c r="S2260">
        <v>7900</v>
      </c>
      <c r="T2260" t="s">
        <v>257</v>
      </c>
      <c r="U2260" t="s">
        <v>283</v>
      </c>
      <c r="V2260" t="s">
        <v>2084</v>
      </c>
      <c r="W2260" t="s">
        <v>260</v>
      </c>
      <c r="X2260" t="s">
        <v>257</v>
      </c>
      <c r="Y2260" t="s">
        <v>110</v>
      </c>
      <c r="Z2260">
        <v>529</v>
      </c>
      <c r="AA2260">
        <v>60</v>
      </c>
      <c r="AB2260">
        <v>210</v>
      </c>
      <c r="AC2260" t="s">
        <v>2085</v>
      </c>
      <c r="AD2260" t="s">
        <v>2086</v>
      </c>
      <c r="AE2260" t="s">
        <v>2087</v>
      </c>
      <c r="AF2260" t="s">
        <v>2088</v>
      </c>
      <c r="AG2260" t="s">
        <v>2089</v>
      </c>
      <c r="AI2260" t="s">
        <v>2086</v>
      </c>
      <c r="AJ2260" s="2">
        <v>45841.950821759259</v>
      </c>
      <c r="AK2260" t="s">
        <v>2085</v>
      </c>
      <c r="AL2260" t="s">
        <v>65</v>
      </c>
      <c r="AM2260" s="3">
        <v>2.0625</v>
      </c>
      <c r="AN2260" t="s">
        <v>66</v>
      </c>
      <c r="AO2260" t="s">
        <v>67</v>
      </c>
    </row>
    <row r="2261" spans="1:41" x14ac:dyDescent="0.2">
      <c r="A2261">
        <v>372178</v>
      </c>
      <c r="B2261" t="s">
        <v>14535</v>
      </c>
      <c r="C2261" t="s">
        <v>167</v>
      </c>
      <c r="D2261" t="s">
        <v>269</v>
      </c>
      <c r="E2261" t="s">
        <v>14536</v>
      </c>
      <c r="F2261">
        <v>352915</v>
      </c>
      <c r="G2261" s="1">
        <v>34325</v>
      </c>
      <c r="H2261" s="1">
        <v>45832</v>
      </c>
      <c r="I2261" s="1">
        <v>46157</v>
      </c>
      <c r="J2261" t="s">
        <v>45</v>
      </c>
      <c r="K2261" t="s">
        <v>45</v>
      </c>
      <c r="L2261" t="s">
        <v>72</v>
      </c>
      <c r="M2261" s="1">
        <v>44853</v>
      </c>
      <c r="N2261" t="s">
        <v>47</v>
      </c>
      <c r="O2261" t="s">
        <v>48</v>
      </c>
      <c r="P2261" t="s">
        <v>49</v>
      </c>
      <c r="Q2261" t="s">
        <v>14537</v>
      </c>
      <c r="R2261" t="s">
        <v>14538</v>
      </c>
      <c r="S2261">
        <v>3183</v>
      </c>
      <c r="T2261" t="s">
        <v>52</v>
      </c>
      <c r="U2261">
        <v>6</v>
      </c>
      <c r="V2261" t="s">
        <v>172</v>
      </c>
      <c r="W2261" t="s">
        <v>54</v>
      </c>
      <c r="X2261" t="s">
        <v>76</v>
      </c>
      <c r="Y2261" t="s">
        <v>56</v>
      </c>
      <c r="Z2261">
        <v>827</v>
      </c>
      <c r="AA2261">
        <v>49</v>
      </c>
      <c r="AB2261">
        <v>80</v>
      </c>
      <c r="AC2261" t="s">
        <v>173</v>
      </c>
      <c r="AD2261" t="s">
        <v>174</v>
      </c>
      <c r="AE2261" t="s">
        <v>175</v>
      </c>
      <c r="AF2261" t="s">
        <v>273</v>
      </c>
      <c r="AG2261" t="s">
        <v>274</v>
      </c>
      <c r="AH2261" t="s">
        <v>275</v>
      </c>
      <c r="AI2261" t="s">
        <v>179</v>
      </c>
      <c r="AJ2261" s="2">
        <v>45833.081342592595</v>
      </c>
      <c r="AK2261" t="s">
        <v>276</v>
      </c>
      <c r="AL2261" t="s">
        <v>65</v>
      </c>
      <c r="AM2261" s="3">
        <v>1.6319444444444444</v>
      </c>
      <c r="AN2261" t="s">
        <v>66</v>
      </c>
      <c r="AO2261" t="s">
        <v>67</v>
      </c>
    </row>
    <row r="2262" spans="1:41" x14ac:dyDescent="0.2">
      <c r="A2262">
        <v>365554</v>
      </c>
      <c r="B2262" t="s">
        <v>14539</v>
      </c>
      <c r="C2262" t="s">
        <v>542</v>
      </c>
      <c r="D2262" t="s">
        <v>14540</v>
      </c>
      <c r="E2262" t="s">
        <v>14541</v>
      </c>
      <c r="F2262">
        <v>361291</v>
      </c>
      <c r="G2262" s="1">
        <v>39283</v>
      </c>
      <c r="H2262" s="1">
        <v>45586</v>
      </c>
      <c r="J2262" t="s">
        <v>45</v>
      </c>
      <c r="K2262" t="s">
        <v>45</v>
      </c>
      <c r="L2262" t="s">
        <v>72</v>
      </c>
      <c r="M2262" s="1">
        <v>44370</v>
      </c>
      <c r="N2262" t="s">
        <v>47</v>
      </c>
      <c r="O2262" t="s">
        <v>48</v>
      </c>
      <c r="P2262" t="s">
        <v>49</v>
      </c>
      <c r="Q2262" t="s">
        <v>14542</v>
      </c>
      <c r="R2262" t="s">
        <v>14543</v>
      </c>
      <c r="S2262">
        <v>2740</v>
      </c>
      <c r="T2262" t="s">
        <v>92</v>
      </c>
      <c r="U2262" t="s">
        <v>1133</v>
      </c>
      <c r="V2262" t="s">
        <v>1134</v>
      </c>
      <c r="W2262" t="s">
        <v>1135</v>
      </c>
      <c r="X2262" t="s">
        <v>92</v>
      </c>
      <c r="Y2262" t="s">
        <v>770</v>
      </c>
      <c r="Z2262">
        <v>2927</v>
      </c>
      <c r="AA2262">
        <v>53</v>
      </c>
      <c r="AB2262">
        <v>141</v>
      </c>
      <c r="AC2262" t="s">
        <v>1136</v>
      </c>
      <c r="AD2262" t="s">
        <v>1137</v>
      </c>
      <c r="AE2262" t="s">
        <v>1964</v>
      </c>
      <c r="AI2262" t="s">
        <v>1137</v>
      </c>
      <c r="AJ2262" s="2">
        <v>45586.962777777779</v>
      </c>
      <c r="AK2262" t="s">
        <v>1136</v>
      </c>
      <c r="AL2262" t="s">
        <v>65</v>
      </c>
      <c r="AM2262" s="4">
        <v>0.37291666666666667</v>
      </c>
      <c r="AN2262" t="s">
        <v>66</v>
      </c>
      <c r="AO2262" t="s">
        <v>101</v>
      </c>
    </row>
    <row r="2263" spans="1:41" x14ac:dyDescent="0.2">
      <c r="A2263">
        <v>371737</v>
      </c>
      <c r="B2263" t="s">
        <v>14544</v>
      </c>
      <c r="C2263" t="s">
        <v>323</v>
      </c>
      <c r="D2263" t="s">
        <v>3273</v>
      </c>
      <c r="E2263" t="s">
        <v>14545</v>
      </c>
      <c r="F2263">
        <v>500215</v>
      </c>
      <c r="G2263" s="1">
        <v>34112</v>
      </c>
      <c r="H2263" s="1">
        <v>45793</v>
      </c>
      <c r="I2263" s="1">
        <v>46037</v>
      </c>
      <c r="J2263" t="s">
        <v>45</v>
      </c>
      <c r="K2263" t="s">
        <v>45</v>
      </c>
      <c r="L2263" t="s">
        <v>72</v>
      </c>
      <c r="M2263" s="1">
        <v>45058</v>
      </c>
      <c r="N2263" t="s">
        <v>47</v>
      </c>
      <c r="O2263" t="s">
        <v>48</v>
      </c>
      <c r="P2263" t="s">
        <v>49</v>
      </c>
      <c r="Q2263" t="s">
        <v>14546</v>
      </c>
      <c r="R2263" t="s">
        <v>14547</v>
      </c>
      <c r="S2263">
        <v>321</v>
      </c>
      <c r="T2263" t="s">
        <v>365</v>
      </c>
      <c r="U2263" t="s">
        <v>366</v>
      </c>
      <c r="V2263" t="s">
        <v>330</v>
      </c>
      <c r="W2263" t="s">
        <v>367</v>
      </c>
      <c r="X2263" t="s">
        <v>76</v>
      </c>
      <c r="Y2263" t="s">
        <v>110</v>
      </c>
      <c r="Z2263">
        <v>37</v>
      </c>
      <c r="AA2263">
        <v>39</v>
      </c>
      <c r="AB2263">
        <v>66</v>
      </c>
      <c r="AC2263" t="s">
        <v>368</v>
      </c>
      <c r="AD2263" t="s">
        <v>369</v>
      </c>
      <c r="AE2263" t="s">
        <v>370</v>
      </c>
      <c r="AF2263" t="s">
        <v>384</v>
      </c>
      <c r="AG2263" t="s">
        <v>385</v>
      </c>
      <c r="AH2263" t="s">
        <v>386</v>
      </c>
      <c r="AI2263" t="s">
        <v>369</v>
      </c>
      <c r="AJ2263" s="2">
        <v>45818.798842592594</v>
      </c>
      <c r="AK2263" t="s">
        <v>727</v>
      </c>
      <c r="AL2263" t="s">
        <v>65</v>
      </c>
      <c r="AM2263" s="3">
        <v>2.1527777777777777</v>
      </c>
      <c r="AN2263" t="s">
        <v>66</v>
      </c>
      <c r="AO2263" t="s">
        <v>67</v>
      </c>
    </row>
    <row r="2264" spans="1:41" x14ac:dyDescent="0.2">
      <c r="A2264">
        <v>371956</v>
      </c>
      <c r="B2264" t="s">
        <v>14548</v>
      </c>
      <c r="C2264" t="s">
        <v>182</v>
      </c>
      <c r="D2264" t="s">
        <v>1064</v>
      </c>
      <c r="E2264" t="s">
        <v>14549</v>
      </c>
      <c r="F2264">
        <v>40239</v>
      </c>
      <c r="G2264" s="1">
        <v>37125</v>
      </c>
      <c r="H2264" s="1">
        <v>45824</v>
      </c>
      <c r="J2264" t="s">
        <v>45</v>
      </c>
      <c r="K2264" t="s">
        <v>72</v>
      </c>
      <c r="L2264" t="s">
        <v>72</v>
      </c>
      <c r="M2264" s="1">
        <v>38006</v>
      </c>
      <c r="N2264" t="s">
        <v>47</v>
      </c>
      <c r="O2264" t="s">
        <v>48</v>
      </c>
      <c r="P2264" t="s">
        <v>49</v>
      </c>
      <c r="Q2264" t="s">
        <v>14550</v>
      </c>
      <c r="R2264" t="s">
        <v>14551</v>
      </c>
      <c r="S2264">
        <v>4225</v>
      </c>
      <c r="T2264" t="s">
        <v>92</v>
      </c>
      <c r="U2264" t="s">
        <v>187</v>
      </c>
      <c r="V2264" t="s">
        <v>447</v>
      </c>
      <c r="W2264" t="s">
        <v>448</v>
      </c>
      <c r="X2264" t="s">
        <v>92</v>
      </c>
      <c r="Y2264" t="s">
        <v>450</v>
      </c>
      <c r="Z2264">
        <v>1267</v>
      </c>
      <c r="AA2264">
        <v>44</v>
      </c>
      <c r="AB2264">
        <v>66</v>
      </c>
      <c r="AC2264" t="s">
        <v>451</v>
      </c>
      <c r="AD2264" t="s">
        <v>452</v>
      </c>
      <c r="AE2264" t="s">
        <v>453</v>
      </c>
      <c r="AF2264" t="s">
        <v>454</v>
      </c>
      <c r="AG2264" t="s">
        <v>473</v>
      </c>
      <c r="AH2264" t="s">
        <v>474</v>
      </c>
      <c r="AJ2264" s="2">
        <v>45825.707708333335</v>
      </c>
      <c r="AK2264" t="s">
        <v>456</v>
      </c>
      <c r="AL2264" t="s">
        <v>65</v>
      </c>
      <c r="AM2264" s="3">
        <v>1.1666666666666667</v>
      </c>
      <c r="AN2264" t="s">
        <v>66</v>
      </c>
      <c r="AO2264" t="s">
        <v>67</v>
      </c>
    </row>
    <row r="2265" spans="1:41" x14ac:dyDescent="0.2">
      <c r="A2265">
        <v>368188</v>
      </c>
      <c r="B2265" t="s">
        <v>14552</v>
      </c>
      <c r="C2265" t="s">
        <v>42</v>
      </c>
      <c r="D2265" t="s">
        <v>1800</v>
      </c>
      <c r="E2265" t="s">
        <v>14553</v>
      </c>
      <c r="F2265">
        <v>293105</v>
      </c>
      <c r="G2265" s="1">
        <v>38328</v>
      </c>
      <c r="H2265" s="1">
        <v>45702</v>
      </c>
      <c r="I2265" s="1">
        <v>46054</v>
      </c>
      <c r="J2265" t="s">
        <v>45</v>
      </c>
      <c r="K2265" t="s">
        <v>45</v>
      </c>
      <c r="L2265" t="s">
        <v>46</v>
      </c>
      <c r="M2265" s="1">
        <v>42761</v>
      </c>
      <c r="N2265" t="s">
        <v>47</v>
      </c>
      <c r="O2265" t="s">
        <v>48</v>
      </c>
      <c r="P2265" t="s">
        <v>49</v>
      </c>
      <c r="Q2265" t="s">
        <v>14554</v>
      </c>
      <c r="R2265" t="s">
        <v>14555</v>
      </c>
      <c r="S2265">
        <v>5642</v>
      </c>
      <c r="T2265" t="s">
        <v>52</v>
      </c>
      <c r="U2265">
        <v>3</v>
      </c>
      <c r="V2265" t="s">
        <v>5589</v>
      </c>
      <c r="W2265" t="s">
        <v>54</v>
      </c>
      <c r="X2265" t="s">
        <v>55</v>
      </c>
      <c r="Y2265" t="s">
        <v>56</v>
      </c>
      <c r="Z2265">
        <v>2494</v>
      </c>
      <c r="AA2265">
        <v>41</v>
      </c>
      <c r="AB2265">
        <v>174</v>
      </c>
      <c r="AC2265" t="s">
        <v>5590</v>
      </c>
      <c r="AD2265" t="s">
        <v>5591</v>
      </c>
      <c r="AE2265" t="s">
        <v>5592</v>
      </c>
      <c r="AI2265" t="s">
        <v>1809</v>
      </c>
      <c r="AJ2265" s="2">
        <v>45706.615543981483</v>
      </c>
      <c r="AK2265" t="s">
        <v>609</v>
      </c>
      <c r="AL2265" t="s">
        <v>65</v>
      </c>
      <c r="AM2265" s="4">
        <v>0.54861111111111116</v>
      </c>
      <c r="AN2265" t="s">
        <v>66</v>
      </c>
      <c r="AO2265" t="s">
        <v>67</v>
      </c>
    </row>
    <row r="2266" spans="1:41" x14ac:dyDescent="0.2">
      <c r="A2266">
        <v>370690</v>
      </c>
      <c r="B2266" t="s">
        <v>14556</v>
      </c>
      <c r="C2266" t="s">
        <v>323</v>
      </c>
      <c r="E2266" t="s">
        <v>14557</v>
      </c>
      <c r="G2266" s="1">
        <v>42220</v>
      </c>
      <c r="H2266" s="1">
        <v>45451</v>
      </c>
      <c r="J2266" t="s">
        <v>45</v>
      </c>
      <c r="K2266" t="s">
        <v>45</v>
      </c>
      <c r="L2266" t="s">
        <v>72</v>
      </c>
      <c r="N2266" t="s">
        <v>47</v>
      </c>
      <c r="O2266" t="s">
        <v>48</v>
      </c>
      <c r="P2266" t="s">
        <v>1752</v>
      </c>
      <c r="Q2266" t="s">
        <v>14558</v>
      </c>
      <c r="R2266" t="s">
        <v>14559</v>
      </c>
      <c r="S2266">
        <v>1045</v>
      </c>
      <c r="T2266" t="s">
        <v>257</v>
      </c>
      <c r="U2266" t="s">
        <v>329</v>
      </c>
      <c r="V2266" t="s">
        <v>3302</v>
      </c>
      <c r="W2266" t="s">
        <v>3303</v>
      </c>
      <c r="X2266" t="s">
        <v>257</v>
      </c>
      <c r="Y2266" t="s">
        <v>642</v>
      </c>
      <c r="Z2266">
        <v>7648</v>
      </c>
      <c r="AA2266">
        <v>41</v>
      </c>
      <c r="AB2266">
        <v>108</v>
      </c>
      <c r="AC2266" t="s">
        <v>3304</v>
      </c>
      <c r="AD2266" t="s">
        <v>3305</v>
      </c>
      <c r="AE2266" t="s">
        <v>5011</v>
      </c>
      <c r="AF2266" t="s">
        <v>3307</v>
      </c>
      <c r="AG2266" t="s">
        <v>3308</v>
      </c>
      <c r="AH2266" t="s">
        <v>3309</v>
      </c>
      <c r="AI2266" t="s">
        <v>5012</v>
      </c>
      <c r="AJ2266" s="2">
        <v>45782.997187499997</v>
      </c>
      <c r="AK2266" t="s">
        <v>3304</v>
      </c>
      <c r="AL2266" t="s">
        <v>1168</v>
      </c>
      <c r="AM2266" s="3">
        <v>1.0347222222222223</v>
      </c>
      <c r="AN2266" t="s">
        <v>66</v>
      </c>
      <c r="AO2266" t="s">
        <v>67</v>
      </c>
    </row>
    <row r="2267" spans="1:41" x14ac:dyDescent="0.2">
      <c r="A2267">
        <v>368245</v>
      </c>
      <c r="B2267" t="s">
        <v>14560</v>
      </c>
      <c r="C2267" t="s">
        <v>134</v>
      </c>
      <c r="D2267" t="s">
        <v>1050</v>
      </c>
      <c r="E2267">
        <v>32367534</v>
      </c>
      <c r="F2267">
        <v>450207</v>
      </c>
      <c r="G2267" s="1">
        <v>34076</v>
      </c>
      <c r="H2267" s="1">
        <v>45505</v>
      </c>
      <c r="I2267" s="1">
        <v>46218</v>
      </c>
      <c r="J2267" t="s">
        <v>45</v>
      </c>
      <c r="K2267" t="s">
        <v>45</v>
      </c>
      <c r="L2267" t="s">
        <v>72</v>
      </c>
      <c r="M2267" s="1">
        <v>41482</v>
      </c>
      <c r="N2267" t="s">
        <v>47</v>
      </c>
      <c r="O2267" t="s">
        <v>48</v>
      </c>
      <c r="P2267" t="s">
        <v>49</v>
      </c>
      <c r="Q2267" t="s">
        <v>14561</v>
      </c>
      <c r="R2267" t="s">
        <v>14562</v>
      </c>
      <c r="S2267">
        <v>62</v>
      </c>
      <c r="T2267" t="s">
        <v>52</v>
      </c>
      <c r="U2267">
        <v>6</v>
      </c>
      <c r="V2267" t="s">
        <v>5660</v>
      </c>
      <c r="W2267" t="s">
        <v>54</v>
      </c>
      <c r="X2267" t="s">
        <v>76</v>
      </c>
      <c r="Y2267" t="s">
        <v>56</v>
      </c>
      <c r="Z2267">
        <v>809</v>
      </c>
      <c r="AA2267">
        <v>64</v>
      </c>
      <c r="AB2267">
        <v>28</v>
      </c>
      <c r="AC2267" t="s">
        <v>5661</v>
      </c>
      <c r="AD2267" t="s">
        <v>5662</v>
      </c>
      <c r="AE2267" t="s">
        <v>5663</v>
      </c>
      <c r="AF2267" t="s">
        <v>5664</v>
      </c>
      <c r="AG2267" t="s">
        <v>5665</v>
      </c>
      <c r="AH2267" t="s">
        <v>5666</v>
      </c>
      <c r="AI2267" t="s">
        <v>5667</v>
      </c>
      <c r="AJ2267" s="2">
        <v>45706.861793981479</v>
      </c>
      <c r="AK2267" t="s">
        <v>5661</v>
      </c>
      <c r="AL2267" t="s">
        <v>65</v>
      </c>
      <c r="AM2267" s="3">
        <v>1.5208333333333333</v>
      </c>
      <c r="AN2267" t="s">
        <v>66</v>
      </c>
      <c r="AO2267" t="s">
        <v>67</v>
      </c>
    </row>
    <row r="2268" spans="1:41" x14ac:dyDescent="0.2">
      <c r="A2268">
        <v>366120</v>
      </c>
      <c r="B2268" t="s">
        <v>14563</v>
      </c>
      <c r="C2268" t="s">
        <v>558</v>
      </c>
      <c r="D2268" t="s">
        <v>1268</v>
      </c>
      <c r="E2268" t="s">
        <v>14564</v>
      </c>
      <c r="F2268">
        <v>260810</v>
      </c>
      <c r="G2268" s="1">
        <v>37902</v>
      </c>
      <c r="H2268" s="1">
        <v>45602</v>
      </c>
      <c r="I2268" s="1">
        <v>46204</v>
      </c>
      <c r="J2268" t="s">
        <v>45</v>
      </c>
      <c r="K2268" t="s">
        <v>45</v>
      </c>
      <c r="L2268" t="s">
        <v>429</v>
      </c>
      <c r="M2268" s="1">
        <v>41534</v>
      </c>
      <c r="N2268" t="s">
        <v>47</v>
      </c>
      <c r="O2268" t="s">
        <v>48</v>
      </c>
      <c r="P2268" t="s">
        <v>49</v>
      </c>
      <c r="Q2268" t="s">
        <v>14565</v>
      </c>
      <c r="R2268" t="s">
        <v>14566</v>
      </c>
      <c r="S2268">
        <v>7984</v>
      </c>
      <c r="T2268" t="s">
        <v>52</v>
      </c>
      <c r="U2268">
        <v>4</v>
      </c>
      <c r="V2268" t="s">
        <v>1271</v>
      </c>
      <c r="W2268" t="s">
        <v>54</v>
      </c>
      <c r="X2268" t="s">
        <v>493</v>
      </c>
      <c r="Y2268" t="s">
        <v>56</v>
      </c>
      <c r="Z2268">
        <v>2456</v>
      </c>
      <c r="AA2268">
        <v>45</v>
      </c>
      <c r="AB2268">
        <v>174</v>
      </c>
      <c r="AC2268" t="s">
        <v>1272</v>
      </c>
      <c r="AD2268" t="s">
        <v>1273</v>
      </c>
      <c r="AE2268" t="s">
        <v>1274</v>
      </c>
      <c r="AI2268" t="s">
        <v>1275</v>
      </c>
      <c r="AJ2268" s="2">
        <v>45603.826539351852</v>
      </c>
      <c r="AK2268" t="s">
        <v>501</v>
      </c>
      <c r="AL2268" t="s">
        <v>65</v>
      </c>
      <c r="AM2268" s="4">
        <v>0.4861111111111111</v>
      </c>
      <c r="AN2268" t="s">
        <v>66</v>
      </c>
      <c r="AO2268" t="s">
        <v>67</v>
      </c>
    </row>
    <row r="2269" spans="1:41" x14ac:dyDescent="0.2">
      <c r="A2269">
        <v>370787</v>
      </c>
      <c r="B2269" t="s">
        <v>14567</v>
      </c>
      <c r="C2269" t="s">
        <v>182</v>
      </c>
      <c r="D2269" t="s">
        <v>4385</v>
      </c>
      <c r="E2269">
        <v>32418228</v>
      </c>
      <c r="F2269">
        <v>40910</v>
      </c>
      <c r="G2269" s="1">
        <v>31847</v>
      </c>
      <c r="H2269" s="1">
        <v>45783</v>
      </c>
      <c r="I2269" s="1">
        <v>46113</v>
      </c>
      <c r="J2269" t="s">
        <v>45</v>
      </c>
      <c r="K2269" t="s">
        <v>45</v>
      </c>
      <c r="L2269" t="s">
        <v>46</v>
      </c>
      <c r="M2269" s="1">
        <v>41870</v>
      </c>
      <c r="N2269" t="s">
        <v>47</v>
      </c>
      <c r="O2269" t="s">
        <v>48</v>
      </c>
      <c r="P2269" t="s">
        <v>49</v>
      </c>
      <c r="Q2269" t="s">
        <v>14568</v>
      </c>
      <c r="R2269" t="s">
        <v>14569</v>
      </c>
      <c r="S2269">
        <v>3652</v>
      </c>
      <c r="T2269" t="s">
        <v>52</v>
      </c>
      <c r="U2269">
        <v>5</v>
      </c>
      <c r="V2269" t="s">
        <v>4509</v>
      </c>
      <c r="W2269" t="s">
        <v>54</v>
      </c>
      <c r="X2269" t="s">
        <v>493</v>
      </c>
      <c r="Y2269" t="s">
        <v>434</v>
      </c>
      <c r="Z2269">
        <v>722</v>
      </c>
      <c r="AA2269">
        <v>65</v>
      </c>
      <c r="AB2269">
        <v>160</v>
      </c>
      <c r="AC2269" t="s">
        <v>4510</v>
      </c>
      <c r="AD2269" t="s">
        <v>4511</v>
      </c>
      <c r="AE2269" t="s">
        <v>4512</v>
      </c>
      <c r="AF2269" t="s">
        <v>4513</v>
      </c>
      <c r="AG2269" t="s">
        <v>4514</v>
      </c>
      <c r="AH2269" t="s">
        <v>4515</v>
      </c>
      <c r="AI2269" t="s">
        <v>500</v>
      </c>
      <c r="AJ2269" s="2">
        <v>45784.677372685182</v>
      </c>
      <c r="AK2269" t="s">
        <v>1472</v>
      </c>
      <c r="AL2269" t="s">
        <v>65</v>
      </c>
      <c r="AM2269" s="4">
        <v>0.65972222222222221</v>
      </c>
      <c r="AN2269" t="s">
        <v>66</v>
      </c>
      <c r="AO2269" t="s">
        <v>67</v>
      </c>
    </row>
    <row r="2270" spans="1:41" x14ac:dyDescent="0.2">
      <c r="A2270">
        <v>371133</v>
      </c>
      <c r="B2270" t="s">
        <v>14570</v>
      </c>
      <c r="C2270" t="s">
        <v>323</v>
      </c>
      <c r="D2270" t="s">
        <v>4275</v>
      </c>
      <c r="E2270" t="s">
        <v>14571</v>
      </c>
      <c r="F2270">
        <v>500942</v>
      </c>
      <c r="G2270" s="1">
        <v>38559</v>
      </c>
      <c r="H2270" s="1">
        <v>45796</v>
      </c>
      <c r="I2270" s="1">
        <v>46037</v>
      </c>
      <c r="J2270" t="s">
        <v>45</v>
      </c>
      <c r="K2270" t="s">
        <v>45</v>
      </c>
      <c r="L2270" t="s">
        <v>72</v>
      </c>
      <c r="M2270" s="1">
        <v>39713</v>
      </c>
      <c r="N2270" t="s">
        <v>47</v>
      </c>
      <c r="O2270" t="s">
        <v>48</v>
      </c>
      <c r="P2270" t="s">
        <v>49</v>
      </c>
      <c r="Q2270" t="s">
        <v>14572</v>
      </c>
      <c r="R2270" t="s">
        <v>14573</v>
      </c>
      <c r="S2270">
        <v>1480</v>
      </c>
      <c r="T2270" t="s">
        <v>92</v>
      </c>
      <c r="U2270" t="s">
        <v>329</v>
      </c>
      <c r="V2270" t="s">
        <v>722</v>
      </c>
      <c r="W2270" t="s">
        <v>723</v>
      </c>
      <c r="X2270" t="s">
        <v>257</v>
      </c>
      <c r="Y2270" t="s">
        <v>110</v>
      </c>
      <c r="Z2270">
        <v>2756</v>
      </c>
      <c r="AA2270">
        <v>39</v>
      </c>
      <c r="AB2270">
        <v>158</v>
      </c>
      <c r="AC2270" t="s">
        <v>368</v>
      </c>
      <c r="AD2270" t="s">
        <v>369</v>
      </c>
      <c r="AE2270" t="s">
        <v>370</v>
      </c>
      <c r="AF2270" t="s">
        <v>724</v>
      </c>
      <c r="AG2270" t="s">
        <v>725</v>
      </c>
      <c r="AH2270" t="s">
        <v>726</v>
      </c>
      <c r="AJ2270" s="2">
        <v>45796.989837962959</v>
      </c>
      <c r="AK2270" t="s">
        <v>331</v>
      </c>
      <c r="AL2270" t="s">
        <v>65</v>
      </c>
      <c r="AM2270" s="3">
        <v>2.3333333333333335</v>
      </c>
      <c r="AN2270" t="s">
        <v>66</v>
      </c>
      <c r="AO2270" t="s">
        <v>67</v>
      </c>
    </row>
    <row r="2271" spans="1:41" x14ac:dyDescent="0.2">
      <c r="A2271">
        <v>372075</v>
      </c>
      <c r="B2271" t="s">
        <v>14574</v>
      </c>
      <c r="C2271" t="s">
        <v>788</v>
      </c>
      <c r="E2271" t="s">
        <v>14575</v>
      </c>
      <c r="F2271">
        <v>86404</v>
      </c>
      <c r="G2271" s="1">
        <v>33203</v>
      </c>
      <c r="H2271" s="1">
        <v>45798</v>
      </c>
      <c r="I2271" s="1">
        <v>46174</v>
      </c>
      <c r="J2271" t="s">
        <v>45</v>
      </c>
      <c r="K2271" t="s">
        <v>45</v>
      </c>
      <c r="L2271" t="s">
        <v>72</v>
      </c>
      <c r="M2271" s="1">
        <v>43444</v>
      </c>
      <c r="N2271" t="s">
        <v>47</v>
      </c>
      <c r="O2271" t="s">
        <v>48</v>
      </c>
      <c r="P2271" t="s">
        <v>49</v>
      </c>
      <c r="Q2271" t="s">
        <v>14576</v>
      </c>
      <c r="R2271" t="s">
        <v>14577</v>
      </c>
      <c r="S2271">
        <v>7</v>
      </c>
      <c r="T2271" t="s">
        <v>257</v>
      </c>
      <c r="U2271" t="s">
        <v>1691</v>
      </c>
      <c r="V2271" t="s">
        <v>2286</v>
      </c>
      <c r="W2271" t="s">
        <v>260</v>
      </c>
      <c r="X2271" t="s">
        <v>257</v>
      </c>
      <c r="Y2271" t="s">
        <v>110</v>
      </c>
      <c r="Z2271">
        <v>511</v>
      </c>
      <c r="AA2271">
        <v>61</v>
      </c>
      <c r="AB2271">
        <v>78</v>
      </c>
      <c r="AC2271" t="s">
        <v>2287</v>
      </c>
      <c r="AD2271" t="s">
        <v>2288</v>
      </c>
      <c r="AE2271" t="s">
        <v>2289</v>
      </c>
      <c r="AF2271" t="s">
        <v>2290</v>
      </c>
      <c r="AG2271" t="s">
        <v>2291</v>
      </c>
      <c r="AH2271" t="s">
        <v>2292</v>
      </c>
      <c r="AI2271" t="s">
        <v>2293</v>
      </c>
      <c r="AJ2271" s="2">
        <v>45828.664467592593</v>
      </c>
      <c r="AK2271" t="s">
        <v>2287</v>
      </c>
      <c r="AL2271" t="s">
        <v>65</v>
      </c>
      <c r="AM2271" s="4">
        <v>0.94652777777777775</v>
      </c>
      <c r="AN2271" t="s">
        <v>66</v>
      </c>
      <c r="AO2271" t="s">
        <v>67</v>
      </c>
    </row>
    <row r="2272" spans="1:41" x14ac:dyDescent="0.2">
      <c r="A2272">
        <v>372905</v>
      </c>
      <c r="B2272" t="s">
        <v>14578</v>
      </c>
      <c r="C2272" t="s">
        <v>9662</v>
      </c>
      <c r="D2272" t="s">
        <v>14579</v>
      </c>
      <c r="E2272">
        <v>83753278</v>
      </c>
      <c r="F2272">
        <v>171603</v>
      </c>
      <c r="G2272" s="1">
        <v>37428</v>
      </c>
      <c r="H2272" s="1">
        <v>45780</v>
      </c>
      <c r="I2272" s="1">
        <v>46143</v>
      </c>
      <c r="J2272" t="s">
        <v>45</v>
      </c>
      <c r="K2272" t="s">
        <v>45</v>
      </c>
      <c r="L2272" t="s">
        <v>46</v>
      </c>
      <c r="M2272" s="1">
        <v>44664</v>
      </c>
      <c r="N2272" t="s">
        <v>47</v>
      </c>
      <c r="O2272" t="s">
        <v>48</v>
      </c>
      <c r="P2272" t="s">
        <v>49</v>
      </c>
      <c r="Q2272" t="s">
        <v>14580</v>
      </c>
      <c r="R2272" t="s">
        <v>14581</v>
      </c>
      <c r="S2272">
        <v>50</v>
      </c>
      <c r="T2272" t="s">
        <v>156</v>
      </c>
      <c r="U2272" t="s">
        <v>1446</v>
      </c>
      <c r="V2272" t="s">
        <v>14582</v>
      </c>
      <c r="W2272" t="s">
        <v>159</v>
      </c>
      <c r="X2272" t="s">
        <v>76</v>
      </c>
      <c r="Y2272" t="s">
        <v>434</v>
      </c>
      <c r="Z2272">
        <v>1537</v>
      </c>
      <c r="AA2272">
        <v>55</v>
      </c>
      <c r="AB2272">
        <v>189</v>
      </c>
      <c r="AC2272" t="s">
        <v>14583</v>
      </c>
      <c r="AD2272" t="s">
        <v>1454</v>
      </c>
      <c r="AE2272" t="s">
        <v>12392</v>
      </c>
      <c r="AF2272" t="s">
        <v>14584</v>
      </c>
      <c r="AG2272" t="s">
        <v>14585</v>
      </c>
      <c r="AH2272" t="s">
        <v>14586</v>
      </c>
      <c r="AJ2272" s="2">
        <v>45855.884756944448</v>
      </c>
      <c r="AK2272" t="s">
        <v>556</v>
      </c>
      <c r="AL2272" t="s">
        <v>65</v>
      </c>
      <c r="AM2272" s="3">
        <v>1.3402777777777777</v>
      </c>
      <c r="AN2272" t="s">
        <v>66</v>
      </c>
      <c r="AO2272" t="s">
        <v>101</v>
      </c>
    </row>
    <row r="2273" spans="1:41" x14ac:dyDescent="0.2">
      <c r="A2273">
        <v>370706</v>
      </c>
      <c r="B2273" t="s">
        <v>14587</v>
      </c>
      <c r="C2273" t="s">
        <v>86</v>
      </c>
      <c r="D2273" t="s">
        <v>14588</v>
      </c>
      <c r="E2273" t="s">
        <v>14589</v>
      </c>
      <c r="F2273">
        <v>201504</v>
      </c>
      <c r="G2273" s="1">
        <v>37803</v>
      </c>
      <c r="H2273" s="1">
        <v>45777</v>
      </c>
      <c r="I2273" s="1">
        <v>46157</v>
      </c>
      <c r="J2273" t="s">
        <v>45</v>
      </c>
      <c r="K2273" t="s">
        <v>45</v>
      </c>
      <c r="L2273" t="s">
        <v>72</v>
      </c>
      <c r="M2273" s="1">
        <v>45246</v>
      </c>
      <c r="N2273" t="s">
        <v>47</v>
      </c>
      <c r="O2273" t="s">
        <v>48</v>
      </c>
      <c r="P2273" t="s">
        <v>49</v>
      </c>
      <c r="Q2273" t="s">
        <v>14590</v>
      </c>
      <c r="R2273" t="s">
        <v>14591</v>
      </c>
      <c r="S2273">
        <v>750</v>
      </c>
      <c r="T2273" t="s">
        <v>52</v>
      </c>
      <c r="U2273">
        <v>9</v>
      </c>
      <c r="V2273" t="s">
        <v>1678</v>
      </c>
      <c r="W2273" t="s">
        <v>54</v>
      </c>
      <c r="X2273" t="s">
        <v>76</v>
      </c>
      <c r="Y2273" t="s">
        <v>56</v>
      </c>
      <c r="Z2273">
        <v>1098</v>
      </c>
      <c r="AA2273">
        <v>54</v>
      </c>
      <c r="AB2273">
        <v>97</v>
      </c>
      <c r="AC2273" t="s">
        <v>14592</v>
      </c>
      <c r="AD2273" t="s">
        <v>14593</v>
      </c>
      <c r="AE2273" t="s">
        <v>14594</v>
      </c>
      <c r="AF2273" t="s">
        <v>14595</v>
      </c>
      <c r="AG2273" t="s">
        <v>14596</v>
      </c>
      <c r="AH2273" t="s">
        <v>14597</v>
      </c>
      <c r="AI2273" t="s">
        <v>14598</v>
      </c>
      <c r="AJ2273" s="2">
        <v>45783.563287037039</v>
      </c>
      <c r="AK2273" t="s">
        <v>540</v>
      </c>
      <c r="AL2273" t="s">
        <v>65</v>
      </c>
      <c r="AM2273" s="3">
        <v>1.34375</v>
      </c>
      <c r="AN2273" t="s">
        <v>66</v>
      </c>
      <c r="AO2273" t="s">
        <v>101</v>
      </c>
    </row>
    <row r="2274" spans="1:41" x14ac:dyDescent="0.2">
      <c r="A2274">
        <v>371844</v>
      </c>
      <c r="B2274" t="s">
        <v>14599</v>
      </c>
      <c r="C2274" t="s">
        <v>69</v>
      </c>
      <c r="D2274" t="s">
        <v>5166</v>
      </c>
      <c r="E2274" t="s">
        <v>14600</v>
      </c>
      <c r="F2274">
        <v>104104</v>
      </c>
      <c r="G2274" s="1">
        <v>31729</v>
      </c>
      <c r="H2274" s="1">
        <v>45818</v>
      </c>
      <c r="I2274" s="1">
        <v>46174</v>
      </c>
      <c r="J2274" t="s">
        <v>45</v>
      </c>
      <c r="K2274" t="s">
        <v>45</v>
      </c>
      <c r="L2274" t="s">
        <v>429</v>
      </c>
      <c r="M2274" s="1">
        <v>42080</v>
      </c>
      <c r="N2274" t="s">
        <v>47</v>
      </c>
      <c r="O2274" t="s">
        <v>48</v>
      </c>
      <c r="P2274" t="s">
        <v>49</v>
      </c>
      <c r="Q2274" t="s">
        <v>14601</v>
      </c>
      <c r="R2274" t="s">
        <v>14602</v>
      </c>
      <c r="S2274">
        <v>4331</v>
      </c>
      <c r="T2274" t="s">
        <v>365</v>
      </c>
      <c r="U2274" t="s">
        <v>532</v>
      </c>
      <c r="V2274" t="s">
        <v>3689</v>
      </c>
      <c r="W2274" t="s">
        <v>367</v>
      </c>
      <c r="X2274" t="s">
        <v>76</v>
      </c>
      <c r="Y2274" t="s">
        <v>434</v>
      </c>
      <c r="Z2274">
        <v>166</v>
      </c>
      <c r="AA2274">
        <v>64</v>
      </c>
      <c r="AB2274">
        <v>28</v>
      </c>
      <c r="AC2274" t="s">
        <v>3690</v>
      </c>
      <c r="AD2274" t="s">
        <v>3691</v>
      </c>
      <c r="AE2274" t="s">
        <v>3692</v>
      </c>
      <c r="AF2274" t="s">
        <v>6127</v>
      </c>
      <c r="AG2274" t="s">
        <v>3694</v>
      </c>
      <c r="AH2274" t="s">
        <v>3695</v>
      </c>
      <c r="AI2274" t="s">
        <v>179</v>
      </c>
      <c r="AJ2274" s="2">
        <v>45821.542743055557</v>
      </c>
      <c r="AK2274" t="s">
        <v>568</v>
      </c>
      <c r="AL2274" t="s">
        <v>65</v>
      </c>
      <c r="AM2274" s="4">
        <v>0.82638888888888884</v>
      </c>
      <c r="AN2274" t="s">
        <v>66</v>
      </c>
      <c r="AO2274" t="s">
        <v>67</v>
      </c>
    </row>
    <row r="2275" spans="1:41" x14ac:dyDescent="0.2">
      <c r="A2275">
        <v>369726</v>
      </c>
      <c r="B2275" t="s">
        <v>14603</v>
      </c>
      <c r="C2275" t="s">
        <v>2298</v>
      </c>
      <c r="D2275" t="s">
        <v>14604</v>
      </c>
      <c r="E2275" t="s">
        <v>14605</v>
      </c>
      <c r="F2275">
        <v>227401</v>
      </c>
      <c r="G2275" s="1">
        <v>40927</v>
      </c>
      <c r="H2275" s="1">
        <v>45688</v>
      </c>
      <c r="I2275" s="1">
        <v>46037</v>
      </c>
      <c r="J2275" t="s">
        <v>45</v>
      </c>
      <c r="K2275" t="s">
        <v>45</v>
      </c>
      <c r="L2275" t="s">
        <v>72</v>
      </c>
      <c r="M2275" s="1">
        <v>45749</v>
      </c>
      <c r="N2275" t="s">
        <v>47</v>
      </c>
      <c r="O2275" t="s">
        <v>48</v>
      </c>
      <c r="P2275" t="s">
        <v>49</v>
      </c>
      <c r="Q2275" t="s">
        <v>14606</v>
      </c>
      <c r="R2275" t="s">
        <v>14607</v>
      </c>
      <c r="S2275">
        <v>285</v>
      </c>
      <c r="T2275" t="s">
        <v>52</v>
      </c>
      <c r="U2275">
        <v>8</v>
      </c>
      <c r="V2275" t="s">
        <v>2302</v>
      </c>
      <c r="W2275" t="s">
        <v>54</v>
      </c>
      <c r="X2275" t="s">
        <v>76</v>
      </c>
      <c r="Y2275" t="s">
        <v>56</v>
      </c>
      <c r="Z2275">
        <v>5047</v>
      </c>
      <c r="AA2275">
        <v>25</v>
      </c>
      <c r="AB2275">
        <v>45</v>
      </c>
      <c r="AC2275" t="s">
        <v>3653</v>
      </c>
      <c r="AD2275" t="s">
        <v>2304</v>
      </c>
      <c r="AE2275" t="s">
        <v>2305</v>
      </c>
      <c r="AF2275" t="s">
        <v>4234</v>
      </c>
      <c r="AG2275" t="s">
        <v>14608</v>
      </c>
      <c r="AH2275" t="s">
        <v>2634</v>
      </c>
      <c r="AI2275" t="s">
        <v>14609</v>
      </c>
      <c r="AJ2275" s="2">
        <v>45750.584247685183</v>
      </c>
      <c r="AK2275" t="s">
        <v>2303</v>
      </c>
      <c r="AL2275" t="s">
        <v>65</v>
      </c>
      <c r="AM2275" s="4">
        <v>2.0833333333333332E-2</v>
      </c>
      <c r="AN2275" t="s">
        <v>66</v>
      </c>
      <c r="AO2275" t="s">
        <v>101</v>
      </c>
    </row>
    <row r="2276" spans="1:41" x14ac:dyDescent="0.2">
      <c r="A2276">
        <v>371515</v>
      </c>
      <c r="B2276" t="s">
        <v>14610</v>
      </c>
      <c r="C2276" t="s">
        <v>323</v>
      </c>
      <c r="E2276" t="s">
        <v>14611</v>
      </c>
      <c r="G2276" s="1">
        <v>41128</v>
      </c>
      <c r="H2276" s="1">
        <v>45809</v>
      </c>
      <c r="J2276" t="s">
        <v>72</v>
      </c>
      <c r="K2276" t="s">
        <v>72</v>
      </c>
      <c r="L2276" t="s">
        <v>72</v>
      </c>
      <c r="M2276" s="1">
        <v>41128</v>
      </c>
      <c r="N2276" t="s">
        <v>47</v>
      </c>
      <c r="O2276" t="s">
        <v>48</v>
      </c>
      <c r="P2276" t="s">
        <v>406</v>
      </c>
      <c r="Q2276" t="s">
        <v>14612</v>
      </c>
      <c r="R2276" t="s">
        <v>14613</v>
      </c>
      <c r="S2276">
        <v>4107</v>
      </c>
      <c r="T2276" t="s">
        <v>257</v>
      </c>
      <c r="U2276" t="s">
        <v>329</v>
      </c>
      <c r="V2276" t="s">
        <v>5032</v>
      </c>
      <c r="W2276" t="s">
        <v>260</v>
      </c>
      <c r="X2276" t="s">
        <v>257</v>
      </c>
      <c r="Y2276" t="s">
        <v>642</v>
      </c>
      <c r="Z2276">
        <v>5829</v>
      </c>
      <c r="AA2276">
        <v>26</v>
      </c>
      <c r="AB2276">
        <v>108</v>
      </c>
      <c r="AC2276" t="s">
        <v>1164</v>
      </c>
      <c r="AD2276" t="s">
        <v>1165</v>
      </c>
      <c r="AE2276" t="s">
        <v>1166</v>
      </c>
      <c r="AJ2276" s="2">
        <v>45813.919606481482</v>
      </c>
      <c r="AK2276" t="s">
        <v>1164</v>
      </c>
      <c r="AL2276" t="s">
        <v>1168</v>
      </c>
      <c r="AM2276" s="4">
        <v>0.95138888888888884</v>
      </c>
      <c r="AN2276" t="s">
        <v>66</v>
      </c>
      <c r="AO2276" t="s">
        <v>67</v>
      </c>
    </row>
    <row r="2277" spans="1:41" x14ac:dyDescent="0.2">
      <c r="A2277">
        <v>371622</v>
      </c>
      <c r="B2277" t="s">
        <v>14614</v>
      </c>
      <c r="C2277" t="s">
        <v>42</v>
      </c>
      <c r="D2277" t="s">
        <v>2978</v>
      </c>
      <c r="E2277" t="s">
        <v>14615</v>
      </c>
      <c r="F2277">
        <v>293305</v>
      </c>
      <c r="G2277" s="1">
        <v>38323</v>
      </c>
      <c r="H2277" s="1">
        <v>45813</v>
      </c>
      <c r="I2277" s="1">
        <v>46174</v>
      </c>
      <c r="J2277" t="s">
        <v>45</v>
      </c>
      <c r="K2277" t="s">
        <v>45</v>
      </c>
      <c r="L2277" t="s">
        <v>46</v>
      </c>
      <c r="N2277" t="s">
        <v>47</v>
      </c>
      <c r="O2277" t="s">
        <v>48</v>
      </c>
      <c r="P2277" t="s">
        <v>49</v>
      </c>
      <c r="Q2277" t="s">
        <v>14616</v>
      </c>
      <c r="R2277" t="s">
        <v>14617</v>
      </c>
      <c r="S2277">
        <v>7604</v>
      </c>
      <c r="T2277" t="s">
        <v>296</v>
      </c>
      <c r="U2277" t="s">
        <v>2674</v>
      </c>
      <c r="V2277" t="s">
        <v>14618</v>
      </c>
      <c r="W2277" t="s">
        <v>299</v>
      </c>
      <c r="X2277" t="s">
        <v>55</v>
      </c>
      <c r="Y2277" t="s">
        <v>56</v>
      </c>
      <c r="Z2277">
        <v>2658</v>
      </c>
      <c r="AA2277">
        <v>38</v>
      </c>
      <c r="AB2277">
        <v>160</v>
      </c>
      <c r="AC2277" t="s">
        <v>14619</v>
      </c>
      <c r="AD2277" t="s">
        <v>14620</v>
      </c>
      <c r="AE2277" t="s">
        <v>14621</v>
      </c>
      <c r="AF2277" t="s">
        <v>5601</v>
      </c>
      <c r="AG2277" t="s">
        <v>5602</v>
      </c>
      <c r="AH2277" t="s">
        <v>5603</v>
      </c>
      <c r="AI2277" t="s">
        <v>14622</v>
      </c>
      <c r="AJ2277" s="2">
        <v>45817.719965277778</v>
      </c>
      <c r="AK2277" t="s">
        <v>64</v>
      </c>
      <c r="AL2277" t="s">
        <v>65</v>
      </c>
      <c r="AM2277" s="3">
        <v>1.4444444444444444</v>
      </c>
      <c r="AN2277" t="s">
        <v>66</v>
      </c>
      <c r="AO2277" t="s">
        <v>67</v>
      </c>
    </row>
    <row r="2278" spans="1:41" x14ac:dyDescent="0.2">
      <c r="A2278">
        <v>368612</v>
      </c>
      <c r="B2278" t="s">
        <v>14614</v>
      </c>
      <c r="C2278" t="s">
        <v>345</v>
      </c>
      <c r="D2278" t="s">
        <v>7763</v>
      </c>
      <c r="E2278" t="s">
        <v>14623</v>
      </c>
      <c r="F2278">
        <v>53606</v>
      </c>
      <c r="G2278" s="1">
        <v>43704</v>
      </c>
      <c r="H2278" s="1">
        <v>45708</v>
      </c>
      <c r="I2278" s="1">
        <v>45915</v>
      </c>
      <c r="J2278" t="s">
        <v>45</v>
      </c>
      <c r="K2278" t="s">
        <v>45</v>
      </c>
      <c r="L2278" t="s">
        <v>46</v>
      </c>
      <c r="M2278" s="1">
        <v>45715</v>
      </c>
      <c r="N2278" t="s">
        <v>47</v>
      </c>
      <c r="O2278" t="s">
        <v>48</v>
      </c>
      <c r="P2278" t="s">
        <v>49</v>
      </c>
      <c r="Q2278" t="s">
        <v>14624</v>
      </c>
      <c r="R2278" t="s">
        <v>14625</v>
      </c>
      <c r="S2278">
        <v>6238</v>
      </c>
      <c r="T2278" t="s">
        <v>92</v>
      </c>
      <c r="U2278" t="s">
        <v>350</v>
      </c>
      <c r="V2278" t="s">
        <v>351</v>
      </c>
      <c r="W2278" t="s">
        <v>352</v>
      </c>
      <c r="X2278" t="s">
        <v>92</v>
      </c>
      <c r="Y2278" t="s">
        <v>110</v>
      </c>
      <c r="Z2278">
        <v>10171</v>
      </c>
      <c r="AA2278">
        <v>18</v>
      </c>
      <c r="AB2278">
        <v>76</v>
      </c>
      <c r="AC2278" t="s">
        <v>353</v>
      </c>
      <c r="AD2278" t="s">
        <v>354</v>
      </c>
      <c r="AE2278" t="s">
        <v>355</v>
      </c>
      <c r="AF2278" t="s">
        <v>356</v>
      </c>
      <c r="AG2278" t="s">
        <v>357</v>
      </c>
      <c r="AH2278" t="s">
        <v>358</v>
      </c>
      <c r="AJ2278" s="2">
        <v>45716.624872685185</v>
      </c>
      <c r="AK2278" t="s">
        <v>8101</v>
      </c>
      <c r="AL2278" t="s">
        <v>65</v>
      </c>
      <c r="AM2278" s="4">
        <v>0.28472222222222221</v>
      </c>
      <c r="AN2278" t="s">
        <v>66</v>
      </c>
      <c r="AO2278" t="s">
        <v>67</v>
      </c>
    </row>
    <row r="2279" spans="1:41" x14ac:dyDescent="0.2">
      <c r="A2279">
        <v>364742</v>
      </c>
      <c r="B2279" t="s">
        <v>14626</v>
      </c>
      <c r="C2279" t="s">
        <v>345</v>
      </c>
      <c r="D2279" t="s">
        <v>7763</v>
      </c>
      <c r="E2279" t="s">
        <v>14627</v>
      </c>
      <c r="F2279">
        <v>53605</v>
      </c>
      <c r="G2279" s="1">
        <v>40239</v>
      </c>
      <c r="H2279" s="1">
        <v>45554</v>
      </c>
      <c r="I2279" s="1">
        <v>46218</v>
      </c>
      <c r="J2279" t="s">
        <v>45</v>
      </c>
      <c r="K2279" t="s">
        <v>45</v>
      </c>
      <c r="L2279" t="s">
        <v>72</v>
      </c>
      <c r="M2279" s="1">
        <v>43061</v>
      </c>
      <c r="N2279" t="s">
        <v>47</v>
      </c>
      <c r="O2279" t="s">
        <v>48</v>
      </c>
      <c r="P2279" t="s">
        <v>49</v>
      </c>
      <c r="Q2279" t="s">
        <v>14628</v>
      </c>
      <c r="R2279" t="s">
        <v>14629</v>
      </c>
      <c r="S2279">
        <v>9207</v>
      </c>
      <c r="T2279" t="s">
        <v>52</v>
      </c>
      <c r="U2279">
        <v>2</v>
      </c>
      <c r="V2279" t="s">
        <v>1522</v>
      </c>
      <c r="W2279" t="s">
        <v>54</v>
      </c>
      <c r="X2279" t="s">
        <v>55</v>
      </c>
      <c r="Y2279" t="s">
        <v>56</v>
      </c>
      <c r="Z2279">
        <v>3226</v>
      </c>
      <c r="AA2279">
        <v>29</v>
      </c>
      <c r="AB2279">
        <v>30</v>
      </c>
      <c r="AC2279" t="s">
        <v>1526</v>
      </c>
      <c r="AD2279" t="s">
        <v>1527</v>
      </c>
      <c r="AE2279" t="s">
        <v>1528</v>
      </c>
      <c r="AF2279" t="s">
        <v>14630</v>
      </c>
      <c r="AG2279" t="s">
        <v>7767</v>
      </c>
      <c r="AH2279" t="s">
        <v>7768</v>
      </c>
      <c r="AI2279" t="s">
        <v>7769</v>
      </c>
      <c r="AJ2279" s="2">
        <v>45558.856157407405</v>
      </c>
      <c r="AK2279" t="s">
        <v>540</v>
      </c>
      <c r="AL2279" t="s">
        <v>65</v>
      </c>
      <c r="AM2279" s="3">
        <v>1.4583333333333333</v>
      </c>
      <c r="AN2279" t="s">
        <v>66</v>
      </c>
      <c r="AO2279" t="s">
        <v>67</v>
      </c>
    </row>
    <row r="2280" spans="1:41" x14ac:dyDescent="0.2">
      <c r="A2280">
        <v>366377</v>
      </c>
      <c r="B2280" t="s">
        <v>14631</v>
      </c>
      <c r="C2280" t="s">
        <v>182</v>
      </c>
      <c r="D2280" t="s">
        <v>610</v>
      </c>
      <c r="E2280" t="s">
        <v>14632</v>
      </c>
      <c r="F2280">
        <v>45729</v>
      </c>
      <c r="G2280" s="1">
        <v>32509</v>
      </c>
      <c r="H2280" s="1">
        <v>45615</v>
      </c>
      <c r="J2280" t="s">
        <v>45</v>
      </c>
      <c r="K2280" t="s">
        <v>45</v>
      </c>
      <c r="L2280" t="s">
        <v>72</v>
      </c>
      <c r="M2280" s="1">
        <v>36319</v>
      </c>
      <c r="N2280" t="s">
        <v>47</v>
      </c>
      <c r="O2280" t="s">
        <v>48</v>
      </c>
      <c r="P2280" t="s">
        <v>49</v>
      </c>
      <c r="Q2280" t="s">
        <v>14633</v>
      </c>
      <c r="R2280" t="s">
        <v>14634</v>
      </c>
      <c r="S2280">
        <v>4415</v>
      </c>
      <c r="T2280" t="s">
        <v>92</v>
      </c>
      <c r="U2280" t="s">
        <v>187</v>
      </c>
      <c r="V2280" t="s">
        <v>447</v>
      </c>
      <c r="W2280" t="s">
        <v>448</v>
      </c>
      <c r="X2280" t="s">
        <v>92</v>
      </c>
      <c r="Y2280" t="s">
        <v>450</v>
      </c>
      <c r="Z2280">
        <v>1268</v>
      </c>
      <c r="AA2280">
        <v>47</v>
      </c>
      <c r="AB2280">
        <v>152</v>
      </c>
      <c r="AC2280" t="s">
        <v>451</v>
      </c>
      <c r="AD2280" t="s">
        <v>452</v>
      </c>
      <c r="AE2280" t="s">
        <v>453</v>
      </c>
      <c r="AF2280" t="s">
        <v>454</v>
      </c>
      <c r="AG2280" t="s">
        <v>473</v>
      </c>
      <c r="AH2280" t="s">
        <v>474</v>
      </c>
      <c r="AJ2280" s="2">
        <v>45616.623680555553</v>
      </c>
      <c r="AK2280" t="s">
        <v>456</v>
      </c>
      <c r="AL2280" t="s">
        <v>65</v>
      </c>
      <c r="AM2280" s="4">
        <v>0.31944444444444442</v>
      </c>
      <c r="AN2280" t="s">
        <v>66</v>
      </c>
      <c r="AO2280" t="s">
        <v>67</v>
      </c>
    </row>
    <row r="2281" spans="1:41" x14ac:dyDescent="0.2">
      <c r="A2281">
        <v>371609</v>
      </c>
      <c r="B2281" t="s">
        <v>14635</v>
      </c>
      <c r="C2281" t="s">
        <v>86</v>
      </c>
      <c r="D2281" t="s">
        <v>14636</v>
      </c>
      <c r="E2281" t="s">
        <v>14637</v>
      </c>
      <c r="F2281">
        <v>200802</v>
      </c>
      <c r="G2281" s="1">
        <v>32964</v>
      </c>
      <c r="H2281" s="1">
        <v>45782</v>
      </c>
      <c r="I2281" s="1">
        <v>46143</v>
      </c>
      <c r="J2281" t="s">
        <v>45</v>
      </c>
      <c r="K2281" t="s">
        <v>45</v>
      </c>
      <c r="L2281" t="s">
        <v>545</v>
      </c>
      <c r="M2281" s="1">
        <v>41165</v>
      </c>
      <c r="N2281" t="s">
        <v>47</v>
      </c>
      <c r="O2281" t="s">
        <v>48</v>
      </c>
      <c r="P2281" t="s">
        <v>49</v>
      </c>
      <c r="Q2281" t="s">
        <v>14638</v>
      </c>
      <c r="R2281" t="s">
        <v>14639</v>
      </c>
      <c r="S2281">
        <v>1255</v>
      </c>
      <c r="T2281" t="s">
        <v>92</v>
      </c>
      <c r="U2281" t="s">
        <v>93</v>
      </c>
      <c r="V2281" t="s">
        <v>506</v>
      </c>
      <c r="W2281" t="s">
        <v>507</v>
      </c>
      <c r="X2281" t="s">
        <v>92</v>
      </c>
      <c r="Y2281" t="s">
        <v>110</v>
      </c>
      <c r="Z2281">
        <v>1963</v>
      </c>
      <c r="AA2281">
        <v>35</v>
      </c>
      <c r="AB2281">
        <v>144</v>
      </c>
      <c r="AC2281" t="s">
        <v>508</v>
      </c>
      <c r="AD2281" t="s">
        <v>509</v>
      </c>
      <c r="AE2281" t="s">
        <v>510</v>
      </c>
      <c r="AI2281" t="s">
        <v>10577</v>
      </c>
      <c r="AJ2281" s="2">
        <v>45817.707129629627</v>
      </c>
      <c r="AK2281" t="s">
        <v>100</v>
      </c>
      <c r="AL2281" t="s">
        <v>65</v>
      </c>
      <c r="AM2281" s="4">
        <v>0.55555555555555558</v>
      </c>
      <c r="AN2281" t="s">
        <v>66</v>
      </c>
      <c r="AO2281" t="s">
        <v>67</v>
      </c>
    </row>
    <row r="2282" spans="1:41" x14ac:dyDescent="0.2">
      <c r="A2282">
        <v>372290</v>
      </c>
      <c r="B2282" t="s">
        <v>14640</v>
      </c>
      <c r="C2282" t="s">
        <v>1565</v>
      </c>
      <c r="D2282" t="s">
        <v>1566</v>
      </c>
      <c r="E2282" t="s">
        <v>14641</v>
      </c>
      <c r="F2282">
        <v>392608</v>
      </c>
      <c r="G2282" s="1">
        <v>41863</v>
      </c>
      <c r="H2282" s="1">
        <v>45836</v>
      </c>
      <c r="I2282" s="1">
        <v>46174</v>
      </c>
      <c r="J2282" t="s">
        <v>45</v>
      </c>
      <c r="K2282" t="s">
        <v>45</v>
      </c>
      <c r="L2282" t="s">
        <v>72</v>
      </c>
      <c r="N2282" t="s">
        <v>47</v>
      </c>
      <c r="O2282" t="s">
        <v>48</v>
      </c>
      <c r="P2282" t="s">
        <v>49</v>
      </c>
      <c r="Q2282" t="s">
        <v>14642</v>
      </c>
      <c r="R2282" t="s">
        <v>14643</v>
      </c>
      <c r="S2282">
        <v>3793</v>
      </c>
      <c r="T2282" t="s">
        <v>92</v>
      </c>
      <c r="U2282" t="s">
        <v>5946</v>
      </c>
      <c r="V2282" t="s">
        <v>14644</v>
      </c>
      <c r="W2282" t="s">
        <v>5948</v>
      </c>
      <c r="X2282" t="s">
        <v>92</v>
      </c>
      <c r="Y2282" t="s">
        <v>110</v>
      </c>
      <c r="Z2282">
        <v>6966</v>
      </c>
      <c r="AA2282">
        <v>20</v>
      </c>
      <c r="AB2282">
        <v>78</v>
      </c>
      <c r="AC2282" t="s">
        <v>5949</v>
      </c>
      <c r="AD2282" t="s">
        <v>5950</v>
      </c>
      <c r="AE2282" t="s">
        <v>5951</v>
      </c>
      <c r="AF2282" t="s">
        <v>5952</v>
      </c>
      <c r="AG2282" t="s">
        <v>5953</v>
      </c>
      <c r="AH2282" t="s">
        <v>5954</v>
      </c>
      <c r="AJ2282" s="2">
        <v>45836.739976851852</v>
      </c>
      <c r="AK2282" t="s">
        <v>5952</v>
      </c>
      <c r="AL2282" t="s">
        <v>65</v>
      </c>
      <c r="AM2282" s="4">
        <v>0.66666666666666663</v>
      </c>
      <c r="AN2282" t="s">
        <v>66</v>
      </c>
      <c r="AO2282" t="s">
        <v>67</v>
      </c>
    </row>
    <row r="2283" spans="1:41" x14ac:dyDescent="0.2">
      <c r="A2283">
        <v>365433</v>
      </c>
      <c r="B2283" t="s">
        <v>14645</v>
      </c>
      <c r="C2283" t="s">
        <v>692</v>
      </c>
      <c r="D2283" t="s">
        <v>1927</v>
      </c>
      <c r="E2283" t="s">
        <v>14646</v>
      </c>
      <c r="F2283">
        <v>481307</v>
      </c>
      <c r="G2283" s="1">
        <v>39281</v>
      </c>
      <c r="H2283" s="1">
        <v>45491</v>
      </c>
      <c r="I2283" s="1">
        <v>46204</v>
      </c>
      <c r="J2283" t="s">
        <v>45</v>
      </c>
      <c r="K2283" t="s">
        <v>45</v>
      </c>
      <c r="L2283" t="s">
        <v>72</v>
      </c>
      <c r="M2283" s="1">
        <v>40780</v>
      </c>
      <c r="N2283" t="s">
        <v>47</v>
      </c>
      <c r="O2283" t="s">
        <v>48</v>
      </c>
      <c r="P2283" t="s">
        <v>49</v>
      </c>
      <c r="Q2283" t="s">
        <v>14647</v>
      </c>
      <c r="R2283" t="s">
        <v>14648</v>
      </c>
      <c r="S2283">
        <v>8833</v>
      </c>
      <c r="T2283" t="s">
        <v>52</v>
      </c>
      <c r="U2283">
        <v>4</v>
      </c>
      <c r="V2283" t="s">
        <v>1423</v>
      </c>
      <c r="W2283" t="s">
        <v>54</v>
      </c>
      <c r="X2283" t="s">
        <v>76</v>
      </c>
      <c r="Y2283" t="s">
        <v>56</v>
      </c>
      <c r="Z2283">
        <v>648</v>
      </c>
      <c r="AA2283">
        <v>60</v>
      </c>
      <c r="AB2283">
        <v>66</v>
      </c>
      <c r="AC2283" t="s">
        <v>3743</v>
      </c>
      <c r="AD2283" t="s">
        <v>1425</v>
      </c>
      <c r="AE2283" t="s">
        <v>1426</v>
      </c>
      <c r="AI2283" t="s">
        <v>14649</v>
      </c>
      <c r="AJ2283" s="2">
        <v>45581.831828703704</v>
      </c>
      <c r="AK2283" t="s">
        <v>132</v>
      </c>
      <c r="AL2283" t="s">
        <v>65</v>
      </c>
      <c r="AM2283" s="4">
        <v>0.4375</v>
      </c>
      <c r="AN2283" t="s">
        <v>66</v>
      </c>
      <c r="AO2283" t="s">
        <v>67</v>
      </c>
    </row>
    <row r="2284" spans="1:41" x14ac:dyDescent="0.2">
      <c r="A2284">
        <v>372979</v>
      </c>
      <c r="B2284" t="s">
        <v>14650</v>
      </c>
      <c r="C2284" t="s">
        <v>662</v>
      </c>
      <c r="D2284" t="s">
        <v>14651</v>
      </c>
      <c r="E2284" t="s">
        <v>14652</v>
      </c>
      <c r="F2284">
        <v>413302</v>
      </c>
      <c r="G2284" s="1">
        <v>38518</v>
      </c>
      <c r="H2284" s="1">
        <v>45684</v>
      </c>
      <c r="I2284" s="1">
        <v>46054</v>
      </c>
      <c r="J2284" t="s">
        <v>45</v>
      </c>
      <c r="K2284" t="s">
        <v>45</v>
      </c>
      <c r="L2284" t="s">
        <v>4306</v>
      </c>
      <c r="M2284" s="1">
        <v>44139</v>
      </c>
      <c r="N2284" t="s">
        <v>47</v>
      </c>
      <c r="O2284" t="s">
        <v>48</v>
      </c>
      <c r="P2284" t="s">
        <v>49</v>
      </c>
      <c r="Q2284" t="s">
        <v>14653</v>
      </c>
      <c r="R2284" t="s">
        <v>14654</v>
      </c>
      <c r="S2284">
        <v>434</v>
      </c>
      <c r="T2284" t="s">
        <v>52</v>
      </c>
      <c r="U2284">
        <v>8</v>
      </c>
      <c r="V2284" t="s">
        <v>3914</v>
      </c>
      <c r="W2284" t="s">
        <v>54</v>
      </c>
      <c r="X2284" t="s">
        <v>76</v>
      </c>
      <c r="Y2284" t="s">
        <v>56</v>
      </c>
      <c r="Z2284">
        <v>1070</v>
      </c>
      <c r="AA2284">
        <v>37</v>
      </c>
      <c r="AB2284">
        <v>176</v>
      </c>
      <c r="AC2284" t="s">
        <v>14655</v>
      </c>
      <c r="AD2284" t="s">
        <v>14656</v>
      </c>
      <c r="AE2284" t="s">
        <v>14657</v>
      </c>
      <c r="AJ2284" s="2">
        <v>45855.974317129629</v>
      </c>
      <c r="AK2284" t="s">
        <v>556</v>
      </c>
      <c r="AL2284" t="s">
        <v>65</v>
      </c>
      <c r="AM2284" s="4">
        <v>0.1111111111111111</v>
      </c>
      <c r="AN2284" t="s">
        <v>66</v>
      </c>
      <c r="AO2284" t="s">
        <v>67</v>
      </c>
    </row>
    <row r="2285" spans="1:41" x14ac:dyDescent="0.2">
      <c r="A2285">
        <v>372587</v>
      </c>
      <c r="B2285" t="s">
        <v>14658</v>
      </c>
      <c r="C2285" t="s">
        <v>182</v>
      </c>
      <c r="D2285" t="s">
        <v>1086</v>
      </c>
      <c r="E2285" t="s">
        <v>14659</v>
      </c>
      <c r="F2285">
        <v>44728</v>
      </c>
      <c r="G2285" s="1">
        <v>45846</v>
      </c>
      <c r="H2285" s="1">
        <v>45843</v>
      </c>
      <c r="I2285" s="1">
        <v>46188</v>
      </c>
      <c r="J2285" t="s">
        <v>45</v>
      </c>
      <c r="K2285" t="s">
        <v>45</v>
      </c>
      <c r="L2285" t="s">
        <v>72</v>
      </c>
      <c r="M2285" s="1">
        <v>45843</v>
      </c>
      <c r="N2285" t="s">
        <v>47</v>
      </c>
      <c r="O2285" t="s">
        <v>48</v>
      </c>
      <c r="P2285" t="s">
        <v>49</v>
      </c>
      <c r="Q2285" t="s">
        <v>14660</v>
      </c>
      <c r="R2285" t="s">
        <v>14661</v>
      </c>
      <c r="S2285">
        <v>8600</v>
      </c>
      <c r="T2285" t="s">
        <v>257</v>
      </c>
      <c r="U2285" t="s">
        <v>640</v>
      </c>
      <c r="V2285" t="s">
        <v>1090</v>
      </c>
      <c r="W2285" t="s">
        <v>260</v>
      </c>
      <c r="X2285" t="s">
        <v>257</v>
      </c>
      <c r="Y2285" t="s">
        <v>110</v>
      </c>
      <c r="Z2285">
        <v>1312</v>
      </c>
      <c r="AA2285">
        <v>88</v>
      </c>
      <c r="AB2285">
        <v>78</v>
      </c>
      <c r="AC2285" t="s">
        <v>1091</v>
      </c>
      <c r="AD2285" t="s">
        <v>1092</v>
      </c>
      <c r="AE2285" t="s">
        <v>1093</v>
      </c>
      <c r="AF2285" t="s">
        <v>1094</v>
      </c>
      <c r="AG2285" t="s">
        <v>1095</v>
      </c>
      <c r="AH2285" t="s">
        <v>1096</v>
      </c>
      <c r="AI2285" t="s">
        <v>1092</v>
      </c>
      <c r="AJ2285" s="2">
        <v>45846.606412037036</v>
      </c>
      <c r="AK2285" t="s">
        <v>132</v>
      </c>
      <c r="AL2285" t="s">
        <v>65</v>
      </c>
      <c r="AM2285" s="4">
        <v>0.4861111111111111</v>
      </c>
      <c r="AN2285" t="s">
        <v>66</v>
      </c>
      <c r="AO2285" t="s">
        <v>67</v>
      </c>
    </row>
    <row r="2286" spans="1:41" x14ac:dyDescent="0.2">
      <c r="A2286">
        <v>365455</v>
      </c>
      <c r="B2286" t="s">
        <v>14662</v>
      </c>
      <c r="C2286" t="s">
        <v>692</v>
      </c>
      <c r="D2286" t="s">
        <v>3845</v>
      </c>
      <c r="E2286" t="s">
        <v>14663</v>
      </c>
      <c r="F2286">
        <v>480212</v>
      </c>
      <c r="G2286" s="1">
        <v>32372</v>
      </c>
      <c r="H2286" s="1">
        <v>45563</v>
      </c>
      <c r="I2286" s="1">
        <v>46296</v>
      </c>
      <c r="J2286" t="s">
        <v>45</v>
      </c>
      <c r="K2286" t="s">
        <v>45</v>
      </c>
      <c r="L2286" t="s">
        <v>429</v>
      </c>
      <c r="M2286" s="1">
        <v>40186</v>
      </c>
      <c r="N2286" t="s">
        <v>47</v>
      </c>
      <c r="O2286" t="s">
        <v>48</v>
      </c>
      <c r="P2286" t="s">
        <v>49</v>
      </c>
      <c r="Q2286" t="s">
        <v>14664</v>
      </c>
      <c r="R2286" t="s">
        <v>14665</v>
      </c>
      <c r="S2286">
        <v>8401</v>
      </c>
      <c r="T2286" t="s">
        <v>365</v>
      </c>
      <c r="U2286" t="s">
        <v>432</v>
      </c>
      <c r="V2286" t="s">
        <v>4190</v>
      </c>
      <c r="W2286" t="s">
        <v>367</v>
      </c>
      <c r="X2286" t="s">
        <v>76</v>
      </c>
      <c r="Y2286" t="s">
        <v>434</v>
      </c>
      <c r="Z2286">
        <v>388</v>
      </c>
      <c r="AA2286">
        <v>54</v>
      </c>
      <c r="AB2286">
        <v>166</v>
      </c>
      <c r="AC2286" t="s">
        <v>6643</v>
      </c>
      <c r="AD2286" t="s">
        <v>6644</v>
      </c>
      <c r="AE2286" t="s">
        <v>6645</v>
      </c>
      <c r="AF2286" t="s">
        <v>6646</v>
      </c>
      <c r="AG2286" t="s">
        <v>6647</v>
      </c>
      <c r="AH2286" t="s">
        <v>6648</v>
      </c>
      <c r="AI2286" t="s">
        <v>14666</v>
      </c>
      <c r="AJ2286" s="2">
        <v>45582.744340277779</v>
      </c>
      <c r="AK2286" t="s">
        <v>6650</v>
      </c>
      <c r="AL2286" t="s">
        <v>65</v>
      </c>
      <c r="AM2286" s="3">
        <v>1.6944444444444444</v>
      </c>
      <c r="AN2286" t="s">
        <v>66</v>
      </c>
      <c r="AO2286" t="s">
        <v>67</v>
      </c>
    </row>
    <row r="2287" spans="1:41" x14ac:dyDescent="0.2">
      <c r="A2287">
        <v>357087</v>
      </c>
      <c r="B2287" t="s">
        <v>14667</v>
      </c>
      <c r="C2287" t="s">
        <v>103</v>
      </c>
      <c r="D2287" t="s">
        <v>13950</v>
      </c>
      <c r="E2287" s="5">
        <v>3.2690000000000001E+289</v>
      </c>
      <c r="F2287">
        <v>310301</v>
      </c>
      <c r="G2287" s="1">
        <v>39293</v>
      </c>
      <c r="H2287" s="1">
        <v>45280</v>
      </c>
      <c r="I2287" s="1">
        <v>46310</v>
      </c>
      <c r="J2287" t="s">
        <v>45</v>
      </c>
      <c r="K2287" t="s">
        <v>45</v>
      </c>
      <c r="L2287" t="s">
        <v>72</v>
      </c>
      <c r="M2287" s="1">
        <v>44049</v>
      </c>
      <c r="N2287" t="s">
        <v>47</v>
      </c>
      <c r="O2287" t="s">
        <v>48</v>
      </c>
      <c r="P2287" t="s">
        <v>49</v>
      </c>
      <c r="Q2287" t="s">
        <v>14668</v>
      </c>
      <c r="R2287" t="s">
        <v>14669</v>
      </c>
      <c r="S2287">
        <v>1300</v>
      </c>
      <c r="T2287" t="s">
        <v>92</v>
      </c>
      <c r="U2287" t="s">
        <v>107</v>
      </c>
      <c r="V2287" t="s">
        <v>108</v>
      </c>
      <c r="W2287" t="s">
        <v>109</v>
      </c>
      <c r="X2287" t="s">
        <v>52</v>
      </c>
      <c r="Y2287" t="s">
        <v>110</v>
      </c>
      <c r="Z2287">
        <v>2824</v>
      </c>
      <c r="AA2287">
        <v>39</v>
      </c>
      <c r="AB2287">
        <v>160</v>
      </c>
      <c r="AC2287" t="s">
        <v>10950</v>
      </c>
      <c r="AD2287" t="s">
        <v>10951</v>
      </c>
      <c r="AE2287" t="s">
        <v>10952</v>
      </c>
      <c r="AF2287" t="s">
        <v>1464</v>
      </c>
      <c r="AG2287" t="s">
        <v>4566</v>
      </c>
      <c r="AH2287" t="s">
        <v>1465</v>
      </c>
      <c r="AJ2287" s="2">
        <v>45818.719537037039</v>
      </c>
      <c r="AK2287" t="s">
        <v>100</v>
      </c>
      <c r="AL2287" t="s">
        <v>65</v>
      </c>
      <c r="AM2287" s="4">
        <v>0.71527777777777779</v>
      </c>
      <c r="AN2287" t="s">
        <v>66</v>
      </c>
      <c r="AO2287" t="s">
        <v>67</v>
      </c>
    </row>
    <row r="2288" spans="1:41" x14ac:dyDescent="0.2">
      <c r="A2288">
        <v>368912</v>
      </c>
      <c r="B2288" t="s">
        <v>14670</v>
      </c>
      <c r="C2288" t="s">
        <v>182</v>
      </c>
      <c r="D2288" t="s">
        <v>2295</v>
      </c>
      <c r="E2288" t="s">
        <v>14671</v>
      </c>
      <c r="F2288">
        <v>40714</v>
      </c>
      <c r="G2288" s="1">
        <v>36333</v>
      </c>
      <c r="H2288" s="1">
        <v>45584</v>
      </c>
      <c r="I2288" s="1">
        <v>45931</v>
      </c>
      <c r="J2288" t="s">
        <v>45</v>
      </c>
      <c r="K2288" t="s">
        <v>45</v>
      </c>
      <c r="L2288" t="s">
        <v>429</v>
      </c>
      <c r="N2288" t="s">
        <v>47</v>
      </c>
      <c r="O2288" t="s">
        <v>48</v>
      </c>
      <c r="P2288" t="s">
        <v>49</v>
      </c>
      <c r="Q2288" t="s">
        <v>14672</v>
      </c>
      <c r="R2288" t="s">
        <v>14673</v>
      </c>
      <c r="S2288">
        <v>5450</v>
      </c>
      <c r="T2288" t="s">
        <v>365</v>
      </c>
      <c r="U2288" t="s">
        <v>562</v>
      </c>
      <c r="V2288" t="s">
        <v>1746</v>
      </c>
      <c r="W2288" t="s">
        <v>367</v>
      </c>
      <c r="X2288" t="s">
        <v>493</v>
      </c>
      <c r="Y2288" t="s">
        <v>434</v>
      </c>
      <c r="Z2288">
        <v>68</v>
      </c>
      <c r="AA2288">
        <v>62</v>
      </c>
      <c r="AB2288">
        <v>66</v>
      </c>
      <c r="AC2288" t="s">
        <v>1747</v>
      </c>
      <c r="AD2288" t="s">
        <v>2887</v>
      </c>
      <c r="AE2288" t="s">
        <v>1749</v>
      </c>
      <c r="AF2288" t="s">
        <v>14674</v>
      </c>
      <c r="AH2288" t="s">
        <v>14675</v>
      </c>
      <c r="AI2288" t="s">
        <v>500</v>
      </c>
      <c r="AJ2288" s="2">
        <v>45722.907534722224</v>
      </c>
      <c r="AK2288" t="s">
        <v>501</v>
      </c>
      <c r="AL2288" t="s">
        <v>65</v>
      </c>
      <c r="AM2288" s="3">
        <v>2.4652777777777777</v>
      </c>
      <c r="AN2288" t="s">
        <v>66</v>
      </c>
      <c r="AO2288" t="s">
        <v>67</v>
      </c>
    </row>
    <row r="2289" spans="1:41" x14ac:dyDescent="0.2">
      <c r="A2289">
        <v>368340</v>
      </c>
      <c r="B2289" t="s">
        <v>14676</v>
      </c>
      <c r="C2289" t="s">
        <v>69</v>
      </c>
      <c r="D2289" t="s">
        <v>3081</v>
      </c>
      <c r="E2289" t="s">
        <v>14677</v>
      </c>
      <c r="G2289" s="1">
        <v>44340</v>
      </c>
      <c r="H2289" s="1">
        <v>44348</v>
      </c>
      <c r="J2289" t="s">
        <v>326</v>
      </c>
      <c r="K2289" t="s">
        <v>45</v>
      </c>
      <c r="L2289" t="s">
        <v>72</v>
      </c>
      <c r="N2289" t="s">
        <v>89</v>
      </c>
      <c r="O2289" t="s">
        <v>48</v>
      </c>
      <c r="P2289" t="s">
        <v>406</v>
      </c>
      <c r="Q2289" t="s">
        <v>2851</v>
      </c>
      <c r="R2289" t="s">
        <v>9223</v>
      </c>
      <c r="S2289">
        <v>2830</v>
      </c>
      <c r="T2289" t="s">
        <v>365</v>
      </c>
      <c r="U2289" t="s">
        <v>532</v>
      </c>
      <c r="V2289" t="s">
        <v>2853</v>
      </c>
      <c r="W2289" t="s">
        <v>409</v>
      </c>
      <c r="X2289" t="s">
        <v>76</v>
      </c>
      <c r="Y2289" t="s">
        <v>410</v>
      </c>
      <c r="Z2289">
        <v>11706</v>
      </c>
      <c r="AA2289">
        <v>5</v>
      </c>
      <c r="AB2289">
        <v>204</v>
      </c>
      <c r="AC2289" t="s">
        <v>650</v>
      </c>
      <c r="AD2289" t="s">
        <v>9410</v>
      </c>
      <c r="AE2289" t="s">
        <v>2856</v>
      </c>
      <c r="AF2289" t="s">
        <v>2854</v>
      </c>
      <c r="AG2289" t="s">
        <v>2855</v>
      </c>
      <c r="AH2289" t="s">
        <v>2856</v>
      </c>
      <c r="AJ2289" s="2">
        <v>45707.605347222219</v>
      </c>
      <c r="AK2289" t="s">
        <v>660</v>
      </c>
      <c r="AL2289" t="s">
        <v>65</v>
      </c>
      <c r="AM2289" t="s">
        <v>9544</v>
      </c>
      <c r="AN2289" t="s">
        <v>66</v>
      </c>
      <c r="AO2289" t="s">
        <v>67</v>
      </c>
    </row>
    <row r="2290" spans="1:41" x14ac:dyDescent="0.2">
      <c r="A2290">
        <v>372323</v>
      </c>
      <c r="B2290" t="s">
        <v>14678</v>
      </c>
      <c r="C2290" t="s">
        <v>69</v>
      </c>
      <c r="D2290" t="s">
        <v>3081</v>
      </c>
      <c r="E2290" t="s">
        <v>14679</v>
      </c>
      <c r="G2290" s="1">
        <v>45749</v>
      </c>
      <c r="H2290" s="1">
        <v>45643</v>
      </c>
      <c r="I2290" s="1">
        <v>46143</v>
      </c>
      <c r="J2290" t="s">
        <v>326</v>
      </c>
      <c r="K2290" t="s">
        <v>45</v>
      </c>
      <c r="L2290" t="s">
        <v>72</v>
      </c>
      <c r="N2290" t="s">
        <v>89</v>
      </c>
      <c r="O2290" t="s">
        <v>48</v>
      </c>
      <c r="P2290" t="s">
        <v>406</v>
      </c>
      <c r="Q2290" t="s">
        <v>2851</v>
      </c>
      <c r="R2290" t="s">
        <v>3083</v>
      </c>
      <c r="S2290">
        <v>2865</v>
      </c>
      <c r="T2290" t="s">
        <v>365</v>
      </c>
      <c r="U2290" t="s">
        <v>532</v>
      </c>
      <c r="V2290" t="s">
        <v>2853</v>
      </c>
      <c r="W2290" t="s">
        <v>409</v>
      </c>
      <c r="X2290" t="s">
        <v>76</v>
      </c>
      <c r="Y2290" t="s">
        <v>110</v>
      </c>
      <c r="Z2290">
        <v>4566</v>
      </c>
      <c r="AA2290">
        <v>141</v>
      </c>
      <c r="AB2290">
        <v>210</v>
      </c>
      <c r="AC2290" t="s">
        <v>100</v>
      </c>
      <c r="AD2290" t="s">
        <v>3089</v>
      </c>
      <c r="AE2290" t="s">
        <v>2856</v>
      </c>
      <c r="AI2290" t="s">
        <v>14680</v>
      </c>
      <c r="AJ2290" s="2">
        <v>45838.565138888887</v>
      </c>
      <c r="AK2290" t="s">
        <v>660</v>
      </c>
      <c r="AL2290" t="s">
        <v>65</v>
      </c>
      <c r="AM2290" s="3">
        <v>2.1111111111111112</v>
      </c>
      <c r="AN2290" t="s">
        <v>66</v>
      </c>
      <c r="AO2290" t="s">
        <v>67</v>
      </c>
    </row>
    <row r="2291" spans="1:41" x14ac:dyDescent="0.2">
      <c r="A2291">
        <v>372262</v>
      </c>
      <c r="B2291" t="s">
        <v>14681</v>
      </c>
      <c r="C2291" t="s">
        <v>69</v>
      </c>
      <c r="D2291" t="s">
        <v>3081</v>
      </c>
      <c r="E2291" t="s">
        <v>14682</v>
      </c>
      <c r="G2291" s="1">
        <v>44336</v>
      </c>
      <c r="J2291" t="s">
        <v>326</v>
      </c>
      <c r="K2291" t="s">
        <v>45</v>
      </c>
      <c r="L2291" t="s">
        <v>72</v>
      </c>
      <c r="N2291" t="s">
        <v>89</v>
      </c>
      <c r="O2291" t="s">
        <v>121</v>
      </c>
      <c r="P2291" t="s">
        <v>49</v>
      </c>
      <c r="Q2291" t="s">
        <v>2851</v>
      </c>
      <c r="R2291" t="s">
        <v>9223</v>
      </c>
      <c r="S2291">
        <v>2830</v>
      </c>
      <c r="T2291" t="s">
        <v>365</v>
      </c>
      <c r="U2291" t="s">
        <v>532</v>
      </c>
      <c r="V2291" t="s">
        <v>2853</v>
      </c>
      <c r="W2291" t="s">
        <v>409</v>
      </c>
      <c r="X2291" t="s">
        <v>76</v>
      </c>
      <c r="Y2291" t="s">
        <v>410</v>
      </c>
      <c r="Z2291">
        <v>11667</v>
      </c>
      <c r="AA2291">
        <v>3</v>
      </c>
      <c r="AB2291">
        <v>56</v>
      </c>
      <c r="AC2291" t="s">
        <v>100</v>
      </c>
      <c r="AD2291" t="s">
        <v>3089</v>
      </c>
      <c r="AE2291" t="s">
        <v>3093</v>
      </c>
      <c r="AJ2291" s="2">
        <v>45835.598969907405</v>
      </c>
      <c r="AK2291" t="s">
        <v>100</v>
      </c>
      <c r="AL2291" t="s">
        <v>65</v>
      </c>
      <c r="AM2291" s="3">
        <v>1.25</v>
      </c>
      <c r="AN2291" t="s">
        <v>66</v>
      </c>
      <c r="AO2291" t="s">
        <v>67</v>
      </c>
    </row>
    <row r="2292" spans="1:41" x14ac:dyDescent="0.2">
      <c r="A2292">
        <v>372726</v>
      </c>
      <c r="B2292" t="s">
        <v>14683</v>
      </c>
      <c r="C2292" t="s">
        <v>69</v>
      </c>
      <c r="D2292" t="s">
        <v>3081</v>
      </c>
      <c r="E2292" t="s">
        <v>14684</v>
      </c>
      <c r="G2292" s="1">
        <v>45749</v>
      </c>
      <c r="H2292" s="1">
        <v>45764</v>
      </c>
      <c r="I2292" s="1">
        <v>46127</v>
      </c>
      <c r="J2292" t="s">
        <v>326</v>
      </c>
      <c r="K2292" t="s">
        <v>45</v>
      </c>
      <c r="L2292" t="s">
        <v>72</v>
      </c>
      <c r="N2292" t="s">
        <v>47</v>
      </c>
      <c r="O2292" t="s">
        <v>48</v>
      </c>
      <c r="P2292" t="s">
        <v>406</v>
      </c>
      <c r="Q2292" t="s">
        <v>2851</v>
      </c>
      <c r="R2292" t="s">
        <v>3083</v>
      </c>
      <c r="S2292">
        <v>2814</v>
      </c>
      <c r="T2292" t="s">
        <v>365</v>
      </c>
      <c r="U2292" t="s">
        <v>532</v>
      </c>
      <c r="V2292" t="s">
        <v>2853</v>
      </c>
      <c r="W2292" t="s">
        <v>409</v>
      </c>
      <c r="X2292" t="s">
        <v>76</v>
      </c>
      <c r="Y2292" t="s">
        <v>110</v>
      </c>
      <c r="Z2292">
        <v>5026</v>
      </c>
      <c r="AA2292">
        <v>227</v>
      </c>
      <c r="AB2292">
        <v>160</v>
      </c>
      <c r="AC2292" t="s">
        <v>100</v>
      </c>
      <c r="AD2292" t="s">
        <v>3089</v>
      </c>
      <c r="AE2292" t="s">
        <v>2856</v>
      </c>
      <c r="AF2292" t="s">
        <v>660</v>
      </c>
      <c r="AG2292" t="s">
        <v>3088</v>
      </c>
      <c r="AH2292" t="s">
        <v>2856</v>
      </c>
      <c r="AJ2292" s="2">
        <v>45852.516828703701</v>
      </c>
      <c r="AK2292" t="s">
        <v>660</v>
      </c>
      <c r="AL2292" t="s">
        <v>65</v>
      </c>
      <c r="AM2292" s="4">
        <v>0.85416666666666663</v>
      </c>
      <c r="AN2292" t="s">
        <v>66</v>
      </c>
      <c r="AO2292" t="s">
        <v>67</v>
      </c>
    </row>
    <row r="2293" spans="1:41" x14ac:dyDescent="0.2">
      <c r="A2293">
        <v>364227</v>
      </c>
      <c r="B2293" t="s">
        <v>14685</v>
      </c>
      <c r="C2293" t="s">
        <v>69</v>
      </c>
      <c r="D2293" t="s">
        <v>3081</v>
      </c>
      <c r="E2293" t="s">
        <v>14686</v>
      </c>
      <c r="G2293" s="1">
        <v>43385</v>
      </c>
      <c r="H2293" s="1">
        <v>45292</v>
      </c>
      <c r="J2293" t="s">
        <v>326</v>
      </c>
      <c r="K2293" t="s">
        <v>326</v>
      </c>
      <c r="L2293" t="s">
        <v>72</v>
      </c>
      <c r="N2293" t="s">
        <v>89</v>
      </c>
      <c r="O2293" t="s">
        <v>121</v>
      </c>
      <c r="P2293" t="s">
        <v>406</v>
      </c>
      <c r="Q2293" t="s">
        <v>2851</v>
      </c>
      <c r="R2293" t="s">
        <v>3083</v>
      </c>
      <c r="S2293">
        <v>2830</v>
      </c>
      <c r="T2293" t="s">
        <v>365</v>
      </c>
      <c r="U2293" t="s">
        <v>532</v>
      </c>
      <c r="V2293" t="s">
        <v>2853</v>
      </c>
      <c r="W2293" t="s">
        <v>409</v>
      </c>
      <c r="X2293" t="s">
        <v>76</v>
      </c>
      <c r="Y2293" t="s">
        <v>410</v>
      </c>
      <c r="Z2293">
        <v>4586</v>
      </c>
      <c r="AA2293">
        <v>59</v>
      </c>
      <c r="AB2293">
        <v>158</v>
      </c>
      <c r="AC2293" t="s">
        <v>100</v>
      </c>
      <c r="AD2293" t="s">
        <v>3089</v>
      </c>
      <c r="AE2293" t="s">
        <v>2856</v>
      </c>
      <c r="AJ2293" s="2">
        <v>45538.60664351852</v>
      </c>
      <c r="AK2293" t="s">
        <v>100</v>
      </c>
      <c r="AL2293" t="s">
        <v>475</v>
      </c>
      <c r="AM2293" s="4">
        <v>0.71527777777777779</v>
      </c>
      <c r="AN2293" t="s">
        <v>66</v>
      </c>
      <c r="AO2293" t="s">
        <v>67</v>
      </c>
    </row>
    <row r="2294" spans="1:41" x14ac:dyDescent="0.2">
      <c r="A2294">
        <v>344280</v>
      </c>
      <c r="B2294" t="s">
        <v>14687</v>
      </c>
      <c r="C2294" t="s">
        <v>69</v>
      </c>
      <c r="D2294" t="s">
        <v>3081</v>
      </c>
      <c r="E2294" t="s">
        <v>14688</v>
      </c>
      <c r="G2294" s="1">
        <v>43750</v>
      </c>
      <c r="H2294" s="1">
        <v>43633</v>
      </c>
      <c r="J2294" t="s">
        <v>326</v>
      </c>
      <c r="K2294" t="s">
        <v>326</v>
      </c>
      <c r="L2294" t="s">
        <v>72</v>
      </c>
      <c r="N2294" t="s">
        <v>89</v>
      </c>
      <c r="O2294" t="s">
        <v>121</v>
      </c>
      <c r="P2294" t="s">
        <v>1752</v>
      </c>
      <c r="Q2294" t="s">
        <v>2851</v>
      </c>
      <c r="R2294" t="s">
        <v>3083</v>
      </c>
      <c r="S2294">
        <v>2865</v>
      </c>
      <c r="T2294" t="s">
        <v>365</v>
      </c>
      <c r="U2294" t="s">
        <v>532</v>
      </c>
      <c r="V2294" t="s">
        <v>2853</v>
      </c>
      <c r="W2294" t="s">
        <v>409</v>
      </c>
      <c r="X2294" t="s">
        <v>76</v>
      </c>
      <c r="Y2294" t="s">
        <v>410</v>
      </c>
      <c r="Z2294">
        <v>8336</v>
      </c>
      <c r="AA2294">
        <v>22</v>
      </c>
      <c r="AB2294">
        <v>78</v>
      </c>
      <c r="AC2294" t="s">
        <v>100</v>
      </c>
      <c r="AD2294" t="s">
        <v>3089</v>
      </c>
      <c r="AE2294" t="s">
        <v>2856</v>
      </c>
      <c r="AI2294" t="s">
        <v>3089</v>
      </c>
      <c r="AJ2294" s="2">
        <v>44876.931354166663</v>
      </c>
      <c r="AK2294" t="s">
        <v>132</v>
      </c>
      <c r="AL2294" t="s">
        <v>475</v>
      </c>
      <c r="AM2294" s="4">
        <v>0.90972222222222221</v>
      </c>
      <c r="AN2294" t="s">
        <v>14689</v>
      </c>
      <c r="AO2294" t="s">
        <v>67</v>
      </c>
    </row>
    <row r="2295" spans="1:41" x14ac:dyDescent="0.2">
      <c r="A2295">
        <v>344273</v>
      </c>
      <c r="B2295" t="s">
        <v>14690</v>
      </c>
      <c r="C2295" t="s">
        <v>69</v>
      </c>
      <c r="D2295" t="s">
        <v>3081</v>
      </c>
      <c r="E2295" t="s">
        <v>14691</v>
      </c>
      <c r="G2295" s="1">
        <v>43756</v>
      </c>
      <c r="H2295" s="1">
        <v>44876</v>
      </c>
      <c r="J2295" t="s">
        <v>326</v>
      </c>
      <c r="K2295" t="s">
        <v>326</v>
      </c>
      <c r="L2295" t="s">
        <v>72</v>
      </c>
      <c r="N2295" t="s">
        <v>89</v>
      </c>
      <c r="O2295" t="s">
        <v>121</v>
      </c>
      <c r="P2295" t="s">
        <v>1752</v>
      </c>
      <c r="Q2295" t="s">
        <v>2851</v>
      </c>
      <c r="R2295" t="s">
        <v>3083</v>
      </c>
      <c r="S2295">
        <v>2865</v>
      </c>
      <c r="T2295" t="s">
        <v>365</v>
      </c>
      <c r="U2295" t="s">
        <v>532</v>
      </c>
      <c r="V2295" t="s">
        <v>2853</v>
      </c>
      <c r="W2295" t="s">
        <v>409</v>
      </c>
      <c r="X2295" t="s">
        <v>76</v>
      </c>
      <c r="Y2295" t="s">
        <v>410</v>
      </c>
      <c r="Z2295">
        <v>8337</v>
      </c>
      <c r="AA2295">
        <v>18</v>
      </c>
      <c r="AB2295">
        <v>78</v>
      </c>
      <c r="AC2295" t="s">
        <v>14692</v>
      </c>
      <c r="AD2295" t="s">
        <v>3089</v>
      </c>
      <c r="AE2295" t="s">
        <v>2856</v>
      </c>
      <c r="AJ2295" s="2">
        <v>44876.928402777776</v>
      </c>
      <c r="AK2295" t="s">
        <v>132</v>
      </c>
      <c r="AL2295" t="s">
        <v>475</v>
      </c>
      <c r="AM2295" s="4">
        <v>0.91666666666666663</v>
      </c>
      <c r="AN2295" t="s">
        <v>66</v>
      </c>
      <c r="AO2295" t="s">
        <v>67</v>
      </c>
    </row>
    <row r="2296" spans="1:41" x14ac:dyDescent="0.2">
      <c r="A2296">
        <v>344285</v>
      </c>
      <c r="B2296" t="s">
        <v>14693</v>
      </c>
      <c r="C2296" t="s">
        <v>69</v>
      </c>
      <c r="D2296" t="s">
        <v>3081</v>
      </c>
      <c r="E2296" t="s">
        <v>14694</v>
      </c>
      <c r="G2296" s="1">
        <v>42095</v>
      </c>
      <c r="H2296" s="1">
        <v>44876</v>
      </c>
      <c r="I2296" s="1">
        <v>46096</v>
      </c>
      <c r="J2296" t="s">
        <v>326</v>
      </c>
      <c r="K2296" t="s">
        <v>45</v>
      </c>
      <c r="L2296" t="s">
        <v>72</v>
      </c>
      <c r="N2296" t="s">
        <v>89</v>
      </c>
      <c r="O2296" t="s">
        <v>48</v>
      </c>
      <c r="P2296" t="s">
        <v>406</v>
      </c>
      <c r="Q2296" t="s">
        <v>2851</v>
      </c>
      <c r="R2296" t="s">
        <v>3083</v>
      </c>
      <c r="S2296">
        <v>2869</v>
      </c>
      <c r="T2296" t="s">
        <v>365</v>
      </c>
      <c r="U2296" t="s">
        <v>532</v>
      </c>
      <c r="V2296" t="s">
        <v>2853</v>
      </c>
      <c r="W2296" t="s">
        <v>409</v>
      </c>
      <c r="X2296" t="s">
        <v>76</v>
      </c>
      <c r="Y2296" t="s">
        <v>110</v>
      </c>
      <c r="Z2296">
        <v>6686</v>
      </c>
      <c r="AA2296">
        <v>78</v>
      </c>
      <c r="AB2296">
        <v>34</v>
      </c>
      <c r="AC2296" t="s">
        <v>100</v>
      </c>
      <c r="AD2296" t="s">
        <v>3089</v>
      </c>
      <c r="AE2296" t="s">
        <v>2856</v>
      </c>
      <c r="AI2296" t="s">
        <v>3089</v>
      </c>
      <c r="AJ2296" s="2">
        <v>44876.933229166665</v>
      </c>
      <c r="AK2296" t="s">
        <v>132</v>
      </c>
      <c r="AL2296" t="s">
        <v>65</v>
      </c>
      <c r="AM2296" s="4">
        <v>6.9444444444444448E-2</v>
      </c>
      <c r="AN2296" t="s">
        <v>66</v>
      </c>
      <c r="AO2296" t="s">
        <v>67</v>
      </c>
    </row>
    <row r="2297" spans="1:41" x14ac:dyDescent="0.2">
      <c r="A2297">
        <v>372110</v>
      </c>
      <c r="B2297" t="s">
        <v>14695</v>
      </c>
      <c r="C2297" t="s">
        <v>69</v>
      </c>
      <c r="D2297" t="s">
        <v>3081</v>
      </c>
      <c r="E2297" t="s">
        <v>14696</v>
      </c>
      <c r="G2297" s="1">
        <v>45831</v>
      </c>
      <c r="H2297" s="1">
        <v>45401</v>
      </c>
      <c r="J2297" t="s">
        <v>326</v>
      </c>
      <c r="K2297" t="s">
        <v>326</v>
      </c>
      <c r="L2297" t="s">
        <v>72</v>
      </c>
      <c r="M2297" s="1">
        <v>45435</v>
      </c>
      <c r="N2297" t="s">
        <v>89</v>
      </c>
      <c r="O2297" t="s">
        <v>121</v>
      </c>
      <c r="P2297" t="s">
        <v>406</v>
      </c>
      <c r="Q2297" t="s">
        <v>14697</v>
      </c>
      <c r="R2297" t="s">
        <v>14698</v>
      </c>
      <c r="S2297">
        <v>2819</v>
      </c>
      <c r="T2297" t="s">
        <v>365</v>
      </c>
      <c r="U2297" t="s">
        <v>532</v>
      </c>
      <c r="V2297" t="s">
        <v>2853</v>
      </c>
      <c r="W2297" t="s">
        <v>409</v>
      </c>
      <c r="X2297" t="s">
        <v>76</v>
      </c>
      <c r="Y2297" t="s">
        <v>410</v>
      </c>
      <c r="Z2297">
        <v>9966</v>
      </c>
      <c r="AA2297">
        <v>42</v>
      </c>
      <c r="AB2297">
        <v>68</v>
      </c>
      <c r="AC2297" t="s">
        <v>100</v>
      </c>
      <c r="AD2297" t="s">
        <v>3089</v>
      </c>
      <c r="AE2297" t="s">
        <v>2856</v>
      </c>
      <c r="AF2297" t="s">
        <v>660</v>
      </c>
      <c r="AG2297" t="s">
        <v>3088</v>
      </c>
      <c r="AH2297" t="s">
        <v>2856</v>
      </c>
      <c r="AJ2297" s="2">
        <v>45831.678530092591</v>
      </c>
      <c r="AK2297" t="s">
        <v>650</v>
      </c>
      <c r="AL2297" t="s">
        <v>65</v>
      </c>
      <c r="AM2297" t="s">
        <v>14699</v>
      </c>
      <c r="AN2297" t="s">
        <v>66</v>
      </c>
      <c r="AO2297" t="s">
        <v>67</v>
      </c>
    </row>
    <row r="2298" spans="1:41" x14ac:dyDescent="0.2">
      <c r="A2298">
        <v>360521</v>
      </c>
      <c r="B2298" t="s">
        <v>14700</v>
      </c>
      <c r="C2298" t="s">
        <v>3878</v>
      </c>
      <c r="D2298" t="s">
        <v>14701</v>
      </c>
      <c r="E2298" t="s">
        <v>14702</v>
      </c>
      <c r="J2298" t="s">
        <v>45</v>
      </c>
      <c r="K2298" t="s">
        <v>45</v>
      </c>
      <c r="L2298" t="s">
        <v>46</v>
      </c>
      <c r="N2298" t="s">
        <v>89</v>
      </c>
      <c r="O2298" t="s">
        <v>48</v>
      </c>
      <c r="P2298" t="s">
        <v>49</v>
      </c>
      <c r="T2298" t="s">
        <v>52</v>
      </c>
      <c r="U2298">
        <v>8</v>
      </c>
      <c r="V2298" t="s">
        <v>4254</v>
      </c>
      <c r="W2298" t="s">
        <v>54</v>
      </c>
      <c r="X2298" t="s">
        <v>76</v>
      </c>
      <c r="Y2298" t="s">
        <v>56</v>
      </c>
      <c r="Z2298">
        <v>12234</v>
      </c>
      <c r="AA2298">
        <v>5</v>
      </c>
      <c r="AB2298">
        <v>15</v>
      </c>
      <c r="AC2298" t="s">
        <v>4255</v>
      </c>
      <c r="AD2298" t="s">
        <v>4256</v>
      </c>
      <c r="AE2298" t="s">
        <v>4257</v>
      </c>
      <c r="AJ2298" s="2">
        <v>45425.717094907406</v>
      </c>
      <c r="AK2298" t="s">
        <v>100</v>
      </c>
      <c r="AL2298" t="s">
        <v>65</v>
      </c>
      <c r="AM2298" s="4">
        <v>0.68402777777777779</v>
      </c>
      <c r="AN2298" t="s">
        <v>66</v>
      </c>
      <c r="AO2298" t="s">
        <v>101</v>
      </c>
    </row>
    <row r="2299" spans="1:41" x14ac:dyDescent="0.2">
      <c r="A2299">
        <v>360522</v>
      </c>
      <c r="B2299" t="s">
        <v>14703</v>
      </c>
      <c r="C2299" t="s">
        <v>3878</v>
      </c>
      <c r="D2299" t="s">
        <v>14704</v>
      </c>
      <c r="E2299" t="s">
        <v>14705</v>
      </c>
      <c r="J2299" t="s">
        <v>45</v>
      </c>
      <c r="K2299" t="s">
        <v>45</v>
      </c>
      <c r="L2299" t="s">
        <v>46</v>
      </c>
      <c r="N2299" t="s">
        <v>89</v>
      </c>
      <c r="O2299" t="s">
        <v>48</v>
      </c>
      <c r="P2299" t="s">
        <v>49</v>
      </c>
      <c r="T2299" t="s">
        <v>52</v>
      </c>
      <c r="U2299">
        <v>8</v>
      </c>
      <c r="V2299" t="s">
        <v>4254</v>
      </c>
      <c r="W2299" t="s">
        <v>54</v>
      </c>
      <c r="X2299" t="s">
        <v>76</v>
      </c>
      <c r="Y2299" t="s">
        <v>56</v>
      </c>
      <c r="Z2299">
        <v>12233</v>
      </c>
      <c r="AA2299">
        <v>5</v>
      </c>
      <c r="AB2299">
        <v>15</v>
      </c>
      <c r="AC2299" t="s">
        <v>4255</v>
      </c>
      <c r="AD2299" t="s">
        <v>4256</v>
      </c>
      <c r="AE2299" t="s">
        <v>4257</v>
      </c>
      <c r="AJ2299" s="2">
        <v>45425.725682870368</v>
      </c>
      <c r="AK2299" t="s">
        <v>100</v>
      </c>
      <c r="AL2299" t="s">
        <v>65</v>
      </c>
      <c r="AM2299" s="4">
        <v>0.67708333333333337</v>
      </c>
      <c r="AN2299" t="s">
        <v>66</v>
      </c>
      <c r="AO2299" t="s">
        <v>101</v>
      </c>
    </row>
    <row r="2300" spans="1:41" x14ac:dyDescent="0.2">
      <c r="A2300">
        <v>372580</v>
      </c>
      <c r="B2300" t="s">
        <v>14706</v>
      </c>
      <c r="C2300" t="s">
        <v>278</v>
      </c>
      <c r="D2300" t="s">
        <v>278</v>
      </c>
      <c r="E2300" t="s">
        <v>14707</v>
      </c>
      <c r="F2300">
        <v>421103</v>
      </c>
      <c r="G2300" s="1">
        <v>35650</v>
      </c>
      <c r="H2300" s="1">
        <v>45845</v>
      </c>
      <c r="I2300" s="1">
        <v>46204</v>
      </c>
      <c r="J2300" t="s">
        <v>45</v>
      </c>
      <c r="K2300" t="s">
        <v>45</v>
      </c>
      <c r="L2300" t="s">
        <v>429</v>
      </c>
      <c r="M2300" s="1">
        <v>45556</v>
      </c>
      <c r="N2300" t="s">
        <v>47</v>
      </c>
      <c r="O2300" t="s">
        <v>48</v>
      </c>
      <c r="P2300" t="s">
        <v>49</v>
      </c>
      <c r="Q2300" t="s">
        <v>14708</v>
      </c>
      <c r="R2300" t="s">
        <v>14709</v>
      </c>
      <c r="S2300">
        <v>7273</v>
      </c>
      <c r="T2300" t="s">
        <v>52</v>
      </c>
      <c r="U2300">
        <v>4</v>
      </c>
      <c r="V2300" t="s">
        <v>1991</v>
      </c>
      <c r="W2300" t="s">
        <v>54</v>
      </c>
      <c r="X2300" t="s">
        <v>76</v>
      </c>
      <c r="Y2300" t="s">
        <v>56</v>
      </c>
      <c r="Z2300">
        <v>671</v>
      </c>
      <c r="AA2300">
        <v>64</v>
      </c>
      <c r="AB2300">
        <v>152</v>
      </c>
      <c r="AC2300" t="s">
        <v>14085</v>
      </c>
      <c r="AD2300" t="s">
        <v>1993</v>
      </c>
      <c r="AE2300" t="s">
        <v>1994</v>
      </c>
      <c r="AF2300" t="s">
        <v>1995</v>
      </c>
      <c r="AG2300" t="s">
        <v>1996</v>
      </c>
      <c r="AH2300" t="s">
        <v>1997</v>
      </c>
      <c r="AI2300" t="s">
        <v>1998</v>
      </c>
      <c r="AJ2300" s="2">
        <v>45846.072199074071</v>
      </c>
      <c r="AK2300" t="s">
        <v>1167</v>
      </c>
      <c r="AL2300" t="s">
        <v>65</v>
      </c>
      <c r="AM2300" s="4">
        <v>0.56944444444444442</v>
      </c>
      <c r="AN2300" t="s">
        <v>66</v>
      </c>
      <c r="AO2300" t="s">
        <v>67</v>
      </c>
    </row>
    <row r="2301" spans="1:41" x14ac:dyDescent="0.2">
      <c r="A2301">
        <v>348914</v>
      </c>
      <c r="B2301" t="s">
        <v>14710</v>
      </c>
      <c r="C2301" t="s">
        <v>278</v>
      </c>
      <c r="D2301" t="s">
        <v>3630</v>
      </c>
      <c r="E2301" t="s">
        <v>14711</v>
      </c>
      <c r="G2301" s="1">
        <v>43329</v>
      </c>
      <c r="H2301" s="1">
        <v>44881</v>
      </c>
      <c r="I2301" s="1">
        <v>46006</v>
      </c>
      <c r="J2301" t="s">
        <v>45</v>
      </c>
      <c r="K2301" t="s">
        <v>45</v>
      </c>
      <c r="L2301" t="s">
        <v>72</v>
      </c>
      <c r="M2301" s="1">
        <v>44542</v>
      </c>
      <c r="N2301" t="s">
        <v>89</v>
      </c>
      <c r="O2301" t="s">
        <v>121</v>
      </c>
      <c r="P2301" t="s">
        <v>49</v>
      </c>
      <c r="Q2301" t="s">
        <v>14712</v>
      </c>
      <c r="R2301" t="s">
        <v>14713</v>
      </c>
      <c r="S2301">
        <v>4210</v>
      </c>
      <c r="T2301" t="s">
        <v>156</v>
      </c>
      <c r="U2301" t="s">
        <v>1018</v>
      </c>
      <c r="V2301" t="s">
        <v>14714</v>
      </c>
      <c r="W2301" t="s">
        <v>159</v>
      </c>
      <c r="X2301" t="s">
        <v>156</v>
      </c>
      <c r="Y2301" t="s">
        <v>110</v>
      </c>
      <c r="Z2301">
        <v>7326</v>
      </c>
      <c r="AA2301">
        <v>49</v>
      </c>
      <c r="AB2301">
        <v>78</v>
      </c>
      <c r="AC2301" t="s">
        <v>14715</v>
      </c>
      <c r="AD2301" t="s">
        <v>14716</v>
      </c>
      <c r="AE2301" t="s">
        <v>14717</v>
      </c>
      <c r="AF2301" t="s">
        <v>14718</v>
      </c>
      <c r="AG2301" t="s">
        <v>14719</v>
      </c>
      <c r="AH2301" t="s">
        <v>14720</v>
      </c>
      <c r="AI2301" t="s">
        <v>14721</v>
      </c>
      <c r="AJ2301" s="2">
        <v>45076.837708333333</v>
      </c>
      <c r="AK2301" t="s">
        <v>14722</v>
      </c>
      <c r="AL2301" t="s">
        <v>65</v>
      </c>
      <c r="AM2301" s="3">
        <v>1.1875</v>
      </c>
      <c r="AN2301" t="s">
        <v>66</v>
      </c>
      <c r="AO2301" t="s">
        <v>67</v>
      </c>
    </row>
    <row r="2302" spans="1:41" x14ac:dyDescent="0.2">
      <c r="A2302">
        <v>369543</v>
      </c>
      <c r="B2302" t="s">
        <v>14723</v>
      </c>
      <c r="C2302" t="s">
        <v>182</v>
      </c>
      <c r="D2302" t="s">
        <v>558</v>
      </c>
      <c r="E2302" t="s">
        <v>14724</v>
      </c>
      <c r="F2302">
        <v>41809</v>
      </c>
      <c r="G2302" s="1">
        <v>39945</v>
      </c>
      <c r="H2302" s="1">
        <v>45733</v>
      </c>
      <c r="J2302" t="s">
        <v>45</v>
      </c>
      <c r="K2302" t="s">
        <v>326</v>
      </c>
      <c r="L2302" t="s">
        <v>72</v>
      </c>
      <c r="N2302" t="s">
        <v>47</v>
      </c>
      <c r="O2302" t="s">
        <v>48</v>
      </c>
      <c r="P2302" t="s">
        <v>49</v>
      </c>
      <c r="Q2302" t="s">
        <v>14725</v>
      </c>
      <c r="R2302" t="s">
        <v>14726</v>
      </c>
      <c r="S2302">
        <v>1968</v>
      </c>
      <c r="T2302" t="s">
        <v>92</v>
      </c>
      <c r="U2302" t="s">
        <v>187</v>
      </c>
      <c r="V2302" t="s">
        <v>447</v>
      </c>
      <c r="W2302" t="s">
        <v>448</v>
      </c>
      <c r="X2302" t="s">
        <v>92</v>
      </c>
      <c r="Y2302" t="s">
        <v>450</v>
      </c>
      <c r="Z2302">
        <v>1233</v>
      </c>
      <c r="AA2302">
        <v>59</v>
      </c>
      <c r="AB2302">
        <v>38</v>
      </c>
      <c r="AC2302" t="s">
        <v>451</v>
      </c>
      <c r="AD2302" t="s">
        <v>452</v>
      </c>
      <c r="AE2302" t="s">
        <v>453</v>
      </c>
      <c r="AF2302" t="s">
        <v>454</v>
      </c>
      <c r="AG2302" t="s">
        <v>473</v>
      </c>
      <c r="AH2302" t="s">
        <v>474</v>
      </c>
      <c r="AJ2302" s="2">
        <v>45743.646249999998</v>
      </c>
      <c r="AK2302" t="s">
        <v>526</v>
      </c>
      <c r="AL2302" t="s">
        <v>65</v>
      </c>
      <c r="AM2302" s="4">
        <v>0.5625</v>
      </c>
      <c r="AN2302" t="s">
        <v>66</v>
      </c>
      <c r="AO2302" t="s">
        <v>67</v>
      </c>
    </row>
    <row r="2303" spans="1:41" x14ac:dyDescent="0.2">
      <c r="A2303">
        <v>372790</v>
      </c>
      <c r="B2303" t="s">
        <v>14727</v>
      </c>
      <c r="C2303" t="s">
        <v>167</v>
      </c>
      <c r="D2303" t="s">
        <v>6822</v>
      </c>
      <c r="E2303" t="s">
        <v>14728</v>
      </c>
      <c r="F2303">
        <v>350718</v>
      </c>
      <c r="G2303" s="1">
        <v>37097</v>
      </c>
      <c r="H2303" s="1">
        <v>45825</v>
      </c>
      <c r="I2303" s="1">
        <v>46174</v>
      </c>
      <c r="J2303" t="s">
        <v>45</v>
      </c>
      <c r="K2303" t="s">
        <v>45</v>
      </c>
      <c r="L2303" t="s">
        <v>46</v>
      </c>
      <c r="M2303" s="1">
        <v>44766</v>
      </c>
      <c r="N2303" t="s">
        <v>47</v>
      </c>
      <c r="O2303" t="s">
        <v>48</v>
      </c>
      <c r="P2303" t="s">
        <v>49</v>
      </c>
      <c r="Q2303" t="s">
        <v>14729</v>
      </c>
      <c r="R2303" t="s">
        <v>14730</v>
      </c>
      <c r="S2303">
        <v>3345</v>
      </c>
      <c r="T2303" t="s">
        <v>52</v>
      </c>
      <c r="U2303">
        <v>6</v>
      </c>
      <c r="V2303" t="s">
        <v>11237</v>
      </c>
      <c r="W2303" t="s">
        <v>54</v>
      </c>
      <c r="X2303" t="s">
        <v>76</v>
      </c>
      <c r="Y2303" t="s">
        <v>56</v>
      </c>
      <c r="Z2303">
        <v>787</v>
      </c>
      <c r="AA2303">
        <v>46</v>
      </c>
      <c r="AB2303">
        <v>160</v>
      </c>
      <c r="AC2303" t="s">
        <v>3548</v>
      </c>
      <c r="AD2303" t="s">
        <v>3549</v>
      </c>
      <c r="AE2303" t="s">
        <v>3550</v>
      </c>
      <c r="AF2303" t="s">
        <v>4330</v>
      </c>
      <c r="AG2303" t="s">
        <v>3552</v>
      </c>
      <c r="AH2303" t="s">
        <v>3553</v>
      </c>
      <c r="AI2303" t="s">
        <v>179</v>
      </c>
      <c r="AJ2303" s="2">
        <v>45853.763819444444</v>
      </c>
      <c r="AK2303" t="s">
        <v>3554</v>
      </c>
      <c r="AL2303" t="s">
        <v>65</v>
      </c>
      <c r="AM2303" s="4">
        <v>0.30555555555555558</v>
      </c>
      <c r="AN2303" t="s">
        <v>66</v>
      </c>
      <c r="AO2303" t="s">
        <v>67</v>
      </c>
    </row>
    <row r="2304" spans="1:41" x14ac:dyDescent="0.2">
      <c r="A2304">
        <v>371703</v>
      </c>
      <c r="B2304" t="s">
        <v>14731</v>
      </c>
      <c r="C2304" t="s">
        <v>167</v>
      </c>
      <c r="D2304" t="s">
        <v>528</v>
      </c>
      <c r="E2304" t="s">
        <v>14732</v>
      </c>
      <c r="F2304">
        <v>353616</v>
      </c>
      <c r="G2304" s="1">
        <v>31678</v>
      </c>
      <c r="H2304" s="1">
        <v>45793</v>
      </c>
      <c r="I2304" s="1">
        <v>46218</v>
      </c>
      <c r="J2304" t="s">
        <v>45</v>
      </c>
      <c r="K2304" t="s">
        <v>45</v>
      </c>
      <c r="L2304" t="s">
        <v>429</v>
      </c>
      <c r="M2304" s="1">
        <v>43719</v>
      </c>
      <c r="N2304" t="s">
        <v>47</v>
      </c>
      <c r="O2304" t="s">
        <v>48</v>
      </c>
      <c r="P2304" t="s">
        <v>49</v>
      </c>
      <c r="Q2304" t="s">
        <v>14733</v>
      </c>
      <c r="R2304" t="s">
        <v>14734</v>
      </c>
      <c r="S2304">
        <v>4460</v>
      </c>
      <c r="T2304" t="s">
        <v>365</v>
      </c>
      <c r="U2304" t="s">
        <v>532</v>
      </c>
      <c r="V2304" t="s">
        <v>533</v>
      </c>
      <c r="W2304" t="s">
        <v>367</v>
      </c>
      <c r="X2304" t="s">
        <v>76</v>
      </c>
      <c r="Y2304" t="s">
        <v>434</v>
      </c>
      <c r="Z2304">
        <v>333</v>
      </c>
      <c r="AA2304">
        <v>65</v>
      </c>
      <c r="AB2304">
        <v>28</v>
      </c>
      <c r="AC2304" t="s">
        <v>534</v>
      </c>
      <c r="AD2304" t="s">
        <v>535</v>
      </c>
      <c r="AE2304" t="s">
        <v>536</v>
      </c>
      <c r="AF2304" t="s">
        <v>14735</v>
      </c>
      <c r="AG2304" t="s">
        <v>14736</v>
      </c>
      <c r="AH2304" t="s">
        <v>14737</v>
      </c>
      <c r="AI2304" t="s">
        <v>179</v>
      </c>
      <c r="AJ2304" s="2">
        <v>45818.666631944441</v>
      </c>
      <c r="AK2304" t="s">
        <v>556</v>
      </c>
      <c r="AL2304" t="s">
        <v>65</v>
      </c>
      <c r="AM2304" s="3">
        <v>1</v>
      </c>
      <c r="AN2304" t="s">
        <v>66</v>
      </c>
      <c r="AO2304" t="s">
        <v>67</v>
      </c>
    </row>
    <row r="2305" spans="1:41" x14ac:dyDescent="0.2">
      <c r="A2305">
        <v>366126</v>
      </c>
      <c r="B2305" t="s">
        <v>14731</v>
      </c>
      <c r="C2305" t="s">
        <v>558</v>
      </c>
      <c r="D2305" t="s">
        <v>1268</v>
      </c>
      <c r="E2305">
        <v>32530656</v>
      </c>
      <c r="F2305">
        <v>260504</v>
      </c>
      <c r="G2305" s="1">
        <v>32784</v>
      </c>
      <c r="H2305" s="1">
        <v>45601</v>
      </c>
      <c r="I2305" s="1">
        <v>45945</v>
      </c>
      <c r="J2305" t="s">
        <v>45</v>
      </c>
      <c r="K2305" t="s">
        <v>45</v>
      </c>
      <c r="L2305" t="s">
        <v>429</v>
      </c>
      <c r="M2305" s="1">
        <v>41240</v>
      </c>
      <c r="N2305" t="s">
        <v>47</v>
      </c>
      <c r="O2305" t="s">
        <v>48</v>
      </c>
      <c r="P2305" t="s">
        <v>49</v>
      </c>
      <c r="Q2305" t="s">
        <v>14738</v>
      </c>
      <c r="R2305" t="s">
        <v>14739</v>
      </c>
      <c r="S2305">
        <v>5026</v>
      </c>
      <c r="T2305" t="s">
        <v>365</v>
      </c>
      <c r="U2305" t="s">
        <v>562</v>
      </c>
      <c r="V2305" t="s">
        <v>1881</v>
      </c>
      <c r="W2305" t="s">
        <v>367</v>
      </c>
      <c r="X2305" t="s">
        <v>493</v>
      </c>
      <c r="Y2305" t="s">
        <v>434</v>
      </c>
      <c r="Z2305">
        <v>239</v>
      </c>
      <c r="AA2305">
        <v>60</v>
      </c>
      <c r="AB2305">
        <v>166</v>
      </c>
      <c r="AC2305" t="s">
        <v>1882</v>
      </c>
      <c r="AD2305" t="s">
        <v>1883</v>
      </c>
      <c r="AE2305" t="s">
        <v>1884</v>
      </c>
      <c r="AI2305" t="s">
        <v>5342</v>
      </c>
      <c r="AJ2305" s="2">
        <v>45603.86787037037</v>
      </c>
      <c r="AK2305" t="s">
        <v>501</v>
      </c>
      <c r="AL2305" t="s">
        <v>65</v>
      </c>
      <c r="AM2305" s="3">
        <v>1.6319444444444444</v>
      </c>
      <c r="AN2305" t="s">
        <v>66</v>
      </c>
      <c r="AO2305" t="s">
        <v>67</v>
      </c>
    </row>
    <row r="2306" spans="1:41" x14ac:dyDescent="0.2">
      <c r="A2306">
        <v>371598</v>
      </c>
      <c r="B2306" t="s">
        <v>14740</v>
      </c>
      <c r="C2306" t="s">
        <v>42</v>
      </c>
      <c r="D2306" t="s">
        <v>5131</v>
      </c>
      <c r="E2306" t="s">
        <v>14741</v>
      </c>
      <c r="G2306" s="1">
        <v>45812</v>
      </c>
      <c r="H2306" s="1">
        <v>45812</v>
      </c>
      <c r="I2306" s="1">
        <v>46174</v>
      </c>
      <c r="J2306" t="s">
        <v>45</v>
      </c>
      <c r="K2306" t="s">
        <v>45</v>
      </c>
      <c r="L2306" t="s">
        <v>46</v>
      </c>
      <c r="N2306" t="s">
        <v>47</v>
      </c>
      <c r="O2306" t="s">
        <v>48</v>
      </c>
      <c r="P2306" t="s">
        <v>49</v>
      </c>
      <c r="Q2306" t="s">
        <v>14742</v>
      </c>
      <c r="R2306" t="s">
        <v>14743</v>
      </c>
      <c r="S2306">
        <v>8090</v>
      </c>
      <c r="T2306" t="s">
        <v>52</v>
      </c>
      <c r="U2306">
        <v>3</v>
      </c>
      <c r="V2306" t="s">
        <v>53</v>
      </c>
      <c r="W2306" t="s">
        <v>54</v>
      </c>
      <c r="X2306" t="s">
        <v>55</v>
      </c>
      <c r="Y2306" t="s">
        <v>56</v>
      </c>
      <c r="Z2306">
        <v>12242</v>
      </c>
      <c r="AA2306">
        <v>10</v>
      </c>
      <c r="AB2306">
        <v>44</v>
      </c>
      <c r="AC2306" t="s">
        <v>57</v>
      </c>
      <c r="AD2306" t="s">
        <v>58</v>
      </c>
      <c r="AE2306" t="s">
        <v>59</v>
      </c>
      <c r="AF2306" t="s">
        <v>14744</v>
      </c>
      <c r="AG2306" t="s">
        <v>14745</v>
      </c>
      <c r="AH2306" t="s">
        <v>14746</v>
      </c>
      <c r="AI2306" t="s">
        <v>63</v>
      </c>
      <c r="AJ2306" s="2">
        <v>45817.699189814812</v>
      </c>
      <c r="AK2306" t="s">
        <v>64</v>
      </c>
      <c r="AL2306" t="s">
        <v>65</v>
      </c>
      <c r="AM2306" s="3">
        <v>1.6006944444444444</v>
      </c>
      <c r="AN2306" t="s">
        <v>66</v>
      </c>
      <c r="AO2306" t="s">
        <v>67</v>
      </c>
    </row>
    <row r="2307" spans="1:41" x14ac:dyDescent="0.2">
      <c r="A2307">
        <v>373028</v>
      </c>
      <c r="B2307" t="s">
        <v>14740</v>
      </c>
      <c r="C2307" t="s">
        <v>1565</v>
      </c>
      <c r="D2307" t="s">
        <v>14747</v>
      </c>
      <c r="E2307" t="s">
        <v>14748</v>
      </c>
      <c r="F2307">
        <v>395105</v>
      </c>
      <c r="G2307" s="1">
        <v>34094</v>
      </c>
      <c r="H2307" s="1">
        <v>45547</v>
      </c>
      <c r="I2307" s="1">
        <v>46266</v>
      </c>
      <c r="J2307" t="s">
        <v>45</v>
      </c>
      <c r="K2307" t="s">
        <v>45</v>
      </c>
      <c r="L2307" t="s">
        <v>429</v>
      </c>
      <c r="M2307" s="1">
        <v>44798</v>
      </c>
      <c r="N2307" t="s">
        <v>47</v>
      </c>
      <c r="O2307" t="s">
        <v>48</v>
      </c>
      <c r="P2307" t="s">
        <v>49</v>
      </c>
      <c r="Q2307" t="s">
        <v>14749</v>
      </c>
      <c r="R2307" t="s">
        <v>14750</v>
      </c>
      <c r="S2307">
        <v>4644</v>
      </c>
      <c r="T2307" t="s">
        <v>52</v>
      </c>
      <c r="U2307">
        <v>2</v>
      </c>
      <c r="V2307" t="s">
        <v>1569</v>
      </c>
      <c r="W2307" t="s">
        <v>54</v>
      </c>
      <c r="X2307" t="s">
        <v>76</v>
      </c>
      <c r="Y2307" t="s">
        <v>56</v>
      </c>
      <c r="Z2307">
        <v>571</v>
      </c>
      <c r="AA2307">
        <v>56</v>
      </c>
      <c r="AB2307">
        <v>158</v>
      </c>
      <c r="AC2307" t="s">
        <v>1570</v>
      </c>
      <c r="AD2307" t="s">
        <v>1571</v>
      </c>
      <c r="AE2307" t="s">
        <v>1572</v>
      </c>
      <c r="AF2307" t="s">
        <v>5927</v>
      </c>
      <c r="AG2307" t="s">
        <v>5928</v>
      </c>
      <c r="AH2307" t="s">
        <v>5929</v>
      </c>
      <c r="AI2307" t="s">
        <v>5930</v>
      </c>
      <c r="AJ2307" s="2">
        <v>45856.034363425926</v>
      </c>
      <c r="AK2307" t="s">
        <v>556</v>
      </c>
      <c r="AL2307" t="s">
        <v>65</v>
      </c>
      <c r="AM2307" s="3">
        <v>2.4027777777777777</v>
      </c>
      <c r="AN2307" t="s">
        <v>809</v>
      </c>
      <c r="AO2307" t="s">
        <v>67</v>
      </c>
    </row>
    <row r="2308" spans="1:41" x14ac:dyDescent="0.2">
      <c r="A2308">
        <v>372402</v>
      </c>
      <c r="B2308" t="s">
        <v>14751</v>
      </c>
      <c r="C2308" t="s">
        <v>345</v>
      </c>
      <c r="D2308" t="s">
        <v>2219</v>
      </c>
      <c r="E2308" t="s">
        <v>14752</v>
      </c>
      <c r="F2308">
        <v>54001</v>
      </c>
      <c r="G2308" s="1">
        <v>41183</v>
      </c>
      <c r="H2308" s="1">
        <v>45833</v>
      </c>
      <c r="I2308" s="1">
        <v>45931</v>
      </c>
      <c r="J2308" t="s">
        <v>45</v>
      </c>
      <c r="K2308" t="s">
        <v>45</v>
      </c>
      <c r="L2308" t="s">
        <v>429</v>
      </c>
      <c r="M2308" s="1">
        <v>41102</v>
      </c>
      <c r="N2308" t="s">
        <v>47</v>
      </c>
      <c r="O2308" t="s">
        <v>48</v>
      </c>
      <c r="P2308" t="s">
        <v>49</v>
      </c>
      <c r="Q2308" t="s">
        <v>14753</v>
      </c>
      <c r="R2308" t="s">
        <v>14754</v>
      </c>
      <c r="S2308">
        <v>5880</v>
      </c>
      <c r="T2308" t="s">
        <v>52</v>
      </c>
      <c r="U2308">
        <v>2</v>
      </c>
      <c r="V2308" t="s">
        <v>1522</v>
      </c>
      <c r="W2308" t="s">
        <v>54</v>
      </c>
      <c r="X2308" t="s">
        <v>55</v>
      </c>
      <c r="Y2308" t="s">
        <v>56</v>
      </c>
      <c r="Z2308">
        <v>2706</v>
      </c>
      <c r="AA2308">
        <v>38</v>
      </c>
      <c r="AB2308">
        <v>158</v>
      </c>
      <c r="AC2308" t="s">
        <v>2688</v>
      </c>
      <c r="AD2308" t="s">
        <v>2689</v>
      </c>
      <c r="AE2308" t="s">
        <v>2690</v>
      </c>
      <c r="AF2308" t="s">
        <v>1526</v>
      </c>
      <c r="AG2308" t="s">
        <v>1527</v>
      </c>
      <c r="AH2308" t="s">
        <v>1528</v>
      </c>
      <c r="AI2308" t="s">
        <v>2691</v>
      </c>
      <c r="AJ2308" s="2">
        <v>45838.890381944446</v>
      </c>
      <c r="AK2308" t="s">
        <v>609</v>
      </c>
      <c r="AL2308" t="s">
        <v>65</v>
      </c>
      <c r="AM2308" s="3">
        <v>2.4513888888888888</v>
      </c>
      <c r="AN2308" t="s">
        <v>66</v>
      </c>
      <c r="AO2308" t="s">
        <v>67</v>
      </c>
    </row>
    <row r="2309" spans="1:41" x14ac:dyDescent="0.2">
      <c r="A2309">
        <v>365029</v>
      </c>
      <c r="B2309" t="s">
        <v>14755</v>
      </c>
      <c r="C2309" t="s">
        <v>345</v>
      </c>
      <c r="D2309" t="s">
        <v>14404</v>
      </c>
      <c r="E2309" t="s">
        <v>14756</v>
      </c>
      <c r="F2309">
        <v>52902</v>
      </c>
      <c r="G2309" s="1">
        <v>30437</v>
      </c>
      <c r="H2309" s="1">
        <v>45562</v>
      </c>
      <c r="I2309" s="1">
        <v>46218</v>
      </c>
      <c r="J2309" t="s">
        <v>45</v>
      </c>
      <c r="K2309" t="s">
        <v>45</v>
      </c>
      <c r="L2309" t="s">
        <v>429</v>
      </c>
      <c r="M2309" s="1">
        <v>45040</v>
      </c>
      <c r="N2309" t="s">
        <v>47</v>
      </c>
      <c r="O2309" t="s">
        <v>48</v>
      </c>
      <c r="P2309" t="s">
        <v>49</v>
      </c>
      <c r="Q2309" t="s">
        <v>14757</v>
      </c>
      <c r="R2309" t="s">
        <v>14758</v>
      </c>
      <c r="S2309">
        <v>8682</v>
      </c>
      <c r="T2309" t="s">
        <v>52</v>
      </c>
      <c r="U2309">
        <v>2</v>
      </c>
      <c r="V2309" t="s">
        <v>1522</v>
      </c>
      <c r="W2309" t="s">
        <v>54</v>
      </c>
      <c r="X2309" t="s">
        <v>55</v>
      </c>
      <c r="Y2309" t="s">
        <v>56</v>
      </c>
      <c r="Z2309">
        <v>591</v>
      </c>
      <c r="AA2309">
        <v>50</v>
      </c>
      <c r="AB2309">
        <v>30</v>
      </c>
      <c r="AC2309" t="s">
        <v>1931</v>
      </c>
      <c r="AD2309" t="s">
        <v>1932</v>
      </c>
      <c r="AE2309" t="s">
        <v>1933</v>
      </c>
      <c r="AF2309" t="s">
        <v>1934</v>
      </c>
      <c r="AG2309" t="s">
        <v>1935</v>
      </c>
      <c r="AH2309" t="s">
        <v>1936</v>
      </c>
      <c r="AI2309" t="s">
        <v>14759</v>
      </c>
      <c r="AJ2309" s="2">
        <v>45566.820844907408</v>
      </c>
      <c r="AK2309" t="s">
        <v>609</v>
      </c>
      <c r="AL2309" t="s">
        <v>65</v>
      </c>
      <c r="AM2309" s="4">
        <v>0.98611111111111116</v>
      </c>
      <c r="AN2309" t="s">
        <v>66</v>
      </c>
      <c r="AO2309" t="s">
        <v>67</v>
      </c>
    </row>
    <row r="2310" spans="1:41" x14ac:dyDescent="0.2">
      <c r="A2310">
        <v>367778</v>
      </c>
      <c r="B2310" t="s">
        <v>14760</v>
      </c>
      <c r="C2310" t="s">
        <v>118</v>
      </c>
      <c r="D2310" t="s">
        <v>1396</v>
      </c>
      <c r="E2310" t="s">
        <v>14761</v>
      </c>
      <c r="F2310">
        <v>20610</v>
      </c>
      <c r="G2310" s="1">
        <v>38245</v>
      </c>
      <c r="H2310" s="1">
        <v>45688</v>
      </c>
      <c r="I2310" s="1">
        <v>46023</v>
      </c>
      <c r="J2310" t="s">
        <v>45</v>
      </c>
      <c r="K2310" t="s">
        <v>45</v>
      </c>
      <c r="L2310" t="s">
        <v>429</v>
      </c>
      <c r="M2310" s="1">
        <v>41663</v>
      </c>
      <c r="N2310" t="s">
        <v>47</v>
      </c>
      <c r="O2310" t="s">
        <v>48</v>
      </c>
      <c r="P2310" t="s">
        <v>49</v>
      </c>
      <c r="Q2310" t="s">
        <v>14762</v>
      </c>
      <c r="R2310" t="s">
        <v>14763</v>
      </c>
      <c r="S2310">
        <v>6524</v>
      </c>
      <c r="T2310" t="s">
        <v>52</v>
      </c>
      <c r="U2310">
        <v>3</v>
      </c>
      <c r="V2310" t="s">
        <v>4644</v>
      </c>
      <c r="W2310" t="s">
        <v>54</v>
      </c>
      <c r="X2310" t="s">
        <v>55</v>
      </c>
      <c r="Y2310" t="s">
        <v>56</v>
      </c>
      <c r="Z2310">
        <v>2520</v>
      </c>
      <c r="AA2310">
        <v>42</v>
      </c>
      <c r="AB2310">
        <v>160</v>
      </c>
      <c r="AC2310" t="s">
        <v>8057</v>
      </c>
      <c r="AD2310" t="s">
        <v>13963</v>
      </c>
      <c r="AE2310" t="s">
        <v>8059</v>
      </c>
      <c r="AF2310" t="s">
        <v>13799</v>
      </c>
      <c r="AG2310" t="s">
        <v>14764</v>
      </c>
      <c r="AH2310" t="s">
        <v>13801</v>
      </c>
      <c r="AI2310" t="s">
        <v>13802</v>
      </c>
      <c r="AJ2310" s="2">
        <v>45691.58766203704</v>
      </c>
      <c r="AK2310" t="s">
        <v>609</v>
      </c>
      <c r="AL2310" t="s">
        <v>65</v>
      </c>
      <c r="AM2310" s="3">
        <v>2.4791666666666665</v>
      </c>
      <c r="AN2310" t="s">
        <v>66</v>
      </c>
      <c r="AO2310" t="s">
        <v>67</v>
      </c>
    </row>
    <row r="2311" spans="1:41" x14ac:dyDescent="0.2">
      <c r="A2311">
        <v>367510</v>
      </c>
      <c r="B2311" t="s">
        <v>14760</v>
      </c>
      <c r="C2311" t="s">
        <v>236</v>
      </c>
      <c r="D2311" t="s">
        <v>2133</v>
      </c>
      <c r="E2311" t="s">
        <v>14765</v>
      </c>
      <c r="F2311">
        <v>210903</v>
      </c>
      <c r="G2311" s="1">
        <v>43733</v>
      </c>
      <c r="H2311" s="1">
        <v>45586</v>
      </c>
      <c r="I2311" s="1">
        <v>45931</v>
      </c>
      <c r="J2311" t="s">
        <v>45</v>
      </c>
      <c r="K2311" t="s">
        <v>45</v>
      </c>
      <c r="L2311" t="s">
        <v>429</v>
      </c>
      <c r="N2311" t="s">
        <v>47</v>
      </c>
      <c r="O2311" t="s">
        <v>48</v>
      </c>
      <c r="P2311" t="s">
        <v>49</v>
      </c>
      <c r="Q2311" t="s">
        <v>14766</v>
      </c>
      <c r="R2311" t="s">
        <v>14767</v>
      </c>
      <c r="S2311">
        <v>1209</v>
      </c>
      <c r="T2311" t="s">
        <v>296</v>
      </c>
      <c r="U2311" t="s">
        <v>8128</v>
      </c>
      <c r="V2311" t="s">
        <v>14768</v>
      </c>
      <c r="W2311" t="s">
        <v>299</v>
      </c>
      <c r="X2311" t="s">
        <v>76</v>
      </c>
      <c r="Y2311" t="s">
        <v>56</v>
      </c>
      <c r="Z2311">
        <v>10426</v>
      </c>
      <c r="AA2311">
        <v>21</v>
      </c>
      <c r="AB2311">
        <v>76</v>
      </c>
      <c r="AC2311" t="s">
        <v>14769</v>
      </c>
      <c r="AD2311" t="s">
        <v>14770</v>
      </c>
      <c r="AE2311" t="s">
        <v>14771</v>
      </c>
      <c r="AF2311" t="s">
        <v>14772</v>
      </c>
      <c r="AG2311" t="s">
        <v>14773</v>
      </c>
      <c r="AH2311" t="s">
        <v>14774</v>
      </c>
      <c r="AI2311" t="s">
        <v>14775</v>
      </c>
      <c r="AJ2311" s="2">
        <v>45679.72587962963</v>
      </c>
      <c r="AK2311" t="s">
        <v>100</v>
      </c>
      <c r="AL2311" t="s">
        <v>65</v>
      </c>
      <c r="AM2311" s="4">
        <v>0.40972222222222221</v>
      </c>
      <c r="AN2311" t="s">
        <v>66</v>
      </c>
      <c r="AO2311" t="s">
        <v>101</v>
      </c>
    </row>
    <row r="2312" spans="1:41" x14ac:dyDescent="0.2">
      <c r="A2312">
        <v>372916</v>
      </c>
      <c r="B2312" t="s">
        <v>14776</v>
      </c>
      <c r="C2312" t="s">
        <v>167</v>
      </c>
      <c r="D2312" t="s">
        <v>269</v>
      </c>
      <c r="E2312" t="s">
        <v>14777</v>
      </c>
      <c r="F2312">
        <v>352920</v>
      </c>
      <c r="G2312" s="1">
        <v>34570</v>
      </c>
      <c r="H2312" s="1">
        <v>45714</v>
      </c>
      <c r="I2312" s="1">
        <v>46054</v>
      </c>
      <c r="J2312" t="s">
        <v>45</v>
      </c>
      <c r="K2312" t="s">
        <v>45</v>
      </c>
      <c r="L2312" t="s">
        <v>429</v>
      </c>
      <c r="M2312" s="1">
        <v>44292</v>
      </c>
      <c r="N2312" t="s">
        <v>47</v>
      </c>
      <c r="O2312" t="s">
        <v>48</v>
      </c>
      <c r="P2312" t="s">
        <v>49</v>
      </c>
      <c r="Q2312" t="s">
        <v>14778</v>
      </c>
      <c r="R2312" t="s">
        <v>14779</v>
      </c>
      <c r="S2312">
        <v>1753</v>
      </c>
      <c r="T2312" t="s">
        <v>365</v>
      </c>
      <c r="U2312" t="s">
        <v>532</v>
      </c>
      <c r="V2312" t="s">
        <v>3729</v>
      </c>
      <c r="W2312" t="s">
        <v>367</v>
      </c>
      <c r="X2312" t="s">
        <v>76</v>
      </c>
      <c r="Y2312" t="s">
        <v>434</v>
      </c>
      <c r="Z2312">
        <v>908</v>
      </c>
      <c r="AA2312">
        <v>71</v>
      </c>
      <c r="AB2312">
        <v>146</v>
      </c>
      <c r="AC2312" t="s">
        <v>3730</v>
      </c>
      <c r="AD2312" t="s">
        <v>3731</v>
      </c>
      <c r="AE2312" t="s">
        <v>3732</v>
      </c>
      <c r="AF2312" t="s">
        <v>14780</v>
      </c>
      <c r="AH2312" t="s">
        <v>14781</v>
      </c>
      <c r="AI2312" t="s">
        <v>179</v>
      </c>
      <c r="AJ2312" s="2">
        <v>45855.896851851852</v>
      </c>
      <c r="AK2312" t="s">
        <v>556</v>
      </c>
      <c r="AL2312" t="s">
        <v>65</v>
      </c>
      <c r="AM2312" s="4">
        <v>0.90972222222222221</v>
      </c>
      <c r="AN2312" t="s">
        <v>66</v>
      </c>
      <c r="AO2312" t="s">
        <v>67</v>
      </c>
    </row>
    <row r="2313" spans="1:41" x14ac:dyDescent="0.2">
      <c r="A2313">
        <v>367005</v>
      </c>
      <c r="B2313" t="s">
        <v>14782</v>
      </c>
      <c r="C2313" t="s">
        <v>182</v>
      </c>
      <c r="D2313" t="s">
        <v>811</v>
      </c>
      <c r="E2313" t="s">
        <v>14783</v>
      </c>
      <c r="F2313">
        <v>45132</v>
      </c>
      <c r="G2313" s="1">
        <v>33499</v>
      </c>
      <c r="H2313" s="1">
        <v>45644</v>
      </c>
      <c r="I2313" s="1">
        <v>45962</v>
      </c>
      <c r="J2313" t="s">
        <v>45</v>
      </c>
      <c r="K2313" t="s">
        <v>45</v>
      </c>
      <c r="L2313" t="s">
        <v>429</v>
      </c>
      <c r="M2313" s="1">
        <v>42577</v>
      </c>
      <c r="N2313" t="s">
        <v>47</v>
      </c>
      <c r="O2313" t="s">
        <v>48</v>
      </c>
      <c r="P2313" t="s">
        <v>49</v>
      </c>
      <c r="Q2313" t="s">
        <v>14784</v>
      </c>
      <c r="R2313" t="s">
        <v>14785</v>
      </c>
      <c r="S2313">
        <v>3661</v>
      </c>
      <c r="T2313" t="s">
        <v>365</v>
      </c>
      <c r="U2313" t="s">
        <v>815</v>
      </c>
      <c r="V2313" t="s">
        <v>816</v>
      </c>
      <c r="W2313" t="s">
        <v>367</v>
      </c>
      <c r="X2313" t="s">
        <v>493</v>
      </c>
      <c r="Y2313" t="s">
        <v>434</v>
      </c>
      <c r="Z2313">
        <v>89</v>
      </c>
      <c r="AA2313">
        <v>52</v>
      </c>
      <c r="AB2313">
        <v>166</v>
      </c>
      <c r="AC2313" t="s">
        <v>4600</v>
      </c>
      <c r="AD2313" t="s">
        <v>818</v>
      </c>
      <c r="AE2313" t="s">
        <v>819</v>
      </c>
      <c r="AI2313" t="s">
        <v>179</v>
      </c>
      <c r="AJ2313" s="2">
        <v>45652.857800925929</v>
      </c>
      <c r="AK2313" t="s">
        <v>556</v>
      </c>
      <c r="AL2313" t="s">
        <v>65</v>
      </c>
      <c r="AM2313" s="3">
        <v>2.1319444444444446</v>
      </c>
      <c r="AN2313" t="s">
        <v>66</v>
      </c>
      <c r="AO2313" t="s">
        <v>67</v>
      </c>
    </row>
    <row r="2314" spans="1:41" x14ac:dyDescent="0.2">
      <c r="A2314">
        <v>363633</v>
      </c>
      <c r="B2314" t="s">
        <v>14786</v>
      </c>
      <c r="C2314" t="s">
        <v>69</v>
      </c>
      <c r="D2314" t="s">
        <v>69</v>
      </c>
      <c r="E2314" t="s">
        <v>14787</v>
      </c>
      <c r="F2314">
        <v>101045</v>
      </c>
      <c r="G2314" s="1">
        <v>31321</v>
      </c>
      <c r="H2314" s="1">
        <v>45496</v>
      </c>
      <c r="I2314" s="1">
        <v>46204</v>
      </c>
      <c r="J2314" t="s">
        <v>45</v>
      </c>
      <c r="K2314" t="s">
        <v>45</v>
      </c>
      <c r="L2314" t="s">
        <v>429</v>
      </c>
      <c r="M2314" s="1">
        <v>44120</v>
      </c>
      <c r="N2314" t="s">
        <v>47</v>
      </c>
      <c r="O2314" t="s">
        <v>48</v>
      </c>
      <c r="P2314" t="s">
        <v>49</v>
      </c>
      <c r="Q2314" t="s">
        <v>14788</v>
      </c>
      <c r="R2314" t="s">
        <v>14789</v>
      </c>
      <c r="S2314">
        <v>4600</v>
      </c>
      <c r="T2314" t="s">
        <v>52</v>
      </c>
      <c r="U2314">
        <v>1</v>
      </c>
      <c r="V2314" t="s">
        <v>4698</v>
      </c>
      <c r="W2314" t="s">
        <v>54</v>
      </c>
      <c r="X2314" t="s">
        <v>76</v>
      </c>
      <c r="Y2314" t="s">
        <v>56</v>
      </c>
      <c r="Z2314">
        <v>561</v>
      </c>
      <c r="AA2314">
        <v>72</v>
      </c>
      <c r="AB2314">
        <v>38</v>
      </c>
      <c r="AC2314" t="s">
        <v>11724</v>
      </c>
      <c r="AD2314" t="s">
        <v>11725</v>
      </c>
      <c r="AE2314" t="s">
        <v>11726</v>
      </c>
      <c r="AF2314" t="s">
        <v>4702</v>
      </c>
      <c r="AG2314" t="s">
        <v>4703</v>
      </c>
      <c r="AH2314" t="s">
        <v>6200</v>
      </c>
      <c r="AI2314" t="s">
        <v>6201</v>
      </c>
      <c r="AJ2314" s="2">
        <v>45518.680277777778</v>
      </c>
      <c r="AK2314" t="s">
        <v>10133</v>
      </c>
      <c r="AL2314" t="s">
        <v>65</v>
      </c>
      <c r="AM2314" s="3">
        <v>1.1388888888888888</v>
      </c>
      <c r="AN2314" t="s">
        <v>66</v>
      </c>
      <c r="AO2314" t="s">
        <v>67</v>
      </c>
    </row>
    <row r="2315" spans="1:41" x14ac:dyDescent="0.2">
      <c r="A2315">
        <v>367001</v>
      </c>
      <c r="B2315" t="s">
        <v>14790</v>
      </c>
      <c r="C2315" t="s">
        <v>558</v>
      </c>
      <c r="D2315" t="s">
        <v>70</v>
      </c>
      <c r="E2315">
        <v>32516644</v>
      </c>
      <c r="F2315">
        <v>261705</v>
      </c>
      <c r="G2315" s="1">
        <v>33029</v>
      </c>
      <c r="H2315" s="1">
        <v>45609</v>
      </c>
      <c r="I2315" s="1">
        <v>46068</v>
      </c>
      <c r="J2315" t="s">
        <v>45</v>
      </c>
      <c r="K2315" t="s">
        <v>45</v>
      </c>
      <c r="L2315" t="s">
        <v>429</v>
      </c>
      <c r="M2315" s="1">
        <v>45642</v>
      </c>
      <c r="N2315" t="s">
        <v>47</v>
      </c>
      <c r="O2315" t="s">
        <v>48</v>
      </c>
      <c r="P2315" t="s">
        <v>49</v>
      </c>
      <c r="Q2315" t="s">
        <v>14791</v>
      </c>
      <c r="R2315" t="s">
        <v>14792</v>
      </c>
      <c r="S2315">
        <v>3756</v>
      </c>
      <c r="T2315" t="s">
        <v>365</v>
      </c>
      <c r="U2315" t="s">
        <v>562</v>
      </c>
      <c r="V2315" t="s">
        <v>14793</v>
      </c>
      <c r="W2315" t="s">
        <v>367</v>
      </c>
      <c r="X2315" t="s">
        <v>493</v>
      </c>
      <c r="Y2315" t="s">
        <v>434</v>
      </c>
      <c r="Z2315">
        <v>271</v>
      </c>
      <c r="AA2315">
        <v>58</v>
      </c>
      <c r="AB2315">
        <v>158</v>
      </c>
      <c r="AC2315" t="s">
        <v>14794</v>
      </c>
      <c r="AD2315" t="s">
        <v>14795</v>
      </c>
      <c r="AE2315" t="s">
        <v>14796</v>
      </c>
      <c r="AF2315" t="s">
        <v>14797</v>
      </c>
      <c r="AG2315" t="s">
        <v>14798</v>
      </c>
      <c r="AH2315" t="s">
        <v>14799</v>
      </c>
      <c r="AI2315" t="s">
        <v>500</v>
      </c>
      <c r="AJ2315" s="2">
        <v>45652.855104166665</v>
      </c>
      <c r="AK2315" t="s">
        <v>556</v>
      </c>
      <c r="AL2315" t="s">
        <v>65</v>
      </c>
      <c r="AM2315" s="3">
        <v>1.4236111111111112</v>
      </c>
      <c r="AN2315" t="s">
        <v>66</v>
      </c>
      <c r="AO2315" t="s">
        <v>67</v>
      </c>
    </row>
    <row r="2316" spans="1:41" x14ac:dyDescent="0.2">
      <c r="A2316">
        <v>372279</v>
      </c>
      <c r="B2316" t="s">
        <v>14790</v>
      </c>
      <c r="C2316" t="s">
        <v>735</v>
      </c>
      <c r="D2316" t="s">
        <v>736</v>
      </c>
      <c r="E2316" t="s">
        <v>14800</v>
      </c>
      <c r="F2316">
        <v>245410</v>
      </c>
      <c r="G2316" s="1">
        <v>32051</v>
      </c>
      <c r="H2316" s="1">
        <v>45835</v>
      </c>
      <c r="I2316" s="1">
        <v>46188</v>
      </c>
      <c r="J2316" t="s">
        <v>45</v>
      </c>
      <c r="K2316" t="s">
        <v>45</v>
      </c>
      <c r="L2316" t="s">
        <v>72</v>
      </c>
      <c r="M2316" s="1">
        <v>43718</v>
      </c>
      <c r="N2316" t="s">
        <v>47</v>
      </c>
      <c r="O2316" t="s">
        <v>48</v>
      </c>
      <c r="P2316" t="s">
        <v>49</v>
      </c>
      <c r="Q2316" t="s">
        <v>14801</v>
      </c>
      <c r="R2316" t="s">
        <v>14802</v>
      </c>
      <c r="S2316">
        <v>6677</v>
      </c>
      <c r="T2316" t="s">
        <v>52</v>
      </c>
      <c r="U2316">
        <v>1</v>
      </c>
      <c r="V2316" t="s">
        <v>740</v>
      </c>
      <c r="W2316" t="s">
        <v>54</v>
      </c>
      <c r="X2316" t="s">
        <v>76</v>
      </c>
      <c r="Y2316" t="s">
        <v>56</v>
      </c>
      <c r="Z2316">
        <v>197</v>
      </c>
      <c r="AA2316">
        <v>48</v>
      </c>
      <c r="AB2316">
        <v>146</v>
      </c>
      <c r="AC2316" t="s">
        <v>3720</v>
      </c>
      <c r="AD2316" t="s">
        <v>3721</v>
      </c>
      <c r="AE2316" t="s">
        <v>3722</v>
      </c>
      <c r="AF2316" t="s">
        <v>741</v>
      </c>
      <c r="AG2316" t="s">
        <v>742</v>
      </c>
      <c r="AH2316" t="s">
        <v>743</v>
      </c>
      <c r="AI2316" t="s">
        <v>14803</v>
      </c>
      <c r="AJ2316" s="2">
        <v>45835.918379629627</v>
      </c>
      <c r="AK2316" t="s">
        <v>375</v>
      </c>
      <c r="AL2316" t="s">
        <v>65</v>
      </c>
      <c r="AM2316" s="4">
        <v>0.11805555555555555</v>
      </c>
      <c r="AN2316" t="s">
        <v>66</v>
      </c>
      <c r="AO2316" t="s">
        <v>67</v>
      </c>
    </row>
    <row r="2317" spans="1:41" x14ac:dyDescent="0.2">
      <c r="A2317">
        <v>364182</v>
      </c>
      <c r="B2317" t="s">
        <v>14804</v>
      </c>
      <c r="C2317" t="s">
        <v>69</v>
      </c>
      <c r="D2317" t="s">
        <v>7205</v>
      </c>
      <c r="E2317" t="s">
        <v>14805</v>
      </c>
      <c r="F2317">
        <v>101316</v>
      </c>
      <c r="G2317" s="1">
        <v>38584</v>
      </c>
      <c r="H2317" s="1">
        <v>45532</v>
      </c>
      <c r="I2317" s="1">
        <v>46249</v>
      </c>
      <c r="J2317" t="s">
        <v>45</v>
      </c>
      <c r="K2317" t="s">
        <v>45</v>
      </c>
      <c r="L2317" t="s">
        <v>429</v>
      </c>
      <c r="M2317" s="1">
        <v>40365</v>
      </c>
      <c r="N2317" t="s">
        <v>47</v>
      </c>
      <c r="O2317" t="s">
        <v>48</v>
      </c>
      <c r="P2317" t="s">
        <v>49</v>
      </c>
      <c r="Q2317" t="s">
        <v>14806</v>
      </c>
      <c r="R2317" t="s">
        <v>14807</v>
      </c>
      <c r="S2317">
        <v>7910</v>
      </c>
      <c r="T2317" t="s">
        <v>52</v>
      </c>
      <c r="U2317">
        <v>4</v>
      </c>
      <c r="V2317" t="s">
        <v>3135</v>
      </c>
      <c r="W2317" t="s">
        <v>54</v>
      </c>
      <c r="X2317" t="s">
        <v>76</v>
      </c>
      <c r="Y2317" t="s">
        <v>56</v>
      </c>
      <c r="Z2317">
        <v>1783</v>
      </c>
      <c r="AA2317">
        <v>65</v>
      </c>
      <c r="AB2317">
        <v>38</v>
      </c>
      <c r="AC2317" t="s">
        <v>7209</v>
      </c>
      <c r="AD2317" t="s">
        <v>7210</v>
      </c>
      <c r="AE2317" t="s">
        <v>7211</v>
      </c>
      <c r="AF2317" t="s">
        <v>7212</v>
      </c>
      <c r="AG2317" t="s">
        <v>7213</v>
      </c>
      <c r="AH2317" t="s">
        <v>7214</v>
      </c>
      <c r="AI2317" t="s">
        <v>7215</v>
      </c>
      <c r="AJ2317" s="2">
        <v>45534.722511574073</v>
      </c>
      <c r="AK2317" t="s">
        <v>2517</v>
      </c>
      <c r="AL2317" t="s">
        <v>65</v>
      </c>
      <c r="AM2317" s="3">
        <v>2</v>
      </c>
      <c r="AN2317" t="s">
        <v>66</v>
      </c>
      <c r="AO2317" t="s">
        <v>67</v>
      </c>
    </row>
    <row r="2318" spans="1:41" x14ac:dyDescent="0.2">
      <c r="A2318">
        <v>372725</v>
      </c>
      <c r="B2318" t="s">
        <v>14808</v>
      </c>
      <c r="C2318" t="s">
        <v>278</v>
      </c>
      <c r="D2318" t="s">
        <v>14809</v>
      </c>
      <c r="E2318" t="s">
        <v>14810</v>
      </c>
      <c r="F2318">
        <v>420206</v>
      </c>
      <c r="G2318" s="1">
        <v>38993</v>
      </c>
      <c r="H2318" s="1">
        <v>45850</v>
      </c>
      <c r="I2318" s="1">
        <v>46204</v>
      </c>
      <c r="J2318" t="s">
        <v>45</v>
      </c>
      <c r="K2318" t="s">
        <v>45</v>
      </c>
      <c r="L2318" t="s">
        <v>429</v>
      </c>
      <c r="N2318" t="s">
        <v>47</v>
      </c>
      <c r="O2318" t="s">
        <v>48</v>
      </c>
      <c r="P2318" t="s">
        <v>49</v>
      </c>
      <c r="Q2318" t="s">
        <v>14811</v>
      </c>
      <c r="R2318" t="s">
        <v>14812</v>
      </c>
      <c r="S2318">
        <v>8738</v>
      </c>
      <c r="T2318" t="s">
        <v>52</v>
      </c>
      <c r="U2318">
        <v>4</v>
      </c>
      <c r="V2318" t="s">
        <v>1991</v>
      </c>
      <c r="W2318" t="s">
        <v>54</v>
      </c>
      <c r="X2318" t="s">
        <v>76</v>
      </c>
      <c r="Y2318" t="s">
        <v>56</v>
      </c>
      <c r="Z2318">
        <v>2620</v>
      </c>
      <c r="AA2318">
        <v>36</v>
      </c>
      <c r="AB2318">
        <v>176</v>
      </c>
      <c r="AC2318" t="s">
        <v>1992</v>
      </c>
      <c r="AD2318" t="s">
        <v>1993</v>
      </c>
      <c r="AE2318" t="s">
        <v>1994</v>
      </c>
      <c r="AF2318" t="s">
        <v>1995</v>
      </c>
      <c r="AG2318" t="s">
        <v>1996</v>
      </c>
      <c r="AH2318" t="s">
        <v>1997</v>
      </c>
      <c r="AI2318" t="s">
        <v>1998</v>
      </c>
      <c r="AJ2318" s="2">
        <v>45852.495833333334</v>
      </c>
      <c r="AK2318" t="s">
        <v>800</v>
      </c>
      <c r="AL2318" t="s">
        <v>65</v>
      </c>
      <c r="AM2318" s="4">
        <v>0.29166666666666669</v>
      </c>
      <c r="AN2318" t="s">
        <v>66</v>
      </c>
      <c r="AO2318" t="s">
        <v>67</v>
      </c>
    </row>
    <row r="2319" spans="1:41" x14ac:dyDescent="0.2">
      <c r="A2319">
        <v>369512</v>
      </c>
      <c r="B2319" t="s">
        <v>14813</v>
      </c>
      <c r="C2319" t="s">
        <v>2734</v>
      </c>
      <c r="D2319" t="s">
        <v>2910</v>
      </c>
      <c r="E2319" t="s">
        <v>14814</v>
      </c>
      <c r="F2319">
        <v>70052</v>
      </c>
      <c r="G2319" s="1">
        <v>38064</v>
      </c>
      <c r="H2319" s="1">
        <v>45742</v>
      </c>
      <c r="I2319" s="1">
        <v>46054</v>
      </c>
      <c r="J2319" t="s">
        <v>72</v>
      </c>
      <c r="K2319" t="s">
        <v>45</v>
      </c>
      <c r="L2319" t="s">
        <v>72</v>
      </c>
      <c r="M2319" s="1">
        <v>45363</v>
      </c>
      <c r="N2319" t="s">
        <v>47</v>
      </c>
      <c r="O2319" t="s">
        <v>48</v>
      </c>
      <c r="P2319" t="s">
        <v>586</v>
      </c>
      <c r="Q2319" t="s">
        <v>14815</v>
      </c>
      <c r="R2319" t="s">
        <v>14816</v>
      </c>
      <c r="S2319">
        <v>50</v>
      </c>
      <c r="T2319" t="s">
        <v>92</v>
      </c>
      <c r="U2319" t="s">
        <v>2740</v>
      </c>
      <c r="V2319" t="s">
        <v>2741</v>
      </c>
      <c r="W2319" t="s">
        <v>2742</v>
      </c>
      <c r="X2319" t="s">
        <v>52</v>
      </c>
      <c r="Y2319" t="s">
        <v>110</v>
      </c>
      <c r="Z2319">
        <v>2504</v>
      </c>
      <c r="AA2319">
        <v>39</v>
      </c>
      <c r="AB2319">
        <v>37</v>
      </c>
      <c r="AC2319" t="s">
        <v>2743</v>
      </c>
      <c r="AD2319" t="s">
        <v>2744</v>
      </c>
      <c r="AE2319" t="s">
        <v>2745</v>
      </c>
      <c r="AI2319" t="s">
        <v>2744</v>
      </c>
      <c r="AJ2319" s="2">
        <v>45742.780914351853</v>
      </c>
      <c r="AK2319" t="s">
        <v>2743</v>
      </c>
      <c r="AL2319" t="s">
        <v>65</v>
      </c>
      <c r="AM2319" s="4">
        <v>0.8125</v>
      </c>
      <c r="AN2319" t="s">
        <v>66</v>
      </c>
      <c r="AO2319" t="s">
        <v>101</v>
      </c>
    </row>
    <row r="2320" spans="1:41" x14ac:dyDescent="0.2">
      <c r="A2320">
        <v>368855</v>
      </c>
      <c r="B2320" t="s">
        <v>14817</v>
      </c>
      <c r="C2320" t="s">
        <v>182</v>
      </c>
      <c r="D2320" t="s">
        <v>894</v>
      </c>
      <c r="E2320" t="s">
        <v>14818</v>
      </c>
      <c r="F2320">
        <v>40611</v>
      </c>
      <c r="G2320" s="1">
        <v>37064</v>
      </c>
      <c r="H2320" s="1">
        <v>45699</v>
      </c>
      <c r="I2320" s="1">
        <v>46143</v>
      </c>
      <c r="J2320" t="s">
        <v>45</v>
      </c>
      <c r="K2320" t="s">
        <v>326</v>
      </c>
      <c r="L2320" t="s">
        <v>429</v>
      </c>
      <c r="M2320" s="1">
        <v>41990</v>
      </c>
      <c r="N2320" t="s">
        <v>47</v>
      </c>
      <c r="O2320" t="s">
        <v>48</v>
      </c>
      <c r="P2320" t="s">
        <v>49</v>
      </c>
      <c r="Q2320" t="s">
        <v>14819</v>
      </c>
      <c r="R2320" t="s">
        <v>14820</v>
      </c>
      <c r="S2320">
        <v>499</v>
      </c>
      <c r="T2320" t="s">
        <v>52</v>
      </c>
      <c r="U2320">
        <v>5</v>
      </c>
      <c r="V2320" t="s">
        <v>124</v>
      </c>
      <c r="W2320" t="s">
        <v>54</v>
      </c>
      <c r="X2320" t="s">
        <v>493</v>
      </c>
      <c r="Y2320" t="s">
        <v>434</v>
      </c>
      <c r="Z2320">
        <v>1915</v>
      </c>
      <c r="AA2320">
        <v>72</v>
      </c>
      <c r="AB2320">
        <v>34</v>
      </c>
      <c r="AC2320" t="s">
        <v>1069</v>
      </c>
      <c r="AD2320" t="s">
        <v>1070</v>
      </c>
      <c r="AE2320" t="s">
        <v>1071</v>
      </c>
      <c r="AF2320" t="s">
        <v>1072</v>
      </c>
      <c r="AG2320" t="s">
        <v>1073</v>
      </c>
      <c r="AH2320" t="s">
        <v>1071</v>
      </c>
      <c r="AI2320" t="s">
        <v>14821</v>
      </c>
      <c r="AJ2320" s="2">
        <v>45722.87736111111</v>
      </c>
      <c r="AK2320" t="s">
        <v>501</v>
      </c>
      <c r="AL2320" t="s">
        <v>65</v>
      </c>
      <c r="AM2320" s="3">
        <v>1.0069444444444444</v>
      </c>
      <c r="AN2320" t="s">
        <v>66</v>
      </c>
      <c r="AO2320" t="s">
        <v>67</v>
      </c>
    </row>
    <row r="2321" spans="1:41" x14ac:dyDescent="0.2">
      <c r="A2321">
        <v>363699</v>
      </c>
      <c r="B2321" t="s">
        <v>14822</v>
      </c>
      <c r="C2321" t="s">
        <v>345</v>
      </c>
      <c r="D2321" t="s">
        <v>3579</v>
      </c>
      <c r="E2321" t="s">
        <v>14823</v>
      </c>
      <c r="F2321">
        <v>50505</v>
      </c>
      <c r="G2321" s="1">
        <v>30813</v>
      </c>
      <c r="H2321" s="1">
        <v>45519</v>
      </c>
      <c r="I2321" s="1">
        <v>46235</v>
      </c>
      <c r="J2321" t="s">
        <v>45</v>
      </c>
      <c r="K2321" t="s">
        <v>45</v>
      </c>
      <c r="L2321" t="s">
        <v>72</v>
      </c>
      <c r="M2321" s="1">
        <v>43713</v>
      </c>
      <c r="N2321" t="s">
        <v>47</v>
      </c>
      <c r="O2321" t="s">
        <v>48</v>
      </c>
      <c r="P2321" t="s">
        <v>49</v>
      </c>
      <c r="Q2321" t="s">
        <v>14824</v>
      </c>
      <c r="R2321" t="s">
        <v>14825</v>
      </c>
      <c r="S2321">
        <v>8233</v>
      </c>
      <c r="T2321" t="s">
        <v>52</v>
      </c>
      <c r="U2321">
        <v>2</v>
      </c>
      <c r="V2321" t="s">
        <v>945</v>
      </c>
      <c r="W2321" t="s">
        <v>54</v>
      </c>
      <c r="X2321" t="s">
        <v>55</v>
      </c>
      <c r="Y2321" t="s">
        <v>56</v>
      </c>
      <c r="Z2321">
        <v>586</v>
      </c>
      <c r="AA2321">
        <v>55</v>
      </c>
      <c r="AB2321">
        <v>210</v>
      </c>
      <c r="AC2321" t="s">
        <v>946</v>
      </c>
      <c r="AD2321" t="s">
        <v>947</v>
      </c>
      <c r="AE2321" t="s">
        <v>948</v>
      </c>
      <c r="AI2321" t="s">
        <v>5572</v>
      </c>
      <c r="AJ2321" s="2">
        <v>45520.158090277779</v>
      </c>
      <c r="AK2321" t="s">
        <v>4471</v>
      </c>
      <c r="AL2321" t="s">
        <v>65</v>
      </c>
      <c r="AM2321" s="3">
        <v>1.3611111111111112</v>
      </c>
      <c r="AN2321" t="s">
        <v>66</v>
      </c>
      <c r="AO2321" t="s">
        <v>67</v>
      </c>
    </row>
    <row r="2322" spans="1:41" x14ac:dyDescent="0.2">
      <c r="A2322">
        <v>371171</v>
      </c>
      <c r="B2322" t="s">
        <v>14826</v>
      </c>
      <c r="C2322" t="s">
        <v>236</v>
      </c>
      <c r="D2322" t="s">
        <v>14827</v>
      </c>
      <c r="E2322" t="s">
        <v>14828</v>
      </c>
      <c r="F2322">
        <v>216901</v>
      </c>
      <c r="G2322" s="1">
        <v>39625</v>
      </c>
      <c r="H2322" s="1">
        <v>45610</v>
      </c>
      <c r="I2322" s="1">
        <v>45915</v>
      </c>
      <c r="J2322" t="s">
        <v>45</v>
      </c>
      <c r="K2322" t="s">
        <v>45</v>
      </c>
      <c r="L2322" t="s">
        <v>72</v>
      </c>
      <c r="M2322" s="1">
        <v>44354</v>
      </c>
      <c r="N2322" t="s">
        <v>47</v>
      </c>
      <c r="O2322" t="s">
        <v>48</v>
      </c>
      <c r="P2322" t="s">
        <v>49</v>
      </c>
      <c r="Q2322" t="s">
        <v>14829</v>
      </c>
      <c r="R2322" t="s">
        <v>14830</v>
      </c>
      <c r="S2322">
        <v>1657</v>
      </c>
      <c r="T2322" t="s">
        <v>257</v>
      </c>
      <c r="U2322" t="s">
        <v>258</v>
      </c>
      <c r="V2322" t="s">
        <v>14831</v>
      </c>
      <c r="W2322" t="s">
        <v>260</v>
      </c>
      <c r="X2322" t="s">
        <v>257</v>
      </c>
      <c r="Y2322" t="s">
        <v>110</v>
      </c>
      <c r="Z2322">
        <v>3000</v>
      </c>
      <c r="AA2322">
        <v>28</v>
      </c>
      <c r="AB2322">
        <v>146</v>
      </c>
      <c r="AC2322" t="s">
        <v>14832</v>
      </c>
      <c r="AD2322" t="s">
        <v>14833</v>
      </c>
      <c r="AE2322" t="s">
        <v>14834</v>
      </c>
      <c r="AF2322" t="s">
        <v>264</v>
      </c>
      <c r="AG2322" t="s">
        <v>265</v>
      </c>
      <c r="AH2322" t="s">
        <v>266</v>
      </c>
      <c r="AI2322" t="s">
        <v>14835</v>
      </c>
      <c r="AJ2322" s="2">
        <v>45797.852199074077</v>
      </c>
      <c r="AK2322" t="s">
        <v>660</v>
      </c>
      <c r="AL2322" t="s">
        <v>65</v>
      </c>
      <c r="AM2322" s="4">
        <v>0.88888888888888884</v>
      </c>
      <c r="AN2322" t="s">
        <v>66</v>
      </c>
      <c r="AO2322" t="s">
        <v>67</v>
      </c>
    </row>
    <row r="2323" spans="1:41" x14ac:dyDescent="0.2">
      <c r="A2323">
        <v>366228</v>
      </c>
      <c r="B2323" t="s">
        <v>14836</v>
      </c>
      <c r="C2323" t="s">
        <v>345</v>
      </c>
      <c r="D2323" t="s">
        <v>3579</v>
      </c>
      <c r="E2323" t="s">
        <v>14837</v>
      </c>
      <c r="F2323">
        <v>50508</v>
      </c>
      <c r="G2323" s="1">
        <v>38132</v>
      </c>
      <c r="H2323" s="1">
        <v>45519</v>
      </c>
      <c r="I2323" s="1">
        <v>45962</v>
      </c>
      <c r="J2323" t="s">
        <v>45</v>
      </c>
      <c r="K2323" t="s">
        <v>45</v>
      </c>
      <c r="L2323" t="s">
        <v>72</v>
      </c>
      <c r="M2323" s="1">
        <v>45609</v>
      </c>
      <c r="N2323" t="s">
        <v>47</v>
      </c>
      <c r="O2323" t="s">
        <v>48</v>
      </c>
      <c r="P2323" t="s">
        <v>49</v>
      </c>
      <c r="Q2323" t="s">
        <v>14838</v>
      </c>
      <c r="R2323" t="s">
        <v>14839</v>
      </c>
      <c r="S2323">
        <v>6160</v>
      </c>
      <c r="T2323" t="s">
        <v>52</v>
      </c>
      <c r="U2323">
        <v>2</v>
      </c>
      <c r="V2323" t="s">
        <v>945</v>
      </c>
      <c r="W2323" t="s">
        <v>54</v>
      </c>
      <c r="X2323" t="s">
        <v>55</v>
      </c>
      <c r="Y2323" t="s">
        <v>56</v>
      </c>
      <c r="Z2323">
        <v>1128</v>
      </c>
      <c r="AA2323">
        <v>51</v>
      </c>
      <c r="AB2323">
        <v>160</v>
      </c>
      <c r="AC2323" t="s">
        <v>946</v>
      </c>
      <c r="AD2323" t="s">
        <v>947</v>
      </c>
      <c r="AE2323" t="s">
        <v>948</v>
      </c>
      <c r="AI2323" t="s">
        <v>5572</v>
      </c>
      <c r="AJ2323" s="2">
        <v>45609.875034722223</v>
      </c>
      <c r="AK2323" t="s">
        <v>946</v>
      </c>
      <c r="AL2323" t="s">
        <v>65</v>
      </c>
      <c r="AM2323" s="3">
        <v>2.3819444444444446</v>
      </c>
      <c r="AN2323" t="s">
        <v>66</v>
      </c>
      <c r="AO2323" t="s">
        <v>67</v>
      </c>
    </row>
    <row r="2324" spans="1:41" x14ac:dyDescent="0.2">
      <c r="A2324">
        <v>372505</v>
      </c>
      <c r="B2324" t="s">
        <v>14840</v>
      </c>
      <c r="C2324" t="s">
        <v>167</v>
      </c>
      <c r="D2324" t="s">
        <v>2264</v>
      </c>
      <c r="E2324" t="s">
        <v>14841</v>
      </c>
      <c r="F2324">
        <v>351320</v>
      </c>
      <c r="G2324" s="1">
        <v>45706</v>
      </c>
      <c r="H2324" s="1">
        <v>45703</v>
      </c>
      <c r="J2324" t="s">
        <v>45</v>
      </c>
      <c r="K2324" t="s">
        <v>45</v>
      </c>
      <c r="L2324" t="s">
        <v>46</v>
      </c>
      <c r="N2324" t="s">
        <v>47</v>
      </c>
      <c r="O2324" t="s">
        <v>48</v>
      </c>
      <c r="P2324" t="s">
        <v>49</v>
      </c>
      <c r="Q2324" t="s">
        <v>14842</v>
      </c>
      <c r="R2324" t="s">
        <v>14843</v>
      </c>
      <c r="S2324">
        <v>622</v>
      </c>
      <c r="T2324" t="s">
        <v>1328</v>
      </c>
      <c r="U2324" t="s">
        <v>3114</v>
      </c>
      <c r="V2324" t="s">
        <v>4177</v>
      </c>
      <c r="W2324" t="s">
        <v>4178</v>
      </c>
      <c r="X2324" t="s">
        <v>1328</v>
      </c>
      <c r="Y2324" t="s">
        <v>96</v>
      </c>
      <c r="Z2324">
        <v>12299</v>
      </c>
      <c r="AA2324">
        <v>7</v>
      </c>
      <c r="AB2324">
        <v>48</v>
      </c>
      <c r="AC2324" t="s">
        <v>4179</v>
      </c>
      <c r="AD2324" t="s">
        <v>4180</v>
      </c>
      <c r="AE2324" t="s">
        <v>4181</v>
      </c>
      <c r="AF2324" t="s">
        <v>4182</v>
      </c>
      <c r="AG2324" t="s">
        <v>4183</v>
      </c>
      <c r="AH2324" t="s">
        <v>4184</v>
      </c>
      <c r="AJ2324" s="2">
        <v>45841.612291666665</v>
      </c>
      <c r="AK2324" t="s">
        <v>1167</v>
      </c>
      <c r="AL2324" t="s">
        <v>65</v>
      </c>
      <c r="AM2324" t="s">
        <v>14844</v>
      </c>
      <c r="AN2324" t="s">
        <v>66</v>
      </c>
      <c r="AO2324" t="s">
        <v>67</v>
      </c>
    </row>
    <row r="2325" spans="1:41" x14ac:dyDescent="0.2">
      <c r="A2325">
        <v>372246</v>
      </c>
      <c r="B2325" t="s">
        <v>14845</v>
      </c>
      <c r="C2325" t="s">
        <v>182</v>
      </c>
      <c r="D2325" t="s">
        <v>4421</v>
      </c>
      <c r="E2325" t="s">
        <v>14846</v>
      </c>
      <c r="F2325">
        <v>45223</v>
      </c>
      <c r="G2325" s="1">
        <v>42199</v>
      </c>
      <c r="H2325" s="1">
        <v>45834</v>
      </c>
      <c r="I2325" s="1">
        <v>46218</v>
      </c>
      <c r="J2325" t="s">
        <v>45</v>
      </c>
      <c r="K2325" t="s">
        <v>45</v>
      </c>
      <c r="L2325" t="s">
        <v>72</v>
      </c>
      <c r="M2325" s="1">
        <v>43714</v>
      </c>
      <c r="N2325" t="s">
        <v>47</v>
      </c>
      <c r="O2325" t="s">
        <v>48</v>
      </c>
      <c r="P2325" t="s">
        <v>49</v>
      </c>
      <c r="Q2325" t="s">
        <v>14847</v>
      </c>
      <c r="R2325" t="s">
        <v>14848</v>
      </c>
      <c r="S2325">
        <v>1465</v>
      </c>
      <c r="T2325" t="s">
        <v>92</v>
      </c>
      <c r="U2325" t="s">
        <v>187</v>
      </c>
      <c r="V2325" t="s">
        <v>4425</v>
      </c>
      <c r="W2325" t="s">
        <v>4426</v>
      </c>
      <c r="X2325" t="s">
        <v>92</v>
      </c>
      <c r="Y2325" t="s">
        <v>110</v>
      </c>
      <c r="Z2325">
        <v>7887</v>
      </c>
      <c r="AA2325">
        <v>30</v>
      </c>
      <c r="AB2325">
        <v>42</v>
      </c>
      <c r="AC2325" t="s">
        <v>4427</v>
      </c>
      <c r="AD2325" t="s">
        <v>4428</v>
      </c>
      <c r="AE2325" t="s">
        <v>4429</v>
      </c>
      <c r="AF2325" t="s">
        <v>4430</v>
      </c>
      <c r="AG2325" t="s">
        <v>4431</v>
      </c>
      <c r="AH2325" t="s">
        <v>4432</v>
      </c>
      <c r="AI2325" t="s">
        <v>4433</v>
      </c>
      <c r="AJ2325" s="2">
        <v>45847.727812500001</v>
      </c>
      <c r="AK2325" t="s">
        <v>4427</v>
      </c>
      <c r="AL2325" t="s">
        <v>65</v>
      </c>
      <c r="AM2325" s="4">
        <v>0.25694444444444442</v>
      </c>
      <c r="AN2325" t="s">
        <v>66</v>
      </c>
      <c r="AO2325" t="s">
        <v>67</v>
      </c>
    </row>
    <row r="2326" spans="1:41" x14ac:dyDescent="0.2">
      <c r="A2326">
        <v>367081</v>
      </c>
      <c r="B2326" t="s">
        <v>14849</v>
      </c>
      <c r="C2326" t="s">
        <v>323</v>
      </c>
      <c r="D2326" t="s">
        <v>10263</v>
      </c>
      <c r="E2326">
        <v>12609390</v>
      </c>
      <c r="F2326">
        <v>500505</v>
      </c>
      <c r="G2326" s="1">
        <v>34177</v>
      </c>
      <c r="H2326" s="1">
        <v>45428</v>
      </c>
      <c r="I2326" s="1">
        <v>46037</v>
      </c>
      <c r="J2326" t="s">
        <v>45</v>
      </c>
      <c r="K2326" t="s">
        <v>45</v>
      </c>
      <c r="L2326" t="s">
        <v>72</v>
      </c>
      <c r="M2326" s="1">
        <v>43609</v>
      </c>
      <c r="N2326" t="s">
        <v>47</v>
      </c>
      <c r="O2326" t="s">
        <v>48</v>
      </c>
      <c r="P2326" t="s">
        <v>49</v>
      </c>
      <c r="Q2326" t="s">
        <v>14850</v>
      </c>
      <c r="R2326" t="s">
        <v>14851</v>
      </c>
      <c r="S2326">
        <v>179</v>
      </c>
      <c r="T2326" t="s">
        <v>156</v>
      </c>
      <c r="U2326" t="s">
        <v>460</v>
      </c>
      <c r="V2326" t="s">
        <v>330</v>
      </c>
      <c r="W2326" t="s">
        <v>159</v>
      </c>
      <c r="X2326" t="s">
        <v>156</v>
      </c>
      <c r="Y2326" t="s">
        <v>110</v>
      </c>
      <c r="Z2326">
        <v>464</v>
      </c>
      <c r="AA2326">
        <v>40</v>
      </c>
      <c r="AB2326">
        <v>152</v>
      </c>
      <c r="AC2326" t="s">
        <v>368</v>
      </c>
      <c r="AD2326" t="s">
        <v>369</v>
      </c>
      <c r="AE2326" t="s">
        <v>370</v>
      </c>
      <c r="AF2326" t="s">
        <v>5645</v>
      </c>
      <c r="AG2326" t="s">
        <v>5646</v>
      </c>
      <c r="AH2326" t="s">
        <v>5647</v>
      </c>
      <c r="AI2326" t="s">
        <v>14852</v>
      </c>
      <c r="AJ2326" s="2">
        <v>45659.953541666669</v>
      </c>
      <c r="AK2326" t="s">
        <v>384</v>
      </c>
      <c r="AL2326" t="s">
        <v>65</v>
      </c>
      <c r="AM2326" s="3">
        <v>2.4097222222222223</v>
      </c>
      <c r="AN2326" t="s">
        <v>66</v>
      </c>
      <c r="AO2326" t="s">
        <v>67</v>
      </c>
    </row>
    <row r="2327" spans="1:41" x14ac:dyDescent="0.2">
      <c r="A2327">
        <v>358379</v>
      </c>
      <c r="B2327" t="s">
        <v>14853</v>
      </c>
      <c r="C2327" t="s">
        <v>103</v>
      </c>
      <c r="D2327" t="s">
        <v>14854</v>
      </c>
      <c r="E2327" t="s">
        <v>14855</v>
      </c>
      <c r="F2327">
        <v>312001</v>
      </c>
      <c r="G2327" s="1">
        <v>37466</v>
      </c>
      <c r="H2327" s="1">
        <v>45342</v>
      </c>
      <c r="I2327" s="1">
        <v>46068</v>
      </c>
      <c r="J2327" t="s">
        <v>45</v>
      </c>
      <c r="K2327" t="s">
        <v>45</v>
      </c>
      <c r="L2327" t="s">
        <v>72</v>
      </c>
      <c r="M2327" s="1">
        <v>44874</v>
      </c>
      <c r="N2327" t="s">
        <v>47</v>
      </c>
      <c r="O2327" t="s">
        <v>48</v>
      </c>
      <c r="P2327" t="s">
        <v>49</v>
      </c>
      <c r="Q2327" t="s">
        <v>14856</v>
      </c>
      <c r="R2327" t="s">
        <v>14857</v>
      </c>
      <c r="S2327">
        <v>2384</v>
      </c>
      <c r="T2327" t="s">
        <v>92</v>
      </c>
      <c r="U2327" t="s">
        <v>107</v>
      </c>
      <c r="V2327" t="s">
        <v>108</v>
      </c>
      <c r="W2327" t="s">
        <v>109</v>
      </c>
      <c r="X2327" t="s">
        <v>52</v>
      </c>
      <c r="Y2327" t="s">
        <v>110</v>
      </c>
      <c r="Z2327">
        <v>2254</v>
      </c>
      <c r="AA2327">
        <v>36</v>
      </c>
      <c r="AB2327">
        <v>189</v>
      </c>
      <c r="AC2327" t="s">
        <v>14858</v>
      </c>
      <c r="AD2327" t="s">
        <v>14859</v>
      </c>
      <c r="AE2327" t="s">
        <v>14860</v>
      </c>
      <c r="AF2327" t="s">
        <v>1464</v>
      </c>
      <c r="AG2327" t="s">
        <v>4566</v>
      </c>
      <c r="AH2327" t="s">
        <v>1465</v>
      </c>
      <c r="AI2327" t="s">
        <v>14859</v>
      </c>
      <c r="AJ2327" s="2">
        <v>45818.719537037039</v>
      </c>
      <c r="AK2327" t="s">
        <v>100</v>
      </c>
      <c r="AL2327" t="s">
        <v>65</v>
      </c>
      <c r="AM2327" s="3">
        <v>1.3541666666666667</v>
      </c>
      <c r="AN2327" t="s">
        <v>66</v>
      </c>
      <c r="AO2327" t="s">
        <v>101</v>
      </c>
    </row>
    <row r="2328" spans="1:41" x14ac:dyDescent="0.2">
      <c r="A2328">
        <v>371552</v>
      </c>
      <c r="B2328" t="s">
        <v>14861</v>
      </c>
      <c r="C2328" t="s">
        <v>323</v>
      </c>
      <c r="D2328" t="s">
        <v>5058</v>
      </c>
      <c r="E2328">
        <v>32442510</v>
      </c>
      <c r="G2328" s="1">
        <v>37397</v>
      </c>
      <c r="H2328" s="1">
        <v>45787</v>
      </c>
      <c r="I2328" s="1">
        <v>46037</v>
      </c>
      <c r="J2328" t="s">
        <v>45</v>
      </c>
      <c r="K2328" t="s">
        <v>45</v>
      </c>
      <c r="L2328" t="s">
        <v>72</v>
      </c>
      <c r="M2328" s="1">
        <v>45429</v>
      </c>
      <c r="N2328" t="s">
        <v>47</v>
      </c>
      <c r="O2328" t="s">
        <v>48</v>
      </c>
      <c r="P2328" t="s">
        <v>49</v>
      </c>
      <c r="Q2328" t="s">
        <v>14862</v>
      </c>
      <c r="R2328" t="s">
        <v>14863</v>
      </c>
      <c r="S2328">
        <v>3050</v>
      </c>
      <c r="T2328" t="s">
        <v>365</v>
      </c>
      <c r="U2328" t="s">
        <v>366</v>
      </c>
      <c r="V2328" t="s">
        <v>330</v>
      </c>
      <c r="W2328" t="s">
        <v>367</v>
      </c>
      <c r="X2328" t="s">
        <v>76</v>
      </c>
      <c r="Y2328" t="s">
        <v>110</v>
      </c>
      <c r="Z2328">
        <v>1446</v>
      </c>
      <c r="AA2328">
        <v>47</v>
      </c>
      <c r="AB2328">
        <v>158</v>
      </c>
      <c r="AC2328" t="s">
        <v>368</v>
      </c>
      <c r="AD2328" t="s">
        <v>369</v>
      </c>
      <c r="AE2328" t="s">
        <v>370</v>
      </c>
      <c r="AF2328" t="s">
        <v>384</v>
      </c>
      <c r="AG2328" t="s">
        <v>385</v>
      </c>
      <c r="AH2328" t="s">
        <v>386</v>
      </c>
      <c r="AI2328" t="s">
        <v>14864</v>
      </c>
      <c r="AJ2328" s="2">
        <v>45814.870428240742</v>
      </c>
      <c r="AK2328" t="s">
        <v>727</v>
      </c>
      <c r="AL2328" t="s">
        <v>65</v>
      </c>
      <c r="AM2328" s="4">
        <v>0.79861111111111116</v>
      </c>
      <c r="AN2328" t="s">
        <v>66</v>
      </c>
      <c r="AO2328" t="s">
        <v>67</v>
      </c>
    </row>
    <row r="2329" spans="1:41" x14ac:dyDescent="0.2">
      <c r="A2329">
        <v>370047</v>
      </c>
      <c r="B2329" t="s">
        <v>14865</v>
      </c>
      <c r="C2329" t="s">
        <v>42</v>
      </c>
      <c r="D2329" t="s">
        <v>2050</v>
      </c>
      <c r="E2329" t="s">
        <v>14866</v>
      </c>
      <c r="F2329">
        <v>292005</v>
      </c>
      <c r="G2329" s="1">
        <v>40632</v>
      </c>
      <c r="H2329" s="1">
        <v>45755</v>
      </c>
      <c r="I2329" s="1">
        <v>46127</v>
      </c>
      <c r="J2329" t="s">
        <v>45</v>
      </c>
      <c r="K2329" t="s">
        <v>45</v>
      </c>
      <c r="L2329" t="s">
        <v>46</v>
      </c>
      <c r="M2329" s="1">
        <v>43949</v>
      </c>
      <c r="N2329" t="s">
        <v>47</v>
      </c>
      <c r="O2329" t="s">
        <v>48</v>
      </c>
      <c r="P2329" t="s">
        <v>49</v>
      </c>
      <c r="Q2329" t="s">
        <v>14867</v>
      </c>
      <c r="R2329" t="s">
        <v>14868</v>
      </c>
      <c r="S2329">
        <v>5846</v>
      </c>
      <c r="T2329" t="s">
        <v>52</v>
      </c>
      <c r="U2329">
        <v>3</v>
      </c>
      <c r="V2329" t="s">
        <v>2054</v>
      </c>
      <c r="W2329" t="s">
        <v>54</v>
      </c>
      <c r="X2329" t="s">
        <v>55</v>
      </c>
      <c r="Y2329" t="s">
        <v>56</v>
      </c>
      <c r="Z2329">
        <v>3606</v>
      </c>
      <c r="AA2329">
        <v>31</v>
      </c>
      <c r="AB2329">
        <v>30</v>
      </c>
      <c r="AC2329" t="s">
        <v>2058</v>
      </c>
      <c r="AD2329" t="s">
        <v>2059</v>
      </c>
      <c r="AE2329" t="s">
        <v>3750</v>
      </c>
      <c r="AF2329" t="s">
        <v>14869</v>
      </c>
      <c r="AG2329" t="s">
        <v>14870</v>
      </c>
      <c r="AH2329" t="s">
        <v>14871</v>
      </c>
      <c r="AI2329" t="s">
        <v>14872</v>
      </c>
      <c r="AJ2329" s="2">
        <v>45762.683680555558</v>
      </c>
      <c r="AK2329" t="s">
        <v>609</v>
      </c>
      <c r="AL2329" t="s">
        <v>65</v>
      </c>
      <c r="AM2329" s="4">
        <v>0.34027777777777779</v>
      </c>
      <c r="AN2329" t="s">
        <v>66</v>
      </c>
      <c r="AO2329" t="s">
        <v>67</v>
      </c>
    </row>
    <row r="2330" spans="1:41" x14ac:dyDescent="0.2">
      <c r="A2330">
        <v>371612</v>
      </c>
      <c r="B2330" t="s">
        <v>14873</v>
      </c>
      <c r="C2330" t="s">
        <v>86</v>
      </c>
      <c r="D2330" t="s">
        <v>14874</v>
      </c>
      <c r="E2330" t="s">
        <v>14875</v>
      </c>
      <c r="F2330">
        <v>201401</v>
      </c>
      <c r="G2330" s="1">
        <v>32964</v>
      </c>
      <c r="H2330" s="1">
        <v>45780</v>
      </c>
      <c r="I2330" s="1">
        <v>46143</v>
      </c>
      <c r="J2330" t="s">
        <v>45</v>
      </c>
      <c r="K2330" t="s">
        <v>45</v>
      </c>
      <c r="L2330" t="s">
        <v>72</v>
      </c>
      <c r="M2330" s="1">
        <v>44369</v>
      </c>
      <c r="N2330" t="s">
        <v>47</v>
      </c>
      <c r="O2330" t="s">
        <v>48</v>
      </c>
      <c r="P2330" t="s">
        <v>49</v>
      </c>
      <c r="Q2330" t="s">
        <v>14876</v>
      </c>
      <c r="R2330" t="s">
        <v>14877</v>
      </c>
      <c r="S2330">
        <v>862</v>
      </c>
      <c r="T2330" t="s">
        <v>92</v>
      </c>
      <c r="U2330" t="s">
        <v>93</v>
      </c>
      <c r="V2330" t="s">
        <v>506</v>
      </c>
      <c r="W2330" t="s">
        <v>507</v>
      </c>
      <c r="X2330" t="s">
        <v>92</v>
      </c>
      <c r="Y2330" t="s">
        <v>110</v>
      </c>
      <c r="Z2330">
        <v>1967</v>
      </c>
      <c r="AA2330">
        <v>45</v>
      </c>
      <c r="AB2330">
        <v>189</v>
      </c>
      <c r="AC2330" t="s">
        <v>508</v>
      </c>
      <c r="AD2330" t="s">
        <v>509</v>
      </c>
      <c r="AE2330" t="s">
        <v>510</v>
      </c>
      <c r="AF2330" t="s">
        <v>14878</v>
      </c>
      <c r="AG2330" t="s">
        <v>14879</v>
      </c>
      <c r="AH2330" t="s">
        <v>14880</v>
      </c>
      <c r="AJ2330" s="2">
        <v>45817.709120370368</v>
      </c>
      <c r="AK2330" t="s">
        <v>100</v>
      </c>
      <c r="AL2330" t="s">
        <v>65</v>
      </c>
      <c r="AM2330" s="3">
        <v>1.2847222222222223</v>
      </c>
      <c r="AN2330" t="s">
        <v>66</v>
      </c>
      <c r="AO2330" t="s">
        <v>101</v>
      </c>
    </row>
    <row r="2331" spans="1:41" x14ac:dyDescent="0.2">
      <c r="A2331">
        <v>371332</v>
      </c>
      <c r="B2331" t="s">
        <v>14881</v>
      </c>
      <c r="C2331" t="s">
        <v>345</v>
      </c>
      <c r="D2331" t="s">
        <v>14882</v>
      </c>
      <c r="E2331" t="s">
        <v>14883</v>
      </c>
      <c r="G2331" s="1">
        <v>45712</v>
      </c>
      <c r="H2331" s="1">
        <v>45700</v>
      </c>
      <c r="I2331" s="1">
        <v>45992</v>
      </c>
      <c r="J2331" t="s">
        <v>45</v>
      </c>
      <c r="K2331" t="s">
        <v>45</v>
      </c>
      <c r="L2331" t="s">
        <v>72</v>
      </c>
      <c r="M2331" s="1">
        <v>42404</v>
      </c>
      <c r="N2331" t="s">
        <v>47</v>
      </c>
      <c r="O2331" t="s">
        <v>121</v>
      </c>
      <c r="P2331" t="s">
        <v>49</v>
      </c>
      <c r="Q2331" t="s">
        <v>14884</v>
      </c>
      <c r="R2331" t="s">
        <v>14885</v>
      </c>
      <c r="S2331">
        <v>8933</v>
      </c>
      <c r="T2331" t="s">
        <v>52</v>
      </c>
      <c r="U2331">
        <v>2</v>
      </c>
      <c r="V2331" t="s">
        <v>2379</v>
      </c>
      <c r="W2331" t="s">
        <v>54</v>
      </c>
      <c r="X2331" t="s">
        <v>76</v>
      </c>
      <c r="Y2331" t="s">
        <v>125</v>
      </c>
      <c r="Z2331">
        <v>4866</v>
      </c>
      <c r="AA2331">
        <v>61</v>
      </c>
      <c r="AB2331">
        <v>30</v>
      </c>
      <c r="AC2331" t="s">
        <v>2380</v>
      </c>
      <c r="AD2331" t="s">
        <v>2381</v>
      </c>
      <c r="AE2331" t="s">
        <v>2382</v>
      </c>
      <c r="AF2331" t="s">
        <v>2383</v>
      </c>
      <c r="AG2331" t="s">
        <v>14886</v>
      </c>
      <c r="AH2331" t="s">
        <v>2385</v>
      </c>
      <c r="AI2331" t="s">
        <v>2381</v>
      </c>
      <c r="AJ2331" s="2">
        <v>45805.57203703704</v>
      </c>
      <c r="AK2331" t="s">
        <v>2380</v>
      </c>
      <c r="AL2331" t="s">
        <v>65</v>
      </c>
      <c r="AM2331" s="4">
        <v>0.375</v>
      </c>
      <c r="AN2331" t="s">
        <v>66</v>
      </c>
      <c r="AO2331" t="s">
        <v>67</v>
      </c>
    </row>
    <row r="2332" spans="1:41" x14ac:dyDescent="0.2">
      <c r="A2332">
        <v>371878</v>
      </c>
      <c r="B2332" t="s">
        <v>14887</v>
      </c>
      <c r="C2332" t="s">
        <v>182</v>
      </c>
      <c r="D2332" t="s">
        <v>6516</v>
      </c>
      <c r="E2332" t="s">
        <v>14888</v>
      </c>
      <c r="F2332">
        <v>41311</v>
      </c>
      <c r="G2332" s="1">
        <v>41228</v>
      </c>
      <c r="H2332" s="1">
        <v>45820</v>
      </c>
      <c r="I2332" s="1">
        <v>45915</v>
      </c>
      <c r="J2332" t="s">
        <v>45</v>
      </c>
      <c r="K2332" t="s">
        <v>45</v>
      </c>
      <c r="L2332" t="s">
        <v>46</v>
      </c>
      <c r="M2332" s="1">
        <v>45071</v>
      </c>
      <c r="N2332" t="s">
        <v>47</v>
      </c>
      <c r="O2332" t="s">
        <v>48</v>
      </c>
      <c r="P2332" t="s">
        <v>49</v>
      </c>
      <c r="Q2332" t="s">
        <v>14889</v>
      </c>
      <c r="R2332" t="s">
        <v>14890</v>
      </c>
      <c r="S2332">
        <v>6943</v>
      </c>
      <c r="T2332" t="s">
        <v>52</v>
      </c>
      <c r="U2332">
        <v>5</v>
      </c>
      <c r="V2332" t="s">
        <v>4389</v>
      </c>
      <c r="W2332" t="s">
        <v>54</v>
      </c>
      <c r="X2332" t="s">
        <v>493</v>
      </c>
      <c r="Y2332" t="s">
        <v>434</v>
      </c>
      <c r="Z2332">
        <v>5986</v>
      </c>
      <c r="AA2332">
        <v>38</v>
      </c>
      <c r="AB2332">
        <v>28</v>
      </c>
      <c r="AC2332" t="s">
        <v>4390</v>
      </c>
      <c r="AD2332" t="s">
        <v>4391</v>
      </c>
      <c r="AE2332" t="s">
        <v>4392</v>
      </c>
      <c r="AF2332" t="s">
        <v>4393</v>
      </c>
      <c r="AG2332" t="s">
        <v>4394</v>
      </c>
      <c r="AH2332" t="s">
        <v>4395</v>
      </c>
      <c r="AI2332" t="s">
        <v>14891</v>
      </c>
      <c r="AJ2332" s="2">
        <v>45821.857048611113</v>
      </c>
      <c r="AK2332" t="s">
        <v>1472</v>
      </c>
      <c r="AL2332" t="s">
        <v>65</v>
      </c>
      <c r="AM2332" s="3">
        <v>1.2638888888888888</v>
      </c>
      <c r="AN2332" t="s">
        <v>66</v>
      </c>
      <c r="AO2332" t="s">
        <v>67</v>
      </c>
    </row>
    <row r="2333" spans="1:41" x14ac:dyDescent="0.2">
      <c r="A2333">
        <v>369525</v>
      </c>
      <c r="B2333" t="s">
        <v>14892</v>
      </c>
      <c r="C2333" t="s">
        <v>236</v>
      </c>
      <c r="D2333" t="s">
        <v>14893</v>
      </c>
      <c r="E2333" t="s">
        <v>14894</v>
      </c>
      <c r="F2333">
        <v>211703</v>
      </c>
      <c r="G2333" s="1">
        <v>38460</v>
      </c>
      <c r="H2333" s="1">
        <v>45742</v>
      </c>
      <c r="I2333" s="1">
        <v>46127</v>
      </c>
      <c r="J2333" t="s">
        <v>45</v>
      </c>
      <c r="K2333" t="s">
        <v>45</v>
      </c>
      <c r="L2333" t="s">
        <v>72</v>
      </c>
      <c r="M2333" s="1">
        <v>43644</v>
      </c>
      <c r="N2333" t="s">
        <v>47</v>
      </c>
      <c r="O2333" t="s">
        <v>48</v>
      </c>
      <c r="P2333" t="s">
        <v>49</v>
      </c>
      <c r="Q2333" t="s">
        <v>14895</v>
      </c>
      <c r="R2333" t="s">
        <v>14896</v>
      </c>
      <c r="S2333">
        <v>1185</v>
      </c>
      <c r="T2333" t="s">
        <v>156</v>
      </c>
      <c r="U2333" t="s">
        <v>241</v>
      </c>
      <c r="V2333" t="s">
        <v>14892</v>
      </c>
      <c r="W2333" t="s">
        <v>159</v>
      </c>
      <c r="X2333" t="s">
        <v>156</v>
      </c>
      <c r="Y2333" t="s">
        <v>110</v>
      </c>
      <c r="Z2333">
        <v>2725</v>
      </c>
      <c r="AA2333">
        <v>36</v>
      </c>
      <c r="AB2333">
        <v>160</v>
      </c>
      <c r="AC2333" t="s">
        <v>11035</v>
      </c>
      <c r="AD2333" t="s">
        <v>11036</v>
      </c>
      <c r="AE2333" t="s">
        <v>14897</v>
      </c>
      <c r="AF2333" t="s">
        <v>14898</v>
      </c>
      <c r="AG2333" t="s">
        <v>14899</v>
      </c>
      <c r="AH2333" t="s">
        <v>14900</v>
      </c>
      <c r="AI2333" t="s">
        <v>249</v>
      </c>
      <c r="AJ2333" s="2">
        <v>45743.605682870373</v>
      </c>
      <c r="AK2333" t="s">
        <v>14901</v>
      </c>
      <c r="AL2333" t="s">
        <v>65</v>
      </c>
      <c r="AM2333" s="3">
        <v>2.1736111111111112</v>
      </c>
      <c r="AN2333" t="s">
        <v>66</v>
      </c>
      <c r="AO2333" t="s">
        <v>67</v>
      </c>
    </row>
    <row r="2334" spans="1:41" x14ac:dyDescent="0.2">
      <c r="A2334">
        <v>369623</v>
      </c>
      <c r="B2334" t="s">
        <v>14902</v>
      </c>
      <c r="C2334" t="s">
        <v>182</v>
      </c>
      <c r="D2334" t="s">
        <v>779</v>
      </c>
      <c r="E2334" t="s">
        <v>14903</v>
      </c>
      <c r="F2334">
        <v>45620</v>
      </c>
      <c r="G2334" s="1">
        <v>32185</v>
      </c>
      <c r="H2334" s="1">
        <v>45740</v>
      </c>
      <c r="I2334" s="1">
        <v>46096</v>
      </c>
      <c r="J2334" t="s">
        <v>45</v>
      </c>
      <c r="K2334" t="s">
        <v>45</v>
      </c>
      <c r="L2334" t="s">
        <v>429</v>
      </c>
      <c r="M2334" s="1">
        <v>44543</v>
      </c>
      <c r="N2334" t="s">
        <v>47</v>
      </c>
      <c r="O2334" t="s">
        <v>48</v>
      </c>
      <c r="P2334" t="s">
        <v>49</v>
      </c>
      <c r="Q2334" t="s">
        <v>14904</v>
      </c>
      <c r="R2334" t="s">
        <v>14905</v>
      </c>
      <c r="S2334">
        <v>831</v>
      </c>
      <c r="T2334" t="s">
        <v>365</v>
      </c>
      <c r="U2334" t="s">
        <v>815</v>
      </c>
      <c r="V2334" t="s">
        <v>816</v>
      </c>
      <c r="W2334" t="s">
        <v>367</v>
      </c>
      <c r="X2334" t="s">
        <v>55</v>
      </c>
      <c r="Y2334" t="s">
        <v>434</v>
      </c>
      <c r="Z2334">
        <v>96</v>
      </c>
      <c r="AA2334">
        <v>53</v>
      </c>
      <c r="AB2334">
        <v>166</v>
      </c>
      <c r="AC2334" t="s">
        <v>817</v>
      </c>
      <c r="AD2334" t="s">
        <v>818</v>
      </c>
      <c r="AE2334" t="s">
        <v>819</v>
      </c>
      <c r="AI2334" t="s">
        <v>179</v>
      </c>
      <c r="AJ2334" s="2">
        <v>45747.67459490741</v>
      </c>
      <c r="AK2334" t="s">
        <v>307</v>
      </c>
      <c r="AL2334" t="s">
        <v>65</v>
      </c>
      <c r="AM2334" s="3">
        <v>2.1180555555555554</v>
      </c>
      <c r="AN2334" t="s">
        <v>66</v>
      </c>
      <c r="AO2334" t="s">
        <v>67</v>
      </c>
    </row>
    <row r="2335" spans="1:41" x14ac:dyDescent="0.2">
      <c r="A2335">
        <v>371447</v>
      </c>
      <c r="B2335" t="s">
        <v>14906</v>
      </c>
      <c r="C2335" t="s">
        <v>197</v>
      </c>
      <c r="D2335" t="s">
        <v>12424</v>
      </c>
      <c r="E2335" t="s">
        <v>14907</v>
      </c>
      <c r="F2335">
        <v>97903</v>
      </c>
      <c r="G2335" s="1">
        <v>43509</v>
      </c>
      <c r="H2335" s="1">
        <v>45811</v>
      </c>
      <c r="J2335" t="s">
        <v>45</v>
      </c>
      <c r="K2335" t="s">
        <v>45</v>
      </c>
      <c r="L2335" t="s">
        <v>72</v>
      </c>
      <c r="N2335" t="s">
        <v>47</v>
      </c>
      <c r="O2335" t="s">
        <v>48</v>
      </c>
      <c r="P2335" t="s">
        <v>49</v>
      </c>
      <c r="Q2335" t="s">
        <v>14908</v>
      </c>
      <c r="R2335" t="s">
        <v>14909</v>
      </c>
      <c r="S2335">
        <v>20</v>
      </c>
      <c r="T2335" t="s">
        <v>1328</v>
      </c>
      <c r="U2335" t="s">
        <v>3114</v>
      </c>
      <c r="V2335" t="s">
        <v>7982</v>
      </c>
      <c r="W2335" t="s">
        <v>7983</v>
      </c>
      <c r="X2335" t="s">
        <v>1328</v>
      </c>
      <c r="Y2335" t="s">
        <v>770</v>
      </c>
      <c r="Z2335">
        <v>10109</v>
      </c>
      <c r="AA2335">
        <v>13</v>
      </c>
      <c r="AB2335">
        <v>91</v>
      </c>
      <c r="AC2335" t="s">
        <v>7984</v>
      </c>
      <c r="AD2335" t="s">
        <v>7985</v>
      </c>
      <c r="AE2335" t="s">
        <v>7986</v>
      </c>
      <c r="AF2335" t="s">
        <v>7987</v>
      </c>
      <c r="AG2335" t="s">
        <v>7988</v>
      </c>
      <c r="AH2335" t="s">
        <v>7989</v>
      </c>
      <c r="AJ2335" s="2">
        <v>45811.722384259258</v>
      </c>
      <c r="AK2335" t="s">
        <v>7984</v>
      </c>
      <c r="AL2335" t="s">
        <v>65</v>
      </c>
      <c r="AM2335" t="s">
        <v>14910</v>
      </c>
      <c r="AN2335" t="s">
        <v>66</v>
      </c>
      <c r="AO2335" t="s">
        <v>67</v>
      </c>
    </row>
    <row r="2336" spans="1:41" x14ac:dyDescent="0.2">
      <c r="A2336">
        <v>371280</v>
      </c>
      <c r="B2336" t="s">
        <v>14911</v>
      </c>
      <c r="C2336" t="s">
        <v>167</v>
      </c>
      <c r="D2336" t="s">
        <v>570</v>
      </c>
      <c r="E2336" t="s">
        <v>14912</v>
      </c>
      <c r="F2336">
        <v>353511</v>
      </c>
      <c r="G2336" s="1">
        <v>33085</v>
      </c>
      <c r="H2336" s="1">
        <v>45798</v>
      </c>
      <c r="I2336" s="1">
        <v>46157</v>
      </c>
      <c r="J2336" t="s">
        <v>45</v>
      </c>
      <c r="K2336" t="s">
        <v>45</v>
      </c>
      <c r="L2336" t="s">
        <v>72</v>
      </c>
      <c r="M2336" s="1">
        <v>44462</v>
      </c>
      <c r="N2336" t="s">
        <v>47</v>
      </c>
      <c r="O2336" t="s">
        <v>48</v>
      </c>
      <c r="P2336" t="s">
        <v>49</v>
      </c>
      <c r="Q2336" t="s">
        <v>14913</v>
      </c>
      <c r="R2336" t="s">
        <v>14914</v>
      </c>
      <c r="S2336">
        <v>6352</v>
      </c>
      <c r="T2336" t="s">
        <v>365</v>
      </c>
      <c r="U2336" t="s">
        <v>532</v>
      </c>
      <c r="V2336" t="s">
        <v>1611</v>
      </c>
      <c r="W2336" t="s">
        <v>367</v>
      </c>
      <c r="X2336" t="s">
        <v>76</v>
      </c>
      <c r="Y2336" t="s">
        <v>434</v>
      </c>
      <c r="Z2336">
        <v>292</v>
      </c>
      <c r="AA2336">
        <v>59</v>
      </c>
      <c r="AB2336">
        <v>166</v>
      </c>
      <c r="AC2336" t="s">
        <v>575</v>
      </c>
      <c r="AD2336" t="s">
        <v>576</v>
      </c>
      <c r="AE2336" t="s">
        <v>577</v>
      </c>
      <c r="AF2336" t="s">
        <v>1612</v>
      </c>
      <c r="AG2336" t="s">
        <v>1613</v>
      </c>
      <c r="AI2336" t="s">
        <v>179</v>
      </c>
      <c r="AJ2336" s="2">
        <v>45804.663923611108</v>
      </c>
      <c r="AK2336" t="s">
        <v>568</v>
      </c>
      <c r="AL2336" t="s">
        <v>65</v>
      </c>
      <c r="AM2336" s="3">
        <v>1.8055555555555556</v>
      </c>
      <c r="AN2336" t="s">
        <v>66</v>
      </c>
      <c r="AO2336" t="s">
        <v>67</v>
      </c>
    </row>
    <row r="2337" spans="1:41" x14ac:dyDescent="0.2">
      <c r="A2337">
        <v>363888</v>
      </c>
      <c r="B2337" t="s">
        <v>14915</v>
      </c>
      <c r="C2337" t="s">
        <v>542</v>
      </c>
      <c r="D2337" t="s">
        <v>14916</v>
      </c>
      <c r="E2337" t="s">
        <v>14917</v>
      </c>
      <c r="F2337">
        <v>360151</v>
      </c>
      <c r="G2337" s="1">
        <v>43244</v>
      </c>
      <c r="H2337" s="1">
        <v>45525</v>
      </c>
      <c r="J2337" t="s">
        <v>45</v>
      </c>
      <c r="K2337" t="s">
        <v>45</v>
      </c>
      <c r="L2337" t="s">
        <v>72</v>
      </c>
      <c r="M2337" s="1">
        <v>44421</v>
      </c>
      <c r="N2337" t="s">
        <v>47</v>
      </c>
      <c r="O2337" t="s">
        <v>48</v>
      </c>
      <c r="P2337" t="s">
        <v>49</v>
      </c>
      <c r="Q2337" t="s">
        <v>14918</v>
      </c>
      <c r="R2337" t="s">
        <v>14919</v>
      </c>
      <c r="S2337">
        <v>1268</v>
      </c>
      <c r="T2337" t="s">
        <v>92</v>
      </c>
      <c r="U2337" t="s">
        <v>1133</v>
      </c>
      <c r="V2337" t="s">
        <v>1134</v>
      </c>
      <c r="W2337" t="s">
        <v>1135</v>
      </c>
      <c r="X2337" t="s">
        <v>449</v>
      </c>
      <c r="Y2337" t="s">
        <v>770</v>
      </c>
      <c r="Z2337">
        <v>3286</v>
      </c>
      <c r="AA2337">
        <v>32</v>
      </c>
      <c r="AB2337">
        <v>45</v>
      </c>
      <c r="AC2337" t="s">
        <v>1136</v>
      </c>
      <c r="AD2337" t="s">
        <v>1137</v>
      </c>
      <c r="AE2337" t="s">
        <v>1964</v>
      </c>
      <c r="AJ2337" s="2">
        <v>45525.965636574074</v>
      </c>
      <c r="AK2337" t="s">
        <v>1136</v>
      </c>
      <c r="AL2337" t="s">
        <v>65</v>
      </c>
      <c r="AM2337" s="3">
        <v>2.0625</v>
      </c>
      <c r="AN2337" t="s">
        <v>66</v>
      </c>
      <c r="AO2337" t="s">
        <v>67</v>
      </c>
    </row>
    <row r="2338" spans="1:41" x14ac:dyDescent="0.2">
      <c r="A2338">
        <v>363098</v>
      </c>
      <c r="B2338" t="s">
        <v>14920</v>
      </c>
      <c r="C2338" t="s">
        <v>345</v>
      </c>
      <c r="D2338" t="s">
        <v>279</v>
      </c>
      <c r="E2338" t="s">
        <v>14921</v>
      </c>
      <c r="F2338">
        <v>51504</v>
      </c>
      <c r="G2338" s="1">
        <v>35591</v>
      </c>
      <c r="H2338" s="1">
        <v>45503</v>
      </c>
      <c r="I2338" s="1">
        <v>46188</v>
      </c>
      <c r="J2338" t="s">
        <v>45</v>
      </c>
      <c r="K2338" t="s">
        <v>45</v>
      </c>
      <c r="L2338" t="s">
        <v>72</v>
      </c>
      <c r="M2338" s="1">
        <v>39897</v>
      </c>
      <c r="N2338" t="s">
        <v>47</v>
      </c>
      <c r="O2338" t="s">
        <v>48</v>
      </c>
      <c r="P2338" t="s">
        <v>49</v>
      </c>
      <c r="Q2338" t="s">
        <v>14922</v>
      </c>
      <c r="R2338" t="s">
        <v>14923</v>
      </c>
      <c r="S2338">
        <v>6120</v>
      </c>
      <c r="T2338" t="s">
        <v>365</v>
      </c>
      <c r="U2338" t="s">
        <v>432</v>
      </c>
      <c r="V2338" t="s">
        <v>6159</v>
      </c>
      <c r="W2338" t="s">
        <v>367</v>
      </c>
      <c r="X2338" t="s">
        <v>55</v>
      </c>
      <c r="Y2338" t="s">
        <v>434</v>
      </c>
      <c r="Z2338">
        <v>119</v>
      </c>
      <c r="AA2338">
        <v>58</v>
      </c>
      <c r="AB2338">
        <v>158</v>
      </c>
      <c r="AC2338" t="s">
        <v>8449</v>
      </c>
      <c r="AD2338" t="s">
        <v>8450</v>
      </c>
      <c r="AE2338" t="s">
        <v>8451</v>
      </c>
      <c r="AF2338" t="s">
        <v>8452</v>
      </c>
      <c r="AG2338" t="s">
        <v>6066</v>
      </c>
      <c r="AH2338" t="s">
        <v>6164</v>
      </c>
      <c r="AI2338" t="s">
        <v>179</v>
      </c>
      <c r="AJ2338" s="2">
        <v>45504.156111111108</v>
      </c>
      <c r="AK2338" t="s">
        <v>4471</v>
      </c>
      <c r="AL2338" t="s">
        <v>65</v>
      </c>
      <c r="AM2338" s="3">
        <v>2.1527777777777777</v>
      </c>
      <c r="AN2338" t="s">
        <v>66</v>
      </c>
      <c r="AO2338" t="s">
        <v>67</v>
      </c>
    </row>
    <row r="2339" spans="1:41" x14ac:dyDescent="0.2">
      <c r="A2339">
        <v>369115</v>
      </c>
      <c r="B2339" t="s">
        <v>14924</v>
      </c>
      <c r="C2339" t="s">
        <v>1244</v>
      </c>
      <c r="D2339" t="s">
        <v>11760</v>
      </c>
      <c r="E2339" t="s">
        <v>14925</v>
      </c>
      <c r="F2339">
        <v>464204</v>
      </c>
      <c r="G2339" s="1">
        <v>45394</v>
      </c>
      <c r="H2339" s="1">
        <v>45721</v>
      </c>
      <c r="I2339" s="1">
        <v>46096</v>
      </c>
      <c r="J2339" t="s">
        <v>45</v>
      </c>
      <c r="K2339" t="s">
        <v>45</v>
      </c>
      <c r="L2339" t="s">
        <v>46</v>
      </c>
      <c r="N2339" t="s">
        <v>47</v>
      </c>
      <c r="O2339" t="s">
        <v>48</v>
      </c>
      <c r="P2339" t="s">
        <v>49</v>
      </c>
      <c r="Q2339" t="s">
        <v>14926</v>
      </c>
      <c r="R2339" t="s">
        <v>14927</v>
      </c>
      <c r="S2339">
        <v>2435</v>
      </c>
      <c r="T2339" t="s">
        <v>52</v>
      </c>
      <c r="U2339">
        <v>9</v>
      </c>
      <c r="V2339" t="s">
        <v>6027</v>
      </c>
      <c r="W2339" t="s">
        <v>54</v>
      </c>
      <c r="X2339" t="s">
        <v>76</v>
      </c>
      <c r="Y2339" t="s">
        <v>56</v>
      </c>
      <c r="Z2339">
        <v>12229</v>
      </c>
      <c r="AA2339">
        <v>7</v>
      </c>
      <c r="AB2339">
        <v>37</v>
      </c>
      <c r="AC2339" t="s">
        <v>6028</v>
      </c>
      <c r="AD2339" t="s">
        <v>6029</v>
      </c>
      <c r="AE2339" t="s">
        <v>6030</v>
      </c>
      <c r="AF2339" t="s">
        <v>11763</v>
      </c>
      <c r="AG2339" t="s">
        <v>11764</v>
      </c>
      <c r="AH2339" t="s">
        <v>11765</v>
      </c>
      <c r="AI2339" t="s">
        <v>11766</v>
      </c>
      <c r="AJ2339" s="2">
        <v>45727.612870370373</v>
      </c>
      <c r="AK2339" t="s">
        <v>2517</v>
      </c>
      <c r="AL2339" t="s">
        <v>65</v>
      </c>
      <c r="AM2339" s="4">
        <v>0.77083333333333337</v>
      </c>
      <c r="AN2339" t="s">
        <v>66</v>
      </c>
      <c r="AO2339" t="s">
        <v>101</v>
      </c>
    </row>
    <row r="2340" spans="1:41" x14ac:dyDescent="0.2">
      <c r="A2340">
        <v>371182</v>
      </c>
      <c r="B2340" t="s">
        <v>14928</v>
      </c>
      <c r="C2340" t="s">
        <v>118</v>
      </c>
      <c r="D2340" t="s">
        <v>7071</v>
      </c>
      <c r="E2340" t="s">
        <v>14929</v>
      </c>
      <c r="F2340">
        <v>21207</v>
      </c>
      <c r="G2340" s="1">
        <v>34500</v>
      </c>
      <c r="H2340" s="1">
        <v>45793</v>
      </c>
      <c r="I2340" s="1">
        <v>46188</v>
      </c>
      <c r="J2340" t="s">
        <v>45</v>
      </c>
      <c r="K2340" t="s">
        <v>45</v>
      </c>
      <c r="L2340" t="s">
        <v>72</v>
      </c>
      <c r="M2340" s="1">
        <v>42572</v>
      </c>
      <c r="N2340" t="s">
        <v>47</v>
      </c>
      <c r="O2340" t="s">
        <v>48</v>
      </c>
      <c r="P2340" t="s">
        <v>49</v>
      </c>
      <c r="Q2340" t="s">
        <v>14930</v>
      </c>
      <c r="R2340" t="s">
        <v>14931</v>
      </c>
      <c r="S2340">
        <v>8209</v>
      </c>
      <c r="T2340" t="s">
        <v>257</v>
      </c>
      <c r="U2340" t="s">
        <v>283</v>
      </c>
      <c r="V2340" t="s">
        <v>14932</v>
      </c>
      <c r="W2340" t="s">
        <v>260</v>
      </c>
      <c r="X2340" t="s">
        <v>257</v>
      </c>
      <c r="Y2340" t="s">
        <v>110</v>
      </c>
      <c r="Z2340">
        <v>905</v>
      </c>
      <c r="AA2340">
        <v>53</v>
      </c>
      <c r="AB2340">
        <v>158</v>
      </c>
      <c r="AC2340" t="s">
        <v>4438</v>
      </c>
      <c r="AD2340" t="s">
        <v>4299</v>
      </c>
      <c r="AE2340" t="s">
        <v>14933</v>
      </c>
      <c r="AI2340" t="s">
        <v>1809</v>
      </c>
      <c r="AJ2340" s="2">
        <v>45797.939502314817</v>
      </c>
      <c r="AK2340" t="s">
        <v>4438</v>
      </c>
      <c r="AL2340" t="s">
        <v>65</v>
      </c>
      <c r="AM2340" s="3">
        <v>1.5625</v>
      </c>
      <c r="AN2340" t="s">
        <v>66</v>
      </c>
      <c r="AO2340" t="s">
        <v>67</v>
      </c>
    </row>
    <row r="2341" spans="1:41" x14ac:dyDescent="0.2">
      <c r="A2341">
        <v>367106</v>
      </c>
      <c r="B2341" t="s">
        <v>14934</v>
      </c>
      <c r="C2341" t="s">
        <v>676</v>
      </c>
      <c r="D2341" t="s">
        <v>14935</v>
      </c>
      <c r="E2341" t="s">
        <v>14936</v>
      </c>
      <c r="F2341">
        <v>280311</v>
      </c>
      <c r="G2341" s="1">
        <v>38260</v>
      </c>
      <c r="H2341" s="1">
        <v>45588</v>
      </c>
      <c r="I2341" s="1">
        <v>45931</v>
      </c>
      <c r="J2341" t="s">
        <v>45</v>
      </c>
      <c r="K2341" t="s">
        <v>45</v>
      </c>
      <c r="L2341" t="s">
        <v>72</v>
      </c>
      <c r="M2341" s="1">
        <v>43784</v>
      </c>
      <c r="N2341" t="s">
        <v>47</v>
      </c>
      <c r="O2341" t="s">
        <v>48</v>
      </c>
      <c r="P2341" t="s">
        <v>49</v>
      </c>
      <c r="Q2341" t="s">
        <v>14937</v>
      </c>
      <c r="R2341" t="s">
        <v>14938</v>
      </c>
      <c r="S2341">
        <v>567</v>
      </c>
      <c r="T2341" t="s">
        <v>92</v>
      </c>
      <c r="U2341" t="s">
        <v>681</v>
      </c>
      <c r="V2341" t="s">
        <v>682</v>
      </c>
      <c r="W2341" t="s">
        <v>683</v>
      </c>
      <c r="X2341" t="s">
        <v>52</v>
      </c>
      <c r="Y2341" t="s">
        <v>110</v>
      </c>
      <c r="Z2341">
        <v>2403</v>
      </c>
      <c r="AA2341">
        <v>40</v>
      </c>
      <c r="AB2341">
        <v>174</v>
      </c>
      <c r="AC2341" t="s">
        <v>684</v>
      </c>
      <c r="AD2341" t="s">
        <v>685</v>
      </c>
      <c r="AE2341" t="s">
        <v>686</v>
      </c>
      <c r="AF2341" t="s">
        <v>687</v>
      </c>
      <c r="AG2341" t="s">
        <v>688</v>
      </c>
      <c r="AH2341" t="s">
        <v>689</v>
      </c>
      <c r="AI2341" t="s">
        <v>690</v>
      </c>
      <c r="AJ2341" s="2">
        <v>45660.79650462963</v>
      </c>
      <c r="AK2341" t="s">
        <v>684</v>
      </c>
      <c r="AL2341" t="s">
        <v>65</v>
      </c>
      <c r="AM2341" s="4">
        <v>0.43055555555555558</v>
      </c>
      <c r="AN2341" t="s">
        <v>66</v>
      </c>
      <c r="AO2341" t="s">
        <v>67</v>
      </c>
    </row>
    <row r="2342" spans="1:41" x14ac:dyDescent="0.2">
      <c r="A2342">
        <v>369434</v>
      </c>
      <c r="B2342" t="s">
        <v>14939</v>
      </c>
      <c r="C2342" t="s">
        <v>42</v>
      </c>
      <c r="D2342" t="s">
        <v>5911</v>
      </c>
      <c r="E2342">
        <v>32414736</v>
      </c>
      <c r="G2342" s="1">
        <v>45740</v>
      </c>
      <c r="H2342" s="1">
        <v>45708</v>
      </c>
      <c r="I2342" s="1">
        <v>45915</v>
      </c>
      <c r="J2342" t="s">
        <v>45</v>
      </c>
      <c r="K2342" t="s">
        <v>45</v>
      </c>
      <c r="L2342" t="s">
        <v>72</v>
      </c>
      <c r="N2342" t="s">
        <v>47</v>
      </c>
      <c r="O2342" t="s">
        <v>121</v>
      </c>
      <c r="P2342" t="s">
        <v>49</v>
      </c>
      <c r="Q2342" t="s">
        <v>14940</v>
      </c>
      <c r="R2342" t="s">
        <v>14941</v>
      </c>
      <c r="S2342">
        <v>8092</v>
      </c>
      <c r="T2342" t="s">
        <v>365</v>
      </c>
      <c r="U2342" t="s">
        <v>432</v>
      </c>
      <c r="V2342" t="s">
        <v>5915</v>
      </c>
      <c r="W2342" t="s">
        <v>367</v>
      </c>
      <c r="Y2342" t="s">
        <v>125</v>
      </c>
      <c r="Z2342">
        <v>9387</v>
      </c>
      <c r="AA2342">
        <v>33</v>
      </c>
      <c r="AB2342">
        <v>152</v>
      </c>
      <c r="AC2342" t="s">
        <v>5916</v>
      </c>
      <c r="AD2342" t="s">
        <v>5917</v>
      </c>
      <c r="AE2342" t="s">
        <v>14942</v>
      </c>
      <c r="AF2342" t="s">
        <v>13843</v>
      </c>
      <c r="AG2342" t="s">
        <v>13844</v>
      </c>
      <c r="AH2342" t="s">
        <v>5117</v>
      </c>
      <c r="AJ2342" s="2">
        <v>45740.800555555557</v>
      </c>
      <c r="AK2342" t="s">
        <v>800</v>
      </c>
      <c r="AL2342" t="s">
        <v>65</v>
      </c>
      <c r="AM2342" s="4">
        <v>0.13194444444444445</v>
      </c>
      <c r="AN2342" t="s">
        <v>66</v>
      </c>
      <c r="AO2342" t="s">
        <v>67</v>
      </c>
    </row>
    <row r="2343" spans="1:41" x14ac:dyDescent="0.2">
      <c r="A2343">
        <v>368607</v>
      </c>
      <c r="B2343" t="s">
        <v>14943</v>
      </c>
      <c r="C2343" t="s">
        <v>42</v>
      </c>
      <c r="D2343" t="s">
        <v>2978</v>
      </c>
      <c r="E2343" t="s">
        <v>14944</v>
      </c>
      <c r="G2343" s="1">
        <v>45715</v>
      </c>
      <c r="H2343" s="1">
        <v>45716</v>
      </c>
      <c r="I2343" s="1">
        <v>45915</v>
      </c>
      <c r="J2343" t="s">
        <v>45</v>
      </c>
      <c r="K2343" t="s">
        <v>45</v>
      </c>
      <c r="L2343" t="s">
        <v>72</v>
      </c>
      <c r="N2343" t="s">
        <v>89</v>
      </c>
      <c r="O2343" t="s">
        <v>121</v>
      </c>
      <c r="P2343" t="s">
        <v>49</v>
      </c>
      <c r="Q2343" t="s">
        <v>14945</v>
      </c>
      <c r="R2343" t="s">
        <v>14946</v>
      </c>
      <c r="S2343">
        <v>8105</v>
      </c>
      <c r="T2343" t="s">
        <v>365</v>
      </c>
      <c r="U2343" t="s">
        <v>432</v>
      </c>
      <c r="V2343" t="s">
        <v>5915</v>
      </c>
      <c r="W2343" t="s">
        <v>367</v>
      </c>
      <c r="X2343" t="s">
        <v>76</v>
      </c>
      <c r="Y2343" t="s">
        <v>125</v>
      </c>
      <c r="Z2343">
        <v>10226</v>
      </c>
      <c r="AA2343">
        <v>24</v>
      </c>
      <c r="AB2343">
        <v>76</v>
      </c>
      <c r="AC2343" t="s">
        <v>5916</v>
      </c>
      <c r="AD2343" t="s">
        <v>5917</v>
      </c>
      <c r="AE2343" t="s">
        <v>14942</v>
      </c>
      <c r="AF2343" t="s">
        <v>13843</v>
      </c>
      <c r="AG2343" t="s">
        <v>13844</v>
      </c>
      <c r="AH2343" t="s">
        <v>5117</v>
      </c>
      <c r="AJ2343" s="2">
        <v>45716.497557870367</v>
      </c>
      <c r="AK2343" t="s">
        <v>132</v>
      </c>
      <c r="AL2343" t="s">
        <v>65</v>
      </c>
      <c r="AM2343" s="4">
        <v>0.36805555555555558</v>
      </c>
      <c r="AN2343" t="s">
        <v>66</v>
      </c>
      <c r="AO2343" t="s">
        <v>67</v>
      </c>
    </row>
    <row r="2344" spans="1:41" x14ac:dyDescent="0.2">
      <c r="A2344">
        <v>367934</v>
      </c>
      <c r="B2344" t="s">
        <v>14947</v>
      </c>
      <c r="C2344" t="s">
        <v>662</v>
      </c>
      <c r="D2344" t="s">
        <v>5754</v>
      </c>
      <c r="E2344" t="s">
        <v>14948</v>
      </c>
      <c r="G2344" s="1">
        <v>45336</v>
      </c>
      <c r="H2344" s="1">
        <v>45687</v>
      </c>
      <c r="J2344" t="s">
        <v>45</v>
      </c>
      <c r="K2344" t="s">
        <v>45</v>
      </c>
      <c r="L2344" t="s">
        <v>72</v>
      </c>
      <c r="N2344" t="s">
        <v>47</v>
      </c>
      <c r="O2344" t="s">
        <v>48</v>
      </c>
      <c r="P2344" t="s">
        <v>49</v>
      </c>
      <c r="Q2344" t="s">
        <v>14949</v>
      </c>
      <c r="R2344" t="s">
        <v>14950</v>
      </c>
      <c r="S2344">
        <v>1120</v>
      </c>
      <c r="T2344" t="s">
        <v>92</v>
      </c>
      <c r="U2344" t="s">
        <v>1197</v>
      </c>
      <c r="V2344" t="s">
        <v>8190</v>
      </c>
      <c r="W2344" t="s">
        <v>8191</v>
      </c>
      <c r="X2344" t="s">
        <v>92</v>
      </c>
      <c r="Y2344" t="s">
        <v>450</v>
      </c>
      <c r="Z2344">
        <v>12222</v>
      </c>
      <c r="AA2344">
        <v>5</v>
      </c>
      <c r="AB2344">
        <v>20</v>
      </c>
      <c r="AC2344" t="s">
        <v>8192</v>
      </c>
      <c r="AD2344" t="s">
        <v>8193</v>
      </c>
      <c r="AE2344" t="s">
        <v>8194</v>
      </c>
      <c r="AF2344" t="s">
        <v>8792</v>
      </c>
      <c r="AG2344" t="s">
        <v>8793</v>
      </c>
      <c r="AH2344" t="s">
        <v>14951</v>
      </c>
      <c r="AJ2344" s="2">
        <v>45693.840497685182</v>
      </c>
      <c r="AK2344" t="s">
        <v>526</v>
      </c>
      <c r="AL2344" t="s">
        <v>65</v>
      </c>
      <c r="AM2344" s="4">
        <v>0.71666666666666667</v>
      </c>
      <c r="AN2344" t="s">
        <v>66</v>
      </c>
      <c r="AO2344" t="s">
        <v>67</v>
      </c>
    </row>
    <row r="2345" spans="1:41" x14ac:dyDescent="0.2">
      <c r="A2345">
        <v>370220</v>
      </c>
      <c r="B2345" t="s">
        <v>14952</v>
      </c>
      <c r="C2345" t="s">
        <v>182</v>
      </c>
      <c r="D2345" t="s">
        <v>2901</v>
      </c>
      <c r="E2345" t="s">
        <v>14953</v>
      </c>
      <c r="F2345">
        <v>45016</v>
      </c>
      <c r="G2345" s="1">
        <v>36181</v>
      </c>
      <c r="H2345" s="1">
        <v>45762</v>
      </c>
      <c r="I2345" s="1">
        <v>46096</v>
      </c>
      <c r="J2345" t="s">
        <v>45</v>
      </c>
      <c r="K2345" t="s">
        <v>45</v>
      </c>
      <c r="L2345" t="s">
        <v>429</v>
      </c>
      <c r="M2345" s="1">
        <v>42173</v>
      </c>
      <c r="N2345" t="s">
        <v>47</v>
      </c>
      <c r="O2345" t="s">
        <v>48</v>
      </c>
      <c r="P2345" t="s">
        <v>49</v>
      </c>
      <c r="Q2345" t="s">
        <v>14954</v>
      </c>
      <c r="R2345" t="s">
        <v>14955</v>
      </c>
      <c r="S2345">
        <v>3044</v>
      </c>
      <c r="T2345" t="s">
        <v>52</v>
      </c>
      <c r="U2345">
        <v>5</v>
      </c>
      <c r="V2345" t="s">
        <v>2763</v>
      </c>
      <c r="W2345" t="s">
        <v>54</v>
      </c>
      <c r="X2345" t="s">
        <v>493</v>
      </c>
      <c r="Y2345" t="s">
        <v>434</v>
      </c>
      <c r="Z2345">
        <v>1320</v>
      </c>
      <c r="AA2345">
        <v>63</v>
      </c>
      <c r="AB2345">
        <v>144</v>
      </c>
      <c r="AC2345" t="s">
        <v>2764</v>
      </c>
      <c r="AD2345" t="s">
        <v>2765</v>
      </c>
      <c r="AE2345" t="s">
        <v>2766</v>
      </c>
      <c r="AF2345" t="s">
        <v>6170</v>
      </c>
      <c r="AG2345" t="s">
        <v>6171</v>
      </c>
      <c r="AH2345" t="s">
        <v>6172</v>
      </c>
      <c r="AI2345" t="s">
        <v>500</v>
      </c>
      <c r="AJ2345" s="2">
        <v>45765.748356481483</v>
      </c>
      <c r="AK2345" t="s">
        <v>307</v>
      </c>
      <c r="AL2345" t="s">
        <v>65</v>
      </c>
      <c r="AM2345" s="3">
        <v>2.3819444444444446</v>
      </c>
      <c r="AN2345" t="s">
        <v>66</v>
      </c>
      <c r="AO2345" t="s">
        <v>67</v>
      </c>
    </row>
    <row r="2346" spans="1:41" x14ac:dyDescent="0.2">
      <c r="A2346">
        <v>370907</v>
      </c>
      <c r="B2346" t="s">
        <v>14956</v>
      </c>
      <c r="C2346" t="s">
        <v>182</v>
      </c>
      <c r="D2346" t="s">
        <v>3779</v>
      </c>
      <c r="E2346" t="s">
        <v>14957</v>
      </c>
      <c r="G2346" s="1">
        <v>45210</v>
      </c>
      <c r="H2346" s="1">
        <v>45789</v>
      </c>
      <c r="I2346" s="1">
        <v>46174</v>
      </c>
      <c r="J2346" t="s">
        <v>45</v>
      </c>
      <c r="K2346" t="s">
        <v>45</v>
      </c>
      <c r="L2346" t="s">
        <v>72</v>
      </c>
      <c r="N2346" t="s">
        <v>47</v>
      </c>
      <c r="O2346" t="s">
        <v>48</v>
      </c>
      <c r="P2346" t="s">
        <v>49</v>
      </c>
      <c r="Q2346" t="s">
        <v>14958</v>
      </c>
      <c r="R2346" t="s">
        <v>14959</v>
      </c>
      <c r="S2346">
        <v>-229</v>
      </c>
      <c r="T2346" t="s">
        <v>156</v>
      </c>
      <c r="U2346" t="s">
        <v>1079</v>
      </c>
      <c r="V2346" t="s">
        <v>14960</v>
      </c>
      <c r="W2346" t="s">
        <v>159</v>
      </c>
      <c r="X2346" t="s">
        <v>156</v>
      </c>
      <c r="Y2346" t="s">
        <v>110</v>
      </c>
      <c r="Z2346">
        <v>12154</v>
      </c>
      <c r="AA2346">
        <v>12</v>
      </c>
      <c r="AB2346">
        <v>44</v>
      </c>
      <c r="AC2346" t="s">
        <v>14961</v>
      </c>
      <c r="AD2346" t="s">
        <v>14962</v>
      </c>
      <c r="AE2346" t="s">
        <v>14963</v>
      </c>
      <c r="AF2346" t="s">
        <v>14964</v>
      </c>
      <c r="AG2346" t="s">
        <v>14965</v>
      </c>
      <c r="AH2346" t="s">
        <v>14966</v>
      </c>
      <c r="AI2346" t="s">
        <v>1084</v>
      </c>
      <c r="AJ2346" s="2">
        <v>45789.894618055558</v>
      </c>
      <c r="AK2346" t="s">
        <v>14964</v>
      </c>
      <c r="AL2346" t="s">
        <v>65</v>
      </c>
      <c r="AM2346" s="4">
        <v>0.92708333333333337</v>
      </c>
      <c r="AN2346" t="s">
        <v>66</v>
      </c>
      <c r="AO2346" t="s">
        <v>67</v>
      </c>
    </row>
    <row r="2347" spans="1:41" x14ac:dyDescent="0.2">
      <c r="A2347">
        <v>363600</v>
      </c>
      <c r="B2347" t="s">
        <v>14967</v>
      </c>
      <c r="C2347" t="s">
        <v>345</v>
      </c>
      <c r="D2347" t="s">
        <v>279</v>
      </c>
      <c r="E2347" t="s">
        <v>14968</v>
      </c>
      <c r="G2347" s="1">
        <v>43662</v>
      </c>
      <c r="H2347" s="1">
        <v>45504</v>
      </c>
      <c r="I2347" s="1">
        <v>46204</v>
      </c>
      <c r="J2347" t="s">
        <v>45</v>
      </c>
      <c r="K2347" t="s">
        <v>45</v>
      </c>
      <c r="L2347" t="s">
        <v>72</v>
      </c>
      <c r="N2347" t="s">
        <v>47</v>
      </c>
      <c r="O2347" t="s">
        <v>48</v>
      </c>
      <c r="P2347" t="s">
        <v>1752</v>
      </c>
      <c r="Q2347" t="s">
        <v>14969</v>
      </c>
      <c r="R2347" t="s">
        <v>14970</v>
      </c>
      <c r="S2347">
        <v>8800</v>
      </c>
      <c r="T2347" t="s">
        <v>365</v>
      </c>
      <c r="U2347" t="s">
        <v>432</v>
      </c>
      <c r="V2347" t="s">
        <v>6159</v>
      </c>
      <c r="W2347" t="s">
        <v>409</v>
      </c>
      <c r="X2347" t="s">
        <v>55</v>
      </c>
      <c r="Y2347" t="s">
        <v>434</v>
      </c>
      <c r="Z2347">
        <v>9886</v>
      </c>
      <c r="AA2347">
        <v>19</v>
      </c>
      <c r="AB2347">
        <v>78</v>
      </c>
      <c r="AC2347" t="s">
        <v>14971</v>
      </c>
      <c r="AD2347" t="s">
        <v>14972</v>
      </c>
      <c r="AE2347" t="s">
        <v>14973</v>
      </c>
      <c r="AF2347" t="s">
        <v>14974</v>
      </c>
      <c r="AG2347" t="s">
        <v>14975</v>
      </c>
      <c r="AH2347" t="s">
        <v>14976</v>
      </c>
      <c r="AJ2347" s="2">
        <v>45517.489444444444</v>
      </c>
      <c r="AK2347" t="s">
        <v>4471</v>
      </c>
      <c r="AL2347" t="s">
        <v>65</v>
      </c>
      <c r="AM2347" s="3">
        <v>1.7222222222222223</v>
      </c>
      <c r="AN2347" t="s">
        <v>66</v>
      </c>
      <c r="AO2347" t="s">
        <v>67</v>
      </c>
    </row>
    <row r="2348" spans="1:41" x14ac:dyDescent="0.2">
      <c r="A2348">
        <v>369324</v>
      </c>
      <c r="B2348" t="s">
        <v>14977</v>
      </c>
      <c r="C2348" t="s">
        <v>182</v>
      </c>
      <c r="D2348" t="s">
        <v>1616</v>
      </c>
      <c r="E2348" t="s">
        <v>14978</v>
      </c>
      <c r="F2348">
        <v>42604</v>
      </c>
      <c r="G2348" s="1">
        <v>39351</v>
      </c>
      <c r="H2348" s="1">
        <v>45468</v>
      </c>
      <c r="I2348" s="1">
        <v>46174</v>
      </c>
      <c r="J2348" t="s">
        <v>45</v>
      </c>
      <c r="K2348" t="s">
        <v>45</v>
      </c>
      <c r="L2348" t="s">
        <v>46</v>
      </c>
      <c r="M2348" s="1">
        <v>45265</v>
      </c>
      <c r="N2348" t="s">
        <v>47</v>
      </c>
      <c r="O2348" t="s">
        <v>48</v>
      </c>
      <c r="P2348" t="s">
        <v>49</v>
      </c>
      <c r="Q2348" t="s">
        <v>14979</v>
      </c>
      <c r="R2348" t="s">
        <v>14980</v>
      </c>
      <c r="S2348">
        <v>6585</v>
      </c>
      <c r="T2348" t="s">
        <v>52</v>
      </c>
      <c r="U2348">
        <v>5</v>
      </c>
      <c r="V2348" t="s">
        <v>1619</v>
      </c>
      <c r="W2348" t="s">
        <v>54</v>
      </c>
      <c r="X2348" t="s">
        <v>493</v>
      </c>
      <c r="Y2348" t="s">
        <v>434</v>
      </c>
      <c r="Z2348">
        <v>2941</v>
      </c>
      <c r="AA2348">
        <v>38</v>
      </c>
      <c r="AB2348">
        <v>142</v>
      </c>
      <c r="AC2348" t="s">
        <v>8206</v>
      </c>
      <c r="AD2348" t="s">
        <v>7097</v>
      </c>
      <c r="AE2348" t="s">
        <v>7098</v>
      </c>
      <c r="AF2348" t="s">
        <v>14981</v>
      </c>
      <c r="AG2348" t="s">
        <v>8208</v>
      </c>
      <c r="AH2348" t="s">
        <v>8209</v>
      </c>
      <c r="AI2348" t="s">
        <v>1626</v>
      </c>
      <c r="AJ2348" s="2">
        <v>45734.677581018521</v>
      </c>
      <c r="AK2348" t="s">
        <v>100</v>
      </c>
      <c r="AL2348" t="s">
        <v>65</v>
      </c>
      <c r="AM2348" s="4">
        <v>0.98611111111111116</v>
      </c>
      <c r="AN2348" t="s">
        <v>66</v>
      </c>
      <c r="AO2348" t="s">
        <v>67</v>
      </c>
    </row>
    <row r="2349" spans="1:41" x14ac:dyDescent="0.2">
      <c r="A2349">
        <v>371306</v>
      </c>
      <c r="B2349" t="s">
        <v>14982</v>
      </c>
      <c r="C2349" t="s">
        <v>167</v>
      </c>
      <c r="D2349" t="s">
        <v>6896</v>
      </c>
      <c r="E2349" t="s">
        <v>14983</v>
      </c>
      <c r="F2349">
        <v>351520</v>
      </c>
      <c r="G2349" s="1">
        <v>36091</v>
      </c>
      <c r="H2349" s="1">
        <v>45800</v>
      </c>
      <c r="I2349" s="1">
        <v>46143</v>
      </c>
      <c r="J2349" t="s">
        <v>45</v>
      </c>
      <c r="K2349" t="s">
        <v>45</v>
      </c>
      <c r="L2349" t="s">
        <v>429</v>
      </c>
      <c r="M2349" s="1">
        <v>44763</v>
      </c>
      <c r="N2349" t="s">
        <v>47</v>
      </c>
      <c r="O2349" t="s">
        <v>48</v>
      </c>
      <c r="P2349" t="s">
        <v>49</v>
      </c>
      <c r="Q2349" t="s">
        <v>14984</v>
      </c>
      <c r="R2349" t="s">
        <v>14985</v>
      </c>
      <c r="S2349">
        <v>4263</v>
      </c>
      <c r="T2349" t="s">
        <v>52</v>
      </c>
      <c r="U2349">
        <v>6</v>
      </c>
      <c r="V2349" t="s">
        <v>2875</v>
      </c>
      <c r="W2349" t="s">
        <v>54</v>
      </c>
      <c r="X2349" t="s">
        <v>76</v>
      </c>
      <c r="Y2349" t="s">
        <v>56</v>
      </c>
      <c r="Z2349">
        <v>866</v>
      </c>
      <c r="AA2349">
        <v>79</v>
      </c>
      <c r="AB2349">
        <v>160</v>
      </c>
      <c r="AC2349" t="s">
        <v>2876</v>
      </c>
      <c r="AD2349" t="s">
        <v>2877</v>
      </c>
      <c r="AE2349" t="s">
        <v>2878</v>
      </c>
      <c r="AF2349" t="s">
        <v>2879</v>
      </c>
      <c r="AG2349" t="s">
        <v>2880</v>
      </c>
      <c r="AH2349" t="s">
        <v>2881</v>
      </c>
      <c r="AI2349" t="s">
        <v>14986</v>
      </c>
      <c r="AJ2349" s="2">
        <v>45804.71334490741</v>
      </c>
      <c r="AK2349" t="s">
        <v>568</v>
      </c>
      <c r="AL2349" t="s">
        <v>65</v>
      </c>
      <c r="AM2349" s="3">
        <v>2.3263888888888888</v>
      </c>
      <c r="AN2349" t="s">
        <v>66</v>
      </c>
      <c r="AO2349" t="s">
        <v>67</v>
      </c>
    </row>
    <row r="2350" spans="1:41" x14ac:dyDescent="0.2">
      <c r="A2350">
        <v>370217</v>
      </c>
      <c r="B2350" t="s">
        <v>14987</v>
      </c>
      <c r="C2350" t="s">
        <v>182</v>
      </c>
      <c r="D2350" t="s">
        <v>610</v>
      </c>
      <c r="E2350">
        <v>92303042</v>
      </c>
      <c r="F2350">
        <v>45732</v>
      </c>
      <c r="G2350" s="1">
        <v>41757</v>
      </c>
      <c r="H2350" s="1">
        <v>45636</v>
      </c>
      <c r="I2350" s="1">
        <v>45992</v>
      </c>
      <c r="J2350" t="s">
        <v>45</v>
      </c>
      <c r="K2350" t="s">
        <v>45</v>
      </c>
      <c r="L2350" t="s">
        <v>429</v>
      </c>
      <c r="M2350" s="1">
        <v>45757</v>
      </c>
      <c r="N2350" t="s">
        <v>47</v>
      </c>
      <c r="O2350" t="s">
        <v>48</v>
      </c>
      <c r="P2350" t="s">
        <v>49</v>
      </c>
      <c r="Q2350" t="s">
        <v>14988</v>
      </c>
      <c r="R2350" t="s">
        <v>14989</v>
      </c>
      <c r="S2350">
        <v>915</v>
      </c>
      <c r="T2350" t="s">
        <v>1328</v>
      </c>
      <c r="U2350" t="s">
        <v>1583</v>
      </c>
      <c r="V2350" t="s">
        <v>4498</v>
      </c>
      <c r="W2350" t="s">
        <v>4499</v>
      </c>
      <c r="X2350" t="s">
        <v>493</v>
      </c>
      <c r="Y2350" t="s">
        <v>434</v>
      </c>
      <c r="Z2350">
        <v>7006</v>
      </c>
      <c r="AA2350">
        <v>32</v>
      </c>
      <c r="AB2350">
        <v>24</v>
      </c>
      <c r="AC2350" t="s">
        <v>4500</v>
      </c>
      <c r="AD2350" t="s">
        <v>4501</v>
      </c>
      <c r="AE2350" t="s">
        <v>4502</v>
      </c>
      <c r="AF2350" t="s">
        <v>10823</v>
      </c>
      <c r="AG2350" t="s">
        <v>4504</v>
      </c>
      <c r="AH2350" t="s">
        <v>4505</v>
      </c>
      <c r="AJ2350" s="2">
        <v>45765.723043981481</v>
      </c>
      <c r="AK2350" t="s">
        <v>307</v>
      </c>
      <c r="AL2350" t="s">
        <v>65</v>
      </c>
      <c r="AM2350" s="4">
        <v>0.94444444444444442</v>
      </c>
      <c r="AN2350" t="s">
        <v>66</v>
      </c>
      <c r="AO2350" t="s">
        <v>67</v>
      </c>
    </row>
    <row r="2351" spans="1:41" x14ac:dyDescent="0.2">
      <c r="A2351">
        <v>372079</v>
      </c>
      <c r="B2351" t="s">
        <v>14990</v>
      </c>
      <c r="C2351" t="s">
        <v>1107</v>
      </c>
      <c r="D2351" t="s">
        <v>662</v>
      </c>
      <c r="E2351" t="s">
        <v>14991</v>
      </c>
      <c r="F2351">
        <v>237301</v>
      </c>
      <c r="G2351" s="1">
        <v>40917</v>
      </c>
      <c r="H2351" s="1">
        <v>45726</v>
      </c>
      <c r="I2351" s="1">
        <v>46096</v>
      </c>
      <c r="J2351" t="s">
        <v>45</v>
      </c>
      <c r="K2351" t="s">
        <v>45</v>
      </c>
      <c r="L2351" t="s">
        <v>72</v>
      </c>
      <c r="M2351" s="1">
        <v>43531</v>
      </c>
      <c r="N2351" t="s">
        <v>47</v>
      </c>
      <c r="O2351" t="s">
        <v>48</v>
      </c>
      <c r="P2351" t="s">
        <v>49</v>
      </c>
      <c r="Q2351" t="s">
        <v>14992</v>
      </c>
      <c r="R2351" t="s">
        <v>14993</v>
      </c>
      <c r="S2351">
        <v>1167</v>
      </c>
      <c r="T2351" t="s">
        <v>52</v>
      </c>
      <c r="U2351">
        <v>9</v>
      </c>
      <c r="V2351" t="s">
        <v>1318</v>
      </c>
      <c r="W2351" t="s">
        <v>54</v>
      </c>
      <c r="Y2351" t="s">
        <v>56</v>
      </c>
      <c r="Z2351">
        <v>5226</v>
      </c>
      <c r="AA2351">
        <v>33</v>
      </c>
      <c r="AB2351">
        <v>28</v>
      </c>
      <c r="AC2351" t="s">
        <v>1319</v>
      </c>
      <c r="AD2351" t="s">
        <v>1322</v>
      </c>
      <c r="AE2351" t="s">
        <v>1321</v>
      </c>
      <c r="AF2351" t="s">
        <v>14994</v>
      </c>
      <c r="AG2351" t="s">
        <v>14995</v>
      </c>
      <c r="AH2351" t="s">
        <v>14996</v>
      </c>
      <c r="AI2351" t="s">
        <v>1320</v>
      </c>
      <c r="AJ2351" s="2">
        <v>45828.77621527778</v>
      </c>
      <c r="AK2351" t="s">
        <v>375</v>
      </c>
      <c r="AL2351" t="s">
        <v>65</v>
      </c>
      <c r="AM2351" s="3">
        <v>1.6388888888888888</v>
      </c>
      <c r="AN2351" t="s">
        <v>66</v>
      </c>
      <c r="AO2351" t="s">
        <v>67</v>
      </c>
    </row>
    <row r="2352" spans="1:41" x14ac:dyDescent="0.2">
      <c r="A2352">
        <v>373030</v>
      </c>
      <c r="B2352" t="s">
        <v>14997</v>
      </c>
      <c r="C2352" t="s">
        <v>692</v>
      </c>
      <c r="D2352" t="s">
        <v>4533</v>
      </c>
      <c r="E2352" t="s">
        <v>14998</v>
      </c>
      <c r="F2352">
        <v>480502</v>
      </c>
      <c r="G2352" s="1">
        <v>34092</v>
      </c>
      <c r="H2352" s="1">
        <v>45545</v>
      </c>
      <c r="I2352" s="1">
        <v>46266</v>
      </c>
      <c r="J2352" t="s">
        <v>45</v>
      </c>
      <c r="K2352" t="s">
        <v>45</v>
      </c>
      <c r="L2352" t="s">
        <v>429</v>
      </c>
      <c r="M2352" s="1">
        <v>45155</v>
      </c>
      <c r="N2352" t="s">
        <v>47</v>
      </c>
      <c r="O2352" t="s">
        <v>48</v>
      </c>
      <c r="P2352" t="s">
        <v>49</v>
      </c>
      <c r="Q2352" t="s">
        <v>14999</v>
      </c>
      <c r="R2352" t="s">
        <v>15000</v>
      </c>
      <c r="S2352">
        <v>5199</v>
      </c>
      <c r="T2352" t="s">
        <v>52</v>
      </c>
      <c r="U2352">
        <v>2</v>
      </c>
      <c r="V2352" t="s">
        <v>7146</v>
      </c>
      <c r="W2352" t="s">
        <v>54</v>
      </c>
      <c r="X2352" t="s">
        <v>76</v>
      </c>
      <c r="Y2352" t="s">
        <v>56</v>
      </c>
      <c r="Z2352">
        <v>577</v>
      </c>
      <c r="AA2352">
        <v>59</v>
      </c>
      <c r="AB2352">
        <v>66</v>
      </c>
      <c r="AC2352" t="s">
        <v>6674</v>
      </c>
      <c r="AD2352" t="s">
        <v>6675</v>
      </c>
      <c r="AE2352" t="s">
        <v>6676</v>
      </c>
      <c r="AF2352" t="s">
        <v>7147</v>
      </c>
      <c r="AG2352" t="s">
        <v>7148</v>
      </c>
      <c r="AH2352" t="s">
        <v>7149</v>
      </c>
      <c r="AI2352" t="s">
        <v>179</v>
      </c>
      <c r="AJ2352" s="2">
        <v>45856.036851851852</v>
      </c>
      <c r="AK2352" t="s">
        <v>556</v>
      </c>
      <c r="AL2352" t="s">
        <v>65</v>
      </c>
      <c r="AM2352" s="4">
        <v>0.20833333333333334</v>
      </c>
      <c r="AN2352" t="s">
        <v>66</v>
      </c>
      <c r="AO2352" t="s">
        <v>67</v>
      </c>
    </row>
    <row r="2353" spans="1:41" x14ac:dyDescent="0.2">
      <c r="A2353">
        <v>368387</v>
      </c>
      <c r="B2353" t="s">
        <v>15001</v>
      </c>
      <c r="C2353" t="s">
        <v>182</v>
      </c>
      <c r="D2353" t="s">
        <v>811</v>
      </c>
      <c r="E2353" s="5">
        <v>3335230000</v>
      </c>
      <c r="F2353">
        <v>45111</v>
      </c>
      <c r="G2353" s="1">
        <v>37944</v>
      </c>
      <c r="H2353" s="1">
        <v>45700</v>
      </c>
      <c r="I2353" s="1">
        <v>46082</v>
      </c>
      <c r="J2353" t="s">
        <v>45</v>
      </c>
      <c r="K2353" t="s">
        <v>45</v>
      </c>
      <c r="L2353" t="s">
        <v>46</v>
      </c>
      <c r="M2353" s="1">
        <v>42489</v>
      </c>
      <c r="N2353" t="s">
        <v>47</v>
      </c>
      <c r="O2353" t="s">
        <v>48</v>
      </c>
      <c r="P2353" t="s">
        <v>49</v>
      </c>
      <c r="Q2353" t="s">
        <v>15002</v>
      </c>
      <c r="R2353" t="s">
        <v>15003</v>
      </c>
      <c r="S2353">
        <v>4923</v>
      </c>
      <c r="T2353" t="s">
        <v>52</v>
      </c>
      <c r="U2353">
        <v>5</v>
      </c>
      <c r="V2353" t="s">
        <v>1665</v>
      </c>
      <c r="W2353" t="s">
        <v>54</v>
      </c>
      <c r="X2353" t="s">
        <v>493</v>
      </c>
      <c r="Y2353" t="s">
        <v>434</v>
      </c>
      <c r="Z2353">
        <v>2477</v>
      </c>
      <c r="AA2353">
        <v>48</v>
      </c>
      <c r="AB2353">
        <v>160</v>
      </c>
      <c r="AC2353" t="s">
        <v>2424</v>
      </c>
      <c r="AD2353" t="s">
        <v>2425</v>
      </c>
      <c r="AE2353" t="s">
        <v>2426</v>
      </c>
      <c r="AF2353" t="s">
        <v>1666</v>
      </c>
      <c r="AG2353" t="s">
        <v>1667</v>
      </c>
      <c r="AH2353" t="s">
        <v>1668</v>
      </c>
      <c r="AI2353" t="s">
        <v>15004</v>
      </c>
      <c r="AJ2353" s="2">
        <v>45708.866307870368</v>
      </c>
      <c r="AK2353" t="s">
        <v>403</v>
      </c>
      <c r="AL2353" t="s">
        <v>65</v>
      </c>
      <c r="AM2353" s="4">
        <v>9.0277777777777776E-2</v>
      </c>
      <c r="AN2353" t="s">
        <v>66</v>
      </c>
      <c r="AO2353" t="s">
        <v>67</v>
      </c>
    </row>
    <row r="2354" spans="1:41" x14ac:dyDescent="0.2">
      <c r="A2354">
        <v>371468</v>
      </c>
      <c r="B2354" t="s">
        <v>15005</v>
      </c>
      <c r="C2354" t="s">
        <v>167</v>
      </c>
      <c r="D2354" t="s">
        <v>1628</v>
      </c>
      <c r="E2354" t="s">
        <v>15006</v>
      </c>
      <c r="F2354">
        <v>353424</v>
      </c>
      <c r="G2354" s="1">
        <v>31531</v>
      </c>
      <c r="H2354" s="1">
        <v>45811</v>
      </c>
      <c r="I2354" s="1">
        <v>46174</v>
      </c>
      <c r="J2354" t="s">
        <v>45</v>
      </c>
      <c r="K2354" t="s">
        <v>326</v>
      </c>
      <c r="L2354" t="s">
        <v>72</v>
      </c>
      <c r="M2354" s="1">
        <v>44496</v>
      </c>
      <c r="N2354" t="s">
        <v>47</v>
      </c>
      <c r="O2354" t="s">
        <v>48</v>
      </c>
      <c r="P2354" t="s">
        <v>49</v>
      </c>
      <c r="Q2354" t="s">
        <v>15007</v>
      </c>
      <c r="R2354" t="s">
        <v>15008</v>
      </c>
      <c r="S2354">
        <v>5650</v>
      </c>
      <c r="T2354" t="s">
        <v>156</v>
      </c>
      <c r="U2354" t="s">
        <v>4608</v>
      </c>
      <c r="V2354" t="s">
        <v>8614</v>
      </c>
      <c r="W2354" t="s">
        <v>159</v>
      </c>
      <c r="X2354" t="s">
        <v>156</v>
      </c>
      <c r="Y2354" t="s">
        <v>110</v>
      </c>
      <c r="Z2354">
        <v>480</v>
      </c>
      <c r="AA2354">
        <v>60</v>
      </c>
      <c r="AB2354">
        <v>30</v>
      </c>
      <c r="AC2354" t="s">
        <v>4610</v>
      </c>
      <c r="AD2354" t="s">
        <v>4611</v>
      </c>
      <c r="AE2354" t="s">
        <v>4612</v>
      </c>
      <c r="AF2354" t="s">
        <v>4613</v>
      </c>
      <c r="AG2354" t="s">
        <v>4614</v>
      </c>
      <c r="AH2354" t="s">
        <v>4615</v>
      </c>
      <c r="AJ2354" s="2">
        <v>45812.62259259259</v>
      </c>
      <c r="AK2354" t="s">
        <v>4610</v>
      </c>
      <c r="AL2354" t="s">
        <v>65</v>
      </c>
      <c r="AM2354" s="3">
        <v>1.1527777777777777</v>
      </c>
      <c r="AN2354" t="s">
        <v>66</v>
      </c>
      <c r="AO2354" t="s">
        <v>67</v>
      </c>
    </row>
    <row r="2355" spans="1:41" x14ac:dyDescent="0.2">
      <c r="A2355">
        <v>368967</v>
      </c>
      <c r="B2355" t="s">
        <v>15005</v>
      </c>
      <c r="C2355" t="s">
        <v>182</v>
      </c>
      <c r="D2355" t="s">
        <v>2179</v>
      </c>
      <c r="E2355" t="s">
        <v>15009</v>
      </c>
      <c r="F2355">
        <v>43710</v>
      </c>
      <c r="G2355" s="1">
        <v>36067</v>
      </c>
      <c r="H2355" s="1">
        <v>45530</v>
      </c>
      <c r="I2355" s="1">
        <v>46235</v>
      </c>
      <c r="J2355" t="s">
        <v>45</v>
      </c>
      <c r="K2355" t="s">
        <v>45</v>
      </c>
      <c r="L2355" t="s">
        <v>46</v>
      </c>
      <c r="M2355" s="1">
        <v>43362</v>
      </c>
      <c r="N2355" t="s">
        <v>47</v>
      </c>
      <c r="O2355" t="s">
        <v>48</v>
      </c>
      <c r="P2355" t="s">
        <v>49</v>
      </c>
      <c r="Q2355" t="s">
        <v>15010</v>
      </c>
      <c r="R2355" t="s">
        <v>15011</v>
      </c>
      <c r="S2355">
        <v>7103</v>
      </c>
      <c r="T2355" t="s">
        <v>52</v>
      </c>
      <c r="U2355">
        <v>5</v>
      </c>
      <c r="V2355" t="s">
        <v>5856</v>
      </c>
      <c r="W2355" t="s">
        <v>54</v>
      </c>
      <c r="X2355" t="s">
        <v>493</v>
      </c>
      <c r="Y2355" t="s">
        <v>434</v>
      </c>
      <c r="Z2355">
        <v>960</v>
      </c>
      <c r="AA2355">
        <v>50</v>
      </c>
      <c r="AB2355">
        <v>34</v>
      </c>
      <c r="AC2355" t="s">
        <v>5857</v>
      </c>
      <c r="AD2355" t="s">
        <v>5858</v>
      </c>
      <c r="AE2355" t="s">
        <v>15012</v>
      </c>
      <c r="AF2355" t="s">
        <v>6329</v>
      </c>
      <c r="AG2355" t="s">
        <v>6330</v>
      </c>
      <c r="AH2355" t="s">
        <v>5862</v>
      </c>
      <c r="AI2355" t="s">
        <v>500</v>
      </c>
      <c r="AJ2355" s="2">
        <v>45722.931793981479</v>
      </c>
      <c r="AK2355" t="s">
        <v>1472</v>
      </c>
      <c r="AL2355" t="s">
        <v>65</v>
      </c>
      <c r="AM2355" s="4">
        <v>0.1736111111111111</v>
      </c>
      <c r="AN2355" t="s">
        <v>66</v>
      </c>
      <c r="AO2355" t="s">
        <v>67</v>
      </c>
    </row>
    <row r="2356" spans="1:41" x14ac:dyDescent="0.2">
      <c r="A2356">
        <v>371474</v>
      </c>
      <c r="B2356" t="s">
        <v>15013</v>
      </c>
      <c r="C2356" t="s">
        <v>197</v>
      </c>
      <c r="D2356" t="s">
        <v>15014</v>
      </c>
      <c r="E2356" t="s">
        <v>15015</v>
      </c>
      <c r="G2356" s="1">
        <v>45475</v>
      </c>
      <c r="H2356" s="1">
        <v>45798</v>
      </c>
      <c r="I2356" s="1">
        <v>46113</v>
      </c>
      <c r="J2356" t="s">
        <v>45</v>
      </c>
      <c r="K2356" t="s">
        <v>45</v>
      </c>
      <c r="L2356" t="s">
        <v>72</v>
      </c>
      <c r="N2356" t="s">
        <v>47</v>
      </c>
      <c r="O2356" t="s">
        <v>121</v>
      </c>
      <c r="P2356" t="s">
        <v>49</v>
      </c>
      <c r="Q2356" t="s">
        <v>15016</v>
      </c>
      <c r="R2356" t="s">
        <v>15017</v>
      </c>
      <c r="S2356">
        <v>610</v>
      </c>
      <c r="T2356" t="s">
        <v>52</v>
      </c>
      <c r="U2356">
        <v>8</v>
      </c>
      <c r="V2356" t="s">
        <v>993</v>
      </c>
      <c r="W2356" t="s">
        <v>54</v>
      </c>
      <c r="X2356" t="s">
        <v>52</v>
      </c>
      <c r="Y2356" t="s">
        <v>125</v>
      </c>
      <c r="Z2356">
        <v>8726</v>
      </c>
      <c r="AA2356">
        <v>23</v>
      </c>
      <c r="AB2356">
        <v>37</v>
      </c>
      <c r="AC2356" t="s">
        <v>6784</v>
      </c>
      <c r="AD2356" t="s">
        <v>6785</v>
      </c>
      <c r="AE2356" t="s">
        <v>6786</v>
      </c>
      <c r="AF2356" t="s">
        <v>6787</v>
      </c>
      <c r="AG2356" t="s">
        <v>6788</v>
      </c>
      <c r="AH2356" t="s">
        <v>6789</v>
      </c>
      <c r="AI2356" t="s">
        <v>6790</v>
      </c>
      <c r="AJ2356" s="2">
        <v>45812.642939814818</v>
      </c>
      <c r="AK2356" t="s">
        <v>650</v>
      </c>
      <c r="AL2356" t="s">
        <v>65</v>
      </c>
      <c r="AM2356" s="4">
        <v>0.82638888888888884</v>
      </c>
      <c r="AN2356" t="s">
        <v>66</v>
      </c>
      <c r="AO2356" t="s">
        <v>101</v>
      </c>
    </row>
    <row r="2357" spans="1:41" x14ac:dyDescent="0.2">
      <c r="A2357">
        <v>370406</v>
      </c>
      <c r="B2357" t="s">
        <v>15018</v>
      </c>
      <c r="C2357" t="s">
        <v>69</v>
      </c>
      <c r="D2357" t="s">
        <v>1849</v>
      </c>
      <c r="E2357" t="s">
        <v>15019</v>
      </c>
      <c r="F2357">
        <v>103403</v>
      </c>
      <c r="G2357" s="1">
        <v>33052</v>
      </c>
      <c r="H2357" s="1">
        <v>45772</v>
      </c>
      <c r="I2357" s="1">
        <v>46174</v>
      </c>
      <c r="J2357" t="s">
        <v>45</v>
      </c>
      <c r="K2357" t="s">
        <v>45</v>
      </c>
      <c r="L2357" t="s">
        <v>429</v>
      </c>
      <c r="M2357" s="1">
        <v>43783</v>
      </c>
      <c r="N2357" t="s">
        <v>47</v>
      </c>
      <c r="O2357" t="s">
        <v>48</v>
      </c>
      <c r="P2357" t="s">
        <v>49</v>
      </c>
      <c r="Q2357" t="s">
        <v>15020</v>
      </c>
      <c r="R2357" t="s">
        <v>15021</v>
      </c>
      <c r="S2357">
        <v>4279</v>
      </c>
      <c r="T2357" t="s">
        <v>365</v>
      </c>
      <c r="U2357" t="s">
        <v>532</v>
      </c>
      <c r="V2357" t="s">
        <v>3689</v>
      </c>
      <c r="W2357" t="s">
        <v>367</v>
      </c>
      <c r="X2357" t="s">
        <v>76</v>
      </c>
      <c r="Y2357" t="s">
        <v>434</v>
      </c>
      <c r="Z2357">
        <v>188</v>
      </c>
      <c r="AA2357">
        <v>60</v>
      </c>
      <c r="AB2357">
        <v>158</v>
      </c>
      <c r="AC2357" t="s">
        <v>3690</v>
      </c>
      <c r="AD2357" t="s">
        <v>3691</v>
      </c>
      <c r="AE2357" t="s">
        <v>3692</v>
      </c>
      <c r="AF2357" t="s">
        <v>6127</v>
      </c>
      <c r="AG2357" t="s">
        <v>3694</v>
      </c>
      <c r="AH2357" t="s">
        <v>3695</v>
      </c>
      <c r="AI2357" t="s">
        <v>179</v>
      </c>
      <c r="AJ2357" s="2">
        <v>45775.580046296294</v>
      </c>
      <c r="AK2357" t="s">
        <v>568</v>
      </c>
      <c r="AL2357" t="s">
        <v>65</v>
      </c>
      <c r="AM2357" s="3">
        <v>1.8541666666666667</v>
      </c>
      <c r="AN2357" t="s">
        <v>66</v>
      </c>
      <c r="AO2357" t="s">
        <v>67</v>
      </c>
    </row>
    <row r="2358" spans="1:41" x14ac:dyDescent="0.2">
      <c r="A2358">
        <v>361807</v>
      </c>
      <c r="B2358" t="s">
        <v>15022</v>
      </c>
      <c r="C2358" t="s">
        <v>558</v>
      </c>
      <c r="D2358" t="s">
        <v>746</v>
      </c>
      <c r="E2358" t="s">
        <v>15023</v>
      </c>
      <c r="F2358">
        <v>260309</v>
      </c>
      <c r="G2358" s="1">
        <v>33043</v>
      </c>
      <c r="H2358" s="1">
        <v>45463</v>
      </c>
      <c r="I2358" s="1">
        <v>46188</v>
      </c>
      <c r="J2358" t="s">
        <v>45</v>
      </c>
      <c r="K2358" t="s">
        <v>45</v>
      </c>
      <c r="L2358" t="s">
        <v>429</v>
      </c>
      <c r="M2358" s="1">
        <v>40100</v>
      </c>
      <c r="N2358" t="s">
        <v>47</v>
      </c>
      <c r="O2358" t="s">
        <v>48</v>
      </c>
      <c r="P2358" t="s">
        <v>49</v>
      </c>
      <c r="Q2358" t="s">
        <v>15024</v>
      </c>
      <c r="R2358" t="s">
        <v>15025</v>
      </c>
      <c r="S2358">
        <v>5427</v>
      </c>
      <c r="T2358" t="s">
        <v>365</v>
      </c>
      <c r="U2358" t="s">
        <v>562</v>
      </c>
      <c r="V2358" t="s">
        <v>749</v>
      </c>
      <c r="W2358" t="s">
        <v>367</v>
      </c>
      <c r="X2358" t="s">
        <v>76</v>
      </c>
      <c r="Y2358" t="s">
        <v>434</v>
      </c>
      <c r="Z2358">
        <v>252</v>
      </c>
      <c r="AA2358">
        <v>45</v>
      </c>
      <c r="AB2358">
        <v>166</v>
      </c>
      <c r="AC2358" t="s">
        <v>750</v>
      </c>
      <c r="AD2358" t="s">
        <v>751</v>
      </c>
      <c r="AE2358" t="s">
        <v>752</v>
      </c>
      <c r="AI2358" t="s">
        <v>500</v>
      </c>
      <c r="AJ2358" s="2">
        <v>45467.171655092592</v>
      </c>
      <c r="AK2358" t="s">
        <v>717</v>
      </c>
      <c r="AL2358" t="s">
        <v>65</v>
      </c>
      <c r="AM2358" s="3">
        <v>1.7083333333333333</v>
      </c>
      <c r="AN2358" t="s">
        <v>66</v>
      </c>
      <c r="AO2358" t="s">
        <v>67</v>
      </c>
    </row>
    <row r="2359" spans="1:41" x14ac:dyDescent="0.2">
      <c r="A2359">
        <v>370896</v>
      </c>
      <c r="B2359" t="s">
        <v>15026</v>
      </c>
      <c r="C2359" t="s">
        <v>167</v>
      </c>
      <c r="D2359" t="s">
        <v>1336</v>
      </c>
      <c r="E2359" s="5">
        <v>60011300</v>
      </c>
      <c r="F2359">
        <v>351710</v>
      </c>
      <c r="G2359" s="1">
        <v>38198</v>
      </c>
      <c r="H2359" s="1">
        <v>45784</v>
      </c>
      <c r="I2359" s="1">
        <v>46143</v>
      </c>
      <c r="J2359" t="s">
        <v>45</v>
      </c>
      <c r="K2359" t="s">
        <v>45</v>
      </c>
      <c r="L2359" t="s">
        <v>72</v>
      </c>
      <c r="M2359" s="1">
        <v>44146</v>
      </c>
      <c r="N2359" t="s">
        <v>47</v>
      </c>
      <c r="O2359" t="s">
        <v>48</v>
      </c>
      <c r="P2359" t="s">
        <v>49</v>
      </c>
      <c r="Q2359" t="s">
        <v>15027</v>
      </c>
      <c r="R2359" t="s">
        <v>15028</v>
      </c>
      <c r="S2359">
        <v>1909</v>
      </c>
      <c r="T2359" t="s">
        <v>92</v>
      </c>
      <c r="U2359" t="s">
        <v>3030</v>
      </c>
      <c r="V2359" t="s">
        <v>3031</v>
      </c>
      <c r="W2359" t="s">
        <v>3032</v>
      </c>
      <c r="X2359" t="s">
        <v>52</v>
      </c>
      <c r="Y2359" t="s">
        <v>110</v>
      </c>
      <c r="Z2359">
        <v>1561</v>
      </c>
      <c r="AA2359">
        <v>33</v>
      </c>
      <c r="AB2359">
        <v>176</v>
      </c>
      <c r="AC2359" t="s">
        <v>4828</v>
      </c>
      <c r="AD2359" t="s">
        <v>4829</v>
      </c>
      <c r="AE2359" t="s">
        <v>4830</v>
      </c>
      <c r="AF2359" t="s">
        <v>7888</v>
      </c>
      <c r="AG2359" t="s">
        <v>4832</v>
      </c>
      <c r="AH2359" t="s">
        <v>4833</v>
      </c>
      <c r="AI2359" t="s">
        <v>4829</v>
      </c>
      <c r="AJ2359" s="2">
        <v>45789.789895833332</v>
      </c>
      <c r="AK2359" t="s">
        <v>4828</v>
      </c>
      <c r="AL2359" t="s">
        <v>65</v>
      </c>
      <c r="AM2359" s="4">
        <v>0.53472222222222221</v>
      </c>
      <c r="AN2359" t="s">
        <v>66</v>
      </c>
      <c r="AO2359" t="s">
        <v>67</v>
      </c>
    </row>
    <row r="2360" spans="1:41" x14ac:dyDescent="0.2">
      <c r="A2360">
        <v>359321</v>
      </c>
      <c r="B2360" t="s">
        <v>15029</v>
      </c>
      <c r="C2360" t="s">
        <v>103</v>
      </c>
      <c r="D2360" t="s">
        <v>7634</v>
      </c>
      <c r="E2360" t="s">
        <v>15030</v>
      </c>
      <c r="F2360">
        <v>318202</v>
      </c>
      <c r="G2360" s="1">
        <v>40218</v>
      </c>
      <c r="H2360" s="1">
        <v>45301</v>
      </c>
      <c r="I2360" s="1">
        <v>46310</v>
      </c>
      <c r="J2360" t="s">
        <v>45</v>
      </c>
      <c r="K2360" t="s">
        <v>45</v>
      </c>
      <c r="L2360" t="s">
        <v>72</v>
      </c>
      <c r="M2360" s="1">
        <v>42486</v>
      </c>
      <c r="N2360" t="s">
        <v>47</v>
      </c>
      <c r="O2360" t="s">
        <v>48</v>
      </c>
      <c r="P2360" t="s">
        <v>49</v>
      </c>
      <c r="Q2360" t="s">
        <v>15031</v>
      </c>
      <c r="R2360" t="s">
        <v>15032</v>
      </c>
      <c r="S2360">
        <v>400</v>
      </c>
      <c r="T2360" t="s">
        <v>92</v>
      </c>
      <c r="U2360" t="s">
        <v>107</v>
      </c>
      <c r="V2360" t="s">
        <v>108</v>
      </c>
      <c r="W2360" t="s">
        <v>109</v>
      </c>
      <c r="X2360" t="s">
        <v>52</v>
      </c>
      <c r="Y2360" t="s">
        <v>110</v>
      </c>
      <c r="Z2360">
        <v>2826</v>
      </c>
      <c r="AA2360">
        <v>48</v>
      </c>
      <c r="AB2360">
        <v>80</v>
      </c>
      <c r="AC2360" t="s">
        <v>4563</v>
      </c>
      <c r="AD2360" t="s">
        <v>4564</v>
      </c>
      <c r="AE2360" t="s">
        <v>6718</v>
      </c>
      <c r="AF2360" t="s">
        <v>1464</v>
      </c>
      <c r="AG2360" t="s">
        <v>4566</v>
      </c>
      <c r="AH2360" t="s">
        <v>1465</v>
      </c>
      <c r="AJ2360" s="2">
        <v>45818.719537037039</v>
      </c>
      <c r="AK2360" t="s">
        <v>100</v>
      </c>
      <c r="AL2360" t="s">
        <v>65</v>
      </c>
      <c r="AM2360" s="3">
        <v>1.8819444444444444</v>
      </c>
      <c r="AN2360" t="s">
        <v>66</v>
      </c>
      <c r="AO2360" t="s">
        <v>67</v>
      </c>
    </row>
    <row r="2361" spans="1:41" x14ac:dyDescent="0.2">
      <c r="A2361">
        <v>371854</v>
      </c>
      <c r="B2361" t="s">
        <v>15033</v>
      </c>
      <c r="C2361" t="s">
        <v>735</v>
      </c>
      <c r="D2361" t="s">
        <v>15034</v>
      </c>
      <c r="E2361" t="s">
        <v>15035</v>
      </c>
      <c r="F2361">
        <v>240601</v>
      </c>
      <c r="G2361" s="1">
        <v>38645</v>
      </c>
      <c r="H2361" s="1">
        <v>45813</v>
      </c>
      <c r="I2361" s="1">
        <v>46174</v>
      </c>
      <c r="J2361" t="s">
        <v>45</v>
      </c>
      <c r="K2361" t="s">
        <v>45</v>
      </c>
      <c r="L2361" t="s">
        <v>429</v>
      </c>
      <c r="M2361" s="1">
        <v>38645</v>
      </c>
      <c r="N2361" t="s">
        <v>47</v>
      </c>
      <c r="O2361" t="s">
        <v>48</v>
      </c>
      <c r="P2361" t="s">
        <v>49</v>
      </c>
      <c r="Q2361" t="s">
        <v>15036</v>
      </c>
      <c r="R2361" t="s">
        <v>15037</v>
      </c>
      <c r="S2361">
        <v>3789</v>
      </c>
      <c r="T2361" t="s">
        <v>296</v>
      </c>
      <c r="U2361" t="s">
        <v>1487</v>
      </c>
      <c r="V2361" t="s">
        <v>15038</v>
      </c>
      <c r="W2361" t="s">
        <v>299</v>
      </c>
      <c r="X2361" t="s">
        <v>76</v>
      </c>
      <c r="Y2361" t="s">
        <v>56</v>
      </c>
      <c r="Z2361">
        <v>11</v>
      </c>
      <c r="AA2361">
        <v>59</v>
      </c>
      <c r="AB2361">
        <v>144</v>
      </c>
      <c r="AC2361" t="s">
        <v>15039</v>
      </c>
      <c r="AD2361" t="s">
        <v>15040</v>
      </c>
      <c r="AI2361" t="s">
        <v>1494</v>
      </c>
      <c r="AJ2361" s="2">
        <v>45821.580497685187</v>
      </c>
      <c r="AK2361" t="s">
        <v>568</v>
      </c>
      <c r="AL2361" t="s">
        <v>65</v>
      </c>
      <c r="AM2361" s="4">
        <v>0.75</v>
      </c>
      <c r="AN2361" t="s">
        <v>809</v>
      </c>
      <c r="AO2361" t="s">
        <v>67</v>
      </c>
    </row>
    <row r="2362" spans="1:41" x14ac:dyDescent="0.2">
      <c r="A2362">
        <v>368398</v>
      </c>
      <c r="B2362" t="s">
        <v>15041</v>
      </c>
      <c r="C2362" t="s">
        <v>345</v>
      </c>
      <c r="D2362" t="s">
        <v>4380</v>
      </c>
      <c r="E2362" t="s">
        <v>15042</v>
      </c>
      <c r="F2362">
        <v>54201</v>
      </c>
      <c r="G2362" s="1">
        <v>44481</v>
      </c>
      <c r="H2362" s="1">
        <v>45708</v>
      </c>
      <c r="I2362" s="1">
        <v>46249</v>
      </c>
      <c r="J2362" t="s">
        <v>45</v>
      </c>
      <c r="K2362" t="s">
        <v>45</v>
      </c>
      <c r="L2362" t="s">
        <v>72</v>
      </c>
      <c r="N2362" t="s">
        <v>47</v>
      </c>
      <c r="O2362" t="s">
        <v>48</v>
      </c>
      <c r="P2362" t="s">
        <v>49</v>
      </c>
      <c r="Q2362" t="s">
        <v>15043</v>
      </c>
      <c r="R2362" t="s">
        <v>15044</v>
      </c>
      <c r="S2362">
        <v>4135</v>
      </c>
      <c r="T2362" t="s">
        <v>92</v>
      </c>
      <c r="U2362" t="s">
        <v>350</v>
      </c>
      <c r="V2362" t="s">
        <v>351</v>
      </c>
      <c r="W2362" t="s">
        <v>352</v>
      </c>
      <c r="X2362" t="s">
        <v>92</v>
      </c>
      <c r="Y2362" t="s">
        <v>110</v>
      </c>
      <c r="Z2362">
        <v>10174</v>
      </c>
      <c r="AA2362">
        <v>13</v>
      </c>
      <c r="AB2362">
        <v>76</v>
      </c>
      <c r="AC2362" t="s">
        <v>353</v>
      </c>
      <c r="AD2362" t="s">
        <v>354</v>
      </c>
      <c r="AE2362" t="s">
        <v>355</v>
      </c>
      <c r="AF2362" t="s">
        <v>356</v>
      </c>
      <c r="AG2362" t="s">
        <v>357</v>
      </c>
      <c r="AH2362" t="s">
        <v>358</v>
      </c>
      <c r="AJ2362" s="2">
        <v>45709.572442129633</v>
      </c>
      <c r="AK2362" t="s">
        <v>8101</v>
      </c>
      <c r="AL2362" t="s">
        <v>65</v>
      </c>
      <c r="AM2362" s="4">
        <v>0.30555555555555558</v>
      </c>
      <c r="AN2362" t="s">
        <v>66</v>
      </c>
      <c r="AO2362" t="s">
        <v>67</v>
      </c>
    </row>
    <row r="2363" spans="1:41" x14ac:dyDescent="0.2">
      <c r="A2363">
        <v>367938</v>
      </c>
      <c r="B2363" t="s">
        <v>15045</v>
      </c>
      <c r="C2363" t="s">
        <v>662</v>
      </c>
      <c r="D2363" t="s">
        <v>1782</v>
      </c>
      <c r="E2363" t="s">
        <v>15046</v>
      </c>
      <c r="G2363" s="1">
        <v>43083</v>
      </c>
      <c r="H2363" s="1">
        <v>45687</v>
      </c>
      <c r="J2363" t="s">
        <v>45</v>
      </c>
      <c r="K2363" t="s">
        <v>45</v>
      </c>
      <c r="L2363" t="s">
        <v>72</v>
      </c>
      <c r="N2363" t="s">
        <v>47</v>
      </c>
      <c r="O2363" t="s">
        <v>48</v>
      </c>
      <c r="P2363" t="s">
        <v>49</v>
      </c>
      <c r="Q2363" t="s">
        <v>15047</v>
      </c>
      <c r="R2363" t="s">
        <v>15048</v>
      </c>
      <c r="S2363">
        <v>443</v>
      </c>
      <c r="T2363" t="s">
        <v>92</v>
      </c>
      <c r="U2363" t="s">
        <v>1197</v>
      </c>
      <c r="V2363" t="s">
        <v>1791</v>
      </c>
      <c r="W2363" t="s">
        <v>1792</v>
      </c>
      <c r="X2363" t="s">
        <v>92</v>
      </c>
      <c r="Y2363" t="s">
        <v>450</v>
      </c>
      <c r="Z2363">
        <v>9368</v>
      </c>
      <c r="AA2363">
        <v>15</v>
      </c>
      <c r="AB2363">
        <v>28</v>
      </c>
      <c r="AC2363" t="s">
        <v>1796</v>
      </c>
      <c r="AD2363" t="s">
        <v>1797</v>
      </c>
      <c r="AE2363" t="s">
        <v>1798</v>
      </c>
      <c r="AF2363" t="s">
        <v>1793</v>
      </c>
      <c r="AG2363" t="s">
        <v>1794</v>
      </c>
      <c r="AH2363" t="s">
        <v>1795</v>
      </c>
      <c r="AJ2363" s="2">
        <v>45693.844942129632</v>
      </c>
      <c r="AK2363" t="s">
        <v>526</v>
      </c>
      <c r="AL2363" t="s">
        <v>65</v>
      </c>
      <c r="AM2363" s="3">
        <v>1.6527777777777777</v>
      </c>
      <c r="AN2363" t="s">
        <v>66</v>
      </c>
      <c r="AO2363" t="s">
        <v>67</v>
      </c>
    </row>
    <row r="2364" spans="1:41" x14ac:dyDescent="0.2">
      <c r="A2364">
        <v>369663</v>
      </c>
      <c r="B2364" t="s">
        <v>15049</v>
      </c>
      <c r="C2364" t="s">
        <v>278</v>
      </c>
      <c r="D2364" t="s">
        <v>278</v>
      </c>
      <c r="E2364" t="s">
        <v>15050</v>
      </c>
      <c r="F2364">
        <v>420915</v>
      </c>
      <c r="G2364" s="1">
        <v>45440</v>
      </c>
      <c r="H2364" s="1">
        <v>45747</v>
      </c>
      <c r="I2364" s="1">
        <v>46113</v>
      </c>
      <c r="J2364" t="s">
        <v>45</v>
      </c>
      <c r="K2364" t="s">
        <v>45</v>
      </c>
      <c r="L2364" t="s">
        <v>72</v>
      </c>
      <c r="M2364" s="1">
        <v>39931</v>
      </c>
      <c r="N2364" t="s">
        <v>89</v>
      </c>
      <c r="O2364" t="s">
        <v>121</v>
      </c>
      <c r="P2364" t="s">
        <v>49</v>
      </c>
      <c r="Q2364" t="s">
        <v>15051</v>
      </c>
      <c r="R2364" t="s">
        <v>15052</v>
      </c>
      <c r="S2364">
        <v>8533</v>
      </c>
      <c r="T2364" t="s">
        <v>365</v>
      </c>
      <c r="U2364" t="s">
        <v>432</v>
      </c>
      <c r="V2364" t="s">
        <v>874</v>
      </c>
      <c r="W2364" t="s">
        <v>367</v>
      </c>
      <c r="X2364" t="s">
        <v>76</v>
      </c>
      <c r="Y2364" t="s">
        <v>125</v>
      </c>
      <c r="Z2364">
        <v>2195</v>
      </c>
      <c r="AA2364">
        <v>132</v>
      </c>
      <c r="AB2364">
        <v>158</v>
      </c>
      <c r="AC2364" t="s">
        <v>15053</v>
      </c>
      <c r="AD2364" t="s">
        <v>876</v>
      </c>
      <c r="AE2364" t="s">
        <v>15054</v>
      </c>
      <c r="AF2364" t="s">
        <v>3172</v>
      </c>
      <c r="AG2364" t="s">
        <v>879</v>
      </c>
      <c r="AH2364" t="s">
        <v>12665</v>
      </c>
      <c r="AJ2364" s="2">
        <v>45748.64570601852</v>
      </c>
      <c r="AK2364" t="s">
        <v>800</v>
      </c>
      <c r="AL2364" t="s">
        <v>65</v>
      </c>
      <c r="AM2364" s="3">
        <v>1.8819444444444444</v>
      </c>
      <c r="AN2364" t="s">
        <v>66</v>
      </c>
      <c r="AO2364" t="s">
        <v>67</v>
      </c>
    </row>
    <row r="2365" spans="1:41" x14ac:dyDescent="0.2">
      <c r="A2365">
        <v>370492</v>
      </c>
      <c r="B2365" t="s">
        <v>15055</v>
      </c>
      <c r="C2365" t="s">
        <v>182</v>
      </c>
      <c r="D2365" t="s">
        <v>3180</v>
      </c>
      <c r="E2365" t="s">
        <v>15056</v>
      </c>
      <c r="F2365">
        <v>41015</v>
      </c>
      <c r="G2365" s="1">
        <v>37126</v>
      </c>
      <c r="H2365" s="1">
        <v>45772</v>
      </c>
      <c r="J2365" t="s">
        <v>45</v>
      </c>
      <c r="K2365" t="s">
        <v>72</v>
      </c>
      <c r="L2365" t="s">
        <v>72</v>
      </c>
      <c r="M2365" s="1">
        <v>39322</v>
      </c>
      <c r="N2365" t="s">
        <v>47</v>
      </c>
      <c r="O2365" t="s">
        <v>48</v>
      </c>
      <c r="P2365" t="s">
        <v>49</v>
      </c>
      <c r="Q2365" t="s">
        <v>15057</v>
      </c>
      <c r="R2365" t="s">
        <v>15058</v>
      </c>
      <c r="S2365">
        <v>2428</v>
      </c>
      <c r="T2365" t="s">
        <v>92</v>
      </c>
      <c r="U2365" t="s">
        <v>187</v>
      </c>
      <c r="V2365" t="s">
        <v>447</v>
      </c>
      <c r="W2365" t="s">
        <v>448</v>
      </c>
      <c r="X2365" t="s">
        <v>92</v>
      </c>
      <c r="Y2365" t="s">
        <v>450</v>
      </c>
      <c r="Z2365">
        <v>1269</v>
      </c>
      <c r="AA2365">
        <v>54</v>
      </c>
      <c r="AB2365">
        <v>66</v>
      </c>
      <c r="AC2365" t="s">
        <v>451</v>
      </c>
      <c r="AD2365" t="s">
        <v>452</v>
      </c>
      <c r="AE2365" t="s">
        <v>453</v>
      </c>
      <c r="AF2365" t="s">
        <v>15059</v>
      </c>
      <c r="AG2365" t="s">
        <v>3185</v>
      </c>
      <c r="AH2365" t="s">
        <v>10871</v>
      </c>
      <c r="AJ2365" s="2">
        <v>45776.756689814814</v>
      </c>
      <c r="AK2365" t="s">
        <v>456</v>
      </c>
      <c r="AL2365" t="s">
        <v>65</v>
      </c>
      <c r="AM2365" s="3">
        <v>1.2013888888888888</v>
      </c>
      <c r="AN2365" t="s">
        <v>66</v>
      </c>
      <c r="AO2365" t="s">
        <v>67</v>
      </c>
    </row>
    <row r="2366" spans="1:41" x14ac:dyDescent="0.2">
      <c r="A2366">
        <v>367979</v>
      </c>
      <c r="B2366" t="s">
        <v>15060</v>
      </c>
      <c r="C2366" t="s">
        <v>763</v>
      </c>
      <c r="D2366" t="s">
        <v>15061</v>
      </c>
      <c r="E2366" t="s">
        <v>15062</v>
      </c>
      <c r="F2366">
        <v>473501</v>
      </c>
      <c r="G2366" s="1">
        <v>38373</v>
      </c>
      <c r="H2366" s="1">
        <v>45411</v>
      </c>
      <c r="J2366" t="s">
        <v>45</v>
      </c>
      <c r="K2366" t="s">
        <v>45</v>
      </c>
      <c r="L2366" t="s">
        <v>72</v>
      </c>
      <c r="N2366" t="s">
        <v>47</v>
      </c>
      <c r="O2366" t="s">
        <v>48</v>
      </c>
      <c r="P2366" t="s">
        <v>49</v>
      </c>
      <c r="Q2366" t="s">
        <v>15063</v>
      </c>
      <c r="R2366" t="s">
        <v>15064</v>
      </c>
      <c r="S2366">
        <v>873</v>
      </c>
      <c r="T2366" t="s">
        <v>92</v>
      </c>
      <c r="U2366" t="s">
        <v>767</v>
      </c>
      <c r="V2366" t="s">
        <v>768</v>
      </c>
      <c r="W2366" t="s">
        <v>769</v>
      </c>
      <c r="X2366" t="s">
        <v>92</v>
      </c>
      <c r="Y2366" t="s">
        <v>770</v>
      </c>
      <c r="Z2366">
        <v>2634</v>
      </c>
      <c r="AA2366">
        <v>41</v>
      </c>
      <c r="AB2366">
        <v>146</v>
      </c>
      <c r="AC2366" t="s">
        <v>1263</v>
      </c>
      <c r="AD2366" t="s">
        <v>7844</v>
      </c>
      <c r="AE2366" t="s">
        <v>1265</v>
      </c>
      <c r="AF2366" t="s">
        <v>774</v>
      </c>
      <c r="AG2366" t="s">
        <v>775</v>
      </c>
      <c r="AH2366" t="s">
        <v>776</v>
      </c>
      <c r="AI2366" t="s">
        <v>10593</v>
      </c>
      <c r="AJ2366" s="2">
        <v>45695.582615740743</v>
      </c>
      <c r="AK2366" t="s">
        <v>1263</v>
      </c>
      <c r="AL2366" t="s">
        <v>65</v>
      </c>
      <c r="AM2366" s="4">
        <v>0.22222222222222221</v>
      </c>
      <c r="AN2366" t="s">
        <v>66</v>
      </c>
      <c r="AO2366" t="s">
        <v>67</v>
      </c>
    </row>
    <row r="2367" spans="1:41" x14ac:dyDescent="0.2">
      <c r="A2367">
        <v>364155</v>
      </c>
      <c r="B2367" t="s">
        <v>15065</v>
      </c>
      <c r="C2367" t="s">
        <v>735</v>
      </c>
      <c r="D2367" t="s">
        <v>1628</v>
      </c>
      <c r="E2367" t="s">
        <v>15066</v>
      </c>
      <c r="F2367">
        <v>241403</v>
      </c>
      <c r="G2367" s="1">
        <v>38160</v>
      </c>
      <c r="H2367" s="1">
        <v>45518</v>
      </c>
      <c r="I2367" s="1">
        <v>46235</v>
      </c>
      <c r="J2367" t="s">
        <v>45</v>
      </c>
      <c r="K2367" t="s">
        <v>45</v>
      </c>
      <c r="L2367" t="s">
        <v>545</v>
      </c>
      <c r="N2367" t="s">
        <v>47</v>
      </c>
      <c r="O2367" t="s">
        <v>48</v>
      </c>
      <c r="P2367" t="s">
        <v>49</v>
      </c>
      <c r="Q2367" t="s">
        <v>5959</v>
      </c>
      <c r="R2367" t="s">
        <v>15067</v>
      </c>
      <c r="S2367">
        <v>3068</v>
      </c>
      <c r="T2367" t="s">
        <v>296</v>
      </c>
      <c r="U2367" t="s">
        <v>2267</v>
      </c>
      <c r="V2367" t="s">
        <v>9084</v>
      </c>
      <c r="W2367" t="s">
        <v>299</v>
      </c>
      <c r="X2367" t="s">
        <v>76</v>
      </c>
      <c r="Y2367" t="s">
        <v>56</v>
      </c>
      <c r="Z2367">
        <v>2577</v>
      </c>
      <c r="AA2367">
        <v>36</v>
      </c>
      <c r="AB2367">
        <v>160</v>
      </c>
      <c r="AC2367" t="s">
        <v>9085</v>
      </c>
      <c r="AD2367" t="s">
        <v>9086</v>
      </c>
      <c r="AE2367" t="s">
        <v>9087</v>
      </c>
      <c r="AF2367" t="s">
        <v>9088</v>
      </c>
      <c r="AG2367" t="s">
        <v>9089</v>
      </c>
      <c r="AH2367" t="s">
        <v>9090</v>
      </c>
      <c r="AI2367" t="s">
        <v>2274</v>
      </c>
      <c r="AJ2367" s="2">
        <v>45533.828946759262</v>
      </c>
      <c r="AK2367" t="s">
        <v>568</v>
      </c>
      <c r="AL2367" t="s">
        <v>65</v>
      </c>
      <c r="AM2367" s="3">
        <v>1.3194444444444444</v>
      </c>
      <c r="AN2367" t="s">
        <v>66</v>
      </c>
      <c r="AO2367" t="s">
        <v>67</v>
      </c>
    </row>
    <row r="2368" spans="1:41" x14ac:dyDescent="0.2">
      <c r="A2368">
        <v>365988</v>
      </c>
      <c r="B2368" t="s">
        <v>15068</v>
      </c>
      <c r="C2368" t="s">
        <v>86</v>
      </c>
      <c r="D2368" t="s">
        <v>15069</v>
      </c>
      <c r="E2368" t="s">
        <v>15070</v>
      </c>
      <c r="F2368">
        <v>203401</v>
      </c>
      <c r="G2368" s="1">
        <v>41555</v>
      </c>
      <c r="H2368" s="1">
        <v>45553</v>
      </c>
      <c r="I2368" s="1">
        <v>45945</v>
      </c>
      <c r="J2368" t="s">
        <v>45</v>
      </c>
      <c r="K2368" t="s">
        <v>45</v>
      </c>
      <c r="L2368" t="s">
        <v>72</v>
      </c>
      <c r="M2368" s="1">
        <v>43404</v>
      </c>
      <c r="N2368" t="s">
        <v>47</v>
      </c>
      <c r="O2368" t="s">
        <v>48</v>
      </c>
      <c r="P2368" t="s">
        <v>49</v>
      </c>
      <c r="Q2368" t="s">
        <v>15071</v>
      </c>
      <c r="R2368" t="s">
        <v>15072</v>
      </c>
      <c r="S2368">
        <v>1176</v>
      </c>
      <c r="T2368" t="s">
        <v>92</v>
      </c>
      <c r="U2368" t="s">
        <v>93</v>
      </c>
      <c r="V2368" t="s">
        <v>506</v>
      </c>
      <c r="W2368" t="s">
        <v>507</v>
      </c>
      <c r="X2368" t="s">
        <v>92</v>
      </c>
      <c r="Y2368" t="s">
        <v>110</v>
      </c>
      <c r="Z2368">
        <v>6410</v>
      </c>
      <c r="AA2368">
        <v>21</v>
      </c>
      <c r="AB2368">
        <v>78</v>
      </c>
      <c r="AC2368" t="s">
        <v>508</v>
      </c>
      <c r="AD2368" t="s">
        <v>509</v>
      </c>
      <c r="AE2368" t="s">
        <v>510</v>
      </c>
      <c r="AF2368" t="s">
        <v>15073</v>
      </c>
      <c r="AG2368" t="s">
        <v>15074</v>
      </c>
      <c r="AH2368" t="s">
        <v>15075</v>
      </c>
      <c r="AI2368" t="s">
        <v>15076</v>
      </c>
      <c r="AJ2368" s="2">
        <v>45600.556180555555</v>
      </c>
      <c r="AK2368" t="s">
        <v>508</v>
      </c>
      <c r="AL2368" t="s">
        <v>65</v>
      </c>
      <c r="AM2368" s="4">
        <v>0.4375</v>
      </c>
      <c r="AN2368" t="s">
        <v>66</v>
      </c>
      <c r="AO2368" t="s">
        <v>67</v>
      </c>
    </row>
    <row r="2369" spans="1:41" x14ac:dyDescent="0.2">
      <c r="A2369">
        <v>372108</v>
      </c>
      <c r="B2369" t="s">
        <v>15077</v>
      </c>
      <c r="C2369" t="s">
        <v>182</v>
      </c>
      <c r="D2369" t="s">
        <v>622</v>
      </c>
      <c r="E2369" t="s">
        <v>15078</v>
      </c>
      <c r="F2369">
        <v>43404</v>
      </c>
      <c r="G2369" s="1">
        <v>34366</v>
      </c>
      <c r="H2369" s="1">
        <v>45827</v>
      </c>
      <c r="J2369" t="s">
        <v>45</v>
      </c>
      <c r="K2369" t="s">
        <v>72</v>
      </c>
      <c r="L2369" t="s">
        <v>72</v>
      </c>
      <c r="N2369" t="s">
        <v>47</v>
      </c>
      <c r="O2369" t="s">
        <v>48</v>
      </c>
      <c r="P2369" t="s">
        <v>49</v>
      </c>
      <c r="Q2369" t="s">
        <v>15079</v>
      </c>
      <c r="R2369" t="s">
        <v>15080</v>
      </c>
      <c r="S2369">
        <v>3342</v>
      </c>
      <c r="T2369" t="s">
        <v>92</v>
      </c>
      <c r="U2369" t="s">
        <v>187</v>
      </c>
      <c r="V2369" t="s">
        <v>2640</v>
      </c>
      <c r="W2369" t="s">
        <v>448</v>
      </c>
      <c r="X2369" t="s">
        <v>449</v>
      </c>
      <c r="Y2369" t="s">
        <v>770</v>
      </c>
      <c r="Z2369">
        <v>1116</v>
      </c>
      <c r="AA2369">
        <v>36</v>
      </c>
      <c r="AB2369">
        <v>138</v>
      </c>
      <c r="AC2369" t="s">
        <v>2641</v>
      </c>
      <c r="AD2369" t="s">
        <v>2642</v>
      </c>
      <c r="AE2369" t="s">
        <v>2643</v>
      </c>
      <c r="AJ2369" s="2">
        <v>45831.553773148145</v>
      </c>
      <c r="AK2369" t="s">
        <v>456</v>
      </c>
      <c r="AL2369" t="s">
        <v>475</v>
      </c>
      <c r="AM2369" s="3">
        <v>1.1875</v>
      </c>
      <c r="AN2369" t="s">
        <v>809</v>
      </c>
      <c r="AO2369" t="s">
        <v>67</v>
      </c>
    </row>
    <row r="2370" spans="1:41" x14ac:dyDescent="0.2">
      <c r="A2370">
        <v>371473</v>
      </c>
      <c r="B2370" t="s">
        <v>15081</v>
      </c>
      <c r="C2370" t="s">
        <v>182</v>
      </c>
      <c r="D2370" t="s">
        <v>4517</v>
      </c>
      <c r="E2370" t="s">
        <v>15082</v>
      </c>
      <c r="F2370">
        <v>45314</v>
      </c>
      <c r="G2370" s="1">
        <v>34279</v>
      </c>
      <c r="H2370" s="1">
        <v>45733</v>
      </c>
      <c r="I2370" s="1">
        <v>46096</v>
      </c>
      <c r="J2370" t="s">
        <v>45</v>
      </c>
      <c r="K2370" t="s">
        <v>45</v>
      </c>
      <c r="L2370" t="s">
        <v>429</v>
      </c>
      <c r="M2370" s="1">
        <v>45811</v>
      </c>
      <c r="N2370" t="s">
        <v>47</v>
      </c>
      <c r="O2370" t="s">
        <v>48</v>
      </c>
      <c r="P2370" t="s">
        <v>49</v>
      </c>
      <c r="Q2370" t="s">
        <v>15083</v>
      </c>
      <c r="R2370" t="s">
        <v>15084</v>
      </c>
      <c r="S2370">
        <v>3331</v>
      </c>
      <c r="T2370" t="s">
        <v>52</v>
      </c>
      <c r="U2370">
        <v>5</v>
      </c>
      <c r="V2370" t="s">
        <v>1030</v>
      </c>
      <c r="W2370" t="s">
        <v>54</v>
      </c>
      <c r="X2370" t="s">
        <v>493</v>
      </c>
      <c r="Y2370" t="s">
        <v>434</v>
      </c>
      <c r="Z2370">
        <v>709</v>
      </c>
      <c r="AA2370">
        <v>74</v>
      </c>
      <c r="AB2370">
        <v>34</v>
      </c>
      <c r="AC2370" t="s">
        <v>4520</v>
      </c>
      <c r="AD2370" t="s">
        <v>4521</v>
      </c>
      <c r="AE2370" t="s">
        <v>4522</v>
      </c>
      <c r="AF2370" t="s">
        <v>1034</v>
      </c>
      <c r="AG2370" t="s">
        <v>1035</v>
      </c>
      <c r="AH2370" t="s">
        <v>1036</v>
      </c>
      <c r="AI2370" t="s">
        <v>500</v>
      </c>
      <c r="AJ2370" s="2">
        <v>45812.642199074071</v>
      </c>
      <c r="AK2370" t="s">
        <v>501</v>
      </c>
      <c r="AL2370" t="s">
        <v>65</v>
      </c>
      <c r="AM2370" s="3">
        <v>1.0347222222222223</v>
      </c>
      <c r="AN2370" t="s">
        <v>66</v>
      </c>
      <c r="AO2370" t="s">
        <v>67</v>
      </c>
    </row>
    <row r="2371" spans="1:41" x14ac:dyDescent="0.2">
      <c r="A2371">
        <v>366776</v>
      </c>
      <c r="B2371" t="s">
        <v>15085</v>
      </c>
      <c r="C2371" t="s">
        <v>236</v>
      </c>
      <c r="D2371" t="s">
        <v>15086</v>
      </c>
      <c r="E2371" t="s">
        <v>15087</v>
      </c>
      <c r="F2371">
        <v>210203</v>
      </c>
      <c r="G2371" s="1">
        <v>35065</v>
      </c>
      <c r="H2371" s="1">
        <v>45576</v>
      </c>
      <c r="J2371" t="s">
        <v>45</v>
      </c>
      <c r="K2371" t="s">
        <v>45</v>
      </c>
      <c r="L2371" t="s">
        <v>72</v>
      </c>
      <c r="N2371" t="s">
        <v>47</v>
      </c>
      <c r="O2371" t="s">
        <v>48</v>
      </c>
      <c r="P2371" t="s">
        <v>49</v>
      </c>
      <c r="Q2371" t="s">
        <v>15088</v>
      </c>
      <c r="R2371" t="s">
        <v>15089</v>
      </c>
      <c r="S2371">
        <v>1047</v>
      </c>
      <c r="T2371" t="s">
        <v>92</v>
      </c>
      <c r="U2371" t="s">
        <v>1509</v>
      </c>
      <c r="V2371" t="s">
        <v>506</v>
      </c>
      <c r="W2371" t="s">
        <v>1510</v>
      </c>
      <c r="X2371" t="s">
        <v>52</v>
      </c>
      <c r="Y2371" t="s">
        <v>410</v>
      </c>
      <c r="Z2371">
        <v>1383</v>
      </c>
      <c r="AA2371">
        <v>43</v>
      </c>
      <c r="AB2371">
        <v>174</v>
      </c>
      <c r="AC2371" t="s">
        <v>1511</v>
      </c>
      <c r="AD2371" t="s">
        <v>1512</v>
      </c>
      <c r="AE2371" t="s">
        <v>1513</v>
      </c>
      <c r="AF2371" t="s">
        <v>10342</v>
      </c>
      <c r="AG2371" t="s">
        <v>10343</v>
      </c>
      <c r="AH2371" t="s">
        <v>15090</v>
      </c>
      <c r="AI2371" t="s">
        <v>15091</v>
      </c>
      <c r="AJ2371" s="2">
        <v>45791.806805555556</v>
      </c>
      <c r="AK2371" t="s">
        <v>100</v>
      </c>
      <c r="AL2371" t="s">
        <v>65</v>
      </c>
      <c r="AM2371" s="4">
        <v>0.3611111111111111</v>
      </c>
      <c r="AN2371" t="s">
        <v>66</v>
      </c>
      <c r="AO2371" t="s">
        <v>67</v>
      </c>
    </row>
    <row r="2372" spans="1:41" x14ac:dyDescent="0.2">
      <c r="A2372">
        <v>367008</v>
      </c>
      <c r="B2372" t="s">
        <v>15092</v>
      </c>
      <c r="C2372" t="s">
        <v>278</v>
      </c>
      <c r="D2372" t="s">
        <v>3630</v>
      </c>
      <c r="E2372" t="s">
        <v>15093</v>
      </c>
      <c r="F2372">
        <v>420914</v>
      </c>
      <c r="G2372" s="1">
        <v>37578</v>
      </c>
      <c r="H2372" s="1">
        <v>45583</v>
      </c>
      <c r="I2372" s="1">
        <v>45945</v>
      </c>
      <c r="J2372" t="s">
        <v>45</v>
      </c>
      <c r="K2372" t="s">
        <v>45</v>
      </c>
      <c r="L2372" t="s">
        <v>429</v>
      </c>
      <c r="N2372" t="s">
        <v>47</v>
      </c>
      <c r="O2372" t="s">
        <v>48</v>
      </c>
      <c r="P2372" t="s">
        <v>49</v>
      </c>
      <c r="Q2372" t="s">
        <v>15094</v>
      </c>
      <c r="R2372" t="s">
        <v>15095</v>
      </c>
      <c r="S2372">
        <v>4987</v>
      </c>
      <c r="T2372" t="s">
        <v>365</v>
      </c>
      <c r="U2372" t="s">
        <v>432</v>
      </c>
      <c r="V2372" t="s">
        <v>874</v>
      </c>
      <c r="W2372" t="s">
        <v>367</v>
      </c>
      <c r="X2372" t="s">
        <v>76</v>
      </c>
      <c r="Y2372" t="s">
        <v>434</v>
      </c>
      <c r="Z2372">
        <v>2196</v>
      </c>
      <c r="AA2372">
        <v>36</v>
      </c>
      <c r="AB2372">
        <v>158</v>
      </c>
      <c r="AC2372" t="s">
        <v>875</v>
      </c>
      <c r="AD2372" t="s">
        <v>876</v>
      </c>
      <c r="AE2372" t="s">
        <v>4759</v>
      </c>
      <c r="AF2372" t="s">
        <v>3172</v>
      </c>
      <c r="AG2372" t="s">
        <v>879</v>
      </c>
      <c r="AH2372" t="s">
        <v>880</v>
      </c>
      <c r="AI2372" t="s">
        <v>179</v>
      </c>
      <c r="AJ2372" s="2">
        <v>45652.868483796294</v>
      </c>
      <c r="AK2372" t="s">
        <v>556</v>
      </c>
      <c r="AL2372" t="s">
        <v>65</v>
      </c>
      <c r="AM2372" s="3">
        <v>1.7847222222222223</v>
      </c>
      <c r="AN2372" t="s">
        <v>66</v>
      </c>
      <c r="AO2372" t="s">
        <v>67</v>
      </c>
    </row>
    <row r="2373" spans="1:41" x14ac:dyDescent="0.2">
      <c r="A2373">
        <v>369821</v>
      </c>
      <c r="B2373" t="s">
        <v>15096</v>
      </c>
      <c r="C2373" t="s">
        <v>42</v>
      </c>
      <c r="D2373" t="s">
        <v>6746</v>
      </c>
      <c r="E2373" t="s">
        <v>15097</v>
      </c>
      <c r="G2373" s="1">
        <v>44306</v>
      </c>
      <c r="H2373" s="1">
        <v>45741</v>
      </c>
      <c r="I2373" s="1">
        <v>46023</v>
      </c>
      <c r="J2373" t="s">
        <v>45</v>
      </c>
      <c r="K2373" t="s">
        <v>45</v>
      </c>
      <c r="L2373" t="s">
        <v>72</v>
      </c>
      <c r="M2373" s="1">
        <v>43223</v>
      </c>
      <c r="N2373" t="s">
        <v>47</v>
      </c>
      <c r="O2373" t="s">
        <v>121</v>
      </c>
      <c r="P2373" t="s">
        <v>49</v>
      </c>
      <c r="Q2373" t="s">
        <v>15098</v>
      </c>
      <c r="R2373" t="s">
        <v>15099</v>
      </c>
      <c r="S2373">
        <v>4071</v>
      </c>
      <c r="T2373" t="s">
        <v>365</v>
      </c>
      <c r="U2373" t="s">
        <v>432</v>
      </c>
      <c r="V2373" t="s">
        <v>6957</v>
      </c>
      <c r="W2373" t="s">
        <v>367</v>
      </c>
      <c r="X2373" t="s">
        <v>76</v>
      </c>
      <c r="Y2373" t="s">
        <v>110</v>
      </c>
      <c r="Z2373">
        <v>2285</v>
      </c>
      <c r="AA2373">
        <v>75</v>
      </c>
      <c r="AB2373">
        <v>158</v>
      </c>
      <c r="AC2373" t="s">
        <v>15100</v>
      </c>
      <c r="AD2373" t="s">
        <v>4337</v>
      </c>
      <c r="AE2373" t="s">
        <v>15101</v>
      </c>
      <c r="AF2373" t="s">
        <v>15102</v>
      </c>
      <c r="AG2373" t="s">
        <v>4340</v>
      </c>
      <c r="AH2373" t="s">
        <v>15103</v>
      </c>
      <c r="AI2373" t="s">
        <v>15104</v>
      </c>
      <c r="AJ2373" s="2">
        <v>45754.923645833333</v>
      </c>
      <c r="AK2373" t="s">
        <v>4336</v>
      </c>
      <c r="AL2373" t="s">
        <v>65</v>
      </c>
      <c r="AM2373" s="3">
        <v>1.6666666666666667</v>
      </c>
      <c r="AN2373" t="s">
        <v>66</v>
      </c>
      <c r="AO2373" t="s">
        <v>67</v>
      </c>
    </row>
    <row r="2374" spans="1:41" x14ac:dyDescent="0.2">
      <c r="A2374">
        <v>369397</v>
      </c>
      <c r="B2374" t="s">
        <v>15105</v>
      </c>
      <c r="C2374" t="s">
        <v>42</v>
      </c>
      <c r="D2374" t="s">
        <v>1849</v>
      </c>
      <c r="E2374" t="s">
        <v>15106</v>
      </c>
      <c r="G2374" s="1">
        <v>44984</v>
      </c>
      <c r="H2374" s="1">
        <v>45712</v>
      </c>
      <c r="I2374" s="1">
        <v>46023</v>
      </c>
      <c r="J2374" t="s">
        <v>45</v>
      </c>
      <c r="K2374" t="s">
        <v>45</v>
      </c>
      <c r="L2374" t="s">
        <v>72</v>
      </c>
      <c r="M2374" s="1">
        <v>45449</v>
      </c>
      <c r="N2374" t="s">
        <v>47</v>
      </c>
      <c r="O2374" t="s">
        <v>121</v>
      </c>
      <c r="P2374" t="s">
        <v>49</v>
      </c>
      <c r="Q2374" t="s">
        <v>15107</v>
      </c>
      <c r="R2374" t="s">
        <v>15108</v>
      </c>
      <c r="S2374">
        <v>5150</v>
      </c>
      <c r="T2374" t="s">
        <v>365</v>
      </c>
      <c r="U2374" t="s">
        <v>432</v>
      </c>
      <c r="V2374" t="s">
        <v>6957</v>
      </c>
      <c r="W2374" t="s">
        <v>367</v>
      </c>
      <c r="X2374" t="s">
        <v>76</v>
      </c>
      <c r="Y2374" t="s">
        <v>110</v>
      </c>
      <c r="Z2374">
        <v>2454</v>
      </c>
      <c r="AA2374">
        <v>88</v>
      </c>
      <c r="AB2374">
        <v>160</v>
      </c>
      <c r="AC2374" t="s">
        <v>15100</v>
      </c>
      <c r="AD2374" t="s">
        <v>4337</v>
      </c>
      <c r="AE2374" t="s">
        <v>15101</v>
      </c>
      <c r="AF2374" t="s">
        <v>4378</v>
      </c>
      <c r="AG2374" t="s">
        <v>4340</v>
      </c>
      <c r="AH2374" t="s">
        <v>15103</v>
      </c>
      <c r="AI2374" t="s">
        <v>15109</v>
      </c>
      <c r="AJ2374" s="2">
        <v>45737.648645833331</v>
      </c>
      <c r="AK2374" t="s">
        <v>4336</v>
      </c>
      <c r="AL2374" t="s">
        <v>65</v>
      </c>
      <c r="AM2374" s="4">
        <v>0.86111111111111116</v>
      </c>
      <c r="AN2374" t="s">
        <v>66</v>
      </c>
      <c r="AO2374" t="s">
        <v>67</v>
      </c>
    </row>
    <row r="2375" spans="1:41" x14ac:dyDescent="0.2">
      <c r="A2375">
        <v>371765</v>
      </c>
      <c r="B2375" t="s">
        <v>15110</v>
      </c>
      <c r="C2375" t="s">
        <v>323</v>
      </c>
      <c r="D2375" t="s">
        <v>372</v>
      </c>
      <c r="E2375" s="5">
        <v>126080000000</v>
      </c>
      <c r="F2375">
        <v>500736</v>
      </c>
      <c r="G2375" s="1">
        <v>33820</v>
      </c>
      <c r="H2375" s="1">
        <v>45790</v>
      </c>
      <c r="I2375" s="1">
        <v>46037</v>
      </c>
      <c r="J2375" t="s">
        <v>45</v>
      </c>
      <c r="K2375" t="s">
        <v>45</v>
      </c>
      <c r="L2375" t="s">
        <v>72</v>
      </c>
      <c r="M2375" s="1">
        <v>45422</v>
      </c>
      <c r="N2375" t="s">
        <v>47</v>
      </c>
      <c r="O2375" t="s">
        <v>48</v>
      </c>
      <c r="P2375" t="s">
        <v>49</v>
      </c>
      <c r="Q2375" t="s">
        <v>15111</v>
      </c>
      <c r="R2375" t="s">
        <v>15112</v>
      </c>
      <c r="S2375">
        <v>570</v>
      </c>
      <c r="T2375" t="s">
        <v>156</v>
      </c>
      <c r="U2375" t="s">
        <v>460</v>
      </c>
      <c r="V2375" t="s">
        <v>15113</v>
      </c>
      <c r="W2375" t="s">
        <v>159</v>
      </c>
      <c r="X2375" t="s">
        <v>76</v>
      </c>
      <c r="Y2375" t="s">
        <v>110</v>
      </c>
      <c r="Z2375">
        <v>475</v>
      </c>
      <c r="AA2375">
        <v>38</v>
      </c>
      <c r="AB2375">
        <v>158</v>
      </c>
      <c r="AC2375" t="s">
        <v>368</v>
      </c>
      <c r="AD2375" t="s">
        <v>369</v>
      </c>
      <c r="AE2375" t="s">
        <v>370</v>
      </c>
      <c r="AF2375" t="s">
        <v>5645</v>
      </c>
      <c r="AG2375" t="s">
        <v>5646</v>
      </c>
      <c r="AH2375" t="s">
        <v>5647</v>
      </c>
      <c r="AI2375" t="s">
        <v>466</v>
      </c>
      <c r="AJ2375" s="2">
        <v>45818.898368055554</v>
      </c>
      <c r="AK2375" t="s">
        <v>727</v>
      </c>
      <c r="AL2375" t="s">
        <v>65</v>
      </c>
      <c r="AM2375" s="4">
        <v>0.80555555555555558</v>
      </c>
      <c r="AN2375" t="s">
        <v>66</v>
      </c>
      <c r="AO2375" t="s">
        <v>67</v>
      </c>
    </row>
    <row r="2376" spans="1:41" x14ac:dyDescent="0.2">
      <c r="A2376">
        <v>371885</v>
      </c>
      <c r="B2376" t="s">
        <v>15114</v>
      </c>
      <c r="C2376" t="s">
        <v>167</v>
      </c>
      <c r="D2376" t="s">
        <v>5372</v>
      </c>
      <c r="E2376" s="5">
        <v>324782000000</v>
      </c>
      <c r="F2376">
        <v>352605</v>
      </c>
      <c r="G2376" s="1">
        <v>40716</v>
      </c>
      <c r="H2376" s="1">
        <v>45567</v>
      </c>
      <c r="I2376" s="1">
        <v>45931</v>
      </c>
      <c r="J2376" t="s">
        <v>45</v>
      </c>
      <c r="K2376" t="s">
        <v>45</v>
      </c>
      <c r="L2376" t="s">
        <v>72</v>
      </c>
      <c r="M2376" s="1">
        <v>41928</v>
      </c>
      <c r="N2376" t="s">
        <v>47</v>
      </c>
      <c r="O2376" t="s">
        <v>48</v>
      </c>
      <c r="P2376" t="s">
        <v>49</v>
      </c>
      <c r="Q2376" t="s">
        <v>15115</v>
      </c>
      <c r="R2376" t="s">
        <v>15116</v>
      </c>
      <c r="S2376">
        <v>5813</v>
      </c>
      <c r="T2376" t="s">
        <v>52</v>
      </c>
      <c r="U2376">
        <v>6</v>
      </c>
      <c r="V2376" t="s">
        <v>1477</v>
      </c>
      <c r="W2376" t="s">
        <v>54</v>
      </c>
      <c r="X2376" t="s">
        <v>76</v>
      </c>
      <c r="Y2376" t="s">
        <v>56</v>
      </c>
      <c r="Z2376">
        <v>759</v>
      </c>
      <c r="AA2376">
        <v>55</v>
      </c>
      <c r="AB2376">
        <v>176</v>
      </c>
      <c r="AC2376" t="s">
        <v>3853</v>
      </c>
      <c r="AD2376" t="s">
        <v>3854</v>
      </c>
      <c r="AE2376" t="s">
        <v>3855</v>
      </c>
      <c r="AF2376" t="s">
        <v>3856</v>
      </c>
      <c r="AG2376" t="s">
        <v>3857</v>
      </c>
      <c r="AH2376" t="s">
        <v>3858</v>
      </c>
      <c r="AI2376" t="s">
        <v>10853</v>
      </c>
      <c r="AJ2376" s="2">
        <v>45821.890451388892</v>
      </c>
      <c r="AK2376" t="s">
        <v>556</v>
      </c>
      <c r="AL2376" t="s">
        <v>65</v>
      </c>
      <c r="AM2376" s="4">
        <v>0.27083333333333331</v>
      </c>
      <c r="AN2376" t="s">
        <v>66</v>
      </c>
      <c r="AO2376" t="s">
        <v>67</v>
      </c>
    </row>
    <row r="2377" spans="1:41" x14ac:dyDescent="0.2">
      <c r="A2377">
        <v>372570</v>
      </c>
      <c r="B2377" t="s">
        <v>15114</v>
      </c>
      <c r="C2377" t="s">
        <v>182</v>
      </c>
      <c r="D2377" t="s">
        <v>1064</v>
      </c>
      <c r="E2377" t="s">
        <v>15117</v>
      </c>
      <c r="F2377">
        <v>40221</v>
      </c>
      <c r="G2377" s="1">
        <v>32509</v>
      </c>
      <c r="H2377" s="1">
        <v>45826</v>
      </c>
      <c r="I2377" s="1">
        <v>46174</v>
      </c>
      <c r="J2377" t="s">
        <v>45</v>
      </c>
      <c r="K2377" t="s">
        <v>45</v>
      </c>
      <c r="L2377" t="s">
        <v>429</v>
      </c>
      <c r="M2377" s="1">
        <v>40487</v>
      </c>
      <c r="N2377" t="s">
        <v>47</v>
      </c>
      <c r="O2377" t="s">
        <v>48</v>
      </c>
      <c r="P2377" t="s">
        <v>49</v>
      </c>
      <c r="Q2377" t="s">
        <v>15118</v>
      </c>
      <c r="R2377" t="s">
        <v>15119</v>
      </c>
      <c r="S2377">
        <v>5255</v>
      </c>
      <c r="T2377" t="s">
        <v>52</v>
      </c>
      <c r="U2377">
        <v>5</v>
      </c>
      <c r="V2377" t="s">
        <v>1951</v>
      </c>
      <c r="W2377" t="s">
        <v>54</v>
      </c>
      <c r="X2377" t="s">
        <v>493</v>
      </c>
      <c r="Y2377" t="s">
        <v>434</v>
      </c>
      <c r="Z2377">
        <v>1270</v>
      </c>
      <c r="AA2377">
        <v>65</v>
      </c>
      <c r="AB2377">
        <v>160</v>
      </c>
      <c r="AC2377" t="s">
        <v>1952</v>
      </c>
      <c r="AD2377" t="s">
        <v>15120</v>
      </c>
      <c r="AE2377" t="s">
        <v>1954</v>
      </c>
      <c r="AF2377" t="s">
        <v>15121</v>
      </c>
      <c r="AG2377" t="s">
        <v>11917</v>
      </c>
      <c r="AH2377" t="s">
        <v>15122</v>
      </c>
      <c r="AI2377" t="s">
        <v>500</v>
      </c>
      <c r="AJ2377" s="2">
        <v>45845.795439814814</v>
      </c>
      <c r="AK2377" t="s">
        <v>132</v>
      </c>
      <c r="AL2377" t="s">
        <v>65</v>
      </c>
      <c r="AM2377" s="4">
        <v>0.63194444444444442</v>
      </c>
      <c r="AN2377" t="s">
        <v>66</v>
      </c>
      <c r="AO2377" t="s">
        <v>67</v>
      </c>
    </row>
    <row r="2378" spans="1:41" x14ac:dyDescent="0.2">
      <c r="A2378">
        <v>372890</v>
      </c>
      <c r="B2378" t="s">
        <v>15123</v>
      </c>
      <c r="C2378" t="s">
        <v>662</v>
      </c>
      <c r="D2378" t="s">
        <v>15124</v>
      </c>
      <c r="E2378">
        <v>88427412</v>
      </c>
      <c r="F2378">
        <v>413101</v>
      </c>
      <c r="G2378" s="1">
        <v>39163</v>
      </c>
      <c r="H2378" s="1">
        <v>45580</v>
      </c>
      <c r="I2378" s="1">
        <v>45915</v>
      </c>
      <c r="J2378" t="s">
        <v>45</v>
      </c>
      <c r="K2378" t="s">
        <v>45</v>
      </c>
      <c r="L2378" t="s">
        <v>72</v>
      </c>
      <c r="M2378" s="1">
        <v>45855</v>
      </c>
      <c r="N2378" t="s">
        <v>47</v>
      </c>
      <c r="O2378" t="s">
        <v>48</v>
      </c>
      <c r="P2378" t="s">
        <v>49</v>
      </c>
      <c r="Q2378" t="s">
        <v>15125</v>
      </c>
      <c r="R2378" t="s">
        <v>15126</v>
      </c>
      <c r="S2378">
        <v>329</v>
      </c>
      <c r="T2378" t="s">
        <v>92</v>
      </c>
      <c r="U2378" t="s">
        <v>1197</v>
      </c>
      <c r="V2378" t="s">
        <v>1198</v>
      </c>
      <c r="W2378" t="s">
        <v>1199</v>
      </c>
      <c r="X2378" t="s">
        <v>92</v>
      </c>
      <c r="Y2378" t="s">
        <v>110</v>
      </c>
      <c r="Z2378">
        <v>2882</v>
      </c>
      <c r="AA2378">
        <v>33</v>
      </c>
      <c r="AB2378">
        <v>166</v>
      </c>
      <c r="AC2378" t="s">
        <v>1200</v>
      </c>
      <c r="AD2378" t="s">
        <v>1201</v>
      </c>
      <c r="AE2378" t="s">
        <v>1202</v>
      </c>
      <c r="AF2378" t="s">
        <v>1203</v>
      </c>
      <c r="AG2378" t="s">
        <v>1204</v>
      </c>
      <c r="AH2378" t="s">
        <v>1205</v>
      </c>
      <c r="AJ2378" s="2">
        <v>45855.77652777778</v>
      </c>
      <c r="AK2378" t="s">
        <v>1203</v>
      </c>
      <c r="AL2378" t="s">
        <v>65</v>
      </c>
      <c r="AM2378" s="4">
        <v>0.43055555555555558</v>
      </c>
      <c r="AN2378" t="s">
        <v>66</v>
      </c>
      <c r="AO2378" t="s">
        <v>67</v>
      </c>
    </row>
    <row r="2379" spans="1:41" x14ac:dyDescent="0.2">
      <c r="A2379">
        <v>372298</v>
      </c>
      <c r="B2379" t="s">
        <v>15127</v>
      </c>
      <c r="C2379" t="s">
        <v>69</v>
      </c>
      <c r="D2379" t="s">
        <v>69</v>
      </c>
      <c r="E2379" t="s">
        <v>15128</v>
      </c>
      <c r="F2379">
        <v>101049</v>
      </c>
      <c r="G2379" s="1">
        <v>34145</v>
      </c>
      <c r="H2379" s="1">
        <v>45835</v>
      </c>
      <c r="I2379" s="1">
        <v>46204</v>
      </c>
      <c r="J2379" t="s">
        <v>45</v>
      </c>
      <c r="K2379" t="s">
        <v>45</v>
      </c>
      <c r="L2379" t="s">
        <v>429</v>
      </c>
      <c r="M2379" s="1">
        <v>45826</v>
      </c>
      <c r="N2379" t="s">
        <v>47</v>
      </c>
      <c r="O2379" t="s">
        <v>48</v>
      </c>
      <c r="P2379" t="s">
        <v>49</v>
      </c>
      <c r="Q2379" t="s">
        <v>15129</v>
      </c>
      <c r="R2379" t="s">
        <v>15130</v>
      </c>
      <c r="S2379">
        <v>6560</v>
      </c>
      <c r="T2379" t="s">
        <v>52</v>
      </c>
      <c r="U2379">
        <v>1</v>
      </c>
      <c r="V2379" t="s">
        <v>4698</v>
      </c>
      <c r="W2379" t="s">
        <v>54</v>
      </c>
      <c r="X2379" t="s">
        <v>76</v>
      </c>
      <c r="Y2379" t="s">
        <v>56</v>
      </c>
      <c r="Z2379">
        <v>545</v>
      </c>
      <c r="AA2379">
        <v>82</v>
      </c>
      <c r="AB2379">
        <v>166</v>
      </c>
      <c r="AC2379" t="s">
        <v>13925</v>
      </c>
      <c r="AD2379" t="s">
        <v>4700</v>
      </c>
      <c r="AE2379" t="s">
        <v>4701</v>
      </c>
      <c r="AF2379" t="s">
        <v>4702</v>
      </c>
      <c r="AG2379" t="s">
        <v>4703</v>
      </c>
      <c r="AH2379" t="s">
        <v>6200</v>
      </c>
      <c r="AI2379" t="s">
        <v>6201</v>
      </c>
      <c r="AJ2379" s="2">
        <v>45837.797962962963</v>
      </c>
      <c r="AK2379" t="s">
        <v>568</v>
      </c>
      <c r="AL2379" t="s">
        <v>65</v>
      </c>
      <c r="AM2379" s="4">
        <v>0.69444444444444442</v>
      </c>
      <c r="AN2379" t="s">
        <v>66</v>
      </c>
      <c r="AO2379" t="s">
        <v>67</v>
      </c>
    </row>
    <row r="2380" spans="1:41" x14ac:dyDescent="0.2">
      <c r="A2380">
        <v>364592</v>
      </c>
      <c r="B2380" t="s">
        <v>15131</v>
      </c>
      <c r="C2380" t="s">
        <v>345</v>
      </c>
      <c r="D2380" t="s">
        <v>6669</v>
      </c>
      <c r="E2380" t="s">
        <v>15132</v>
      </c>
      <c r="G2380" s="1">
        <v>45552</v>
      </c>
      <c r="H2380" s="1">
        <v>45553</v>
      </c>
      <c r="I2380" s="1">
        <v>46249</v>
      </c>
      <c r="J2380" t="s">
        <v>45</v>
      </c>
      <c r="K2380" t="s">
        <v>45</v>
      </c>
      <c r="L2380" t="s">
        <v>72</v>
      </c>
      <c r="N2380" t="s">
        <v>89</v>
      </c>
      <c r="O2380" t="s">
        <v>121</v>
      </c>
      <c r="P2380" t="s">
        <v>49</v>
      </c>
      <c r="Q2380" t="s">
        <v>15133</v>
      </c>
      <c r="R2380" t="s">
        <v>15134</v>
      </c>
      <c r="S2380">
        <v>8691</v>
      </c>
      <c r="T2380" t="s">
        <v>52</v>
      </c>
      <c r="U2380">
        <v>2</v>
      </c>
      <c r="V2380" t="s">
        <v>7146</v>
      </c>
      <c r="W2380" t="s">
        <v>54</v>
      </c>
      <c r="X2380" t="s">
        <v>52</v>
      </c>
      <c r="Y2380" t="s">
        <v>125</v>
      </c>
      <c r="Z2380">
        <v>3086</v>
      </c>
      <c r="AA2380">
        <v>62</v>
      </c>
      <c r="AB2380">
        <v>38</v>
      </c>
      <c r="AC2380" t="s">
        <v>6674</v>
      </c>
      <c r="AD2380" t="s">
        <v>6675</v>
      </c>
      <c r="AE2380" t="s">
        <v>6676</v>
      </c>
      <c r="AF2380" t="s">
        <v>6677</v>
      </c>
      <c r="AG2380" t="s">
        <v>6678</v>
      </c>
      <c r="AH2380" t="s">
        <v>14228</v>
      </c>
      <c r="AJ2380" s="2">
        <v>45553.453726851854</v>
      </c>
      <c r="AK2380" t="s">
        <v>132</v>
      </c>
      <c r="AL2380" t="s">
        <v>65</v>
      </c>
      <c r="AM2380" s="3">
        <v>2.2569444444444446</v>
      </c>
      <c r="AN2380" t="s">
        <v>66</v>
      </c>
      <c r="AO2380" t="s">
        <v>67</v>
      </c>
    </row>
    <row r="2381" spans="1:41" x14ac:dyDescent="0.2">
      <c r="A2381">
        <v>370760</v>
      </c>
      <c r="B2381" t="s">
        <v>15135</v>
      </c>
      <c r="C2381" t="s">
        <v>167</v>
      </c>
      <c r="D2381" t="s">
        <v>269</v>
      </c>
      <c r="E2381" t="s">
        <v>15136</v>
      </c>
      <c r="G2381" s="1">
        <v>45783</v>
      </c>
      <c r="H2381" s="1">
        <v>45548</v>
      </c>
      <c r="I2381" s="1">
        <v>46266</v>
      </c>
      <c r="J2381" t="s">
        <v>45</v>
      </c>
      <c r="K2381" t="s">
        <v>45</v>
      </c>
      <c r="L2381" t="s">
        <v>46</v>
      </c>
      <c r="M2381" s="1">
        <v>44417</v>
      </c>
      <c r="N2381" t="s">
        <v>47</v>
      </c>
      <c r="O2381" t="s">
        <v>121</v>
      </c>
      <c r="P2381" t="s">
        <v>49</v>
      </c>
      <c r="Q2381" t="s">
        <v>15137</v>
      </c>
      <c r="R2381" t="s">
        <v>15138</v>
      </c>
      <c r="S2381">
        <v>3750</v>
      </c>
      <c r="T2381" t="s">
        <v>52</v>
      </c>
      <c r="U2381">
        <v>6</v>
      </c>
      <c r="V2381" t="s">
        <v>172</v>
      </c>
      <c r="W2381" t="s">
        <v>54</v>
      </c>
      <c r="X2381" t="s">
        <v>52</v>
      </c>
      <c r="Y2381" t="s">
        <v>125</v>
      </c>
      <c r="Z2381">
        <v>4026</v>
      </c>
      <c r="AA2381">
        <v>64</v>
      </c>
      <c r="AB2381">
        <v>30</v>
      </c>
      <c r="AC2381" t="s">
        <v>173</v>
      </c>
      <c r="AD2381" t="s">
        <v>174</v>
      </c>
      <c r="AE2381" t="s">
        <v>175</v>
      </c>
      <c r="AF2381" t="s">
        <v>15139</v>
      </c>
      <c r="AG2381" t="s">
        <v>15140</v>
      </c>
      <c r="AH2381" t="s">
        <v>15141</v>
      </c>
      <c r="AJ2381" s="2">
        <v>45783.883923611109</v>
      </c>
      <c r="AK2381" t="s">
        <v>660</v>
      </c>
      <c r="AL2381" t="s">
        <v>65</v>
      </c>
      <c r="AM2381" s="4">
        <v>0.40277777777777779</v>
      </c>
      <c r="AN2381" t="s">
        <v>66</v>
      </c>
      <c r="AO2381" t="s">
        <v>67</v>
      </c>
    </row>
    <row r="2382" spans="1:41" x14ac:dyDescent="0.2">
      <c r="A2382">
        <v>371441</v>
      </c>
      <c r="B2382" t="s">
        <v>15142</v>
      </c>
      <c r="C2382" t="s">
        <v>167</v>
      </c>
      <c r="D2382" t="s">
        <v>168</v>
      </c>
      <c r="E2382" t="s">
        <v>15143</v>
      </c>
      <c r="F2382">
        <v>353231</v>
      </c>
      <c r="G2382" s="1">
        <v>45216</v>
      </c>
      <c r="H2382" s="1">
        <v>45810</v>
      </c>
      <c r="I2382" s="1">
        <v>46218</v>
      </c>
      <c r="J2382" t="s">
        <v>45</v>
      </c>
      <c r="K2382" t="s">
        <v>326</v>
      </c>
      <c r="L2382" t="s">
        <v>72</v>
      </c>
      <c r="M2382" s="1">
        <v>44417</v>
      </c>
      <c r="N2382" t="s">
        <v>89</v>
      </c>
      <c r="O2382" t="s">
        <v>121</v>
      </c>
      <c r="P2382" t="s">
        <v>49</v>
      </c>
      <c r="Q2382" t="s">
        <v>15144</v>
      </c>
      <c r="R2382" t="s">
        <v>15145</v>
      </c>
      <c r="S2382">
        <v>4372</v>
      </c>
      <c r="T2382" t="s">
        <v>52</v>
      </c>
      <c r="U2382">
        <v>6</v>
      </c>
      <c r="V2382" t="s">
        <v>172</v>
      </c>
      <c r="W2382" t="s">
        <v>54</v>
      </c>
      <c r="X2382" t="s">
        <v>52</v>
      </c>
      <c r="Y2382" t="s">
        <v>125</v>
      </c>
      <c r="Z2382">
        <v>4027</v>
      </c>
      <c r="AA2382">
        <v>53</v>
      </c>
      <c r="AB2382">
        <v>30</v>
      </c>
      <c r="AC2382" t="s">
        <v>173</v>
      </c>
      <c r="AD2382" t="s">
        <v>174</v>
      </c>
      <c r="AE2382" t="s">
        <v>15146</v>
      </c>
      <c r="AF2382" t="s">
        <v>15147</v>
      </c>
      <c r="AG2382" t="s">
        <v>174</v>
      </c>
      <c r="AH2382" t="s">
        <v>15148</v>
      </c>
      <c r="AJ2382" s="2">
        <v>45811.621180555558</v>
      </c>
      <c r="AK2382" t="s">
        <v>800</v>
      </c>
      <c r="AL2382" t="s">
        <v>65</v>
      </c>
      <c r="AM2382" s="3">
        <v>1.6388888888888888</v>
      </c>
      <c r="AN2382" t="s">
        <v>66</v>
      </c>
      <c r="AO2382" t="s">
        <v>67</v>
      </c>
    </row>
    <row r="2383" spans="1:41" x14ac:dyDescent="0.2">
      <c r="A2383">
        <v>360686</v>
      </c>
      <c r="B2383" t="s">
        <v>15149</v>
      </c>
      <c r="C2383" t="s">
        <v>167</v>
      </c>
      <c r="D2383" t="s">
        <v>168</v>
      </c>
      <c r="E2383" t="s">
        <v>15150</v>
      </c>
      <c r="F2383">
        <v>352923</v>
      </c>
      <c r="G2383" s="1">
        <v>45397</v>
      </c>
      <c r="H2383" s="1">
        <v>45128</v>
      </c>
      <c r="I2383" s="1">
        <v>46218</v>
      </c>
      <c r="J2383" t="s">
        <v>45</v>
      </c>
      <c r="K2383" t="s">
        <v>45</v>
      </c>
      <c r="L2383" t="s">
        <v>72</v>
      </c>
      <c r="N2383" t="s">
        <v>89</v>
      </c>
      <c r="O2383" t="s">
        <v>121</v>
      </c>
      <c r="P2383" t="s">
        <v>49</v>
      </c>
      <c r="Q2383" t="s">
        <v>15151</v>
      </c>
      <c r="R2383" t="s">
        <v>15152</v>
      </c>
      <c r="S2383">
        <v>3505</v>
      </c>
      <c r="T2383" t="s">
        <v>52</v>
      </c>
      <c r="U2383">
        <v>6</v>
      </c>
      <c r="V2383" t="s">
        <v>172</v>
      </c>
      <c r="W2383" t="s">
        <v>54</v>
      </c>
      <c r="X2383" t="s">
        <v>52</v>
      </c>
      <c r="Y2383" t="s">
        <v>125</v>
      </c>
      <c r="Z2383">
        <v>11186</v>
      </c>
      <c r="AA2383">
        <v>23</v>
      </c>
      <c r="AB2383">
        <v>78</v>
      </c>
      <c r="AC2383" t="s">
        <v>173</v>
      </c>
      <c r="AD2383" t="s">
        <v>174</v>
      </c>
      <c r="AE2383" t="s">
        <v>175</v>
      </c>
      <c r="AJ2383" s="2">
        <v>45429.658726851849</v>
      </c>
      <c r="AK2383" t="s">
        <v>100</v>
      </c>
      <c r="AL2383" t="s">
        <v>65</v>
      </c>
      <c r="AM2383" s="3">
        <v>2.1319444444444446</v>
      </c>
      <c r="AN2383" t="s">
        <v>66</v>
      </c>
      <c r="AO2383" t="s">
        <v>67</v>
      </c>
    </row>
    <row r="2384" spans="1:41" x14ac:dyDescent="0.2">
      <c r="A2384">
        <v>371440</v>
      </c>
      <c r="B2384" t="s">
        <v>15153</v>
      </c>
      <c r="C2384" t="s">
        <v>167</v>
      </c>
      <c r="D2384" t="s">
        <v>269</v>
      </c>
      <c r="E2384" t="s">
        <v>15154</v>
      </c>
      <c r="F2384">
        <v>352924</v>
      </c>
      <c r="G2384" s="1">
        <v>45127</v>
      </c>
      <c r="H2384" s="1">
        <v>45810</v>
      </c>
      <c r="I2384" s="1">
        <v>46218</v>
      </c>
      <c r="J2384" t="s">
        <v>45</v>
      </c>
      <c r="K2384" t="s">
        <v>45</v>
      </c>
      <c r="L2384" t="s">
        <v>72</v>
      </c>
      <c r="N2384" t="s">
        <v>89</v>
      </c>
      <c r="O2384" t="s">
        <v>121</v>
      </c>
      <c r="P2384" t="s">
        <v>49</v>
      </c>
      <c r="Q2384" t="s">
        <v>15155</v>
      </c>
      <c r="R2384" t="s">
        <v>15156</v>
      </c>
      <c r="S2384">
        <v>4663</v>
      </c>
      <c r="T2384" t="s">
        <v>52</v>
      </c>
      <c r="U2384">
        <v>6</v>
      </c>
      <c r="V2384" t="s">
        <v>172</v>
      </c>
      <c r="W2384" t="s">
        <v>54</v>
      </c>
      <c r="X2384" t="s">
        <v>52</v>
      </c>
      <c r="Y2384" t="s">
        <v>125</v>
      </c>
      <c r="Z2384">
        <v>11187</v>
      </c>
      <c r="AA2384">
        <v>19</v>
      </c>
      <c r="AB2384">
        <v>78</v>
      </c>
      <c r="AC2384" t="s">
        <v>173</v>
      </c>
      <c r="AD2384" t="s">
        <v>174</v>
      </c>
      <c r="AE2384" t="s">
        <v>175</v>
      </c>
      <c r="AJ2384" s="2">
        <v>45811.615856481483</v>
      </c>
      <c r="AK2384" t="s">
        <v>800</v>
      </c>
      <c r="AL2384" t="s">
        <v>65</v>
      </c>
      <c r="AM2384" s="3">
        <v>2.1388888888888888</v>
      </c>
      <c r="AN2384" t="s">
        <v>66</v>
      </c>
      <c r="AO2384" t="s">
        <v>67</v>
      </c>
    </row>
    <row r="2385" spans="1:41" x14ac:dyDescent="0.2">
      <c r="A2385">
        <v>370754</v>
      </c>
      <c r="B2385" t="s">
        <v>15157</v>
      </c>
      <c r="C2385" t="s">
        <v>167</v>
      </c>
      <c r="D2385" t="s">
        <v>168</v>
      </c>
      <c r="E2385" t="s">
        <v>15158</v>
      </c>
      <c r="G2385" s="1">
        <v>45782</v>
      </c>
      <c r="H2385" s="1">
        <v>45148</v>
      </c>
      <c r="I2385" s="1">
        <v>46218</v>
      </c>
      <c r="J2385" t="s">
        <v>45</v>
      </c>
      <c r="K2385" t="s">
        <v>45</v>
      </c>
      <c r="L2385" t="s">
        <v>72</v>
      </c>
      <c r="N2385" t="s">
        <v>89</v>
      </c>
      <c r="O2385" t="s">
        <v>121</v>
      </c>
      <c r="P2385" t="s">
        <v>49</v>
      </c>
      <c r="Q2385" t="s">
        <v>15159</v>
      </c>
      <c r="R2385" t="s">
        <v>15160</v>
      </c>
      <c r="S2385">
        <v>3199</v>
      </c>
      <c r="T2385" t="s">
        <v>52</v>
      </c>
      <c r="U2385">
        <v>6</v>
      </c>
      <c r="V2385" t="s">
        <v>172</v>
      </c>
      <c r="W2385" t="s">
        <v>54</v>
      </c>
      <c r="X2385" t="s">
        <v>52</v>
      </c>
      <c r="Y2385" t="s">
        <v>125</v>
      </c>
      <c r="Z2385">
        <v>11188</v>
      </c>
      <c r="AA2385">
        <v>14</v>
      </c>
      <c r="AB2385">
        <v>78</v>
      </c>
      <c r="AC2385" t="s">
        <v>173</v>
      </c>
      <c r="AD2385" t="s">
        <v>174</v>
      </c>
      <c r="AE2385" t="s">
        <v>175</v>
      </c>
      <c r="AJ2385" s="2">
        <v>45783.813206018516</v>
      </c>
      <c r="AK2385" t="s">
        <v>660</v>
      </c>
      <c r="AL2385" t="s">
        <v>65</v>
      </c>
      <c r="AM2385" s="3">
        <v>2.1458333333333335</v>
      </c>
      <c r="AN2385" t="s">
        <v>66</v>
      </c>
      <c r="AO2385" t="s">
        <v>67</v>
      </c>
    </row>
    <row r="2386" spans="1:41" x14ac:dyDescent="0.2">
      <c r="A2386">
        <v>364058</v>
      </c>
      <c r="B2386" t="s">
        <v>15161</v>
      </c>
      <c r="C2386" t="s">
        <v>167</v>
      </c>
      <c r="D2386" t="s">
        <v>269</v>
      </c>
      <c r="E2386" t="s">
        <v>15162</v>
      </c>
      <c r="G2386" s="1">
        <v>45531</v>
      </c>
      <c r="H2386" s="1">
        <v>45532</v>
      </c>
      <c r="I2386" s="1">
        <v>46235</v>
      </c>
      <c r="J2386" t="s">
        <v>45</v>
      </c>
      <c r="K2386" t="s">
        <v>45</v>
      </c>
      <c r="L2386" t="s">
        <v>72</v>
      </c>
      <c r="M2386" s="1">
        <v>44417</v>
      </c>
      <c r="N2386" t="s">
        <v>89</v>
      </c>
      <c r="O2386" t="s">
        <v>121</v>
      </c>
      <c r="P2386" t="s">
        <v>49</v>
      </c>
      <c r="Q2386" t="s">
        <v>15163</v>
      </c>
      <c r="R2386" t="s">
        <v>15164</v>
      </c>
      <c r="S2386">
        <v>7778</v>
      </c>
      <c r="T2386" t="s">
        <v>52</v>
      </c>
      <c r="U2386">
        <v>6</v>
      </c>
      <c r="V2386" t="s">
        <v>172</v>
      </c>
      <c r="W2386" t="s">
        <v>54</v>
      </c>
      <c r="X2386" t="s">
        <v>52</v>
      </c>
      <c r="Y2386" t="s">
        <v>125</v>
      </c>
      <c r="Z2386">
        <v>7268</v>
      </c>
      <c r="AA2386">
        <v>44</v>
      </c>
      <c r="AB2386">
        <v>78</v>
      </c>
      <c r="AC2386" t="s">
        <v>173</v>
      </c>
      <c r="AD2386" t="s">
        <v>174</v>
      </c>
      <c r="AE2386" t="s">
        <v>175</v>
      </c>
      <c r="AF2386" t="s">
        <v>15165</v>
      </c>
      <c r="AG2386" t="s">
        <v>15166</v>
      </c>
      <c r="AH2386" t="s">
        <v>15167</v>
      </c>
      <c r="AJ2386" s="2">
        <v>45532.462766203702</v>
      </c>
      <c r="AK2386" t="s">
        <v>132</v>
      </c>
      <c r="AL2386" t="s">
        <v>65</v>
      </c>
      <c r="AM2386" s="3">
        <v>1.3125</v>
      </c>
      <c r="AN2386" t="s">
        <v>66</v>
      </c>
      <c r="AO2386" t="s">
        <v>67</v>
      </c>
    </row>
    <row r="2387" spans="1:41" x14ac:dyDescent="0.2">
      <c r="A2387">
        <v>367223</v>
      </c>
      <c r="B2387" t="s">
        <v>15168</v>
      </c>
      <c r="C2387" t="s">
        <v>558</v>
      </c>
      <c r="D2387" t="s">
        <v>746</v>
      </c>
      <c r="E2387" t="s">
        <v>15169</v>
      </c>
      <c r="F2387">
        <v>260312</v>
      </c>
      <c r="G2387" s="1">
        <v>37419</v>
      </c>
      <c r="H2387" s="1">
        <v>45629</v>
      </c>
      <c r="I2387" s="1">
        <v>45992</v>
      </c>
      <c r="J2387" t="s">
        <v>45</v>
      </c>
      <c r="K2387" t="s">
        <v>45</v>
      </c>
      <c r="L2387" t="s">
        <v>72</v>
      </c>
      <c r="N2387" t="s">
        <v>47</v>
      </c>
      <c r="O2387" t="s">
        <v>48</v>
      </c>
      <c r="P2387" t="s">
        <v>49</v>
      </c>
      <c r="Q2387" t="s">
        <v>15170</v>
      </c>
      <c r="R2387" t="s">
        <v>15171</v>
      </c>
      <c r="S2387">
        <v>5970</v>
      </c>
      <c r="T2387" t="s">
        <v>156</v>
      </c>
      <c r="U2387" t="s">
        <v>1079</v>
      </c>
      <c r="V2387" t="s">
        <v>15172</v>
      </c>
      <c r="W2387" t="s">
        <v>159</v>
      </c>
      <c r="X2387" t="s">
        <v>156</v>
      </c>
      <c r="Y2387" t="s">
        <v>110</v>
      </c>
      <c r="Z2387">
        <v>2216</v>
      </c>
      <c r="AA2387">
        <v>39</v>
      </c>
      <c r="AB2387">
        <v>158</v>
      </c>
      <c r="AC2387" t="s">
        <v>15173</v>
      </c>
      <c r="AD2387" t="s">
        <v>1082</v>
      </c>
      <c r="AE2387" t="s">
        <v>1083</v>
      </c>
      <c r="AF2387" t="s">
        <v>15174</v>
      </c>
      <c r="AG2387" t="s">
        <v>1082</v>
      </c>
      <c r="AH2387" t="s">
        <v>15175</v>
      </c>
      <c r="AI2387" t="s">
        <v>1084</v>
      </c>
      <c r="AJ2387" s="2">
        <v>45665.952430555553</v>
      </c>
      <c r="AK2387" t="s">
        <v>1081</v>
      </c>
      <c r="AL2387" t="s">
        <v>65</v>
      </c>
      <c r="AM2387" s="3">
        <v>1.3333333333333333</v>
      </c>
      <c r="AN2387" t="s">
        <v>66</v>
      </c>
      <c r="AO2387" t="s">
        <v>67</v>
      </c>
    </row>
    <row r="2388" spans="1:41" x14ac:dyDescent="0.2">
      <c r="A2388">
        <v>373090</v>
      </c>
      <c r="B2388" t="s">
        <v>15176</v>
      </c>
      <c r="C2388" t="s">
        <v>558</v>
      </c>
      <c r="D2388" t="s">
        <v>746</v>
      </c>
      <c r="E2388">
        <v>33355574</v>
      </c>
      <c r="F2388">
        <v>260317</v>
      </c>
      <c r="G2388" s="1">
        <v>38287</v>
      </c>
      <c r="H2388" s="1">
        <v>45856</v>
      </c>
      <c r="I2388" s="1">
        <v>45931</v>
      </c>
      <c r="J2388" t="s">
        <v>45</v>
      </c>
      <c r="K2388" t="s">
        <v>45</v>
      </c>
      <c r="L2388" t="s">
        <v>429</v>
      </c>
      <c r="M2388" s="1">
        <v>45806</v>
      </c>
      <c r="N2388" t="s">
        <v>47</v>
      </c>
      <c r="O2388" t="s">
        <v>48</v>
      </c>
      <c r="P2388" t="s">
        <v>49</v>
      </c>
      <c r="Q2388" t="s">
        <v>15177</v>
      </c>
      <c r="R2388" t="s">
        <v>15178</v>
      </c>
      <c r="S2388">
        <v>6891</v>
      </c>
      <c r="T2388" t="s">
        <v>52</v>
      </c>
      <c r="U2388">
        <v>4</v>
      </c>
      <c r="V2388" t="s">
        <v>1271</v>
      </c>
      <c r="W2388" t="s">
        <v>54</v>
      </c>
      <c r="X2388" t="s">
        <v>76</v>
      </c>
      <c r="Y2388" t="s">
        <v>56</v>
      </c>
      <c r="Z2388">
        <v>2483</v>
      </c>
      <c r="AA2388">
        <v>53</v>
      </c>
      <c r="AB2388">
        <v>160</v>
      </c>
      <c r="AC2388" t="s">
        <v>14164</v>
      </c>
      <c r="AD2388" t="s">
        <v>14165</v>
      </c>
      <c r="AE2388" t="s">
        <v>14166</v>
      </c>
      <c r="AF2388" t="s">
        <v>14167</v>
      </c>
      <c r="AG2388" t="s">
        <v>14168</v>
      </c>
      <c r="AH2388" t="s">
        <v>8478</v>
      </c>
      <c r="AI2388" t="s">
        <v>14169</v>
      </c>
      <c r="AJ2388" s="2">
        <v>45857.048182870371</v>
      </c>
      <c r="AK2388" t="s">
        <v>375</v>
      </c>
      <c r="AL2388" t="s">
        <v>65</v>
      </c>
      <c r="AM2388" s="4">
        <v>0.15972222222222221</v>
      </c>
      <c r="AN2388" t="s">
        <v>66</v>
      </c>
      <c r="AO2388" t="s">
        <v>67</v>
      </c>
    </row>
    <row r="2389" spans="1:41" x14ac:dyDescent="0.2">
      <c r="A2389">
        <v>365533</v>
      </c>
      <c r="B2389" t="s">
        <v>15179</v>
      </c>
      <c r="C2389" t="s">
        <v>118</v>
      </c>
      <c r="D2389" t="s">
        <v>4293</v>
      </c>
      <c r="E2389" t="s">
        <v>15180</v>
      </c>
      <c r="F2389">
        <v>21414</v>
      </c>
      <c r="G2389" s="1">
        <v>36999</v>
      </c>
      <c r="H2389" s="1">
        <v>45581</v>
      </c>
      <c r="I2389" s="1">
        <v>45945</v>
      </c>
      <c r="J2389" t="s">
        <v>45</v>
      </c>
      <c r="K2389" t="s">
        <v>45</v>
      </c>
      <c r="L2389" t="s">
        <v>429</v>
      </c>
      <c r="M2389" s="1">
        <v>44147</v>
      </c>
      <c r="N2389" t="s">
        <v>47</v>
      </c>
      <c r="O2389" t="s">
        <v>48</v>
      </c>
      <c r="P2389" t="s">
        <v>49</v>
      </c>
      <c r="Q2389" t="s">
        <v>15181</v>
      </c>
      <c r="R2389" t="s">
        <v>15182</v>
      </c>
      <c r="S2389">
        <v>5700</v>
      </c>
      <c r="T2389" t="s">
        <v>52</v>
      </c>
      <c r="U2389">
        <v>3</v>
      </c>
      <c r="V2389" t="s">
        <v>4297</v>
      </c>
      <c r="W2389" t="s">
        <v>54</v>
      </c>
      <c r="X2389" t="s">
        <v>55</v>
      </c>
      <c r="Y2389" t="s">
        <v>56</v>
      </c>
      <c r="Z2389">
        <v>1483</v>
      </c>
      <c r="AA2389">
        <v>59</v>
      </c>
      <c r="AB2389">
        <v>144</v>
      </c>
      <c r="AC2389" t="s">
        <v>4438</v>
      </c>
      <c r="AD2389" t="s">
        <v>4299</v>
      </c>
      <c r="AE2389" t="s">
        <v>4300</v>
      </c>
      <c r="AF2389" t="s">
        <v>4301</v>
      </c>
      <c r="AG2389" t="s">
        <v>4302</v>
      </c>
      <c r="AH2389" t="s">
        <v>4303</v>
      </c>
      <c r="AI2389" t="s">
        <v>1809</v>
      </c>
      <c r="AJ2389" s="2">
        <v>45586.769548611112</v>
      </c>
      <c r="AK2389" t="s">
        <v>64</v>
      </c>
      <c r="AL2389" t="s">
        <v>65</v>
      </c>
      <c r="AM2389" s="3">
        <v>2.375</v>
      </c>
      <c r="AN2389" t="s">
        <v>66</v>
      </c>
      <c r="AO2389" t="s">
        <v>67</v>
      </c>
    </row>
    <row r="2390" spans="1:41" x14ac:dyDescent="0.2">
      <c r="A2390">
        <v>371613</v>
      </c>
      <c r="B2390" t="s">
        <v>15183</v>
      </c>
      <c r="C2390" t="s">
        <v>86</v>
      </c>
      <c r="D2390" t="s">
        <v>14588</v>
      </c>
      <c r="E2390" t="s">
        <v>15184</v>
      </c>
      <c r="F2390">
        <v>201505</v>
      </c>
      <c r="G2390" s="1">
        <v>32964</v>
      </c>
      <c r="H2390" s="1">
        <v>45779</v>
      </c>
      <c r="I2390" s="1">
        <v>46143</v>
      </c>
      <c r="J2390" t="s">
        <v>45</v>
      </c>
      <c r="K2390" t="s">
        <v>326</v>
      </c>
      <c r="L2390" t="s">
        <v>72</v>
      </c>
      <c r="M2390" s="1">
        <v>44312</v>
      </c>
      <c r="N2390" t="s">
        <v>47</v>
      </c>
      <c r="O2390" t="s">
        <v>48</v>
      </c>
      <c r="P2390" t="s">
        <v>49</v>
      </c>
      <c r="Q2390" t="s">
        <v>15185</v>
      </c>
      <c r="R2390" t="s">
        <v>15186</v>
      </c>
      <c r="S2390">
        <v>700</v>
      </c>
      <c r="T2390" t="s">
        <v>92</v>
      </c>
      <c r="U2390" t="s">
        <v>93</v>
      </c>
      <c r="V2390" t="s">
        <v>506</v>
      </c>
      <c r="W2390" t="s">
        <v>507</v>
      </c>
      <c r="X2390" t="s">
        <v>92</v>
      </c>
      <c r="Y2390" t="s">
        <v>110</v>
      </c>
      <c r="Z2390">
        <v>1968</v>
      </c>
      <c r="AA2390">
        <v>38</v>
      </c>
      <c r="AB2390">
        <v>144</v>
      </c>
      <c r="AC2390" t="s">
        <v>508</v>
      </c>
      <c r="AD2390" t="s">
        <v>509</v>
      </c>
      <c r="AE2390" t="s">
        <v>510</v>
      </c>
      <c r="AF2390" t="s">
        <v>14878</v>
      </c>
      <c r="AG2390" t="s">
        <v>14879</v>
      </c>
      <c r="AH2390" t="s">
        <v>15187</v>
      </c>
      <c r="AJ2390" s="2">
        <v>45817.709548611114</v>
      </c>
      <c r="AK2390" t="s">
        <v>100</v>
      </c>
      <c r="AL2390" t="s">
        <v>65</v>
      </c>
      <c r="AM2390" s="4">
        <v>0.61805555555555558</v>
      </c>
      <c r="AN2390" t="s">
        <v>66</v>
      </c>
      <c r="AO2390" t="s">
        <v>67</v>
      </c>
    </row>
    <row r="2391" spans="1:41" x14ac:dyDescent="0.2">
      <c r="A2391">
        <v>372197</v>
      </c>
      <c r="B2391" t="s">
        <v>15188</v>
      </c>
      <c r="C2391" t="s">
        <v>182</v>
      </c>
      <c r="D2391" t="s">
        <v>1948</v>
      </c>
      <c r="E2391">
        <v>32316476</v>
      </c>
      <c r="F2391">
        <v>40312</v>
      </c>
      <c r="G2391" s="1">
        <v>35692</v>
      </c>
      <c r="H2391" s="1">
        <v>45825</v>
      </c>
      <c r="I2391" s="1">
        <v>46174</v>
      </c>
      <c r="J2391" t="s">
        <v>45</v>
      </c>
      <c r="K2391" t="s">
        <v>45</v>
      </c>
      <c r="L2391" t="s">
        <v>72</v>
      </c>
      <c r="M2391" s="1">
        <v>45174</v>
      </c>
      <c r="N2391" t="s">
        <v>47</v>
      </c>
      <c r="O2391" t="s">
        <v>48</v>
      </c>
      <c r="P2391" t="s">
        <v>49</v>
      </c>
      <c r="Q2391" t="s">
        <v>15189</v>
      </c>
      <c r="R2391" t="s">
        <v>15190</v>
      </c>
      <c r="S2391">
        <v>5543</v>
      </c>
      <c r="T2391" t="s">
        <v>52</v>
      </c>
      <c r="U2391">
        <v>5</v>
      </c>
      <c r="V2391" t="s">
        <v>1951</v>
      </c>
      <c r="W2391" t="s">
        <v>54</v>
      </c>
      <c r="X2391" t="s">
        <v>493</v>
      </c>
      <c r="Y2391" t="s">
        <v>434</v>
      </c>
      <c r="Z2391">
        <v>1020</v>
      </c>
      <c r="AA2391">
        <v>77</v>
      </c>
      <c r="AB2391">
        <v>34</v>
      </c>
      <c r="AC2391" t="s">
        <v>1952</v>
      </c>
      <c r="AD2391" t="s">
        <v>15120</v>
      </c>
      <c r="AE2391" t="s">
        <v>1954</v>
      </c>
      <c r="AF2391" t="s">
        <v>9351</v>
      </c>
      <c r="AG2391" t="s">
        <v>11917</v>
      </c>
      <c r="AH2391" t="s">
        <v>11918</v>
      </c>
      <c r="AI2391" t="s">
        <v>500</v>
      </c>
      <c r="AJ2391" s="2">
        <v>45833.638611111113</v>
      </c>
      <c r="AK2391" t="s">
        <v>84</v>
      </c>
      <c r="AL2391" t="s">
        <v>65</v>
      </c>
      <c r="AM2391" s="4">
        <v>0.13194444444444445</v>
      </c>
      <c r="AN2391" t="s">
        <v>66</v>
      </c>
      <c r="AO2391" t="s">
        <v>67</v>
      </c>
    </row>
    <row r="2392" spans="1:41" x14ac:dyDescent="0.2">
      <c r="A2392">
        <v>371001</v>
      </c>
      <c r="B2392" t="s">
        <v>15191</v>
      </c>
      <c r="C2392" t="s">
        <v>182</v>
      </c>
      <c r="D2392" t="s">
        <v>1467</v>
      </c>
      <c r="E2392" t="s">
        <v>15192</v>
      </c>
      <c r="F2392">
        <v>40508</v>
      </c>
      <c r="G2392" s="1">
        <v>37500</v>
      </c>
      <c r="H2392" s="1">
        <v>45789</v>
      </c>
      <c r="I2392" s="1">
        <v>46113</v>
      </c>
      <c r="J2392" t="s">
        <v>45</v>
      </c>
      <c r="K2392" t="s">
        <v>45</v>
      </c>
      <c r="L2392" t="s">
        <v>429</v>
      </c>
      <c r="M2392" s="1">
        <v>41037</v>
      </c>
      <c r="N2392" t="s">
        <v>47</v>
      </c>
      <c r="O2392" t="s">
        <v>48</v>
      </c>
      <c r="P2392" t="s">
        <v>49</v>
      </c>
      <c r="Q2392" t="s">
        <v>15193</v>
      </c>
      <c r="R2392" t="s">
        <v>15194</v>
      </c>
      <c r="S2392">
        <v>2732</v>
      </c>
      <c r="T2392" t="s">
        <v>52</v>
      </c>
      <c r="U2392">
        <v>5</v>
      </c>
      <c r="V2392" t="s">
        <v>3513</v>
      </c>
      <c r="W2392" t="s">
        <v>54</v>
      </c>
      <c r="X2392" t="s">
        <v>493</v>
      </c>
      <c r="Y2392" t="s">
        <v>434</v>
      </c>
      <c r="Z2392">
        <v>2063</v>
      </c>
      <c r="AA2392">
        <v>43</v>
      </c>
      <c r="AB2392">
        <v>30</v>
      </c>
      <c r="AC2392" t="s">
        <v>11575</v>
      </c>
      <c r="AD2392" t="s">
        <v>11576</v>
      </c>
      <c r="AE2392" t="s">
        <v>11577</v>
      </c>
      <c r="AF2392" t="s">
        <v>3517</v>
      </c>
      <c r="AG2392" t="s">
        <v>3518</v>
      </c>
      <c r="AH2392" t="s">
        <v>3519</v>
      </c>
      <c r="AI2392" t="s">
        <v>15195</v>
      </c>
      <c r="AJ2392" s="2">
        <v>45792.728020833332</v>
      </c>
      <c r="AK2392" t="s">
        <v>1472</v>
      </c>
      <c r="AL2392" t="s">
        <v>65</v>
      </c>
      <c r="AM2392" s="4">
        <v>0.95833333333333337</v>
      </c>
      <c r="AN2392" t="s">
        <v>66</v>
      </c>
      <c r="AO2392" t="s">
        <v>67</v>
      </c>
    </row>
    <row r="2393" spans="1:41" x14ac:dyDescent="0.2">
      <c r="A2393">
        <v>372084</v>
      </c>
      <c r="B2393" t="s">
        <v>15196</v>
      </c>
      <c r="C2393" t="s">
        <v>323</v>
      </c>
      <c r="E2393" t="s">
        <v>15197</v>
      </c>
      <c r="G2393" s="1">
        <v>38139</v>
      </c>
      <c r="H2393" s="1">
        <v>45826</v>
      </c>
      <c r="J2393" t="s">
        <v>72</v>
      </c>
      <c r="K2393" t="s">
        <v>326</v>
      </c>
      <c r="L2393" t="s">
        <v>72</v>
      </c>
      <c r="M2393" s="1">
        <v>42229</v>
      </c>
      <c r="N2393" t="s">
        <v>47</v>
      </c>
      <c r="O2393" t="s">
        <v>48</v>
      </c>
      <c r="P2393" t="s">
        <v>1752</v>
      </c>
      <c r="Q2393" t="s">
        <v>15198</v>
      </c>
      <c r="R2393" t="s">
        <v>15199</v>
      </c>
      <c r="S2393">
        <v>3301</v>
      </c>
      <c r="T2393" t="s">
        <v>257</v>
      </c>
      <c r="U2393" t="s">
        <v>329</v>
      </c>
      <c r="V2393" t="s">
        <v>6178</v>
      </c>
      <c r="W2393" t="s">
        <v>3303</v>
      </c>
      <c r="X2393" t="s">
        <v>257</v>
      </c>
      <c r="Y2393" t="s">
        <v>642</v>
      </c>
      <c r="Z2393">
        <v>2565</v>
      </c>
      <c r="AA2393">
        <v>47</v>
      </c>
      <c r="AB2393">
        <v>172</v>
      </c>
      <c r="AC2393" t="s">
        <v>5079</v>
      </c>
      <c r="AD2393" t="s">
        <v>1165</v>
      </c>
      <c r="AE2393" t="s">
        <v>1166</v>
      </c>
      <c r="AF2393" t="s">
        <v>4983</v>
      </c>
      <c r="AG2393" t="s">
        <v>4984</v>
      </c>
      <c r="AH2393" t="s">
        <v>4985</v>
      </c>
      <c r="AJ2393" s="2">
        <v>45828.989305555559</v>
      </c>
      <c r="AK2393" t="s">
        <v>1164</v>
      </c>
      <c r="AL2393" t="s">
        <v>1168</v>
      </c>
      <c r="AM2393" s="3">
        <v>1.3611111111111112</v>
      </c>
      <c r="AN2393" t="s">
        <v>66</v>
      </c>
      <c r="AO2393" t="s">
        <v>67</v>
      </c>
    </row>
    <row r="2394" spans="1:41" x14ac:dyDescent="0.2">
      <c r="A2394">
        <v>356431</v>
      </c>
      <c r="B2394" t="s">
        <v>15200</v>
      </c>
      <c r="C2394" t="s">
        <v>103</v>
      </c>
      <c r="D2394" t="s">
        <v>15201</v>
      </c>
      <c r="E2394" t="s">
        <v>15202</v>
      </c>
      <c r="F2394">
        <v>316302</v>
      </c>
      <c r="G2394" s="1">
        <v>37382</v>
      </c>
      <c r="H2394" s="1">
        <v>45275</v>
      </c>
      <c r="I2394" s="1">
        <v>46310</v>
      </c>
      <c r="J2394" t="s">
        <v>45</v>
      </c>
      <c r="K2394" t="s">
        <v>45</v>
      </c>
      <c r="L2394" t="s">
        <v>72</v>
      </c>
      <c r="M2394" s="1">
        <v>42550</v>
      </c>
      <c r="N2394" t="s">
        <v>47</v>
      </c>
      <c r="O2394" t="s">
        <v>48</v>
      </c>
      <c r="P2394" t="s">
        <v>49</v>
      </c>
      <c r="Q2394" t="s">
        <v>15203</v>
      </c>
      <c r="R2394" t="s">
        <v>15204</v>
      </c>
      <c r="S2394">
        <v>1056</v>
      </c>
      <c r="T2394" t="s">
        <v>92</v>
      </c>
      <c r="U2394" t="s">
        <v>107</v>
      </c>
      <c r="V2394" t="s">
        <v>108</v>
      </c>
      <c r="W2394" t="s">
        <v>109</v>
      </c>
      <c r="X2394" t="s">
        <v>52</v>
      </c>
      <c r="Y2394" t="s">
        <v>110</v>
      </c>
      <c r="Z2394">
        <v>2163</v>
      </c>
      <c r="AA2394">
        <v>44</v>
      </c>
      <c r="AB2394">
        <v>45</v>
      </c>
      <c r="AC2394" t="s">
        <v>12572</v>
      </c>
      <c r="AD2394" t="s">
        <v>12573</v>
      </c>
      <c r="AE2394" t="s">
        <v>12577</v>
      </c>
      <c r="AF2394" t="s">
        <v>12575</v>
      </c>
      <c r="AG2394" t="s">
        <v>12576</v>
      </c>
      <c r="AH2394" t="s">
        <v>12577</v>
      </c>
      <c r="AJ2394" s="2">
        <v>45818.719537037039</v>
      </c>
      <c r="AK2394" t="s">
        <v>100</v>
      </c>
      <c r="AL2394" t="s">
        <v>65</v>
      </c>
      <c r="AM2394" s="3">
        <v>1.9444444444444444</v>
      </c>
      <c r="AN2394" t="s">
        <v>66</v>
      </c>
      <c r="AO2394" t="s">
        <v>101</v>
      </c>
    </row>
    <row r="2395" spans="1:41" x14ac:dyDescent="0.2">
      <c r="A2395">
        <v>363777</v>
      </c>
      <c r="B2395" t="s">
        <v>15205</v>
      </c>
      <c r="C2395" t="s">
        <v>167</v>
      </c>
      <c r="D2395" t="s">
        <v>15206</v>
      </c>
      <c r="E2395" t="s">
        <v>15207</v>
      </c>
      <c r="F2395">
        <v>350505</v>
      </c>
      <c r="G2395" s="1">
        <v>30516</v>
      </c>
      <c r="H2395" s="1">
        <v>45512</v>
      </c>
      <c r="I2395" s="1">
        <v>46218</v>
      </c>
      <c r="J2395" t="s">
        <v>45</v>
      </c>
      <c r="K2395" t="s">
        <v>45</v>
      </c>
      <c r="L2395" t="s">
        <v>429</v>
      </c>
      <c r="M2395" s="1">
        <v>42258</v>
      </c>
      <c r="N2395" t="s">
        <v>47</v>
      </c>
      <c r="O2395" t="s">
        <v>48</v>
      </c>
      <c r="P2395" t="s">
        <v>49</v>
      </c>
      <c r="Q2395" t="s">
        <v>15208</v>
      </c>
      <c r="R2395" t="s">
        <v>15209</v>
      </c>
      <c r="S2395">
        <v>1956</v>
      </c>
      <c r="T2395" t="s">
        <v>365</v>
      </c>
      <c r="U2395" t="s">
        <v>532</v>
      </c>
      <c r="V2395" t="s">
        <v>9040</v>
      </c>
      <c r="W2395" t="s">
        <v>367</v>
      </c>
      <c r="X2395" t="s">
        <v>76</v>
      </c>
      <c r="Y2395" t="s">
        <v>434</v>
      </c>
      <c r="Z2395">
        <v>325</v>
      </c>
      <c r="AA2395">
        <v>77</v>
      </c>
      <c r="AB2395">
        <v>158</v>
      </c>
      <c r="AC2395" t="s">
        <v>3254</v>
      </c>
      <c r="AD2395" t="s">
        <v>3255</v>
      </c>
      <c r="AE2395" t="s">
        <v>3256</v>
      </c>
      <c r="AF2395" t="s">
        <v>15210</v>
      </c>
      <c r="AG2395" t="s">
        <v>15211</v>
      </c>
      <c r="AH2395" t="s">
        <v>15212</v>
      </c>
      <c r="AI2395" t="s">
        <v>179</v>
      </c>
      <c r="AJ2395" s="2">
        <v>45523.804259259261</v>
      </c>
      <c r="AK2395" t="s">
        <v>2517</v>
      </c>
      <c r="AL2395" t="s">
        <v>65</v>
      </c>
      <c r="AM2395" s="4">
        <v>0.61111111111111116</v>
      </c>
      <c r="AN2395" t="s">
        <v>66</v>
      </c>
      <c r="AO2395" t="s">
        <v>67</v>
      </c>
    </row>
    <row r="2396" spans="1:41" x14ac:dyDescent="0.2">
      <c r="A2396">
        <v>372493</v>
      </c>
      <c r="B2396" t="s">
        <v>15213</v>
      </c>
      <c r="C2396" t="s">
        <v>69</v>
      </c>
      <c r="D2396" t="s">
        <v>3131</v>
      </c>
      <c r="E2396" t="s">
        <v>15214</v>
      </c>
      <c r="F2396">
        <v>101898</v>
      </c>
      <c r="G2396" s="1">
        <v>45818</v>
      </c>
      <c r="H2396" s="1">
        <v>45693</v>
      </c>
      <c r="I2396" s="1">
        <v>46068</v>
      </c>
      <c r="J2396" t="s">
        <v>45</v>
      </c>
      <c r="K2396" t="s">
        <v>45</v>
      </c>
      <c r="L2396" t="s">
        <v>72</v>
      </c>
      <c r="N2396" t="s">
        <v>89</v>
      </c>
      <c r="O2396" t="s">
        <v>121</v>
      </c>
      <c r="P2396" t="s">
        <v>49</v>
      </c>
      <c r="Q2396" t="s">
        <v>15215</v>
      </c>
      <c r="R2396" t="s">
        <v>15216</v>
      </c>
      <c r="S2396">
        <v>8773</v>
      </c>
      <c r="T2396" t="s">
        <v>52</v>
      </c>
      <c r="U2396">
        <v>4</v>
      </c>
      <c r="V2396" t="s">
        <v>3135</v>
      </c>
      <c r="W2396" t="s">
        <v>54</v>
      </c>
      <c r="X2396" t="s">
        <v>52</v>
      </c>
      <c r="Y2396" t="s">
        <v>125</v>
      </c>
      <c r="Z2396">
        <v>1874</v>
      </c>
      <c r="AA2396">
        <v>88</v>
      </c>
      <c r="AB2396">
        <v>160</v>
      </c>
      <c r="AC2396" t="s">
        <v>3136</v>
      </c>
      <c r="AD2396" t="s">
        <v>3137</v>
      </c>
      <c r="AE2396" t="s">
        <v>3138</v>
      </c>
      <c r="AF2396" t="s">
        <v>3139</v>
      </c>
      <c r="AG2396" t="s">
        <v>3140</v>
      </c>
      <c r="AH2396" t="s">
        <v>3141</v>
      </c>
      <c r="AI2396" t="s">
        <v>15217</v>
      </c>
      <c r="AJ2396" s="2">
        <v>45840.89744212963</v>
      </c>
      <c r="AK2396" t="s">
        <v>276</v>
      </c>
      <c r="AL2396" t="s">
        <v>65</v>
      </c>
      <c r="AM2396" s="3">
        <v>1.5555555555555556</v>
      </c>
      <c r="AN2396" t="s">
        <v>66</v>
      </c>
      <c r="AO2396" t="s">
        <v>67</v>
      </c>
    </row>
    <row r="2397" spans="1:41" x14ac:dyDescent="0.2">
      <c r="A2397">
        <v>354192</v>
      </c>
      <c r="B2397" t="s">
        <v>15218</v>
      </c>
      <c r="C2397" t="s">
        <v>69</v>
      </c>
      <c r="D2397" t="s">
        <v>3131</v>
      </c>
      <c r="E2397" t="s">
        <v>15219</v>
      </c>
      <c r="G2397" s="1">
        <v>45041</v>
      </c>
      <c r="H2397" s="1">
        <v>45041</v>
      </c>
      <c r="J2397" t="s">
        <v>45</v>
      </c>
      <c r="K2397" t="s">
        <v>326</v>
      </c>
      <c r="L2397" t="s">
        <v>72</v>
      </c>
      <c r="N2397" t="s">
        <v>89</v>
      </c>
      <c r="O2397" t="s">
        <v>121</v>
      </c>
      <c r="P2397" t="s">
        <v>49</v>
      </c>
      <c r="Q2397" t="s">
        <v>15220</v>
      </c>
      <c r="R2397" t="s">
        <v>15221</v>
      </c>
      <c r="S2397">
        <v>7299</v>
      </c>
      <c r="T2397" t="s">
        <v>52</v>
      </c>
      <c r="U2397">
        <v>4</v>
      </c>
      <c r="V2397" t="s">
        <v>3135</v>
      </c>
      <c r="W2397" t="s">
        <v>54</v>
      </c>
      <c r="X2397" t="s">
        <v>52</v>
      </c>
      <c r="Y2397" t="s">
        <v>125</v>
      </c>
      <c r="Z2397">
        <v>1875</v>
      </c>
      <c r="AA2397">
        <v>36</v>
      </c>
      <c r="AB2397">
        <v>166</v>
      </c>
      <c r="AC2397" t="s">
        <v>3136</v>
      </c>
      <c r="AD2397" t="s">
        <v>3137</v>
      </c>
      <c r="AE2397" t="s">
        <v>3138</v>
      </c>
      <c r="AF2397" t="s">
        <v>3139</v>
      </c>
      <c r="AG2397" t="s">
        <v>3140</v>
      </c>
      <c r="AH2397" t="s">
        <v>3141</v>
      </c>
      <c r="AI2397" t="s">
        <v>15217</v>
      </c>
      <c r="AJ2397" s="2">
        <v>45213.804328703707</v>
      </c>
      <c r="AK2397" t="s">
        <v>132</v>
      </c>
      <c r="AL2397" t="s">
        <v>475</v>
      </c>
      <c r="AM2397" s="4">
        <v>0.52777777777777779</v>
      </c>
      <c r="AN2397" t="s">
        <v>66</v>
      </c>
      <c r="AO2397" t="s">
        <v>67</v>
      </c>
    </row>
    <row r="2398" spans="1:41" x14ac:dyDescent="0.2">
      <c r="A2398">
        <v>372125</v>
      </c>
      <c r="B2398" t="s">
        <v>15222</v>
      </c>
      <c r="C2398" t="s">
        <v>69</v>
      </c>
      <c r="D2398" t="s">
        <v>3131</v>
      </c>
      <c r="E2398" t="s">
        <v>15223</v>
      </c>
      <c r="G2398" s="1">
        <v>45754</v>
      </c>
      <c r="H2398" s="1">
        <v>45693</v>
      </c>
      <c r="I2398" s="1">
        <v>46068</v>
      </c>
      <c r="J2398" t="s">
        <v>45</v>
      </c>
      <c r="K2398" t="s">
        <v>45</v>
      </c>
      <c r="L2398" t="s">
        <v>72</v>
      </c>
      <c r="N2398" t="s">
        <v>89</v>
      </c>
      <c r="O2398" t="s">
        <v>121</v>
      </c>
      <c r="P2398" t="s">
        <v>49</v>
      </c>
      <c r="Q2398" t="s">
        <v>15224</v>
      </c>
      <c r="R2398" t="s">
        <v>15225</v>
      </c>
      <c r="S2398">
        <v>7082</v>
      </c>
      <c r="T2398" t="s">
        <v>52</v>
      </c>
      <c r="U2398">
        <v>4</v>
      </c>
      <c r="V2398" t="s">
        <v>3135</v>
      </c>
      <c r="W2398" t="s">
        <v>54</v>
      </c>
      <c r="X2398" t="s">
        <v>52</v>
      </c>
      <c r="Y2398" t="s">
        <v>125</v>
      </c>
      <c r="Z2398">
        <v>11166</v>
      </c>
      <c r="AA2398">
        <v>37</v>
      </c>
      <c r="AB2398">
        <v>78</v>
      </c>
      <c r="AC2398" t="s">
        <v>3136</v>
      </c>
      <c r="AD2398" t="s">
        <v>3137</v>
      </c>
      <c r="AE2398" t="s">
        <v>3138</v>
      </c>
      <c r="AF2398" t="s">
        <v>3139</v>
      </c>
      <c r="AG2398" t="s">
        <v>3140</v>
      </c>
      <c r="AH2398" t="s">
        <v>3141</v>
      </c>
      <c r="AJ2398" s="2">
        <v>45831.870312500003</v>
      </c>
      <c r="AK2398" t="s">
        <v>800</v>
      </c>
      <c r="AL2398" t="s">
        <v>65</v>
      </c>
      <c r="AM2398" s="3">
        <v>2.1180555555555554</v>
      </c>
      <c r="AN2398" t="s">
        <v>66</v>
      </c>
      <c r="AO2398" t="s">
        <v>67</v>
      </c>
    </row>
    <row r="2399" spans="1:41" x14ac:dyDescent="0.2">
      <c r="A2399">
        <v>367928</v>
      </c>
      <c r="B2399" t="s">
        <v>15226</v>
      </c>
      <c r="C2399" t="s">
        <v>1687</v>
      </c>
      <c r="D2399" t="s">
        <v>6528</v>
      </c>
      <c r="E2399" t="s">
        <v>15227</v>
      </c>
      <c r="F2399">
        <v>165102</v>
      </c>
      <c r="G2399" s="1">
        <v>37790</v>
      </c>
      <c r="H2399" s="1">
        <v>45685</v>
      </c>
      <c r="J2399" t="s">
        <v>45</v>
      </c>
      <c r="K2399" t="s">
        <v>326</v>
      </c>
      <c r="L2399" t="s">
        <v>72</v>
      </c>
      <c r="M2399" s="1">
        <v>43348</v>
      </c>
      <c r="N2399" t="s">
        <v>47</v>
      </c>
      <c r="O2399" t="s">
        <v>48</v>
      </c>
      <c r="P2399" t="s">
        <v>49</v>
      </c>
      <c r="Q2399" t="s">
        <v>15228</v>
      </c>
      <c r="R2399" t="s">
        <v>15229</v>
      </c>
      <c r="S2399">
        <v>6</v>
      </c>
      <c r="T2399" t="s">
        <v>156</v>
      </c>
      <c r="U2399" t="s">
        <v>157</v>
      </c>
      <c r="V2399" t="s">
        <v>10627</v>
      </c>
      <c r="W2399" t="s">
        <v>159</v>
      </c>
      <c r="X2399" t="s">
        <v>156</v>
      </c>
      <c r="Y2399" t="s">
        <v>450</v>
      </c>
      <c r="Z2399">
        <v>2379</v>
      </c>
      <c r="AA2399">
        <v>40</v>
      </c>
      <c r="AB2399">
        <v>142</v>
      </c>
      <c r="AC2399" t="s">
        <v>10628</v>
      </c>
      <c r="AD2399" t="s">
        <v>10629</v>
      </c>
      <c r="AE2399" t="s">
        <v>10630</v>
      </c>
      <c r="AF2399" t="s">
        <v>10631</v>
      </c>
      <c r="AG2399" t="s">
        <v>10632</v>
      </c>
      <c r="AH2399" t="s">
        <v>10633</v>
      </c>
      <c r="AJ2399" s="2">
        <v>45693.821504629632</v>
      </c>
      <c r="AK2399" t="s">
        <v>526</v>
      </c>
      <c r="AL2399" t="s">
        <v>65</v>
      </c>
      <c r="AM2399" s="3">
        <v>2.0763888888888888</v>
      </c>
      <c r="AN2399" t="s">
        <v>66</v>
      </c>
      <c r="AO2399" t="s">
        <v>67</v>
      </c>
    </row>
    <row r="2400" spans="1:41" x14ac:dyDescent="0.2">
      <c r="A2400">
        <v>372977</v>
      </c>
      <c r="B2400" t="s">
        <v>15230</v>
      </c>
      <c r="C2400" t="s">
        <v>662</v>
      </c>
      <c r="D2400" t="s">
        <v>15231</v>
      </c>
      <c r="E2400" t="s">
        <v>15232</v>
      </c>
      <c r="F2400">
        <v>412901</v>
      </c>
      <c r="G2400" s="1">
        <v>43082</v>
      </c>
      <c r="H2400" s="1">
        <v>45685</v>
      </c>
      <c r="I2400" s="1">
        <v>46054</v>
      </c>
      <c r="J2400" t="s">
        <v>45</v>
      </c>
      <c r="K2400" t="s">
        <v>45</v>
      </c>
      <c r="L2400" t="s">
        <v>46</v>
      </c>
      <c r="M2400" s="1">
        <v>44635</v>
      </c>
      <c r="N2400" t="s">
        <v>47</v>
      </c>
      <c r="O2400" t="s">
        <v>48</v>
      </c>
      <c r="P2400" t="s">
        <v>49</v>
      </c>
      <c r="Q2400" t="s">
        <v>15233</v>
      </c>
      <c r="R2400" t="s">
        <v>15234</v>
      </c>
      <c r="S2400">
        <v>229</v>
      </c>
      <c r="T2400" t="s">
        <v>52</v>
      </c>
      <c r="U2400">
        <v>8</v>
      </c>
      <c r="V2400" t="s">
        <v>3914</v>
      </c>
      <c r="W2400" t="s">
        <v>54</v>
      </c>
      <c r="X2400" t="s">
        <v>76</v>
      </c>
      <c r="Y2400" t="s">
        <v>56</v>
      </c>
      <c r="Z2400">
        <v>1068</v>
      </c>
      <c r="AA2400">
        <v>41</v>
      </c>
      <c r="AB2400">
        <v>158</v>
      </c>
      <c r="AC2400" t="s">
        <v>15235</v>
      </c>
      <c r="AD2400" t="s">
        <v>15236</v>
      </c>
      <c r="AE2400" t="s">
        <v>15237</v>
      </c>
      <c r="AJ2400" s="2">
        <v>45855.973090277781</v>
      </c>
      <c r="AK2400" t="s">
        <v>556</v>
      </c>
      <c r="AL2400" t="s">
        <v>65</v>
      </c>
      <c r="AM2400" s="4">
        <v>2.7777777777777776E-2</v>
      </c>
      <c r="AN2400" t="s">
        <v>66</v>
      </c>
      <c r="AO2400" t="s">
        <v>67</v>
      </c>
    </row>
    <row r="2401" spans="1:41" x14ac:dyDescent="0.2">
      <c r="A2401">
        <v>372978</v>
      </c>
      <c r="B2401" t="s">
        <v>15238</v>
      </c>
      <c r="C2401" t="s">
        <v>662</v>
      </c>
      <c r="D2401" t="s">
        <v>15239</v>
      </c>
      <c r="E2401" t="s">
        <v>15240</v>
      </c>
      <c r="F2401">
        <v>413701</v>
      </c>
      <c r="G2401" s="1">
        <v>37928</v>
      </c>
      <c r="H2401" s="1">
        <v>45685</v>
      </c>
      <c r="I2401" s="1">
        <v>46054</v>
      </c>
      <c r="J2401" t="s">
        <v>45</v>
      </c>
      <c r="K2401" t="s">
        <v>45</v>
      </c>
      <c r="L2401" t="s">
        <v>46</v>
      </c>
      <c r="M2401" s="1">
        <v>44635</v>
      </c>
      <c r="N2401" t="s">
        <v>47</v>
      </c>
      <c r="O2401" t="s">
        <v>48</v>
      </c>
      <c r="P2401" t="s">
        <v>49</v>
      </c>
      <c r="Q2401" t="s">
        <v>15241</v>
      </c>
      <c r="R2401" t="s">
        <v>15242</v>
      </c>
      <c r="S2401">
        <v>145</v>
      </c>
      <c r="T2401" t="s">
        <v>52</v>
      </c>
      <c r="U2401">
        <v>8</v>
      </c>
      <c r="V2401" t="s">
        <v>3914</v>
      </c>
      <c r="W2401" t="s">
        <v>54</v>
      </c>
      <c r="X2401" t="s">
        <v>76</v>
      </c>
      <c r="Y2401" t="s">
        <v>56</v>
      </c>
      <c r="Z2401">
        <v>1071</v>
      </c>
      <c r="AA2401">
        <v>41</v>
      </c>
      <c r="AB2401">
        <v>160</v>
      </c>
      <c r="AC2401" t="s">
        <v>15235</v>
      </c>
      <c r="AD2401" t="s">
        <v>15236</v>
      </c>
      <c r="AE2401" t="s">
        <v>15237</v>
      </c>
      <c r="AJ2401" s="2">
        <v>45855.973634259259</v>
      </c>
      <c r="AK2401" t="s">
        <v>556</v>
      </c>
      <c r="AL2401" t="s">
        <v>65</v>
      </c>
      <c r="AM2401" s="4">
        <v>0.3125</v>
      </c>
      <c r="AN2401" t="s">
        <v>66</v>
      </c>
      <c r="AO2401" t="s">
        <v>67</v>
      </c>
    </row>
    <row r="2402" spans="1:41" x14ac:dyDescent="0.2">
      <c r="A2402">
        <v>371419</v>
      </c>
      <c r="B2402" t="s">
        <v>15243</v>
      </c>
      <c r="C2402" t="s">
        <v>182</v>
      </c>
      <c r="D2402" t="s">
        <v>488</v>
      </c>
      <c r="E2402" t="s">
        <v>15244</v>
      </c>
      <c r="F2402">
        <v>41102</v>
      </c>
      <c r="G2402" s="1">
        <v>37098</v>
      </c>
      <c r="H2402" s="1">
        <v>45807</v>
      </c>
      <c r="I2402" s="1">
        <v>46174</v>
      </c>
      <c r="J2402" t="s">
        <v>45</v>
      </c>
      <c r="K2402" t="s">
        <v>45</v>
      </c>
      <c r="L2402" t="s">
        <v>72</v>
      </c>
      <c r="N2402" t="s">
        <v>47</v>
      </c>
      <c r="O2402" t="s">
        <v>48</v>
      </c>
      <c r="P2402" t="s">
        <v>49</v>
      </c>
      <c r="Q2402" t="s">
        <v>15245</v>
      </c>
      <c r="R2402" t="s">
        <v>15246</v>
      </c>
      <c r="S2402">
        <v>120</v>
      </c>
      <c r="T2402" t="s">
        <v>156</v>
      </c>
      <c r="U2402" t="s">
        <v>1079</v>
      </c>
      <c r="V2402" t="s">
        <v>15247</v>
      </c>
      <c r="W2402" t="s">
        <v>159</v>
      </c>
      <c r="X2402" t="s">
        <v>156</v>
      </c>
      <c r="Y2402" t="s">
        <v>110</v>
      </c>
      <c r="Z2402">
        <v>1887</v>
      </c>
      <c r="AA2402">
        <v>34</v>
      </c>
      <c r="AB2402">
        <v>160</v>
      </c>
      <c r="AC2402" t="s">
        <v>15248</v>
      </c>
      <c r="AD2402" t="s">
        <v>15249</v>
      </c>
      <c r="AE2402" t="s">
        <v>15250</v>
      </c>
      <c r="AF2402" t="s">
        <v>15251</v>
      </c>
      <c r="AG2402" t="s">
        <v>15252</v>
      </c>
      <c r="AH2402" t="s">
        <v>15253</v>
      </c>
      <c r="AI2402" t="s">
        <v>1084</v>
      </c>
      <c r="AJ2402" s="2">
        <v>45810.625752314816</v>
      </c>
      <c r="AK2402" t="s">
        <v>15254</v>
      </c>
      <c r="AL2402" t="s">
        <v>65</v>
      </c>
      <c r="AM2402" s="3">
        <v>1.2361111111111112</v>
      </c>
      <c r="AN2402" t="s">
        <v>66</v>
      </c>
      <c r="AO2402" t="s">
        <v>67</v>
      </c>
    </row>
    <row r="2403" spans="1:41" x14ac:dyDescent="0.2">
      <c r="A2403">
        <v>365141</v>
      </c>
      <c r="B2403" t="s">
        <v>15255</v>
      </c>
      <c r="C2403" t="s">
        <v>182</v>
      </c>
      <c r="E2403">
        <v>83792092</v>
      </c>
      <c r="G2403" s="1">
        <v>38518</v>
      </c>
      <c r="H2403" s="1">
        <v>45464</v>
      </c>
      <c r="I2403" s="1">
        <v>46143</v>
      </c>
      <c r="J2403" t="s">
        <v>45</v>
      </c>
      <c r="K2403" t="s">
        <v>45</v>
      </c>
      <c r="L2403" t="s">
        <v>72</v>
      </c>
      <c r="N2403" t="s">
        <v>89</v>
      </c>
      <c r="O2403" t="s">
        <v>121</v>
      </c>
      <c r="P2403" t="s">
        <v>49</v>
      </c>
      <c r="Q2403" t="s">
        <v>15256</v>
      </c>
      <c r="R2403" t="s">
        <v>15257</v>
      </c>
      <c r="S2403">
        <v>95</v>
      </c>
      <c r="T2403" t="s">
        <v>156</v>
      </c>
      <c r="U2403" t="s">
        <v>1079</v>
      </c>
      <c r="V2403" t="s">
        <v>15247</v>
      </c>
      <c r="W2403" t="s">
        <v>159</v>
      </c>
      <c r="X2403" t="s">
        <v>156</v>
      </c>
      <c r="Y2403" t="s">
        <v>110</v>
      </c>
      <c r="Z2403">
        <v>2648</v>
      </c>
      <c r="AA2403">
        <v>26</v>
      </c>
      <c r="AB2403">
        <v>160</v>
      </c>
      <c r="AC2403" t="s">
        <v>15258</v>
      </c>
      <c r="AD2403" t="s">
        <v>15259</v>
      </c>
      <c r="AE2403" t="s">
        <v>15253</v>
      </c>
      <c r="AF2403" t="s">
        <v>15251</v>
      </c>
      <c r="AG2403" t="s">
        <v>15252</v>
      </c>
      <c r="AH2403" t="s">
        <v>15253</v>
      </c>
      <c r="AI2403" t="s">
        <v>1084</v>
      </c>
      <c r="AJ2403" s="2">
        <v>45569.876747685186</v>
      </c>
      <c r="AK2403" t="s">
        <v>800</v>
      </c>
      <c r="AL2403" t="s">
        <v>65</v>
      </c>
      <c r="AM2403" s="3">
        <v>2.2013888888888888</v>
      </c>
      <c r="AN2403" t="s">
        <v>66</v>
      </c>
      <c r="AO2403" t="s">
        <v>67</v>
      </c>
    </row>
    <row r="2404" spans="1:41" x14ac:dyDescent="0.2">
      <c r="A2404">
        <v>366076</v>
      </c>
      <c r="B2404" t="s">
        <v>15260</v>
      </c>
      <c r="C2404" t="s">
        <v>134</v>
      </c>
      <c r="D2404" t="s">
        <v>3018</v>
      </c>
      <c r="E2404" t="s">
        <v>15261</v>
      </c>
      <c r="F2404">
        <v>452701</v>
      </c>
      <c r="G2404" s="1">
        <v>37455</v>
      </c>
      <c r="H2404" s="1">
        <v>45588</v>
      </c>
      <c r="I2404" s="1">
        <v>45976</v>
      </c>
      <c r="J2404" t="s">
        <v>45</v>
      </c>
      <c r="K2404" t="s">
        <v>326</v>
      </c>
      <c r="L2404" t="s">
        <v>72</v>
      </c>
      <c r="M2404" s="1">
        <v>44003</v>
      </c>
      <c r="N2404" t="s">
        <v>47</v>
      </c>
      <c r="O2404" t="s">
        <v>48</v>
      </c>
      <c r="P2404" t="s">
        <v>49</v>
      </c>
      <c r="Q2404" t="s">
        <v>15262</v>
      </c>
      <c r="R2404" t="s">
        <v>15263</v>
      </c>
      <c r="S2404">
        <v>634</v>
      </c>
      <c r="T2404" t="s">
        <v>156</v>
      </c>
      <c r="U2404" t="s">
        <v>4608</v>
      </c>
      <c r="V2404" t="s">
        <v>15264</v>
      </c>
      <c r="W2404" t="s">
        <v>159</v>
      </c>
      <c r="X2404" t="s">
        <v>156</v>
      </c>
      <c r="Y2404" t="s">
        <v>110</v>
      </c>
      <c r="Z2404">
        <v>2239</v>
      </c>
      <c r="AA2404">
        <v>37</v>
      </c>
      <c r="AB2404">
        <v>158</v>
      </c>
      <c r="AC2404" t="s">
        <v>13554</v>
      </c>
      <c r="AD2404" t="s">
        <v>13555</v>
      </c>
      <c r="AE2404" t="s">
        <v>13556</v>
      </c>
      <c r="AF2404" t="s">
        <v>4613</v>
      </c>
      <c r="AG2404" t="s">
        <v>4614</v>
      </c>
      <c r="AH2404" t="s">
        <v>4615</v>
      </c>
      <c r="AI2404" t="s">
        <v>13557</v>
      </c>
      <c r="AJ2404" s="2">
        <v>45603.001481481479</v>
      </c>
      <c r="AK2404" t="s">
        <v>13554</v>
      </c>
      <c r="AL2404" t="s">
        <v>65</v>
      </c>
      <c r="AM2404" s="3">
        <v>1.25</v>
      </c>
      <c r="AN2404" t="s">
        <v>66</v>
      </c>
      <c r="AO2404" t="s">
        <v>67</v>
      </c>
    </row>
    <row r="2405" spans="1:41" x14ac:dyDescent="0.2">
      <c r="A2405">
        <v>373054</v>
      </c>
      <c r="B2405" t="s">
        <v>15265</v>
      </c>
      <c r="C2405" t="s">
        <v>69</v>
      </c>
      <c r="D2405" t="s">
        <v>3144</v>
      </c>
      <c r="E2405" t="s">
        <v>15266</v>
      </c>
      <c r="F2405">
        <v>100107</v>
      </c>
      <c r="G2405" s="1">
        <v>31454</v>
      </c>
      <c r="H2405" s="1">
        <v>45854</v>
      </c>
      <c r="I2405" s="1">
        <v>46204</v>
      </c>
      <c r="J2405" t="s">
        <v>45</v>
      </c>
      <c r="K2405" t="s">
        <v>45</v>
      </c>
      <c r="L2405" t="s">
        <v>72</v>
      </c>
      <c r="M2405" s="1">
        <v>42674</v>
      </c>
      <c r="N2405" t="s">
        <v>47</v>
      </c>
      <c r="O2405" t="s">
        <v>48</v>
      </c>
      <c r="P2405" t="s">
        <v>49</v>
      </c>
      <c r="Q2405" t="s">
        <v>15267</v>
      </c>
      <c r="R2405" t="s">
        <v>15268</v>
      </c>
      <c r="S2405">
        <v>5120</v>
      </c>
      <c r="T2405" t="s">
        <v>52</v>
      </c>
      <c r="U2405">
        <v>1</v>
      </c>
      <c r="V2405" t="s">
        <v>3148</v>
      </c>
      <c r="W2405" t="s">
        <v>54</v>
      </c>
      <c r="X2405" t="s">
        <v>76</v>
      </c>
      <c r="Y2405" t="s">
        <v>56</v>
      </c>
      <c r="Z2405">
        <v>563</v>
      </c>
      <c r="AA2405">
        <v>60</v>
      </c>
      <c r="AB2405">
        <v>146</v>
      </c>
      <c r="AC2405" t="s">
        <v>3149</v>
      </c>
      <c r="AD2405" t="s">
        <v>3150</v>
      </c>
      <c r="AE2405" t="s">
        <v>3151</v>
      </c>
      <c r="AI2405" t="s">
        <v>179</v>
      </c>
      <c r="AJ2405" s="2">
        <v>45856.158680555556</v>
      </c>
      <c r="AK2405" t="s">
        <v>568</v>
      </c>
      <c r="AL2405" t="s">
        <v>65</v>
      </c>
      <c r="AM2405" s="4">
        <v>0.3263888888888889</v>
      </c>
      <c r="AN2405" t="s">
        <v>66</v>
      </c>
      <c r="AO2405" t="s">
        <v>67</v>
      </c>
    </row>
    <row r="2406" spans="1:41" x14ac:dyDescent="0.2">
      <c r="A2406">
        <v>368959</v>
      </c>
      <c r="B2406" t="s">
        <v>15269</v>
      </c>
      <c r="C2406" t="s">
        <v>182</v>
      </c>
      <c r="D2406" t="s">
        <v>6516</v>
      </c>
      <c r="E2406" t="s">
        <v>15270</v>
      </c>
      <c r="F2406">
        <v>41304</v>
      </c>
      <c r="G2406" s="1">
        <v>37050</v>
      </c>
      <c r="H2406" s="1">
        <v>45467</v>
      </c>
      <c r="I2406" s="1">
        <v>46218</v>
      </c>
      <c r="J2406" t="s">
        <v>45</v>
      </c>
      <c r="K2406" t="s">
        <v>45</v>
      </c>
      <c r="L2406" t="s">
        <v>46</v>
      </c>
      <c r="M2406" s="1">
        <v>43024</v>
      </c>
      <c r="N2406" t="s">
        <v>47</v>
      </c>
      <c r="O2406" t="s">
        <v>48</v>
      </c>
      <c r="P2406" t="s">
        <v>49</v>
      </c>
      <c r="Q2406" t="s">
        <v>15271</v>
      </c>
      <c r="R2406" t="s">
        <v>15272</v>
      </c>
      <c r="S2406">
        <v>6670</v>
      </c>
      <c r="T2406" t="s">
        <v>52</v>
      </c>
      <c r="U2406">
        <v>5</v>
      </c>
      <c r="V2406" t="s">
        <v>4389</v>
      </c>
      <c r="W2406" t="s">
        <v>54</v>
      </c>
      <c r="X2406" t="s">
        <v>493</v>
      </c>
      <c r="Y2406" t="s">
        <v>434</v>
      </c>
      <c r="Z2406">
        <v>1826</v>
      </c>
      <c r="AA2406">
        <v>45</v>
      </c>
      <c r="AB2406">
        <v>28</v>
      </c>
      <c r="AC2406" t="s">
        <v>15273</v>
      </c>
      <c r="AD2406" t="s">
        <v>15274</v>
      </c>
      <c r="AE2406" t="s">
        <v>15275</v>
      </c>
      <c r="AF2406" t="s">
        <v>15276</v>
      </c>
      <c r="AG2406" t="s">
        <v>15277</v>
      </c>
      <c r="AH2406" t="s">
        <v>15278</v>
      </c>
      <c r="AI2406" t="s">
        <v>500</v>
      </c>
      <c r="AJ2406" s="2">
        <v>45722.925057870372</v>
      </c>
      <c r="AK2406" t="s">
        <v>501</v>
      </c>
      <c r="AL2406" t="s">
        <v>65</v>
      </c>
      <c r="AM2406" s="4">
        <v>0.75</v>
      </c>
      <c r="AN2406" t="s">
        <v>66</v>
      </c>
      <c r="AO2406" t="s">
        <v>67</v>
      </c>
    </row>
    <row r="2407" spans="1:41" x14ac:dyDescent="0.2">
      <c r="A2407">
        <v>368120</v>
      </c>
      <c r="B2407" t="s">
        <v>15279</v>
      </c>
      <c r="C2407" t="s">
        <v>182</v>
      </c>
      <c r="D2407" t="s">
        <v>183</v>
      </c>
      <c r="E2407" t="s">
        <v>15280</v>
      </c>
      <c r="F2407">
        <v>45444</v>
      </c>
      <c r="G2407" s="1">
        <v>36005</v>
      </c>
      <c r="H2407" s="1">
        <v>45687</v>
      </c>
      <c r="I2407" s="1">
        <v>46037</v>
      </c>
      <c r="J2407" t="s">
        <v>45</v>
      </c>
      <c r="K2407" t="s">
        <v>45</v>
      </c>
      <c r="L2407" t="s">
        <v>72</v>
      </c>
      <c r="M2407" s="1">
        <v>42626</v>
      </c>
      <c r="N2407" t="s">
        <v>47</v>
      </c>
      <c r="O2407" t="s">
        <v>48</v>
      </c>
      <c r="P2407" t="s">
        <v>49</v>
      </c>
      <c r="Q2407" t="s">
        <v>15281</v>
      </c>
      <c r="R2407" t="s">
        <v>15282</v>
      </c>
      <c r="S2407">
        <v>2590</v>
      </c>
      <c r="T2407" t="s">
        <v>92</v>
      </c>
      <c r="U2407" t="s">
        <v>187</v>
      </c>
      <c r="V2407" t="s">
        <v>188</v>
      </c>
      <c r="W2407" t="s">
        <v>189</v>
      </c>
      <c r="X2407" t="s">
        <v>92</v>
      </c>
      <c r="Y2407" t="s">
        <v>110</v>
      </c>
      <c r="Z2407">
        <v>1457</v>
      </c>
      <c r="AA2407">
        <v>57</v>
      </c>
      <c r="AB2407">
        <v>38</v>
      </c>
      <c r="AC2407" t="s">
        <v>190</v>
      </c>
      <c r="AD2407" t="s">
        <v>191</v>
      </c>
      <c r="AE2407" t="s">
        <v>192</v>
      </c>
      <c r="AF2407" t="s">
        <v>4170</v>
      </c>
      <c r="AG2407" t="s">
        <v>4171</v>
      </c>
      <c r="AH2407" t="s">
        <v>4172</v>
      </c>
      <c r="AJ2407" s="2">
        <v>45700.987511574072</v>
      </c>
      <c r="AK2407" t="s">
        <v>190</v>
      </c>
      <c r="AL2407" t="s">
        <v>65</v>
      </c>
      <c r="AM2407" s="3">
        <v>2.3611111111111112</v>
      </c>
      <c r="AN2407" t="s">
        <v>66</v>
      </c>
      <c r="AO2407" t="s">
        <v>67</v>
      </c>
    </row>
    <row r="2408" spans="1:41" x14ac:dyDescent="0.2">
      <c r="A2408">
        <v>370511</v>
      </c>
      <c r="B2408" t="s">
        <v>15283</v>
      </c>
      <c r="C2408" t="s">
        <v>118</v>
      </c>
      <c r="E2408" t="s">
        <v>15284</v>
      </c>
      <c r="G2408" s="1">
        <v>44992</v>
      </c>
      <c r="H2408" s="1">
        <v>45770</v>
      </c>
      <c r="I2408" s="1">
        <v>46096</v>
      </c>
      <c r="J2408" t="s">
        <v>45</v>
      </c>
      <c r="K2408" t="s">
        <v>45</v>
      </c>
      <c r="L2408" t="s">
        <v>72</v>
      </c>
      <c r="N2408" t="s">
        <v>89</v>
      </c>
      <c r="O2408" t="s">
        <v>121</v>
      </c>
      <c r="P2408" t="s">
        <v>49</v>
      </c>
      <c r="Q2408" t="s">
        <v>15285</v>
      </c>
      <c r="R2408" t="s">
        <v>15286</v>
      </c>
      <c r="S2408">
        <v>5582</v>
      </c>
      <c r="T2408" t="s">
        <v>365</v>
      </c>
      <c r="U2408" t="s">
        <v>815</v>
      </c>
      <c r="V2408" t="s">
        <v>15287</v>
      </c>
      <c r="W2408" t="s">
        <v>367</v>
      </c>
      <c r="X2408" t="s">
        <v>76</v>
      </c>
      <c r="Y2408" t="s">
        <v>125</v>
      </c>
      <c r="Z2408">
        <v>2879</v>
      </c>
      <c r="AA2408">
        <v>77</v>
      </c>
      <c r="AB2408">
        <v>166</v>
      </c>
      <c r="AC2408" t="s">
        <v>15288</v>
      </c>
      <c r="AD2408" t="s">
        <v>2651</v>
      </c>
      <c r="AE2408" t="s">
        <v>2652</v>
      </c>
      <c r="AF2408" t="s">
        <v>15289</v>
      </c>
      <c r="AG2408" t="s">
        <v>2654</v>
      </c>
      <c r="AH2408" t="s">
        <v>15290</v>
      </c>
      <c r="AJ2408" s="2">
        <v>45777.459074074075</v>
      </c>
      <c r="AK2408" t="s">
        <v>800</v>
      </c>
      <c r="AL2408" t="s">
        <v>65</v>
      </c>
      <c r="AM2408" s="3">
        <v>2.0277777777777777</v>
      </c>
      <c r="AN2408" t="s">
        <v>66</v>
      </c>
      <c r="AO2408" t="s">
        <v>67</v>
      </c>
    </row>
    <row r="2409" spans="1:41" x14ac:dyDescent="0.2">
      <c r="A2409">
        <v>368867</v>
      </c>
      <c r="B2409" t="s">
        <v>15291</v>
      </c>
      <c r="C2409" t="s">
        <v>182</v>
      </c>
      <c r="D2409" t="s">
        <v>779</v>
      </c>
      <c r="E2409" t="s">
        <v>15292</v>
      </c>
      <c r="F2409">
        <v>45633</v>
      </c>
      <c r="G2409" s="1">
        <v>40437</v>
      </c>
      <c r="H2409" s="1">
        <v>45713</v>
      </c>
      <c r="I2409" s="1">
        <v>46068</v>
      </c>
      <c r="J2409" t="s">
        <v>45</v>
      </c>
      <c r="K2409" t="s">
        <v>45</v>
      </c>
      <c r="L2409" t="s">
        <v>429</v>
      </c>
      <c r="M2409" s="1">
        <v>32906</v>
      </c>
      <c r="N2409" t="s">
        <v>47</v>
      </c>
      <c r="O2409" t="s">
        <v>48</v>
      </c>
      <c r="P2409" t="s">
        <v>49</v>
      </c>
      <c r="Q2409" t="s">
        <v>15293</v>
      </c>
      <c r="R2409" t="s">
        <v>15294</v>
      </c>
      <c r="S2409">
        <v>2560</v>
      </c>
      <c r="T2409" t="s">
        <v>365</v>
      </c>
      <c r="U2409" t="s">
        <v>815</v>
      </c>
      <c r="V2409" t="s">
        <v>816</v>
      </c>
      <c r="W2409" t="s">
        <v>367</v>
      </c>
      <c r="X2409" t="s">
        <v>493</v>
      </c>
      <c r="Y2409" t="s">
        <v>434</v>
      </c>
      <c r="Z2409">
        <v>140</v>
      </c>
      <c r="AA2409">
        <v>67</v>
      </c>
      <c r="AB2409">
        <v>66</v>
      </c>
      <c r="AC2409" t="s">
        <v>4600</v>
      </c>
      <c r="AD2409" t="s">
        <v>818</v>
      </c>
      <c r="AE2409" t="s">
        <v>819</v>
      </c>
      <c r="AF2409" t="s">
        <v>15295</v>
      </c>
      <c r="AH2409" t="s">
        <v>15296</v>
      </c>
      <c r="AI2409" t="s">
        <v>179</v>
      </c>
      <c r="AJ2409" s="2">
        <v>45722.882696759261</v>
      </c>
      <c r="AK2409" t="s">
        <v>1472</v>
      </c>
      <c r="AL2409" t="s">
        <v>65</v>
      </c>
      <c r="AM2409" s="4">
        <v>0.59027777777777779</v>
      </c>
      <c r="AN2409" t="s">
        <v>66</v>
      </c>
      <c r="AO2409" t="s">
        <v>67</v>
      </c>
    </row>
    <row r="2410" spans="1:41" x14ac:dyDescent="0.2">
      <c r="A2410">
        <v>371284</v>
      </c>
      <c r="B2410" t="s">
        <v>15297</v>
      </c>
      <c r="C2410" t="s">
        <v>167</v>
      </c>
      <c r="D2410" t="s">
        <v>570</v>
      </c>
      <c r="E2410" t="s">
        <v>15298</v>
      </c>
      <c r="F2410">
        <v>353517</v>
      </c>
      <c r="G2410" s="1">
        <v>31688</v>
      </c>
      <c r="H2410" s="1">
        <v>45796</v>
      </c>
      <c r="I2410" s="1">
        <v>46157</v>
      </c>
      <c r="J2410" t="s">
        <v>45</v>
      </c>
      <c r="K2410" t="s">
        <v>45</v>
      </c>
      <c r="L2410" t="s">
        <v>429</v>
      </c>
      <c r="M2410" s="1">
        <v>41779</v>
      </c>
      <c r="N2410" t="s">
        <v>47</v>
      </c>
      <c r="O2410" t="s">
        <v>48</v>
      </c>
      <c r="P2410" t="s">
        <v>49</v>
      </c>
      <c r="Q2410" t="s">
        <v>15299</v>
      </c>
      <c r="R2410" t="s">
        <v>15300</v>
      </c>
      <c r="S2410">
        <v>4400</v>
      </c>
      <c r="T2410" t="s">
        <v>365</v>
      </c>
      <c r="U2410" t="s">
        <v>532</v>
      </c>
      <c r="V2410" t="s">
        <v>1611</v>
      </c>
      <c r="W2410" t="s">
        <v>367</v>
      </c>
      <c r="X2410" t="s">
        <v>76</v>
      </c>
      <c r="Y2410" t="s">
        <v>434</v>
      </c>
      <c r="Z2410">
        <v>295</v>
      </c>
      <c r="AA2410">
        <v>55</v>
      </c>
      <c r="AB2410">
        <v>166</v>
      </c>
      <c r="AC2410" t="s">
        <v>575</v>
      </c>
      <c r="AD2410" t="s">
        <v>576</v>
      </c>
      <c r="AE2410" t="s">
        <v>577</v>
      </c>
      <c r="AF2410" t="s">
        <v>1612</v>
      </c>
      <c r="AG2410" t="s">
        <v>1613</v>
      </c>
      <c r="AI2410" t="s">
        <v>179</v>
      </c>
      <c r="AJ2410" s="2">
        <v>45804.671643518515</v>
      </c>
      <c r="AK2410" t="s">
        <v>568</v>
      </c>
      <c r="AL2410" t="s">
        <v>65</v>
      </c>
      <c r="AM2410" s="3">
        <v>1.8125</v>
      </c>
      <c r="AN2410" t="s">
        <v>66</v>
      </c>
      <c r="AO2410" t="s">
        <v>67</v>
      </c>
    </row>
    <row r="2411" spans="1:41" x14ac:dyDescent="0.2">
      <c r="A2411">
        <v>366777</v>
      </c>
      <c r="B2411" t="s">
        <v>15301</v>
      </c>
      <c r="C2411" t="s">
        <v>236</v>
      </c>
      <c r="D2411" t="s">
        <v>7034</v>
      </c>
      <c r="E2411" t="s">
        <v>15302</v>
      </c>
      <c r="F2411">
        <v>210511</v>
      </c>
      <c r="G2411" s="1">
        <v>35535</v>
      </c>
      <c r="H2411" s="1">
        <v>45576</v>
      </c>
      <c r="J2411" t="s">
        <v>45</v>
      </c>
      <c r="K2411" t="s">
        <v>45</v>
      </c>
      <c r="L2411" t="s">
        <v>72</v>
      </c>
      <c r="M2411" s="1">
        <v>41583</v>
      </c>
      <c r="N2411" t="s">
        <v>47</v>
      </c>
      <c r="O2411" t="s">
        <v>48</v>
      </c>
      <c r="P2411" t="s">
        <v>49</v>
      </c>
      <c r="Q2411" t="s">
        <v>15303</v>
      </c>
      <c r="R2411" t="s">
        <v>15304</v>
      </c>
      <c r="S2411">
        <v>1330</v>
      </c>
      <c r="T2411" t="s">
        <v>92</v>
      </c>
      <c r="U2411" t="s">
        <v>1509</v>
      </c>
      <c r="V2411" t="s">
        <v>506</v>
      </c>
      <c r="W2411" t="s">
        <v>1510</v>
      </c>
      <c r="X2411" t="s">
        <v>52</v>
      </c>
      <c r="Y2411" t="s">
        <v>410</v>
      </c>
      <c r="Z2411">
        <v>1387</v>
      </c>
      <c r="AA2411">
        <v>41</v>
      </c>
      <c r="AB2411">
        <v>174</v>
      </c>
      <c r="AC2411" t="s">
        <v>1511</v>
      </c>
      <c r="AD2411" t="s">
        <v>1512</v>
      </c>
      <c r="AE2411" t="s">
        <v>1513</v>
      </c>
      <c r="AF2411" t="s">
        <v>15305</v>
      </c>
      <c r="AG2411" t="s">
        <v>15306</v>
      </c>
      <c r="AH2411" t="s">
        <v>15307</v>
      </c>
      <c r="AI2411" t="s">
        <v>15308</v>
      </c>
      <c r="AJ2411" s="2">
        <v>45791.806805555556</v>
      </c>
      <c r="AK2411" t="s">
        <v>100</v>
      </c>
      <c r="AL2411" t="s">
        <v>65</v>
      </c>
      <c r="AM2411" s="4">
        <v>0.36805555555555558</v>
      </c>
      <c r="AN2411" t="s">
        <v>66</v>
      </c>
      <c r="AO2411" t="s">
        <v>67</v>
      </c>
    </row>
    <row r="2412" spans="1:41" x14ac:dyDescent="0.2">
      <c r="A2412">
        <v>370819</v>
      </c>
      <c r="B2412" t="s">
        <v>15309</v>
      </c>
      <c r="C2412" t="s">
        <v>118</v>
      </c>
      <c r="D2412" t="s">
        <v>7071</v>
      </c>
      <c r="E2412" t="s">
        <v>15310</v>
      </c>
      <c r="F2412">
        <v>21202</v>
      </c>
      <c r="G2412" s="1">
        <v>35362</v>
      </c>
      <c r="H2412" s="1">
        <v>45663</v>
      </c>
      <c r="I2412" s="1">
        <v>46023</v>
      </c>
      <c r="J2412" t="s">
        <v>45</v>
      </c>
      <c r="K2412" t="s">
        <v>45</v>
      </c>
      <c r="L2412" t="s">
        <v>429</v>
      </c>
      <c r="M2412" s="1">
        <v>42409</v>
      </c>
      <c r="N2412" t="s">
        <v>47</v>
      </c>
      <c r="O2412" t="s">
        <v>48</v>
      </c>
      <c r="P2412" t="s">
        <v>49</v>
      </c>
      <c r="Q2412" t="s">
        <v>15311</v>
      </c>
      <c r="R2412" t="s">
        <v>15312</v>
      </c>
      <c r="S2412">
        <v>2758</v>
      </c>
      <c r="T2412" t="s">
        <v>52</v>
      </c>
      <c r="U2412">
        <v>3</v>
      </c>
      <c r="V2412" t="s">
        <v>4297</v>
      </c>
      <c r="W2412" t="s">
        <v>54</v>
      </c>
      <c r="X2412" t="s">
        <v>55</v>
      </c>
      <c r="Y2412" t="s">
        <v>56</v>
      </c>
      <c r="Z2412">
        <v>1122</v>
      </c>
      <c r="AA2412">
        <v>52</v>
      </c>
      <c r="AB2412">
        <v>176</v>
      </c>
      <c r="AC2412" t="s">
        <v>4438</v>
      </c>
      <c r="AD2412" t="s">
        <v>4299</v>
      </c>
      <c r="AE2412" t="s">
        <v>4300</v>
      </c>
      <c r="AF2412" t="s">
        <v>4301</v>
      </c>
      <c r="AG2412" t="s">
        <v>4302</v>
      </c>
      <c r="AH2412" t="s">
        <v>4303</v>
      </c>
      <c r="AI2412" t="s">
        <v>1809</v>
      </c>
      <c r="AJ2412" s="2">
        <v>45784.960555555554</v>
      </c>
      <c r="AK2412" t="s">
        <v>2068</v>
      </c>
      <c r="AL2412" t="s">
        <v>65</v>
      </c>
      <c r="AM2412" s="4">
        <v>0.33333333333333331</v>
      </c>
      <c r="AN2412" t="s">
        <v>66</v>
      </c>
      <c r="AO2412" t="s">
        <v>67</v>
      </c>
    </row>
    <row r="2413" spans="1:41" x14ac:dyDescent="0.2">
      <c r="A2413">
        <v>371547</v>
      </c>
      <c r="B2413" t="s">
        <v>15313</v>
      </c>
      <c r="C2413" t="s">
        <v>323</v>
      </c>
      <c r="D2413" t="s">
        <v>324</v>
      </c>
      <c r="E2413">
        <v>33902272</v>
      </c>
      <c r="F2413">
        <v>500744</v>
      </c>
      <c r="G2413" s="1">
        <v>38856</v>
      </c>
      <c r="H2413" s="1">
        <v>45763</v>
      </c>
      <c r="I2413" s="1">
        <v>46037</v>
      </c>
      <c r="J2413" t="s">
        <v>45</v>
      </c>
      <c r="K2413" t="s">
        <v>45</v>
      </c>
      <c r="L2413" t="s">
        <v>72</v>
      </c>
      <c r="N2413" t="s">
        <v>47</v>
      </c>
      <c r="O2413" t="s">
        <v>48</v>
      </c>
      <c r="P2413" t="s">
        <v>49</v>
      </c>
      <c r="Q2413" t="s">
        <v>15314</v>
      </c>
      <c r="R2413" t="s">
        <v>15315</v>
      </c>
      <c r="S2413">
        <v>897</v>
      </c>
      <c r="T2413" t="s">
        <v>92</v>
      </c>
      <c r="U2413" t="s">
        <v>329</v>
      </c>
      <c r="V2413" t="s">
        <v>722</v>
      </c>
      <c r="W2413" t="s">
        <v>723</v>
      </c>
      <c r="X2413" t="s">
        <v>76</v>
      </c>
      <c r="Y2413" t="s">
        <v>110</v>
      </c>
      <c r="Z2413">
        <v>1155</v>
      </c>
      <c r="AA2413">
        <v>37</v>
      </c>
      <c r="AB2413">
        <v>152</v>
      </c>
      <c r="AC2413" t="s">
        <v>368</v>
      </c>
      <c r="AD2413" t="s">
        <v>369</v>
      </c>
      <c r="AE2413" t="s">
        <v>370</v>
      </c>
      <c r="AF2413" t="s">
        <v>724</v>
      </c>
      <c r="AG2413" t="s">
        <v>725</v>
      </c>
      <c r="AH2413" t="s">
        <v>726</v>
      </c>
      <c r="AJ2413" s="2">
        <v>45814.764479166668</v>
      </c>
      <c r="AK2413" t="s">
        <v>727</v>
      </c>
      <c r="AL2413" t="s">
        <v>65</v>
      </c>
      <c r="AM2413" s="3">
        <v>2.1944444444444446</v>
      </c>
      <c r="AN2413" t="s">
        <v>66</v>
      </c>
      <c r="AO2413" t="s">
        <v>67</v>
      </c>
    </row>
    <row r="2414" spans="1:41" x14ac:dyDescent="0.2">
      <c r="A2414">
        <v>364170</v>
      </c>
      <c r="B2414" t="s">
        <v>10499</v>
      </c>
      <c r="C2414" t="s">
        <v>69</v>
      </c>
      <c r="D2414" t="s">
        <v>7205</v>
      </c>
      <c r="E2414" t="s">
        <v>15316</v>
      </c>
      <c r="F2414">
        <v>101310</v>
      </c>
      <c r="G2414" s="1">
        <v>29873</v>
      </c>
      <c r="H2414" s="1">
        <v>45530</v>
      </c>
      <c r="I2414" s="1">
        <v>46249</v>
      </c>
      <c r="J2414" t="s">
        <v>45</v>
      </c>
      <c r="K2414" t="s">
        <v>45</v>
      </c>
      <c r="L2414" t="s">
        <v>429</v>
      </c>
      <c r="M2414" s="1">
        <v>45243</v>
      </c>
      <c r="N2414" t="s">
        <v>47</v>
      </c>
      <c r="O2414" t="s">
        <v>48</v>
      </c>
      <c r="P2414" t="s">
        <v>49</v>
      </c>
      <c r="Q2414" t="s">
        <v>15317</v>
      </c>
      <c r="R2414" t="s">
        <v>15318</v>
      </c>
      <c r="S2414">
        <v>5100</v>
      </c>
      <c r="T2414" t="s">
        <v>365</v>
      </c>
      <c r="U2414" t="s">
        <v>532</v>
      </c>
      <c r="V2414" t="s">
        <v>10499</v>
      </c>
      <c r="W2414" t="s">
        <v>367</v>
      </c>
      <c r="X2414" t="s">
        <v>76</v>
      </c>
      <c r="Y2414" t="s">
        <v>434</v>
      </c>
      <c r="Z2414">
        <v>181</v>
      </c>
      <c r="AA2414">
        <v>56</v>
      </c>
      <c r="AB2414">
        <v>166</v>
      </c>
      <c r="AC2414" t="s">
        <v>10500</v>
      </c>
      <c r="AD2414" t="s">
        <v>10501</v>
      </c>
      <c r="AE2414" t="s">
        <v>10502</v>
      </c>
      <c r="AF2414" t="s">
        <v>10503</v>
      </c>
      <c r="AG2414" t="s">
        <v>10504</v>
      </c>
      <c r="AH2414" t="s">
        <v>10505</v>
      </c>
      <c r="AI2414" t="s">
        <v>10506</v>
      </c>
      <c r="AJ2414" s="2">
        <v>45534.674201388887</v>
      </c>
      <c r="AK2414" t="s">
        <v>2517</v>
      </c>
      <c r="AL2414" t="s">
        <v>65</v>
      </c>
      <c r="AM2414" s="3">
        <v>1.5208333333333333</v>
      </c>
      <c r="AN2414" t="s">
        <v>66</v>
      </c>
      <c r="AO2414" t="s">
        <v>67</v>
      </c>
    </row>
    <row r="2415" spans="1:41" x14ac:dyDescent="0.2">
      <c r="A2415">
        <v>371516</v>
      </c>
      <c r="B2415" t="s">
        <v>15319</v>
      </c>
      <c r="C2415" t="s">
        <v>323</v>
      </c>
      <c r="D2415" t="s">
        <v>372</v>
      </c>
      <c r="E2415" t="s">
        <v>15320</v>
      </c>
      <c r="G2415" s="1">
        <v>40732</v>
      </c>
      <c r="H2415" s="1">
        <v>45808</v>
      </c>
      <c r="J2415" t="s">
        <v>45</v>
      </c>
      <c r="K2415" t="s">
        <v>72</v>
      </c>
      <c r="L2415" t="s">
        <v>72</v>
      </c>
      <c r="N2415" t="s">
        <v>47</v>
      </c>
      <c r="O2415" t="s">
        <v>48</v>
      </c>
      <c r="P2415" t="s">
        <v>406</v>
      </c>
      <c r="Q2415" t="s">
        <v>15321</v>
      </c>
      <c r="R2415" t="s">
        <v>15322</v>
      </c>
      <c r="S2415">
        <v>1201</v>
      </c>
      <c r="T2415" t="s">
        <v>257</v>
      </c>
      <c r="U2415" t="s">
        <v>329</v>
      </c>
      <c r="V2415" t="s">
        <v>10083</v>
      </c>
      <c r="W2415" t="s">
        <v>260</v>
      </c>
      <c r="X2415" t="s">
        <v>257</v>
      </c>
      <c r="Y2415" t="s">
        <v>642</v>
      </c>
      <c r="Z2415">
        <v>4906</v>
      </c>
      <c r="AA2415">
        <v>21</v>
      </c>
      <c r="AB2415">
        <v>152</v>
      </c>
      <c r="AC2415" t="s">
        <v>5079</v>
      </c>
      <c r="AD2415" t="s">
        <v>1165</v>
      </c>
      <c r="AE2415" t="s">
        <v>9106</v>
      </c>
      <c r="AF2415" t="s">
        <v>5079</v>
      </c>
      <c r="AG2415" t="s">
        <v>1165</v>
      </c>
      <c r="AH2415" t="s">
        <v>9106</v>
      </c>
      <c r="AJ2415" s="2">
        <v>45813.923611111109</v>
      </c>
      <c r="AK2415" t="s">
        <v>1164</v>
      </c>
      <c r="AL2415" t="s">
        <v>1168</v>
      </c>
      <c r="AM2415" s="3">
        <v>1.6041666666666667</v>
      </c>
      <c r="AN2415" t="s">
        <v>66</v>
      </c>
      <c r="AO2415" t="s">
        <v>67</v>
      </c>
    </row>
    <row r="2416" spans="1:41" x14ac:dyDescent="0.2">
      <c r="A2416">
        <v>371812</v>
      </c>
      <c r="B2416" t="s">
        <v>15323</v>
      </c>
      <c r="C2416" t="s">
        <v>323</v>
      </c>
      <c r="E2416" t="s">
        <v>15324</v>
      </c>
      <c r="F2416">
        <v>500412</v>
      </c>
      <c r="G2416" s="1">
        <v>36674</v>
      </c>
      <c r="H2416" s="1">
        <v>45777</v>
      </c>
      <c r="I2416" s="1">
        <v>46037</v>
      </c>
      <c r="J2416" t="s">
        <v>45</v>
      </c>
      <c r="K2416" t="s">
        <v>45</v>
      </c>
      <c r="L2416" t="s">
        <v>72</v>
      </c>
      <c r="M2416" s="1">
        <v>45047</v>
      </c>
      <c r="N2416" t="s">
        <v>47</v>
      </c>
      <c r="O2416" t="s">
        <v>48</v>
      </c>
      <c r="P2416" t="s">
        <v>49</v>
      </c>
      <c r="Q2416" t="s">
        <v>15325</v>
      </c>
      <c r="R2416" t="s">
        <v>15326</v>
      </c>
      <c r="S2416">
        <v>2216</v>
      </c>
      <c r="T2416" t="s">
        <v>365</v>
      </c>
      <c r="U2416" t="s">
        <v>366</v>
      </c>
      <c r="V2416" t="s">
        <v>330</v>
      </c>
      <c r="W2416" t="s">
        <v>409</v>
      </c>
      <c r="X2416" t="s">
        <v>76</v>
      </c>
      <c r="Y2416" t="s">
        <v>110</v>
      </c>
      <c r="Z2416">
        <v>34</v>
      </c>
      <c r="AA2416">
        <v>37</v>
      </c>
      <c r="AB2416">
        <v>160</v>
      </c>
      <c r="AC2416" t="s">
        <v>368</v>
      </c>
      <c r="AD2416" t="s">
        <v>369</v>
      </c>
      <c r="AE2416" t="s">
        <v>370</v>
      </c>
      <c r="AF2416" t="s">
        <v>384</v>
      </c>
      <c r="AG2416" t="s">
        <v>385</v>
      </c>
      <c r="AH2416" t="s">
        <v>386</v>
      </c>
      <c r="AI2416" t="s">
        <v>15327</v>
      </c>
      <c r="AJ2416" s="2">
        <v>45819.934467592589</v>
      </c>
      <c r="AK2416" t="s">
        <v>727</v>
      </c>
      <c r="AL2416" t="s">
        <v>65</v>
      </c>
      <c r="AM2416" s="4">
        <v>0.44444444444444442</v>
      </c>
      <c r="AN2416" t="s">
        <v>66</v>
      </c>
      <c r="AO2416" t="s">
        <v>67</v>
      </c>
    </row>
    <row r="2417" spans="1:41" x14ac:dyDescent="0.2">
      <c r="A2417">
        <v>369804</v>
      </c>
      <c r="B2417" t="s">
        <v>15328</v>
      </c>
      <c r="C2417" t="s">
        <v>167</v>
      </c>
      <c r="D2417" t="s">
        <v>1474</v>
      </c>
      <c r="E2417" t="s">
        <v>15329</v>
      </c>
      <c r="F2417">
        <v>352712</v>
      </c>
      <c r="G2417" s="1">
        <v>31523</v>
      </c>
      <c r="H2417" s="1">
        <v>45749</v>
      </c>
      <c r="I2417" s="1">
        <v>46143</v>
      </c>
      <c r="J2417" t="s">
        <v>45</v>
      </c>
      <c r="K2417" t="s">
        <v>45</v>
      </c>
      <c r="L2417" t="s">
        <v>72</v>
      </c>
      <c r="M2417" s="1">
        <v>42856</v>
      </c>
      <c r="N2417" t="s">
        <v>47</v>
      </c>
      <c r="O2417" t="s">
        <v>48</v>
      </c>
      <c r="P2417" t="s">
        <v>49</v>
      </c>
      <c r="Q2417" t="s">
        <v>15330</v>
      </c>
      <c r="R2417" t="s">
        <v>15331</v>
      </c>
      <c r="S2417">
        <v>4155</v>
      </c>
      <c r="T2417" t="s">
        <v>365</v>
      </c>
      <c r="U2417" t="s">
        <v>532</v>
      </c>
      <c r="V2417" t="s">
        <v>3483</v>
      </c>
      <c r="W2417" t="s">
        <v>367</v>
      </c>
      <c r="X2417" t="s">
        <v>76</v>
      </c>
      <c r="Y2417" t="s">
        <v>434</v>
      </c>
      <c r="Z2417">
        <v>321</v>
      </c>
      <c r="AA2417">
        <v>59</v>
      </c>
      <c r="AB2417">
        <v>158</v>
      </c>
      <c r="AC2417" t="s">
        <v>3484</v>
      </c>
      <c r="AD2417" t="s">
        <v>3485</v>
      </c>
      <c r="AE2417" t="s">
        <v>3486</v>
      </c>
      <c r="AF2417" t="s">
        <v>3487</v>
      </c>
      <c r="AG2417" t="s">
        <v>3488</v>
      </c>
      <c r="AH2417" t="s">
        <v>3489</v>
      </c>
      <c r="AI2417" t="s">
        <v>179</v>
      </c>
      <c r="AJ2417" s="2">
        <v>45754.64230324074</v>
      </c>
      <c r="AK2417" t="s">
        <v>1999</v>
      </c>
      <c r="AL2417" t="s">
        <v>65</v>
      </c>
      <c r="AM2417" s="3">
        <v>2.0486111111111112</v>
      </c>
      <c r="AN2417" t="s">
        <v>66</v>
      </c>
      <c r="AO2417" t="s">
        <v>67</v>
      </c>
    </row>
    <row r="2418" spans="1:41" x14ac:dyDescent="0.2">
      <c r="A2418">
        <v>365902</v>
      </c>
      <c r="B2418" t="s">
        <v>15332</v>
      </c>
      <c r="C2418" t="s">
        <v>2962</v>
      </c>
      <c r="D2418" t="s">
        <v>15333</v>
      </c>
      <c r="E2418" t="s">
        <v>15334</v>
      </c>
      <c r="F2418">
        <v>335801</v>
      </c>
      <c r="G2418" s="1">
        <v>44817</v>
      </c>
      <c r="H2418" s="1">
        <v>45594</v>
      </c>
      <c r="I2418" s="1">
        <v>45945</v>
      </c>
      <c r="J2418" t="s">
        <v>45</v>
      </c>
      <c r="K2418" t="s">
        <v>45</v>
      </c>
      <c r="L2418" t="s">
        <v>72</v>
      </c>
      <c r="M2418" s="1">
        <v>45268</v>
      </c>
      <c r="N2418" t="s">
        <v>47</v>
      </c>
      <c r="O2418" t="s">
        <v>48</v>
      </c>
      <c r="P2418" t="s">
        <v>49</v>
      </c>
      <c r="Q2418" t="s">
        <v>15335</v>
      </c>
      <c r="R2418" t="s">
        <v>15336</v>
      </c>
      <c r="S2418">
        <v>1122</v>
      </c>
      <c r="T2418" t="s">
        <v>92</v>
      </c>
      <c r="U2418" t="s">
        <v>2967</v>
      </c>
      <c r="V2418" t="s">
        <v>2968</v>
      </c>
      <c r="W2418" t="s">
        <v>2969</v>
      </c>
      <c r="X2418" t="s">
        <v>76</v>
      </c>
      <c r="Y2418" t="s">
        <v>56</v>
      </c>
      <c r="Z2418">
        <v>11846</v>
      </c>
      <c r="AA2418">
        <v>13</v>
      </c>
      <c r="AB2418">
        <v>189</v>
      </c>
      <c r="AC2418" t="s">
        <v>2970</v>
      </c>
      <c r="AD2418" t="s">
        <v>2971</v>
      </c>
      <c r="AE2418" t="s">
        <v>2972</v>
      </c>
      <c r="AF2418" t="s">
        <v>2973</v>
      </c>
      <c r="AG2418" t="s">
        <v>2974</v>
      </c>
      <c r="AH2418" t="s">
        <v>2975</v>
      </c>
      <c r="AI2418" t="s">
        <v>2976</v>
      </c>
      <c r="AJ2418" s="2">
        <v>45594.976481481484</v>
      </c>
      <c r="AK2418" t="s">
        <v>3738</v>
      </c>
      <c r="AL2418" t="s">
        <v>65</v>
      </c>
      <c r="AM2418" s="3">
        <v>1.4756944444444444</v>
      </c>
      <c r="AN2418" t="s">
        <v>66</v>
      </c>
      <c r="AO2418" t="s">
        <v>101</v>
      </c>
    </row>
    <row r="2419" spans="1:41" x14ac:dyDescent="0.2">
      <c r="A2419">
        <v>371962</v>
      </c>
      <c r="B2419" t="s">
        <v>15337</v>
      </c>
      <c r="C2419" t="s">
        <v>345</v>
      </c>
      <c r="D2419" t="s">
        <v>6533</v>
      </c>
      <c r="E2419" t="s">
        <v>15338</v>
      </c>
      <c r="F2419">
        <v>55205</v>
      </c>
      <c r="G2419" s="1">
        <v>31197</v>
      </c>
      <c r="H2419" s="1">
        <v>45446</v>
      </c>
      <c r="I2419" s="1">
        <v>46218</v>
      </c>
      <c r="J2419" t="s">
        <v>45</v>
      </c>
      <c r="K2419" t="s">
        <v>45</v>
      </c>
      <c r="L2419" t="s">
        <v>429</v>
      </c>
      <c r="N2419" t="s">
        <v>47</v>
      </c>
      <c r="O2419" t="s">
        <v>48</v>
      </c>
      <c r="P2419" t="s">
        <v>49</v>
      </c>
      <c r="Q2419" t="s">
        <v>15339</v>
      </c>
      <c r="R2419" t="s">
        <v>15340</v>
      </c>
      <c r="S2419">
        <v>8147</v>
      </c>
      <c r="T2419" t="s">
        <v>52</v>
      </c>
      <c r="U2419">
        <v>2</v>
      </c>
      <c r="V2419" t="s">
        <v>2325</v>
      </c>
      <c r="W2419" t="s">
        <v>54</v>
      </c>
      <c r="X2419" t="s">
        <v>55</v>
      </c>
      <c r="Y2419" t="s">
        <v>56</v>
      </c>
      <c r="Z2419">
        <v>593</v>
      </c>
      <c r="AA2419">
        <v>60</v>
      </c>
      <c r="AB2419">
        <v>30</v>
      </c>
      <c r="AC2419" t="s">
        <v>2326</v>
      </c>
      <c r="AD2419" t="s">
        <v>2327</v>
      </c>
      <c r="AE2419" t="s">
        <v>2328</v>
      </c>
      <c r="AF2419" t="s">
        <v>6537</v>
      </c>
      <c r="AG2419" t="s">
        <v>6538</v>
      </c>
      <c r="AH2419" t="s">
        <v>6539</v>
      </c>
      <c r="AI2419" t="s">
        <v>15341</v>
      </c>
      <c r="AJ2419" s="2">
        <v>45825.721597222226</v>
      </c>
      <c r="AK2419" t="s">
        <v>132</v>
      </c>
      <c r="AL2419" t="s">
        <v>65</v>
      </c>
      <c r="AM2419" s="3">
        <v>1.0347222222222223</v>
      </c>
      <c r="AN2419" t="s">
        <v>809</v>
      </c>
      <c r="AO2419" t="s">
        <v>67</v>
      </c>
    </row>
    <row r="2420" spans="1:41" x14ac:dyDescent="0.2">
      <c r="A2420">
        <v>370692</v>
      </c>
      <c r="B2420" t="s">
        <v>15342</v>
      </c>
      <c r="C2420" t="s">
        <v>323</v>
      </c>
      <c r="D2420" t="s">
        <v>3298</v>
      </c>
      <c r="E2420" t="s">
        <v>15343</v>
      </c>
      <c r="G2420" s="1">
        <v>45462</v>
      </c>
      <c r="H2420" s="1">
        <v>45461</v>
      </c>
      <c r="J2420" t="s">
        <v>326</v>
      </c>
      <c r="K2420" t="s">
        <v>45</v>
      </c>
      <c r="L2420" t="s">
        <v>72</v>
      </c>
      <c r="N2420" t="s">
        <v>47</v>
      </c>
      <c r="O2420" t="s">
        <v>48</v>
      </c>
      <c r="P2420" t="s">
        <v>406</v>
      </c>
      <c r="Q2420" t="s">
        <v>15344</v>
      </c>
      <c r="R2420" t="s">
        <v>15345</v>
      </c>
      <c r="S2420">
        <v>3458</v>
      </c>
      <c r="T2420" t="s">
        <v>257</v>
      </c>
      <c r="U2420" t="s">
        <v>329</v>
      </c>
      <c r="V2420" t="s">
        <v>3302</v>
      </c>
      <c r="W2420" t="s">
        <v>3303</v>
      </c>
      <c r="X2420" t="s">
        <v>257</v>
      </c>
      <c r="Y2420" t="s">
        <v>410</v>
      </c>
      <c r="Z2420">
        <v>12198</v>
      </c>
      <c r="AA2420">
        <v>7</v>
      </c>
      <c r="AB2420">
        <v>108</v>
      </c>
      <c r="AC2420" t="s">
        <v>3304</v>
      </c>
      <c r="AD2420" t="s">
        <v>3305</v>
      </c>
      <c r="AE2420" t="s">
        <v>3306</v>
      </c>
      <c r="AF2420" t="s">
        <v>3307</v>
      </c>
      <c r="AG2420" t="s">
        <v>3308</v>
      </c>
      <c r="AH2420" t="s">
        <v>3309</v>
      </c>
      <c r="AJ2420" s="2">
        <v>45783.005694444444</v>
      </c>
      <c r="AK2420" t="s">
        <v>3304</v>
      </c>
      <c r="AL2420" t="s">
        <v>651</v>
      </c>
      <c r="AM2420" s="4">
        <v>0.97916666666666663</v>
      </c>
      <c r="AN2420" t="s">
        <v>66</v>
      </c>
      <c r="AO2420" t="s">
        <v>67</v>
      </c>
    </row>
    <row r="2421" spans="1:41" x14ac:dyDescent="0.2">
      <c r="A2421">
        <v>368222</v>
      </c>
      <c r="B2421" t="s">
        <v>15346</v>
      </c>
      <c r="C2421" t="s">
        <v>42</v>
      </c>
      <c r="D2421" t="s">
        <v>6595</v>
      </c>
      <c r="E2421">
        <v>83709540</v>
      </c>
      <c r="F2421">
        <v>292904</v>
      </c>
      <c r="G2421" s="1">
        <v>35612</v>
      </c>
      <c r="H2421" s="1">
        <v>45699</v>
      </c>
      <c r="J2421" t="s">
        <v>45</v>
      </c>
      <c r="K2421" t="s">
        <v>45</v>
      </c>
      <c r="L2421" t="s">
        <v>429</v>
      </c>
      <c r="N2421" t="s">
        <v>47</v>
      </c>
      <c r="O2421" t="s">
        <v>48</v>
      </c>
      <c r="P2421" t="s">
        <v>49</v>
      </c>
      <c r="Q2421" t="s">
        <v>15347</v>
      </c>
      <c r="R2421" t="s">
        <v>15348</v>
      </c>
      <c r="S2421">
        <v>6137</v>
      </c>
      <c r="T2421" t="s">
        <v>156</v>
      </c>
      <c r="U2421" t="s">
        <v>667</v>
      </c>
      <c r="V2421" t="s">
        <v>15349</v>
      </c>
      <c r="W2421" t="s">
        <v>159</v>
      </c>
      <c r="X2421" t="s">
        <v>55</v>
      </c>
      <c r="Y2421" t="s">
        <v>56</v>
      </c>
      <c r="Z2421">
        <v>1315</v>
      </c>
      <c r="AA2421">
        <v>46</v>
      </c>
      <c r="AB2421">
        <v>176</v>
      </c>
      <c r="AC2421" t="s">
        <v>3224</v>
      </c>
      <c r="AD2421" t="s">
        <v>3225</v>
      </c>
      <c r="AE2421" t="s">
        <v>3226</v>
      </c>
      <c r="AF2421" t="s">
        <v>15350</v>
      </c>
      <c r="AG2421" t="s">
        <v>15351</v>
      </c>
      <c r="AH2421" t="s">
        <v>15352</v>
      </c>
      <c r="AI2421" t="s">
        <v>179</v>
      </c>
      <c r="AJ2421" s="2">
        <v>45706.732314814813</v>
      </c>
      <c r="AK2421" t="s">
        <v>609</v>
      </c>
      <c r="AL2421" t="s">
        <v>65</v>
      </c>
      <c r="AM2421" s="4">
        <v>7.6388888888888895E-2</v>
      </c>
      <c r="AN2421" t="s">
        <v>66</v>
      </c>
      <c r="AO2421" t="s">
        <v>67</v>
      </c>
    </row>
    <row r="2422" spans="1:41" x14ac:dyDescent="0.2">
      <c r="A2422">
        <v>366659</v>
      </c>
      <c r="B2422" t="s">
        <v>15353</v>
      </c>
      <c r="C2422" t="s">
        <v>662</v>
      </c>
      <c r="D2422" t="s">
        <v>3356</v>
      </c>
      <c r="E2422" s="5">
        <v>83754400000000</v>
      </c>
      <c r="F2422">
        <v>418302</v>
      </c>
      <c r="G2422" s="1">
        <v>37481</v>
      </c>
      <c r="H2422" s="1">
        <v>45617</v>
      </c>
      <c r="I2422" s="1">
        <v>46054</v>
      </c>
      <c r="J2422" t="s">
        <v>45</v>
      </c>
      <c r="K2422" t="s">
        <v>45</v>
      </c>
      <c r="L2422" t="s">
        <v>72</v>
      </c>
      <c r="M2422" s="1">
        <v>45511</v>
      </c>
      <c r="N2422" t="s">
        <v>47</v>
      </c>
      <c r="O2422" t="s">
        <v>48</v>
      </c>
      <c r="P2422" t="s">
        <v>49</v>
      </c>
      <c r="Q2422" t="s">
        <v>15354</v>
      </c>
      <c r="R2422" t="s">
        <v>15355</v>
      </c>
      <c r="S2422">
        <v>14</v>
      </c>
      <c r="T2422" t="s">
        <v>156</v>
      </c>
      <c r="U2422" t="s">
        <v>667</v>
      </c>
      <c r="V2422" t="s">
        <v>15353</v>
      </c>
      <c r="W2422" t="s">
        <v>159</v>
      </c>
      <c r="X2422" t="s">
        <v>55</v>
      </c>
      <c r="Y2422" t="s">
        <v>56</v>
      </c>
      <c r="Z2422">
        <v>3846</v>
      </c>
      <c r="AA2422">
        <v>37</v>
      </c>
      <c r="AB2422">
        <v>210</v>
      </c>
      <c r="AC2422" t="s">
        <v>3360</v>
      </c>
      <c r="AD2422" t="s">
        <v>3361</v>
      </c>
      <c r="AE2422" t="s">
        <v>3362</v>
      </c>
      <c r="AI2422" t="s">
        <v>179</v>
      </c>
      <c r="AJ2422" s="2">
        <v>45631.758518518516</v>
      </c>
      <c r="AK2422" t="s">
        <v>540</v>
      </c>
      <c r="AL2422" t="s">
        <v>65</v>
      </c>
      <c r="AM2422" s="3">
        <v>1.2083333333333333</v>
      </c>
      <c r="AN2422" t="s">
        <v>66</v>
      </c>
      <c r="AO2422" t="s">
        <v>67</v>
      </c>
    </row>
    <row r="2423" spans="1:41" x14ac:dyDescent="0.2">
      <c r="A2423">
        <v>364398</v>
      </c>
      <c r="B2423" t="s">
        <v>15356</v>
      </c>
      <c r="C2423" t="s">
        <v>118</v>
      </c>
      <c r="D2423" t="s">
        <v>1396</v>
      </c>
      <c r="E2423" t="s">
        <v>15357</v>
      </c>
      <c r="F2423">
        <v>20608</v>
      </c>
      <c r="G2423" s="1">
        <v>37271</v>
      </c>
      <c r="H2423" s="1">
        <v>45544</v>
      </c>
      <c r="I2423" s="1">
        <v>46174</v>
      </c>
      <c r="J2423" t="s">
        <v>45</v>
      </c>
      <c r="K2423" t="s">
        <v>45</v>
      </c>
      <c r="L2423" t="s">
        <v>72</v>
      </c>
      <c r="N2423" t="s">
        <v>47</v>
      </c>
      <c r="O2423" t="s">
        <v>48</v>
      </c>
      <c r="P2423" t="s">
        <v>49</v>
      </c>
      <c r="Q2423" t="s">
        <v>15358</v>
      </c>
      <c r="R2423" t="s">
        <v>15359</v>
      </c>
      <c r="S2423">
        <v>2830</v>
      </c>
      <c r="T2423" t="s">
        <v>296</v>
      </c>
      <c r="U2423" t="s">
        <v>297</v>
      </c>
      <c r="V2423" t="s">
        <v>1400</v>
      </c>
      <c r="W2423" t="s">
        <v>299</v>
      </c>
      <c r="X2423" t="s">
        <v>55</v>
      </c>
      <c r="Y2423" t="s">
        <v>56</v>
      </c>
      <c r="Z2423">
        <v>2104</v>
      </c>
      <c r="AA2423">
        <v>41</v>
      </c>
      <c r="AB2423">
        <v>160</v>
      </c>
      <c r="AC2423" t="s">
        <v>1401</v>
      </c>
      <c r="AD2423" t="s">
        <v>1402</v>
      </c>
      <c r="AE2423" t="s">
        <v>1403</v>
      </c>
      <c r="AF2423" t="s">
        <v>303</v>
      </c>
      <c r="AG2423" t="s">
        <v>304</v>
      </c>
      <c r="AH2423" t="s">
        <v>305</v>
      </c>
      <c r="AI2423" t="s">
        <v>306</v>
      </c>
      <c r="AJ2423" s="2">
        <v>45545.1952662037</v>
      </c>
      <c r="AK2423" t="s">
        <v>4471</v>
      </c>
      <c r="AL2423" t="s">
        <v>65</v>
      </c>
      <c r="AM2423" s="4">
        <v>0.59722222222222221</v>
      </c>
      <c r="AN2423" t="s">
        <v>66</v>
      </c>
      <c r="AO2423" t="s">
        <v>67</v>
      </c>
    </row>
    <row r="2424" spans="1:41" x14ac:dyDescent="0.2">
      <c r="A2424">
        <v>369633</v>
      </c>
      <c r="B2424" t="s">
        <v>15360</v>
      </c>
      <c r="C2424" t="s">
        <v>345</v>
      </c>
      <c r="D2424" t="s">
        <v>6533</v>
      </c>
      <c r="E2424" t="s">
        <v>15361</v>
      </c>
      <c r="F2424">
        <v>55711</v>
      </c>
      <c r="G2424" s="1">
        <v>45747</v>
      </c>
      <c r="H2424" s="1">
        <v>45638</v>
      </c>
      <c r="I2424" s="1">
        <v>46023</v>
      </c>
      <c r="J2424" t="s">
        <v>45</v>
      </c>
      <c r="K2424" t="s">
        <v>45</v>
      </c>
      <c r="L2424" t="s">
        <v>72</v>
      </c>
      <c r="M2424" s="1">
        <v>43857</v>
      </c>
      <c r="N2424" t="s">
        <v>47</v>
      </c>
      <c r="O2424" t="s">
        <v>121</v>
      </c>
      <c r="P2424" t="s">
        <v>49</v>
      </c>
      <c r="Q2424" t="s">
        <v>15362</v>
      </c>
      <c r="R2424" t="s">
        <v>15363</v>
      </c>
      <c r="S2424">
        <v>8008</v>
      </c>
      <c r="T2424" t="s">
        <v>365</v>
      </c>
      <c r="U2424" t="s">
        <v>432</v>
      </c>
      <c r="V2424" t="s">
        <v>6656</v>
      </c>
      <c r="W2424" t="s">
        <v>367</v>
      </c>
      <c r="X2424" t="s">
        <v>76</v>
      </c>
      <c r="Y2424" t="s">
        <v>125</v>
      </c>
      <c r="Z2424">
        <v>2487</v>
      </c>
      <c r="AA2424">
        <v>133</v>
      </c>
      <c r="AB2424">
        <v>160</v>
      </c>
      <c r="AC2424" t="s">
        <v>15364</v>
      </c>
      <c r="AD2424" t="s">
        <v>15365</v>
      </c>
      <c r="AE2424" t="s">
        <v>15366</v>
      </c>
      <c r="AF2424" t="s">
        <v>15367</v>
      </c>
      <c r="AG2424" t="s">
        <v>15368</v>
      </c>
      <c r="AH2424" t="s">
        <v>15369</v>
      </c>
      <c r="AJ2424" s="2">
        <v>45747.783541666664</v>
      </c>
      <c r="AK2424" t="s">
        <v>650</v>
      </c>
      <c r="AL2424" t="s">
        <v>65</v>
      </c>
      <c r="AM2424" s="3">
        <v>1.7708333333333333</v>
      </c>
      <c r="AN2424" t="s">
        <v>66</v>
      </c>
      <c r="AO2424" t="s">
        <v>67</v>
      </c>
    </row>
    <row r="2425" spans="1:41" x14ac:dyDescent="0.2">
      <c r="A2425">
        <v>368100</v>
      </c>
      <c r="B2425" t="s">
        <v>15370</v>
      </c>
      <c r="C2425" t="s">
        <v>345</v>
      </c>
      <c r="D2425" t="s">
        <v>3608</v>
      </c>
      <c r="E2425" t="s">
        <v>15371</v>
      </c>
      <c r="G2425" s="1">
        <v>45700</v>
      </c>
      <c r="H2425" s="1">
        <v>45681</v>
      </c>
      <c r="I2425" s="1">
        <v>46023</v>
      </c>
      <c r="J2425" t="s">
        <v>45</v>
      </c>
      <c r="K2425" t="s">
        <v>45</v>
      </c>
      <c r="L2425" t="s">
        <v>72</v>
      </c>
      <c r="N2425" t="s">
        <v>47</v>
      </c>
      <c r="O2425" t="s">
        <v>121</v>
      </c>
      <c r="P2425" t="s">
        <v>49</v>
      </c>
      <c r="Q2425" t="s">
        <v>15372</v>
      </c>
      <c r="R2425" t="s">
        <v>15373</v>
      </c>
      <c r="S2425">
        <v>6400</v>
      </c>
      <c r="T2425" t="s">
        <v>52</v>
      </c>
      <c r="U2425">
        <v>2</v>
      </c>
      <c r="V2425" t="s">
        <v>2325</v>
      </c>
      <c r="W2425" t="s">
        <v>54</v>
      </c>
      <c r="X2425" t="s">
        <v>52</v>
      </c>
      <c r="Y2425" t="s">
        <v>125</v>
      </c>
      <c r="Z2425">
        <v>10446</v>
      </c>
      <c r="AA2425">
        <v>46</v>
      </c>
      <c r="AB2425">
        <v>78</v>
      </c>
      <c r="AC2425" t="s">
        <v>15374</v>
      </c>
      <c r="AD2425" t="s">
        <v>15375</v>
      </c>
      <c r="AE2425" t="s">
        <v>15376</v>
      </c>
      <c r="AF2425" t="s">
        <v>2326</v>
      </c>
      <c r="AG2425" t="s">
        <v>2327</v>
      </c>
      <c r="AH2425" t="s">
        <v>2328</v>
      </c>
      <c r="AI2425" t="s">
        <v>15377</v>
      </c>
      <c r="AJ2425" s="2">
        <v>45700.784201388888</v>
      </c>
      <c r="AK2425" t="s">
        <v>2854</v>
      </c>
      <c r="AL2425" t="s">
        <v>65</v>
      </c>
      <c r="AM2425" s="3">
        <v>1.9027777777777777</v>
      </c>
      <c r="AN2425" t="s">
        <v>66</v>
      </c>
      <c r="AO2425" t="s">
        <v>67</v>
      </c>
    </row>
    <row r="2426" spans="1:41" x14ac:dyDescent="0.2">
      <c r="A2426">
        <v>365142</v>
      </c>
      <c r="B2426" t="s">
        <v>15378</v>
      </c>
      <c r="C2426" t="s">
        <v>182</v>
      </c>
      <c r="D2426" t="s">
        <v>11347</v>
      </c>
      <c r="E2426" t="s">
        <v>15379</v>
      </c>
      <c r="F2426">
        <v>44004</v>
      </c>
      <c r="G2426" s="1">
        <v>37321</v>
      </c>
      <c r="H2426" s="1">
        <v>45440</v>
      </c>
      <c r="I2426" s="1">
        <v>46157</v>
      </c>
      <c r="J2426" t="s">
        <v>45</v>
      </c>
      <c r="K2426" t="s">
        <v>45</v>
      </c>
      <c r="L2426" t="s">
        <v>72</v>
      </c>
      <c r="N2426" t="s">
        <v>47</v>
      </c>
      <c r="O2426" t="s">
        <v>48</v>
      </c>
      <c r="P2426" t="s">
        <v>49</v>
      </c>
      <c r="Q2426" t="s">
        <v>15380</v>
      </c>
      <c r="R2426" t="s">
        <v>15381</v>
      </c>
      <c r="S2426">
        <v>65</v>
      </c>
      <c r="T2426" t="s">
        <v>156</v>
      </c>
      <c r="U2426" t="s">
        <v>1079</v>
      </c>
      <c r="V2426" t="s">
        <v>15378</v>
      </c>
      <c r="W2426" t="s">
        <v>159</v>
      </c>
      <c r="X2426" t="s">
        <v>156</v>
      </c>
      <c r="Y2426" t="s">
        <v>110</v>
      </c>
      <c r="Z2426">
        <v>2135</v>
      </c>
      <c r="AA2426">
        <v>30</v>
      </c>
      <c r="AB2426">
        <v>158</v>
      </c>
      <c r="AC2426" t="s">
        <v>15382</v>
      </c>
      <c r="AD2426" t="s">
        <v>15383</v>
      </c>
      <c r="AE2426" t="s">
        <v>15384</v>
      </c>
      <c r="AF2426" t="s">
        <v>15385</v>
      </c>
      <c r="AG2426" t="s">
        <v>15386</v>
      </c>
      <c r="AH2426" t="s">
        <v>15387</v>
      </c>
      <c r="AI2426" t="s">
        <v>1084</v>
      </c>
      <c r="AJ2426" s="2">
        <v>45569.87877314815</v>
      </c>
      <c r="AK2426" t="s">
        <v>800</v>
      </c>
      <c r="AL2426" t="s">
        <v>65</v>
      </c>
      <c r="AM2426" s="3">
        <v>1.3263888888888888</v>
      </c>
      <c r="AN2426" t="s">
        <v>66</v>
      </c>
      <c r="AO2426" t="s">
        <v>67</v>
      </c>
    </row>
    <row r="2427" spans="1:41" x14ac:dyDescent="0.2">
      <c r="A2427">
        <v>370638</v>
      </c>
      <c r="B2427" t="s">
        <v>15388</v>
      </c>
      <c r="C2427" t="s">
        <v>182</v>
      </c>
      <c r="D2427" t="s">
        <v>3320</v>
      </c>
      <c r="E2427" t="s">
        <v>15389</v>
      </c>
      <c r="F2427">
        <v>44915</v>
      </c>
      <c r="G2427" s="1">
        <v>36699</v>
      </c>
      <c r="H2427" s="1">
        <v>45708</v>
      </c>
      <c r="J2427" t="s">
        <v>45</v>
      </c>
      <c r="K2427" t="s">
        <v>45</v>
      </c>
      <c r="L2427" t="s">
        <v>72</v>
      </c>
      <c r="N2427" t="s">
        <v>47</v>
      </c>
      <c r="O2427" t="s">
        <v>48</v>
      </c>
      <c r="P2427" t="s">
        <v>49</v>
      </c>
      <c r="Q2427" t="s">
        <v>15390</v>
      </c>
      <c r="R2427" t="s">
        <v>15391</v>
      </c>
      <c r="S2427">
        <v>310</v>
      </c>
      <c r="T2427" t="s">
        <v>92</v>
      </c>
      <c r="U2427" t="s">
        <v>187</v>
      </c>
      <c r="V2427" t="s">
        <v>447</v>
      </c>
      <c r="W2427" t="s">
        <v>448</v>
      </c>
      <c r="X2427" t="s">
        <v>92</v>
      </c>
      <c r="Y2427" t="s">
        <v>450</v>
      </c>
      <c r="Z2427">
        <v>1248</v>
      </c>
      <c r="AA2427">
        <v>46</v>
      </c>
      <c r="AB2427">
        <v>142</v>
      </c>
      <c r="AC2427" t="s">
        <v>451</v>
      </c>
      <c r="AD2427" t="s">
        <v>452</v>
      </c>
      <c r="AE2427" t="s">
        <v>453</v>
      </c>
      <c r="AF2427" t="s">
        <v>4029</v>
      </c>
      <c r="AG2427" t="s">
        <v>4030</v>
      </c>
      <c r="AI2427" t="s">
        <v>10828</v>
      </c>
      <c r="AJ2427" s="2">
        <v>45782.704884259256</v>
      </c>
      <c r="AK2427" t="s">
        <v>375</v>
      </c>
      <c r="AL2427" t="s">
        <v>65</v>
      </c>
      <c r="AM2427" s="3">
        <v>2.2673611111111112</v>
      </c>
      <c r="AN2427" t="s">
        <v>66</v>
      </c>
      <c r="AO2427" t="s">
        <v>67</v>
      </c>
    </row>
    <row r="2428" spans="1:41" x14ac:dyDescent="0.2">
      <c r="A2428">
        <v>365143</v>
      </c>
      <c r="B2428" t="s">
        <v>15392</v>
      </c>
      <c r="C2428" t="s">
        <v>182</v>
      </c>
      <c r="E2428" t="s">
        <v>15393</v>
      </c>
      <c r="G2428" s="1">
        <v>39003</v>
      </c>
      <c r="H2428" s="1">
        <v>45440</v>
      </c>
      <c r="I2428" s="1">
        <v>46157</v>
      </c>
      <c r="J2428" t="s">
        <v>45</v>
      </c>
      <c r="K2428" t="s">
        <v>45</v>
      </c>
      <c r="L2428" t="s">
        <v>72</v>
      </c>
      <c r="N2428" t="s">
        <v>47</v>
      </c>
      <c r="O2428" t="s">
        <v>121</v>
      </c>
      <c r="P2428" t="s">
        <v>49</v>
      </c>
      <c r="Q2428" t="s">
        <v>15394</v>
      </c>
      <c r="R2428" t="s">
        <v>15395</v>
      </c>
      <c r="S2428">
        <v>102</v>
      </c>
      <c r="T2428" t="s">
        <v>156</v>
      </c>
      <c r="U2428" t="s">
        <v>1079</v>
      </c>
      <c r="V2428" t="s">
        <v>15378</v>
      </c>
      <c r="W2428" t="s">
        <v>159</v>
      </c>
      <c r="X2428" t="s">
        <v>156</v>
      </c>
      <c r="Y2428" t="s">
        <v>110</v>
      </c>
      <c r="Z2428">
        <v>2861</v>
      </c>
      <c r="AA2428">
        <v>23</v>
      </c>
      <c r="AB2428">
        <v>160</v>
      </c>
      <c r="AC2428" t="s">
        <v>15382</v>
      </c>
      <c r="AD2428" t="s">
        <v>15383</v>
      </c>
      <c r="AE2428" t="s">
        <v>15384</v>
      </c>
      <c r="AF2428" t="s">
        <v>15385</v>
      </c>
      <c r="AG2428" t="s">
        <v>15386</v>
      </c>
      <c r="AH2428" t="s">
        <v>15387</v>
      </c>
      <c r="AI2428" t="s">
        <v>15396</v>
      </c>
      <c r="AJ2428" s="2">
        <v>45569.880358796298</v>
      </c>
      <c r="AK2428" t="s">
        <v>800</v>
      </c>
      <c r="AL2428" t="s">
        <v>65</v>
      </c>
      <c r="AM2428" s="3">
        <v>1.4166666666666667</v>
      </c>
      <c r="AN2428" t="s">
        <v>66</v>
      </c>
      <c r="AO2428" t="s">
        <v>67</v>
      </c>
    </row>
    <row r="2429" spans="1:41" x14ac:dyDescent="0.2">
      <c r="A2429">
        <v>371985</v>
      </c>
      <c r="B2429" t="s">
        <v>15397</v>
      </c>
      <c r="C2429" t="s">
        <v>345</v>
      </c>
      <c r="D2429" t="s">
        <v>2376</v>
      </c>
      <c r="E2429">
        <v>32941370</v>
      </c>
      <c r="G2429" s="1">
        <v>45796</v>
      </c>
      <c r="H2429" s="1">
        <v>45706</v>
      </c>
      <c r="I2429" s="1">
        <v>45992</v>
      </c>
      <c r="J2429" t="s">
        <v>45</v>
      </c>
      <c r="K2429" t="s">
        <v>45</v>
      </c>
      <c r="L2429" t="s">
        <v>72</v>
      </c>
      <c r="N2429" t="s">
        <v>47</v>
      </c>
      <c r="O2429" t="s">
        <v>121</v>
      </c>
      <c r="P2429" t="s">
        <v>49</v>
      </c>
      <c r="Q2429" t="s">
        <v>15398</v>
      </c>
      <c r="R2429" t="s">
        <v>15399</v>
      </c>
      <c r="S2429">
        <v>9125</v>
      </c>
      <c r="T2429" t="s">
        <v>52</v>
      </c>
      <c r="U2429">
        <v>2</v>
      </c>
      <c r="V2429" t="s">
        <v>2379</v>
      </c>
      <c r="W2429" t="s">
        <v>54</v>
      </c>
      <c r="X2429" t="s">
        <v>76</v>
      </c>
      <c r="Y2429" t="s">
        <v>125</v>
      </c>
      <c r="Z2429">
        <v>3087</v>
      </c>
      <c r="AA2429">
        <v>66</v>
      </c>
      <c r="AB2429">
        <v>80</v>
      </c>
      <c r="AC2429" t="s">
        <v>2380</v>
      </c>
      <c r="AD2429" t="s">
        <v>2381</v>
      </c>
      <c r="AE2429" t="s">
        <v>2382</v>
      </c>
      <c r="AF2429" t="s">
        <v>2383</v>
      </c>
      <c r="AG2429" t="s">
        <v>15400</v>
      </c>
      <c r="AH2429" t="s">
        <v>2385</v>
      </c>
      <c r="AI2429" t="s">
        <v>2381</v>
      </c>
      <c r="AJ2429" s="2">
        <v>45826.511736111112</v>
      </c>
      <c r="AK2429" t="s">
        <v>132</v>
      </c>
      <c r="AL2429" t="s">
        <v>65</v>
      </c>
      <c r="AM2429" s="3">
        <v>1.6041666666666667</v>
      </c>
      <c r="AN2429" t="s">
        <v>66</v>
      </c>
      <c r="AO2429" t="s">
        <v>67</v>
      </c>
    </row>
    <row r="2430" spans="1:41" x14ac:dyDescent="0.2">
      <c r="A2430">
        <v>372247</v>
      </c>
      <c r="B2430" t="s">
        <v>15401</v>
      </c>
      <c r="C2430" t="s">
        <v>182</v>
      </c>
      <c r="D2430" t="s">
        <v>4421</v>
      </c>
      <c r="E2430" t="s">
        <v>15402</v>
      </c>
      <c r="F2430">
        <v>45224</v>
      </c>
      <c r="G2430" s="1">
        <v>42199</v>
      </c>
      <c r="H2430" s="1">
        <v>45834</v>
      </c>
      <c r="I2430" s="1">
        <v>46218</v>
      </c>
      <c r="J2430" t="s">
        <v>45</v>
      </c>
      <c r="K2430" t="s">
        <v>45</v>
      </c>
      <c r="L2430" t="s">
        <v>72</v>
      </c>
      <c r="M2430" s="1">
        <v>45288</v>
      </c>
      <c r="N2430" t="s">
        <v>47</v>
      </c>
      <c r="O2430" t="s">
        <v>48</v>
      </c>
      <c r="P2430" t="s">
        <v>49</v>
      </c>
      <c r="Q2430" t="s">
        <v>15403</v>
      </c>
      <c r="R2430" t="s">
        <v>15404</v>
      </c>
      <c r="S2430">
        <v>1491</v>
      </c>
      <c r="T2430" t="s">
        <v>92</v>
      </c>
      <c r="U2430" t="s">
        <v>187</v>
      </c>
      <c r="V2430" t="s">
        <v>4425</v>
      </c>
      <c r="W2430" t="s">
        <v>4426</v>
      </c>
      <c r="X2430" t="s">
        <v>92</v>
      </c>
      <c r="Y2430" t="s">
        <v>110</v>
      </c>
      <c r="Z2430">
        <v>7886</v>
      </c>
      <c r="AA2430">
        <v>27</v>
      </c>
      <c r="AB2430">
        <v>42</v>
      </c>
      <c r="AC2430" t="s">
        <v>4427</v>
      </c>
      <c r="AD2430" t="s">
        <v>4428</v>
      </c>
      <c r="AE2430" t="s">
        <v>4429</v>
      </c>
      <c r="AF2430" t="s">
        <v>4430</v>
      </c>
      <c r="AG2430" t="s">
        <v>4431</v>
      </c>
      <c r="AH2430" t="s">
        <v>4432</v>
      </c>
      <c r="AI2430" t="s">
        <v>4433</v>
      </c>
      <c r="AJ2430" s="2">
        <v>45847.727812500001</v>
      </c>
      <c r="AK2430" t="s">
        <v>4427</v>
      </c>
      <c r="AL2430" t="s">
        <v>65</v>
      </c>
      <c r="AM2430" s="4">
        <v>0.25</v>
      </c>
      <c r="AN2430" t="s">
        <v>66</v>
      </c>
      <c r="AO2430" t="s">
        <v>67</v>
      </c>
    </row>
    <row r="2431" spans="1:41" x14ac:dyDescent="0.2">
      <c r="A2431">
        <v>368349</v>
      </c>
      <c r="B2431" t="s">
        <v>15405</v>
      </c>
      <c r="C2431" t="s">
        <v>662</v>
      </c>
      <c r="D2431" t="s">
        <v>6607</v>
      </c>
      <c r="E2431" t="s">
        <v>15406</v>
      </c>
      <c r="G2431" s="1">
        <v>42969</v>
      </c>
      <c r="H2431" s="1">
        <v>45609</v>
      </c>
      <c r="I2431" s="1">
        <v>45931</v>
      </c>
      <c r="J2431" t="s">
        <v>45</v>
      </c>
      <c r="K2431" t="s">
        <v>45</v>
      </c>
      <c r="L2431" t="s">
        <v>72</v>
      </c>
      <c r="M2431" s="1">
        <v>43870</v>
      </c>
      <c r="N2431" t="s">
        <v>47</v>
      </c>
      <c r="O2431" t="s">
        <v>48</v>
      </c>
      <c r="P2431" t="s">
        <v>586</v>
      </c>
      <c r="Q2431" t="s">
        <v>15407</v>
      </c>
      <c r="R2431" t="s">
        <v>15408</v>
      </c>
      <c r="S2431">
        <v>864</v>
      </c>
      <c r="T2431" t="s">
        <v>92</v>
      </c>
      <c r="U2431" t="s">
        <v>1197</v>
      </c>
      <c r="V2431" t="s">
        <v>6611</v>
      </c>
      <c r="W2431" t="s">
        <v>6612</v>
      </c>
      <c r="X2431" t="s">
        <v>92</v>
      </c>
      <c r="Y2431" t="s">
        <v>110</v>
      </c>
      <c r="Z2431">
        <v>9187</v>
      </c>
      <c r="AA2431">
        <v>17</v>
      </c>
      <c r="AB2431">
        <v>28</v>
      </c>
      <c r="AC2431" t="s">
        <v>6613</v>
      </c>
      <c r="AD2431" t="s">
        <v>6614</v>
      </c>
      <c r="AE2431" t="s">
        <v>6615</v>
      </c>
      <c r="AF2431" t="s">
        <v>6616</v>
      </c>
      <c r="AG2431" t="s">
        <v>6617</v>
      </c>
      <c r="AH2431" t="s">
        <v>6618</v>
      </c>
      <c r="AJ2431" s="2">
        <v>45707.705578703702</v>
      </c>
      <c r="AK2431" t="s">
        <v>6613</v>
      </c>
      <c r="AL2431" t="s">
        <v>65</v>
      </c>
      <c r="AM2431" s="4">
        <v>2.0833333333333332E-2</v>
      </c>
      <c r="AN2431" t="s">
        <v>66</v>
      </c>
      <c r="AO2431" t="s">
        <v>67</v>
      </c>
    </row>
    <row r="2432" spans="1:41" x14ac:dyDescent="0.2">
      <c r="A2432">
        <v>371929</v>
      </c>
      <c r="B2432" t="s">
        <v>15409</v>
      </c>
      <c r="C2432" t="s">
        <v>182</v>
      </c>
      <c r="D2432" t="s">
        <v>610</v>
      </c>
      <c r="E2432" t="s">
        <v>15410</v>
      </c>
      <c r="F2432">
        <v>45737</v>
      </c>
      <c r="G2432" s="1">
        <v>37344</v>
      </c>
      <c r="H2432" s="1">
        <v>45790</v>
      </c>
      <c r="I2432" s="1">
        <v>46174</v>
      </c>
      <c r="J2432" t="s">
        <v>45</v>
      </c>
      <c r="K2432" t="s">
        <v>45</v>
      </c>
      <c r="L2432" t="s">
        <v>72</v>
      </c>
      <c r="N2432" t="s">
        <v>47</v>
      </c>
      <c r="O2432" t="s">
        <v>48</v>
      </c>
      <c r="P2432" t="s">
        <v>49</v>
      </c>
      <c r="Q2432" t="s">
        <v>15411</v>
      </c>
      <c r="R2432" t="s">
        <v>15412</v>
      </c>
      <c r="S2432">
        <v>425</v>
      </c>
      <c r="T2432" t="s">
        <v>156</v>
      </c>
      <c r="U2432" t="s">
        <v>1079</v>
      </c>
      <c r="V2432" t="s">
        <v>14960</v>
      </c>
      <c r="W2432" t="s">
        <v>159</v>
      </c>
      <c r="X2432" t="s">
        <v>156</v>
      </c>
      <c r="Y2432" t="s">
        <v>110</v>
      </c>
      <c r="Z2432">
        <v>2136</v>
      </c>
      <c r="AA2432">
        <v>34</v>
      </c>
      <c r="AB2432">
        <v>66</v>
      </c>
      <c r="AC2432" t="s">
        <v>14961</v>
      </c>
      <c r="AD2432" t="s">
        <v>14962</v>
      </c>
      <c r="AE2432" t="s">
        <v>14963</v>
      </c>
      <c r="AF2432" t="s">
        <v>14964</v>
      </c>
      <c r="AG2432" t="s">
        <v>14965</v>
      </c>
      <c r="AH2432" t="s">
        <v>14966</v>
      </c>
      <c r="AI2432" t="s">
        <v>1084</v>
      </c>
      <c r="AJ2432" s="2">
        <v>45824.942719907405</v>
      </c>
      <c r="AK2432" t="s">
        <v>14964</v>
      </c>
      <c r="AL2432" t="s">
        <v>65</v>
      </c>
      <c r="AM2432" s="3">
        <v>2.0902777777777777</v>
      </c>
      <c r="AN2432" t="s">
        <v>66</v>
      </c>
      <c r="AO2432" t="s">
        <v>67</v>
      </c>
    </row>
    <row r="2433" spans="1:41" x14ac:dyDescent="0.2">
      <c r="A2433">
        <v>370092</v>
      </c>
      <c r="B2433" t="s">
        <v>15413</v>
      </c>
      <c r="C2433" t="s">
        <v>182</v>
      </c>
      <c r="D2433" t="s">
        <v>610</v>
      </c>
      <c r="E2433" t="s">
        <v>15414</v>
      </c>
      <c r="F2433">
        <v>45746</v>
      </c>
      <c r="G2433" s="1">
        <v>40080</v>
      </c>
      <c r="H2433" s="1">
        <v>45756</v>
      </c>
      <c r="J2433" t="s">
        <v>45</v>
      </c>
      <c r="K2433" t="s">
        <v>45</v>
      </c>
      <c r="L2433" t="s">
        <v>72</v>
      </c>
      <c r="N2433" t="s">
        <v>47</v>
      </c>
      <c r="O2433" t="s">
        <v>48</v>
      </c>
      <c r="P2433" t="s">
        <v>1752</v>
      </c>
      <c r="Q2433" t="s">
        <v>15415</v>
      </c>
      <c r="R2433" t="s">
        <v>15416</v>
      </c>
      <c r="S2433">
        <v>255</v>
      </c>
      <c r="T2433" t="s">
        <v>449</v>
      </c>
      <c r="U2433" t="s">
        <v>187</v>
      </c>
      <c r="V2433" t="s">
        <v>520</v>
      </c>
      <c r="W2433" t="s">
        <v>521</v>
      </c>
      <c r="X2433" t="s">
        <v>449</v>
      </c>
      <c r="Y2433" t="s">
        <v>450</v>
      </c>
      <c r="Z2433">
        <v>3092</v>
      </c>
      <c r="AA2433">
        <v>23</v>
      </c>
      <c r="AB2433">
        <v>52</v>
      </c>
      <c r="AC2433" t="s">
        <v>12214</v>
      </c>
      <c r="AD2433" t="s">
        <v>523</v>
      </c>
      <c r="AE2433" t="s">
        <v>524</v>
      </c>
      <c r="AI2433" t="s">
        <v>523</v>
      </c>
      <c r="AJ2433" s="2">
        <v>45763.577037037037</v>
      </c>
      <c r="AK2433" t="s">
        <v>526</v>
      </c>
      <c r="AL2433" t="s">
        <v>65</v>
      </c>
      <c r="AM2433" s="3">
        <v>2.1041666666666665</v>
      </c>
      <c r="AN2433" t="s">
        <v>66</v>
      </c>
      <c r="AO2433" t="s">
        <v>67</v>
      </c>
    </row>
    <row r="2434" spans="1:41" x14ac:dyDescent="0.2">
      <c r="A2434">
        <v>371317</v>
      </c>
      <c r="B2434" t="s">
        <v>15417</v>
      </c>
      <c r="C2434" t="s">
        <v>182</v>
      </c>
      <c r="D2434" t="s">
        <v>183</v>
      </c>
      <c r="E2434" t="s">
        <v>15418</v>
      </c>
      <c r="F2434">
        <v>45451</v>
      </c>
      <c r="G2434" s="1">
        <v>38352</v>
      </c>
      <c r="H2434" s="1">
        <v>45750</v>
      </c>
      <c r="I2434" s="1">
        <v>46037</v>
      </c>
      <c r="J2434" t="s">
        <v>45</v>
      </c>
      <c r="K2434" t="s">
        <v>45</v>
      </c>
      <c r="L2434" t="s">
        <v>72</v>
      </c>
      <c r="M2434" s="1">
        <v>45798</v>
      </c>
      <c r="N2434" t="s">
        <v>47</v>
      </c>
      <c r="O2434" t="s">
        <v>48</v>
      </c>
      <c r="P2434" t="s">
        <v>49</v>
      </c>
      <c r="Q2434" t="s">
        <v>15419</v>
      </c>
      <c r="R2434" t="s">
        <v>15420</v>
      </c>
      <c r="S2434">
        <v>1770</v>
      </c>
      <c r="T2434" t="s">
        <v>92</v>
      </c>
      <c r="U2434" t="s">
        <v>187</v>
      </c>
      <c r="V2434" t="s">
        <v>188</v>
      </c>
      <c r="W2434" t="s">
        <v>189</v>
      </c>
      <c r="X2434" t="s">
        <v>92</v>
      </c>
      <c r="Y2434" t="s">
        <v>110</v>
      </c>
      <c r="Z2434">
        <v>2566</v>
      </c>
      <c r="AA2434">
        <v>53</v>
      </c>
      <c r="AB2434">
        <v>38</v>
      </c>
      <c r="AC2434" t="s">
        <v>190</v>
      </c>
      <c r="AD2434" t="s">
        <v>191</v>
      </c>
      <c r="AE2434" t="s">
        <v>192</v>
      </c>
      <c r="AF2434" t="s">
        <v>193</v>
      </c>
      <c r="AG2434" t="s">
        <v>194</v>
      </c>
      <c r="AH2434" t="s">
        <v>195</v>
      </c>
      <c r="AJ2434" s="2">
        <v>45804.880474537036</v>
      </c>
      <c r="AK2434" t="s">
        <v>190</v>
      </c>
      <c r="AL2434" t="s">
        <v>65</v>
      </c>
      <c r="AM2434" s="3">
        <v>2.3680555555555554</v>
      </c>
      <c r="AN2434" t="s">
        <v>66</v>
      </c>
      <c r="AO2434" t="s">
        <v>67</v>
      </c>
    </row>
    <row r="2435" spans="1:41" x14ac:dyDescent="0.2">
      <c r="A2435">
        <v>360523</v>
      </c>
      <c r="B2435" t="s">
        <v>15421</v>
      </c>
      <c r="C2435" t="s">
        <v>3878</v>
      </c>
      <c r="D2435" t="s">
        <v>15422</v>
      </c>
      <c r="E2435" t="s">
        <v>15423</v>
      </c>
      <c r="J2435" t="s">
        <v>45</v>
      </c>
      <c r="K2435" t="s">
        <v>45</v>
      </c>
      <c r="L2435" t="s">
        <v>72</v>
      </c>
      <c r="N2435" t="s">
        <v>89</v>
      </c>
      <c r="O2435" t="s">
        <v>48</v>
      </c>
      <c r="P2435" t="s">
        <v>49</v>
      </c>
      <c r="T2435" t="s">
        <v>52</v>
      </c>
      <c r="U2435">
        <v>8</v>
      </c>
      <c r="V2435" t="s">
        <v>4254</v>
      </c>
      <c r="W2435" t="s">
        <v>54</v>
      </c>
      <c r="X2435" t="s">
        <v>76</v>
      </c>
      <c r="Y2435" t="s">
        <v>96</v>
      </c>
      <c r="Z2435">
        <v>12006</v>
      </c>
      <c r="AA2435">
        <v>5</v>
      </c>
      <c r="AB2435">
        <v>210</v>
      </c>
      <c r="AC2435" t="s">
        <v>4255</v>
      </c>
      <c r="AD2435" t="s">
        <v>4256</v>
      </c>
      <c r="AE2435" t="s">
        <v>4257</v>
      </c>
      <c r="AF2435" t="s">
        <v>15424</v>
      </c>
      <c r="AG2435" t="s">
        <v>11828</v>
      </c>
      <c r="AH2435" t="s">
        <v>11829</v>
      </c>
      <c r="AJ2435" s="2">
        <v>45425.727222222224</v>
      </c>
      <c r="AK2435" t="s">
        <v>100</v>
      </c>
      <c r="AL2435" t="s">
        <v>65</v>
      </c>
      <c r="AM2435" s="4">
        <v>0.51388888888888884</v>
      </c>
      <c r="AN2435" t="s">
        <v>15425</v>
      </c>
      <c r="AO2435" t="s">
        <v>67</v>
      </c>
    </row>
    <row r="2436" spans="1:41" x14ac:dyDescent="0.2">
      <c r="A2436">
        <v>370643</v>
      </c>
      <c r="B2436" t="s">
        <v>15426</v>
      </c>
      <c r="C2436" t="s">
        <v>182</v>
      </c>
      <c r="D2436" t="s">
        <v>3320</v>
      </c>
      <c r="E2436" t="s">
        <v>15427</v>
      </c>
      <c r="F2436">
        <v>44917</v>
      </c>
      <c r="G2436" s="1">
        <v>42754</v>
      </c>
      <c r="H2436" s="1">
        <v>45708</v>
      </c>
      <c r="J2436" t="s">
        <v>45</v>
      </c>
      <c r="K2436" t="s">
        <v>45</v>
      </c>
      <c r="L2436" t="s">
        <v>72</v>
      </c>
      <c r="N2436" t="s">
        <v>47</v>
      </c>
      <c r="O2436" t="s">
        <v>48</v>
      </c>
      <c r="P2436" t="s">
        <v>49</v>
      </c>
      <c r="Q2436" t="s">
        <v>15428</v>
      </c>
      <c r="R2436" t="s">
        <v>15429</v>
      </c>
      <c r="S2436">
        <v>228</v>
      </c>
      <c r="T2436" t="s">
        <v>92</v>
      </c>
      <c r="U2436" t="s">
        <v>187</v>
      </c>
      <c r="V2436" t="s">
        <v>447</v>
      </c>
      <c r="W2436" t="s">
        <v>448</v>
      </c>
      <c r="X2436" t="s">
        <v>92</v>
      </c>
      <c r="Y2436" t="s">
        <v>450</v>
      </c>
      <c r="Z2436">
        <v>8587</v>
      </c>
      <c r="AA2436">
        <v>24</v>
      </c>
      <c r="AB2436">
        <v>78</v>
      </c>
      <c r="AC2436" t="s">
        <v>451</v>
      </c>
      <c r="AD2436" t="s">
        <v>4047</v>
      </c>
      <c r="AE2436" t="s">
        <v>453</v>
      </c>
      <c r="AF2436" t="s">
        <v>4029</v>
      </c>
      <c r="AG2436" t="s">
        <v>4030</v>
      </c>
      <c r="AI2436" t="s">
        <v>10828</v>
      </c>
      <c r="AJ2436" s="2">
        <v>45782.718993055554</v>
      </c>
      <c r="AK2436" t="s">
        <v>375</v>
      </c>
      <c r="AL2436" t="s">
        <v>65</v>
      </c>
      <c r="AM2436" s="3">
        <v>1.3958333333333333</v>
      </c>
      <c r="AN2436" t="s">
        <v>66</v>
      </c>
      <c r="AO2436" t="s">
        <v>67</v>
      </c>
    </row>
    <row r="2437" spans="1:41" x14ac:dyDescent="0.2">
      <c r="A2437">
        <v>373008</v>
      </c>
      <c r="B2437" t="s">
        <v>15430</v>
      </c>
      <c r="C2437" t="s">
        <v>788</v>
      </c>
      <c r="D2437" t="s">
        <v>15431</v>
      </c>
      <c r="E2437" s="5" t="s">
        <v>15432</v>
      </c>
      <c r="F2437">
        <v>82201</v>
      </c>
      <c r="G2437" s="1">
        <v>34170</v>
      </c>
      <c r="H2437" s="1">
        <v>45614</v>
      </c>
      <c r="I2437" s="1">
        <v>45992</v>
      </c>
      <c r="J2437" t="s">
        <v>45</v>
      </c>
      <c r="K2437" t="s">
        <v>45</v>
      </c>
      <c r="L2437" t="s">
        <v>46</v>
      </c>
      <c r="M2437" s="1">
        <v>43629</v>
      </c>
      <c r="N2437" t="s">
        <v>47</v>
      </c>
      <c r="O2437" t="s">
        <v>48</v>
      </c>
      <c r="P2437" t="s">
        <v>49</v>
      </c>
      <c r="Q2437" t="s">
        <v>15433</v>
      </c>
      <c r="R2437" t="s">
        <v>15434</v>
      </c>
      <c r="S2437">
        <v>35</v>
      </c>
      <c r="T2437" t="s">
        <v>52</v>
      </c>
      <c r="U2437">
        <v>8</v>
      </c>
      <c r="V2437" t="s">
        <v>793</v>
      </c>
      <c r="W2437" t="s">
        <v>54</v>
      </c>
      <c r="X2437" t="s">
        <v>76</v>
      </c>
      <c r="Y2437" t="s">
        <v>56</v>
      </c>
      <c r="Z2437">
        <v>1054</v>
      </c>
      <c r="AA2437">
        <v>57</v>
      </c>
      <c r="AB2437">
        <v>45</v>
      </c>
      <c r="AC2437" t="s">
        <v>2863</v>
      </c>
      <c r="AD2437" t="s">
        <v>2864</v>
      </c>
      <c r="AE2437" t="s">
        <v>2865</v>
      </c>
      <c r="AF2437" t="s">
        <v>2866</v>
      </c>
      <c r="AG2437" t="s">
        <v>2867</v>
      </c>
      <c r="AH2437" t="s">
        <v>2868</v>
      </c>
      <c r="AI2437" t="s">
        <v>2869</v>
      </c>
      <c r="AJ2437" s="2">
        <v>45855.999594907407</v>
      </c>
      <c r="AK2437" t="s">
        <v>556</v>
      </c>
      <c r="AL2437" t="s">
        <v>65</v>
      </c>
      <c r="AM2437" s="4">
        <v>0.82638888888888884</v>
      </c>
      <c r="AN2437" t="s">
        <v>66</v>
      </c>
      <c r="AO2437" t="s">
        <v>101</v>
      </c>
    </row>
    <row r="2438" spans="1:41" x14ac:dyDescent="0.2">
      <c r="A2438">
        <v>361597</v>
      </c>
      <c r="B2438" t="s">
        <v>15435</v>
      </c>
      <c r="C2438" t="s">
        <v>345</v>
      </c>
      <c r="E2438" t="s">
        <v>15436</v>
      </c>
      <c r="F2438">
        <v>53804</v>
      </c>
      <c r="G2438" s="1">
        <v>31076</v>
      </c>
      <c r="H2438" s="1">
        <v>45448</v>
      </c>
      <c r="I2438" s="1">
        <v>46249</v>
      </c>
      <c r="J2438" t="s">
        <v>45</v>
      </c>
      <c r="K2438" t="s">
        <v>45</v>
      </c>
      <c r="L2438" t="s">
        <v>429</v>
      </c>
      <c r="M2438" s="1">
        <v>44781</v>
      </c>
      <c r="N2438" t="s">
        <v>47</v>
      </c>
      <c r="O2438" t="s">
        <v>48</v>
      </c>
      <c r="P2438" t="s">
        <v>49</v>
      </c>
      <c r="Q2438" t="s">
        <v>15437</v>
      </c>
      <c r="R2438" t="s">
        <v>15438</v>
      </c>
      <c r="S2438">
        <v>7932</v>
      </c>
      <c r="T2438" t="s">
        <v>52</v>
      </c>
      <c r="U2438">
        <v>2</v>
      </c>
      <c r="V2438" t="s">
        <v>8005</v>
      </c>
      <c r="W2438" t="s">
        <v>54</v>
      </c>
      <c r="X2438" t="s">
        <v>55</v>
      </c>
      <c r="Y2438" t="s">
        <v>56</v>
      </c>
      <c r="Z2438">
        <v>597</v>
      </c>
      <c r="AA2438">
        <v>53</v>
      </c>
      <c r="AB2438">
        <v>158</v>
      </c>
      <c r="AC2438" t="s">
        <v>8012</v>
      </c>
      <c r="AD2438" t="s">
        <v>8007</v>
      </c>
      <c r="AE2438" t="s">
        <v>8008</v>
      </c>
      <c r="AF2438" t="s">
        <v>8009</v>
      </c>
      <c r="AG2438" t="s">
        <v>8010</v>
      </c>
      <c r="AH2438" t="s">
        <v>8011</v>
      </c>
      <c r="AI2438" t="s">
        <v>15439</v>
      </c>
      <c r="AJ2438" s="2">
        <v>45457.729444444441</v>
      </c>
      <c r="AK2438" t="s">
        <v>609</v>
      </c>
      <c r="AL2438" t="s">
        <v>65</v>
      </c>
      <c r="AM2438" s="3">
        <v>2.2847222222222223</v>
      </c>
      <c r="AN2438" t="s">
        <v>66</v>
      </c>
      <c r="AO2438" t="s">
        <v>67</v>
      </c>
    </row>
    <row r="2439" spans="1:41" x14ac:dyDescent="0.2">
      <c r="A2439">
        <v>372334</v>
      </c>
      <c r="B2439" t="s">
        <v>15440</v>
      </c>
      <c r="C2439" t="s">
        <v>1013</v>
      </c>
      <c r="D2439" t="s">
        <v>15441</v>
      </c>
      <c r="E2439">
        <v>32553302</v>
      </c>
      <c r="F2439">
        <v>323804</v>
      </c>
      <c r="G2439" s="1">
        <v>35643</v>
      </c>
      <c r="H2439" s="1">
        <v>45834</v>
      </c>
      <c r="I2439" s="1">
        <v>46174</v>
      </c>
      <c r="J2439" t="s">
        <v>45</v>
      </c>
      <c r="K2439" t="s">
        <v>45</v>
      </c>
      <c r="L2439" t="s">
        <v>72</v>
      </c>
      <c r="M2439" s="1">
        <v>40352</v>
      </c>
      <c r="N2439" t="s">
        <v>47</v>
      </c>
      <c r="O2439" t="s">
        <v>48</v>
      </c>
      <c r="P2439" t="s">
        <v>49</v>
      </c>
      <c r="Q2439" t="s">
        <v>15442</v>
      </c>
      <c r="R2439" t="s">
        <v>15443</v>
      </c>
      <c r="S2439">
        <v>2748</v>
      </c>
      <c r="T2439" t="s">
        <v>365</v>
      </c>
      <c r="U2439" t="s">
        <v>969</v>
      </c>
      <c r="V2439" t="s">
        <v>15444</v>
      </c>
      <c r="W2439" t="s">
        <v>367</v>
      </c>
      <c r="X2439" t="s">
        <v>76</v>
      </c>
      <c r="Y2439" t="s">
        <v>434</v>
      </c>
      <c r="Z2439">
        <v>1326</v>
      </c>
      <c r="AA2439">
        <v>63</v>
      </c>
      <c r="AB2439">
        <v>158</v>
      </c>
      <c r="AC2439" t="s">
        <v>15445</v>
      </c>
      <c r="AD2439" t="s">
        <v>15446</v>
      </c>
      <c r="AE2439" t="s">
        <v>15447</v>
      </c>
      <c r="AI2439" t="s">
        <v>179</v>
      </c>
      <c r="AJ2439" s="2">
        <v>45838.603009259263</v>
      </c>
      <c r="AK2439" t="s">
        <v>540</v>
      </c>
      <c r="AL2439" t="s">
        <v>65</v>
      </c>
      <c r="AM2439" s="3">
        <v>1.2777777777777777</v>
      </c>
      <c r="AN2439" t="s">
        <v>66</v>
      </c>
      <c r="AO2439" t="s">
        <v>67</v>
      </c>
    </row>
    <row r="2440" spans="1:41" x14ac:dyDescent="0.2">
      <c r="A2440">
        <v>369781</v>
      </c>
      <c r="B2440" t="s">
        <v>15448</v>
      </c>
      <c r="C2440" t="s">
        <v>345</v>
      </c>
      <c r="D2440" t="s">
        <v>346</v>
      </c>
      <c r="E2440" s="5" t="s">
        <v>15449</v>
      </c>
      <c r="F2440">
        <v>55503</v>
      </c>
      <c r="G2440" s="1">
        <v>38140</v>
      </c>
      <c r="H2440" s="1">
        <v>45750</v>
      </c>
      <c r="I2440" s="1">
        <v>46188</v>
      </c>
      <c r="J2440" t="s">
        <v>45</v>
      </c>
      <c r="K2440" t="s">
        <v>45</v>
      </c>
      <c r="L2440" t="s">
        <v>46</v>
      </c>
      <c r="M2440" s="1">
        <v>43718</v>
      </c>
      <c r="N2440" t="s">
        <v>47</v>
      </c>
      <c r="O2440" t="s">
        <v>48</v>
      </c>
      <c r="P2440" t="s">
        <v>49</v>
      </c>
      <c r="Q2440" t="s">
        <v>15450</v>
      </c>
      <c r="R2440" t="s">
        <v>15451</v>
      </c>
      <c r="S2440">
        <v>8279</v>
      </c>
      <c r="T2440" t="s">
        <v>257</v>
      </c>
      <c r="U2440" t="s">
        <v>283</v>
      </c>
      <c r="V2440" t="s">
        <v>15452</v>
      </c>
      <c r="W2440" t="s">
        <v>260</v>
      </c>
      <c r="X2440" t="s">
        <v>257</v>
      </c>
      <c r="Y2440" t="s">
        <v>110</v>
      </c>
      <c r="Z2440">
        <v>2575</v>
      </c>
      <c r="AA2440">
        <v>37</v>
      </c>
      <c r="AB2440">
        <v>160</v>
      </c>
      <c r="AC2440" t="s">
        <v>15453</v>
      </c>
      <c r="AD2440" t="s">
        <v>15454</v>
      </c>
      <c r="AE2440" t="s">
        <v>15455</v>
      </c>
      <c r="AF2440" t="s">
        <v>15456</v>
      </c>
      <c r="AH2440" t="s">
        <v>15457</v>
      </c>
      <c r="AI2440" t="s">
        <v>15458</v>
      </c>
      <c r="AJ2440" s="2">
        <v>45751.829247685186</v>
      </c>
      <c r="AK2440" t="s">
        <v>4843</v>
      </c>
      <c r="AL2440" t="s">
        <v>65</v>
      </c>
      <c r="AM2440" s="3">
        <v>1.8402777777777777</v>
      </c>
      <c r="AN2440" t="s">
        <v>66</v>
      </c>
      <c r="AO2440" t="s">
        <v>67</v>
      </c>
    </row>
    <row r="2441" spans="1:41" x14ac:dyDescent="0.2">
      <c r="A2441">
        <v>372232</v>
      </c>
      <c r="B2441" t="s">
        <v>15459</v>
      </c>
      <c r="C2441" t="s">
        <v>763</v>
      </c>
      <c r="D2441" t="s">
        <v>1714</v>
      </c>
      <c r="E2441" t="s">
        <v>15460</v>
      </c>
      <c r="G2441" s="1">
        <v>41838</v>
      </c>
      <c r="H2441" s="1">
        <v>45832</v>
      </c>
      <c r="J2441" t="s">
        <v>45</v>
      </c>
      <c r="K2441" t="s">
        <v>326</v>
      </c>
      <c r="L2441" t="s">
        <v>72</v>
      </c>
      <c r="M2441" s="1">
        <v>45832</v>
      </c>
      <c r="N2441" t="s">
        <v>47</v>
      </c>
      <c r="O2441" t="s">
        <v>48</v>
      </c>
      <c r="P2441" t="s">
        <v>406</v>
      </c>
      <c r="Q2441" t="s">
        <v>15461</v>
      </c>
      <c r="R2441" t="s">
        <v>15462</v>
      </c>
      <c r="S2441">
        <v>615</v>
      </c>
      <c r="T2441" t="s">
        <v>257</v>
      </c>
      <c r="U2441" t="s">
        <v>258</v>
      </c>
      <c r="V2441" t="s">
        <v>805</v>
      </c>
      <c r="W2441" t="s">
        <v>260</v>
      </c>
      <c r="X2441" t="s">
        <v>257</v>
      </c>
      <c r="Y2441" t="s">
        <v>642</v>
      </c>
      <c r="Z2441">
        <v>7106</v>
      </c>
      <c r="AA2441">
        <v>9</v>
      </c>
      <c r="AB2441">
        <v>78</v>
      </c>
      <c r="AC2441" t="s">
        <v>12692</v>
      </c>
      <c r="AD2441" t="s">
        <v>12693</v>
      </c>
      <c r="AE2441" t="s">
        <v>12694</v>
      </c>
      <c r="AI2441" t="s">
        <v>12693</v>
      </c>
      <c r="AJ2441" s="2">
        <v>45834.826469907406</v>
      </c>
      <c r="AK2441" t="s">
        <v>12692</v>
      </c>
      <c r="AL2441" t="s">
        <v>1168</v>
      </c>
      <c r="AM2441" s="4">
        <v>0.89583333333333337</v>
      </c>
      <c r="AN2441" t="s">
        <v>66</v>
      </c>
      <c r="AO2441" t="s">
        <v>67</v>
      </c>
    </row>
    <row r="2442" spans="1:41" x14ac:dyDescent="0.2">
      <c r="A2442">
        <v>369694</v>
      </c>
      <c r="B2442" t="s">
        <v>15463</v>
      </c>
      <c r="C2442" t="s">
        <v>1565</v>
      </c>
      <c r="D2442" t="s">
        <v>15464</v>
      </c>
      <c r="E2442">
        <v>83794574</v>
      </c>
      <c r="F2442">
        <v>390501</v>
      </c>
      <c r="G2442" s="1">
        <v>38485</v>
      </c>
      <c r="H2442" s="1">
        <v>45556</v>
      </c>
      <c r="J2442" t="s">
        <v>45</v>
      </c>
      <c r="K2442" t="s">
        <v>45</v>
      </c>
      <c r="L2442" t="s">
        <v>72</v>
      </c>
      <c r="M2442" s="1">
        <v>44068</v>
      </c>
      <c r="N2442" t="s">
        <v>47</v>
      </c>
      <c r="O2442" t="s">
        <v>48</v>
      </c>
      <c r="P2442" t="s">
        <v>49</v>
      </c>
      <c r="Q2442" t="s">
        <v>15465</v>
      </c>
      <c r="R2442" t="s">
        <v>15466</v>
      </c>
      <c r="S2442">
        <v>2030</v>
      </c>
      <c r="T2442" t="s">
        <v>156</v>
      </c>
      <c r="U2442" t="s">
        <v>1018</v>
      </c>
      <c r="V2442" t="s">
        <v>15467</v>
      </c>
      <c r="W2442" t="s">
        <v>159</v>
      </c>
      <c r="X2442" t="s">
        <v>156</v>
      </c>
      <c r="Y2442" t="s">
        <v>450</v>
      </c>
      <c r="Z2442">
        <v>2660</v>
      </c>
      <c r="AA2442">
        <v>43</v>
      </c>
      <c r="AB2442">
        <v>158</v>
      </c>
      <c r="AC2442" t="s">
        <v>5841</v>
      </c>
      <c r="AD2442" t="s">
        <v>5842</v>
      </c>
      <c r="AE2442" t="s">
        <v>5843</v>
      </c>
      <c r="AF2442" t="s">
        <v>5844</v>
      </c>
      <c r="AG2442" t="s">
        <v>5845</v>
      </c>
      <c r="AH2442" t="s">
        <v>5846</v>
      </c>
      <c r="AI2442" t="s">
        <v>10685</v>
      </c>
      <c r="AJ2442" s="2">
        <v>45749.58834490741</v>
      </c>
      <c r="AK2442" t="s">
        <v>1024</v>
      </c>
      <c r="AL2442" t="s">
        <v>65</v>
      </c>
      <c r="AM2442" s="4">
        <v>0.63888888888888884</v>
      </c>
      <c r="AN2442" t="s">
        <v>66</v>
      </c>
      <c r="AO2442" t="s">
        <v>67</v>
      </c>
    </row>
    <row r="2443" spans="1:41" x14ac:dyDescent="0.2">
      <c r="A2443">
        <v>362466</v>
      </c>
      <c r="B2443" t="s">
        <v>15468</v>
      </c>
      <c r="C2443" t="s">
        <v>221</v>
      </c>
      <c r="D2443" t="s">
        <v>4270</v>
      </c>
      <c r="E2443" t="s">
        <v>15469</v>
      </c>
      <c r="F2443">
        <v>15501</v>
      </c>
      <c r="G2443" s="1">
        <v>42614</v>
      </c>
      <c r="H2443" s="1">
        <v>45435</v>
      </c>
      <c r="I2443" s="1">
        <v>46113</v>
      </c>
      <c r="J2443" t="s">
        <v>45</v>
      </c>
      <c r="K2443" t="s">
        <v>45</v>
      </c>
      <c r="L2443" t="s">
        <v>72</v>
      </c>
      <c r="M2443" s="1">
        <v>45488</v>
      </c>
      <c r="N2443" t="s">
        <v>47</v>
      </c>
      <c r="O2443" t="s">
        <v>48</v>
      </c>
      <c r="P2443" t="s">
        <v>49</v>
      </c>
      <c r="Q2443" t="s">
        <v>15470</v>
      </c>
      <c r="R2443" t="s">
        <v>15471</v>
      </c>
      <c r="S2443">
        <v>528</v>
      </c>
      <c r="T2443" t="s">
        <v>92</v>
      </c>
      <c r="U2443" t="s">
        <v>226</v>
      </c>
      <c r="V2443" t="s">
        <v>227</v>
      </c>
      <c r="W2443" t="s">
        <v>228</v>
      </c>
      <c r="X2443" t="s">
        <v>92</v>
      </c>
      <c r="Y2443" t="s">
        <v>110</v>
      </c>
      <c r="Z2443">
        <v>8469</v>
      </c>
      <c r="AA2443">
        <v>20</v>
      </c>
      <c r="AB2443">
        <v>78</v>
      </c>
      <c r="AC2443" t="s">
        <v>229</v>
      </c>
      <c r="AD2443" t="s">
        <v>230</v>
      </c>
      <c r="AE2443" t="s">
        <v>231</v>
      </c>
      <c r="AF2443" t="s">
        <v>232</v>
      </c>
      <c r="AG2443" t="s">
        <v>233</v>
      </c>
      <c r="AH2443" t="s">
        <v>234</v>
      </c>
      <c r="AJ2443" s="2">
        <v>45488.803368055553</v>
      </c>
      <c r="AK2443" t="s">
        <v>229</v>
      </c>
      <c r="AL2443" t="s">
        <v>65</v>
      </c>
      <c r="AM2443" s="3">
        <v>1.0763888888888888</v>
      </c>
      <c r="AN2443" t="s">
        <v>66</v>
      </c>
      <c r="AO2443" t="s">
        <v>67</v>
      </c>
    </row>
    <row r="2444" spans="1:41" x14ac:dyDescent="0.2">
      <c r="A2444">
        <v>362252</v>
      </c>
      <c r="B2444" t="s">
        <v>15472</v>
      </c>
      <c r="C2444" t="s">
        <v>42</v>
      </c>
      <c r="D2444" t="s">
        <v>43</v>
      </c>
      <c r="E2444" t="s">
        <v>15473</v>
      </c>
      <c r="F2444">
        <v>291408</v>
      </c>
      <c r="G2444" s="1">
        <v>43504</v>
      </c>
      <c r="H2444" s="1">
        <v>45435</v>
      </c>
      <c r="J2444" t="s">
        <v>45</v>
      </c>
      <c r="K2444" t="s">
        <v>45</v>
      </c>
      <c r="L2444" t="s">
        <v>72</v>
      </c>
      <c r="M2444" s="1">
        <v>44601</v>
      </c>
      <c r="N2444" t="s">
        <v>47</v>
      </c>
      <c r="O2444" t="s">
        <v>48</v>
      </c>
      <c r="P2444" t="s">
        <v>406</v>
      </c>
      <c r="Q2444" t="s">
        <v>15474</v>
      </c>
      <c r="R2444" t="s">
        <v>15475</v>
      </c>
      <c r="S2444">
        <v>6321</v>
      </c>
      <c r="T2444" t="s">
        <v>15476</v>
      </c>
      <c r="W2444" t="s">
        <v>15477</v>
      </c>
      <c r="X2444" t="s">
        <v>15476</v>
      </c>
      <c r="Y2444" t="s">
        <v>642</v>
      </c>
      <c r="Z2444">
        <v>9766</v>
      </c>
      <c r="AA2444">
        <v>19</v>
      </c>
      <c r="AB2444">
        <v>138</v>
      </c>
      <c r="AC2444" t="s">
        <v>15478</v>
      </c>
      <c r="AD2444" t="s">
        <v>15479</v>
      </c>
      <c r="AE2444" t="s">
        <v>15480</v>
      </c>
      <c r="AI2444" t="s">
        <v>15481</v>
      </c>
      <c r="AJ2444" s="2">
        <v>45481.776435185187</v>
      </c>
      <c r="AK2444" t="s">
        <v>15482</v>
      </c>
      <c r="AL2444" t="s">
        <v>1168</v>
      </c>
      <c r="AM2444" s="3">
        <v>2.2291666666666665</v>
      </c>
      <c r="AN2444" t="s">
        <v>66</v>
      </c>
      <c r="AO2444" t="s">
        <v>67</v>
      </c>
    </row>
    <row r="2445" spans="1:41" x14ac:dyDescent="0.2">
      <c r="A2445">
        <v>371806</v>
      </c>
      <c r="B2445" t="s">
        <v>15483</v>
      </c>
      <c r="C2445" t="s">
        <v>42</v>
      </c>
      <c r="D2445" t="s">
        <v>5911</v>
      </c>
      <c r="E2445" t="s">
        <v>15484</v>
      </c>
      <c r="F2445">
        <v>290706</v>
      </c>
      <c r="G2445" s="1">
        <v>38056</v>
      </c>
      <c r="H2445" s="1">
        <v>45811</v>
      </c>
      <c r="I2445" s="1">
        <v>46174</v>
      </c>
      <c r="J2445" t="s">
        <v>45</v>
      </c>
      <c r="K2445" t="s">
        <v>45</v>
      </c>
      <c r="L2445" t="s">
        <v>545</v>
      </c>
      <c r="N2445" t="s">
        <v>47</v>
      </c>
      <c r="O2445" t="s">
        <v>48</v>
      </c>
      <c r="P2445" t="s">
        <v>49</v>
      </c>
      <c r="Q2445" t="s">
        <v>15485</v>
      </c>
      <c r="R2445" t="s">
        <v>15486</v>
      </c>
      <c r="S2445">
        <v>4978</v>
      </c>
      <c r="T2445" t="s">
        <v>296</v>
      </c>
      <c r="U2445" t="s">
        <v>2674</v>
      </c>
      <c r="V2445" t="s">
        <v>3527</v>
      </c>
      <c r="W2445" t="s">
        <v>299</v>
      </c>
      <c r="X2445" t="s">
        <v>55</v>
      </c>
      <c r="Y2445" t="s">
        <v>56</v>
      </c>
      <c r="Z2445">
        <v>2492</v>
      </c>
      <c r="AA2445">
        <v>37</v>
      </c>
      <c r="AB2445">
        <v>160</v>
      </c>
      <c r="AC2445" t="s">
        <v>3528</v>
      </c>
      <c r="AD2445" t="s">
        <v>3529</v>
      </c>
      <c r="AE2445" t="s">
        <v>3530</v>
      </c>
      <c r="AF2445" t="s">
        <v>2679</v>
      </c>
      <c r="AG2445" t="s">
        <v>2680</v>
      </c>
      <c r="AH2445" t="s">
        <v>12941</v>
      </c>
      <c r="AI2445" t="s">
        <v>12935</v>
      </c>
      <c r="AJ2445" s="2">
        <v>45819.880428240744</v>
      </c>
      <c r="AK2445" t="s">
        <v>64</v>
      </c>
      <c r="AL2445" t="s">
        <v>65</v>
      </c>
      <c r="AM2445" s="3">
        <v>1.7777777777777777</v>
      </c>
      <c r="AN2445" t="s">
        <v>66</v>
      </c>
      <c r="AO2445" t="s">
        <v>67</v>
      </c>
    </row>
    <row r="2446" spans="1:41" x14ac:dyDescent="0.2">
      <c r="A2446">
        <v>371119</v>
      </c>
      <c r="B2446" t="s">
        <v>15487</v>
      </c>
      <c r="C2446" t="s">
        <v>345</v>
      </c>
      <c r="D2446" t="s">
        <v>3608</v>
      </c>
      <c r="E2446">
        <v>32661490</v>
      </c>
      <c r="F2446">
        <v>55902</v>
      </c>
      <c r="G2446" s="1">
        <v>36356</v>
      </c>
      <c r="H2446" s="1">
        <v>45790</v>
      </c>
      <c r="I2446" s="1">
        <v>46174</v>
      </c>
      <c r="J2446" t="s">
        <v>45</v>
      </c>
      <c r="K2446" t="s">
        <v>45</v>
      </c>
      <c r="L2446" t="s">
        <v>429</v>
      </c>
      <c r="M2446" s="1">
        <v>38630</v>
      </c>
      <c r="N2446" t="s">
        <v>47</v>
      </c>
      <c r="O2446" t="s">
        <v>48</v>
      </c>
      <c r="P2446" t="s">
        <v>49</v>
      </c>
      <c r="Q2446" t="s">
        <v>15488</v>
      </c>
      <c r="R2446" t="s">
        <v>15489</v>
      </c>
      <c r="S2446">
        <v>8444</v>
      </c>
      <c r="T2446" t="s">
        <v>296</v>
      </c>
      <c r="U2446" t="s">
        <v>2674</v>
      </c>
      <c r="V2446" t="s">
        <v>5597</v>
      </c>
      <c r="W2446" t="s">
        <v>299</v>
      </c>
      <c r="X2446" t="s">
        <v>55</v>
      </c>
      <c r="Y2446" t="s">
        <v>56</v>
      </c>
      <c r="Z2446">
        <v>1646</v>
      </c>
      <c r="AA2446">
        <v>50</v>
      </c>
      <c r="AB2446">
        <v>66</v>
      </c>
      <c r="AC2446" t="s">
        <v>15490</v>
      </c>
      <c r="AD2446" t="s">
        <v>12027</v>
      </c>
      <c r="AE2446" t="s">
        <v>5600</v>
      </c>
      <c r="AF2446" t="s">
        <v>15491</v>
      </c>
      <c r="AG2446" t="s">
        <v>15492</v>
      </c>
      <c r="AH2446" t="s">
        <v>12039</v>
      </c>
      <c r="AI2446" t="s">
        <v>2682</v>
      </c>
      <c r="AJ2446" s="2">
        <v>45796.771574074075</v>
      </c>
      <c r="AK2446" t="s">
        <v>64</v>
      </c>
      <c r="AL2446" t="s">
        <v>65</v>
      </c>
      <c r="AM2446" s="4">
        <v>0.51388888888888884</v>
      </c>
      <c r="AN2446" t="s">
        <v>66</v>
      </c>
      <c r="AO2446" t="s">
        <v>67</v>
      </c>
    </row>
    <row r="2447" spans="1:41" x14ac:dyDescent="0.2">
      <c r="A2447">
        <v>370166</v>
      </c>
      <c r="B2447" t="s">
        <v>15493</v>
      </c>
      <c r="C2447" t="s">
        <v>692</v>
      </c>
      <c r="D2447" t="s">
        <v>3495</v>
      </c>
      <c r="E2447" t="s">
        <v>15494</v>
      </c>
      <c r="F2447">
        <v>482012</v>
      </c>
      <c r="G2447" s="1">
        <v>41173</v>
      </c>
      <c r="H2447" s="1">
        <v>45587</v>
      </c>
      <c r="I2447" s="1">
        <v>45931</v>
      </c>
      <c r="J2447" t="s">
        <v>45</v>
      </c>
      <c r="K2447" t="s">
        <v>45</v>
      </c>
      <c r="L2447" t="s">
        <v>72</v>
      </c>
      <c r="M2447" s="1">
        <v>42468</v>
      </c>
      <c r="N2447" t="s">
        <v>47</v>
      </c>
      <c r="O2447" t="s">
        <v>48</v>
      </c>
      <c r="P2447" t="s">
        <v>49</v>
      </c>
      <c r="Q2447" t="s">
        <v>15495</v>
      </c>
      <c r="R2447" t="s">
        <v>15496</v>
      </c>
      <c r="S2447">
        <v>8100</v>
      </c>
      <c r="T2447" t="s">
        <v>52</v>
      </c>
      <c r="U2447">
        <v>2</v>
      </c>
      <c r="V2447" t="s">
        <v>7146</v>
      </c>
      <c r="W2447" t="s">
        <v>54</v>
      </c>
      <c r="X2447" t="s">
        <v>76</v>
      </c>
      <c r="Y2447" t="s">
        <v>56</v>
      </c>
      <c r="Z2447">
        <v>5266</v>
      </c>
      <c r="AA2447">
        <v>30</v>
      </c>
      <c r="AB2447">
        <v>34</v>
      </c>
      <c r="AC2447" t="s">
        <v>6674</v>
      </c>
      <c r="AD2447" t="s">
        <v>6675</v>
      </c>
      <c r="AE2447" t="s">
        <v>6676</v>
      </c>
      <c r="AF2447" t="s">
        <v>11845</v>
      </c>
      <c r="AG2447" t="s">
        <v>11846</v>
      </c>
      <c r="AH2447" t="s">
        <v>11847</v>
      </c>
      <c r="AI2447" t="s">
        <v>179</v>
      </c>
      <c r="AJ2447" s="2">
        <v>45764.642025462963</v>
      </c>
      <c r="AK2447" t="s">
        <v>11845</v>
      </c>
      <c r="AL2447" t="s">
        <v>65</v>
      </c>
      <c r="AM2447" s="4">
        <v>0.84027777777777779</v>
      </c>
      <c r="AN2447" t="s">
        <v>66</v>
      </c>
      <c r="AO2447" t="s">
        <v>67</v>
      </c>
    </row>
    <row r="2448" spans="1:41" x14ac:dyDescent="0.2">
      <c r="A2448">
        <v>371893</v>
      </c>
      <c r="B2448" t="s">
        <v>15497</v>
      </c>
      <c r="C2448" t="s">
        <v>103</v>
      </c>
      <c r="D2448" t="s">
        <v>8887</v>
      </c>
      <c r="E2448" t="s">
        <v>15498</v>
      </c>
      <c r="F2448">
        <v>319505</v>
      </c>
      <c r="G2448" s="1">
        <v>38476</v>
      </c>
      <c r="H2448" s="1">
        <v>45068</v>
      </c>
      <c r="I2448" s="1">
        <v>46327</v>
      </c>
      <c r="J2448" t="s">
        <v>45</v>
      </c>
      <c r="K2448" t="s">
        <v>45</v>
      </c>
      <c r="L2448" t="s">
        <v>46</v>
      </c>
      <c r="M2448" s="1">
        <v>45693</v>
      </c>
      <c r="N2448" t="s">
        <v>47</v>
      </c>
      <c r="O2448" t="s">
        <v>48</v>
      </c>
      <c r="P2448" t="s">
        <v>49</v>
      </c>
      <c r="Q2448" t="s">
        <v>15499</v>
      </c>
      <c r="R2448" t="s">
        <v>15500</v>
      </c>
      <c r="S2448">
        <v>71</v>
      </c>
      <c r="T2448" t="s">
        <v>92</v>
      </c>
      <c r="U2448" t="s">
        <v>107</v>
      </c>
      <c r="V2448" t="s">
        <v>108</v>
      </c>
      <c r="W2448" t="s">
        <v>109</v>
      </c>
      <c r="X2448" t="s">
        <v>92</v>
      </c>
      <c r="Y2448" t="s">
        <v>110</v>
      </c>
      <c r="Z2448">
        <v>2731</v>
      </c>
      <c r="AA2448">
        <v>31</v>
      </c>
      <c r="AB2448">
        <v>144</v>
      </c>
      <c r="AC2448" t="s">
        <v>2022</v>
      </c>
      <c r="AD2448" t="s">
        <v>2023</v>
      </c>
      <c r="AE2448" t="s">
        <v>2024</v>
      </c>
      <c r="AF2448" t="s">
        <v>2025</v>
      </c>
      <c r="AG2448" t="s">
        <v>2026</v>
      </c>
      <c r="AH2448" t="s">
        <v>2027</v>
      </c>
      <c r="AI2448" t="s">
        <v>12868</v>
      </c>
      <c r="AJ2448" s="2">
        <v>45824.528668981482</v>
      </c>
      <c r="AK2448" t="s">
        <v>132</v>
      </c>
      <c r="AL2448" t="s">
        <v>65</v>
      </c>
      <c r="AM2448" s="4">
        <v>0.81944444444444442</v>
      </c>
      <c r="AN2448" t="s">
        <v>66</v>
      </c>
      <c r="AO2448" t="s">
        <v>67</v>
      </c>
    </row>
    <row r="2449" spans="1:41" x14ac:dyDescent="0.2">
      <c r="A2449">
        <v>359264</v>
      </c>
      <c r="B2449" t="s">
        <v>15501</v>
      </c>
      <c r="C2449" t="s">
        <v>182</v>
      </c>
      <c r="D2449" t="s">
        <v>3934</v>
      </c>
      <c r="E2449">
        <v>32905540</v>
      </c>
      <c r="F2449">
        <v>43915</v>
      </c>
      <c r="G2449" s="1">
        <v>39399</v>
      </c>
      <c r="H2449" s="1">
        <v>44335</v>
      </c>
      <c r="J2449" t="s">
        <v>45</v>
      </c>
      <c r="K2449" t="s">
        <v>72</v>
      </c>
      <c r="L2449" t="s">
        <v>72</v>
      </c>
      <c r="N2449" t="s">
        <v>47</v>
      </c>
      <c r="O2449" t="s">
        <v>48</v>
      </c>
      <c r="P2449" t="s">
        <v>586</v>
      </c>
      <c r="Q2449" t="s">
        <v>15502</v>
      </c>
      <c r="R2449" t="s">
        <v>15503</v>
      </c>
      <c r="S2449">
        <v>675</v>
      </c>
      <c r="T2449" t="s">
        <v>92</v>
      </c>
      <c r="U2449" t="s">
        <v>187</v>
      </c>
      <c r="V2449" t="s">
        <v>447</v>
      </c>
      <c r="W2449" t="s">
        <v>448</v>
      </c>
      <c r="X2449" t="s">
        <v>449</v>
      </c>
      <c r="Y2449" t="s">
        <v>450</v>
      </c>
      <c r="Z2449">
        <v>2961</v>
      </c>
      <c r="AA2449">
        <v>18</v>
      </c>
      <c r="AB2449">
        <v>66</v>
      </c>
      <c r="AC2449" t="s">
        <v>15504</v>
      </c>
      <c r="AD2449" t="s">
        <v>15505</v>
      </c>
      <c r="AE2449" t="s">
        <v>15506</v>
      </c>
      <c r="AF2449" t="s">
        <v>15504</v>
      </c>
      <c r="AG2449" t="s">
        <v>15505</v>
      </c>
      <c r="AH2449" t="s">
        <v>15507</v>
      </c>
      <c r="AI2449" t="s">
        <v>15508</v>
      </c>
      <c r="AJ2449" s="2">
        <v>45386.804328703707</v>
      </c>
      <c r="AK2449" t="s">
        <v>149</v>
      </c>
      <c r="AL2449" t="s">
        <v>475</v>
      </c>
      <c r="AM2449" s="3">
        <v>2.1805555555555554</v>
      </c>
      <c r="AN2449" t="s">
        <v>66</v>
      </c>
      <c r="AO2449" t="s">
        <v>67</v>
      </c>
    </row>
    <row r="2450" spans="1:41" x14ac:dyDescent="0.2">
      <c r="A2450">
        <v>368805</v>
      </c>
      <c r="B2450" t="s">
        <v>15509</v>
      </c>
      <c r="C2450" t="s">
        <v>662</v>
      </c>
      <c r="D2450" t="s">
        <v>8484</v>
      </c>
      <c r="E2450" t="s">
        <v>15510</v>
      </c>
      <c r="F2450">
        <v>418602</v>
      </c>
      <c r="G2450" s="1">
        <v>36089</v>
      </c>
      <c r="H2450" s="1">
        <v>45714</v>
      </c>
      <c r="I2450" s="1">
        <v>46054</v>
      </c>
      <c r="J2450" t="s">
        <v>45</v>
      </c>
      <c r="K2450" t="s">
        <v>45</v>
      </c>
      <c r="L2450" t="s">
        <v>46</v>
      </c>
      <c r="M2450" s="1">
        <v>42628</v>
      </c>
      <c r="N2450" t="s">
        <v>47</v>
      </c>
      <c r="O2450" t="s">
        <v>48</v>
      </c>
      <c r="P2450" t="s">
        <v>49</v>
      </c>
      <c r="Q2450" t="s">
        <v>15511</v>
      </c>
      <c r="R2450" t="s">
        <v>15512</v>
      </c>
      <c r="S2450">
        <v>90</v>
      </c>
      <c r="T2450" t="s">
        <v>156</v>
      </c>
      <c r="U2450" t="s">
        <v>667</v>
      </c>
      <c r="V2450" t="s">
        <v>886</v>
      </c>
      <c r="W2450" t="s">
        <v>159</v>
      </c>
      <c r="X2450" t="s">
        <v>55</v>
      </c>
      <c r="Y2450" t="s">
        <v>56</v>
      </c>
      <c r="Z2450">
        <v>1502</v>
      </c>
      <c r="AA2450">
        <v>44</v>
      </c>
      <c r="AB2450">
        <v>158</v>
      </c>
      <c r="AC2450" t="s">
        <v>887</v>
      </c>
      <c r="AD2450" t="s">
        <v>888</v>
      </c>
      <c r="AE2450" t="s">
        <v>889</v>
      </c>
      <c r="AF2450" t="s">
        <v>10612</v>
      </c>
      <c r="AG2450" t="s">
        <v>10613</v>
      </c>
      <c r="AH2450" t="s">
        <v>10614</v>
      </c>
      <c r="AI2450" t="s">
        <v>179</v>
      </c>
      <c r="AJ2450" s="2">
        <v>45722.616041666668</v>
      </c>
      <c r="AK2450" t="s">
        <v>307</v>
      </c>
      <c r="AL2450" t="s">
        <v>65</v>
      </c>
      <c r="AM2450" s="3">
        <v>1.875</v>
      </c>
      <c r="AN2450" t="s">
        <v>66</v>
      </c>
      <c r="AO2450" t="s">
        <v>67</v>
      </c>
    </row>
    <row r="2451" spans="1:41" x14ac:dyDescent="0.2">
      <c r="A2451">
        <v>368785</v>
      </c>
      <c r="B2451" t="s">
        <v>15513</v>
      </c>
      <c r="C2451" t="s">
        <v>182</v>
      </c>
      <c r="E2451" t="s">
        <v>15514</v>
      </c>
      <c r="F2451">
        <v>109702</v>
      </c>
      <c r="G2451" s="1">
        <v>34799</v>
      </c>
      <c r="H2451" s="1">
        <v>44914</v>
      </c>
      <c r="I2451" s="1">
        <v>45915</v>
      </c>
      <c r="J2451" t="s">
        <v>45</v>
      </c>
      <c r="K2451" t="s">
        <v>45</v>
      </c>
      <c r="L2451" t="s">
        <v>72</v>
      </c>
      <c r="M2451" s="1">
        <v>44914</v>
      </c>
      <c r="N2451" t="s">
        <v>47</v>
      </c>
      <c r="O2451" t="s">
        <v>48</v>
      </c>
      <c r="P2451" t="s">
        <v>1752</v>
      </c>
      <c r="Q2451" t="s">
        <v>15515</v>
      </c>
      <c r="R2451" t="s">
        <v>15516</v>
      </c>
      <c r="S2451">
        <v>360</v>
      </c>
      <c r="T2451" t="s">
        <v>257</v>
      </c>
      <c r="U2451" t="s">
        <v>640</v>
      </c>
      <c r="V2451" t="s">
        <v>656</v>
      </c>
      <c r="W2451" t="s">
        <v>260</v>
      </c>
      <c r="X2451" t="s">
        <v>257</v>
      </c>
      <c r="Y2451" t="s">
        <v>110</v>
      </c>
      <c r="Z2451">
        <v>943</v>
      </c>
      <c r="AA2451">
        <v>45</v>
      </c>
      <c r="AB2451">
        <v>160</v>
      </c>
      <c r="AC2451" t="s">
        <v>15517</v>
      </c>
      <c r="AD2451" t="s">
        <v>15518</v>
      </c>
      <c r="AE2451" t="s">
        <v>15519</v>
      </c>
      <c r="AF2451" t="s">
        <v>15520</v>
      </c>
      <c r="AG2451" t="s">
        <v>15521</v>
      </c>
      <c r="AH2451" t="s">
        <v>15522</v>
      </c>
      <c r="AI2451" t="s">
        <v>15523</v>
      </c>
      <c r="AJ2451" s="2">
        <v>45721.872881944444</v>
      </c>
      <c r="AK2451" t="s">
        <v>15517</v>
      </c>
      <c r="AL2451" t="s">
        <v>65</v>
      </c>
      <c r="AM2451" s="4">
        <v>0.54861111111111116</v>
      </c>
      <c r="AN2451" t="s">
        <v>66</v>
      </c>
      <c r="AO2451" t="s">
        <v>67</v>
      </c>
    </row>
    <row r="2452" spans="1:41" x14ac:dyDescent="0.2">
      <c r="A2452">
        <v>366658</v>
      </c>
      <c r="B2452" t="s">
        <v>15524</v>
      </c>
      <c r="C2452" t="s">
        <v>182</v>
      </c>
      <c r="D2452" t="s">
        <v>4421</v>
      </c>
      <c r="E2452" t="s">
        <v>15525</v>
      </c>
      <c r="F2452">
        <v>45216</v>
      </c>
      <c r="G2452" s="1">
        <v>32976</v>
      </c>
      <c r="H2452" s="1">
        <v>44488</v>
      </c>
      <c r="I2452" s="1">
        <v>45915</v>
      </c>
      <c r="J2452" t="s">
        <v>45</v>
      </c>
      <c r="K2452" t="s">
        <v>45</v>
      </c>
      <c r="L2452" t="s">
        <v>72</v>
      </c>
      <c r="M2452" s="1">
        <v>44217</v>
      </c>
      <c r="N2452" t="s">
        <v>47</v>
      </c>
      <c r="O2452" t="s">
        <v>48</v>
      </c>
      <c r="P2452" t="s">
        <v>49</v>
      </c>
      <c r="Q2452" t="s">
        <v>15526</v>
      </c>
      <c r="R2452" t="s">
        <v>15527</v>
      </c>
      <c r="S2452">
        <v>292</v>
      </c>
      <c r="T2452" t="s">
        <v>257</v>
      </c>
      <c r="U2452" t="s">
        <v>640</v>
      </c>
      <c r="V2452" t="s">
        <v>656</v>
      </c>
      <c r="W2452" t="s">
        <v>260</v>
      </c>
      <c r="X2452" t="s">
        <v>257</v>
      </c>
      <c r="Y2452" t="s">
        <v>110</v>
      </c>
      <c r="Z2452">
        <v>506</v>
      </c>
      <c r="AA2452">
        <v>38</v>
      </c>
      <c r="AB2452">
        <v>160</v>
      </c>
      <c r="AC2452" t="s">
        <v>657</v>
      </c>
      <c r="AD2452" t="s">
        <v>658</v>
      </c>
      <c r="AE2452" t="s">
        <v>659</v>
      </c>
      <c r="AF2452" t="s">
        <v>15528</v>
      </c>
      <c r="AG2452" t="s">
        <v>15529</v>
      </c>
      <c r="AH2452" t="s">
        <v>15530</v>
      </c>
      <c r="AI2452" t="s">
        <v>15523</v>
      </c>
      <c r="AJ2452" s="2">
        <v>45631.757835648146</v>
      </c>
      <c r="AK2452" t="s">
        <v>657</v>
      </c>
      <c r="AL2452" t="s">
        <v>65</v>
      </c>
      <c r="AM2452" s="4">
        <v>0.56388888888888888</v>
      </c>
      <c r="AN2452" t="s">
        <v>66</v>
      </c>
      <c r="AO2452" t="s">
        <v>67</v>
      </c>
    </row>
    <row r="2453" spans="1:41" x14ac:dyDescent="0.2">
      <c r="A2453">
        <v>370936</v>
      </c>
      <c r="B2453" t="s">
        <v>15531</v>
      </c>
      <c r="C2453" t="s">
        <v>182</v>
      </c>
      <c r="D2453" t="s">
        <v>183</v>
      </c>
      <c r="E2453" t="s">
        <v>15532</v>
      </c>
      <c r="F2453">
        <v>45437</v>
      </c>
      <c r="G2453" s="1">
        <v>33975</v>
      </c>
      <c r="H2453" s="1">
        <v>45785</v>
      </c>
      <c r="I2453" s="1">
        <v>46068</v>
      </c>
      <c r="J2453" t="s">
        <v>45</v>
      </c>
      <c r="K2453" t="s">
        <v>45</v>
      </c>
      <c r="L2453" t="s">
        <v>72</v>
      </c>
      <c r="M2453" s="1">
        <v>42810</v>
      </c>
      <c r="N2453" t="s">
        <v>47</v>
      </c>
      <c r="O2453" t="s">
        <v>48</v>
      </c>
      <c r="P2453" t="s">
        <v>49</v>
      </c>
      <c r="Q2453" t="s">
        <v>15533</v>
      </c>
      <c r="R2453" t="s">
        <v>15534</v>
      </c>
      <c r="S2453">
        <v>500</v>
      </c>
      <c r="T2453" t="s">
        <v>92</v>
      </c>
      <c r="U2453" t="s">
        <v>187</v>
      </c>
      <c r="V2453" t="s">
        <v>188</v>
      </c>
      <c r="W2453" t="s">
        <v>189</v>
      </c>
      <c r="X2453" t="s">
        <v>92</v>
      </c>
      <c r="Y2453" t="s">
        <v>110</v>
      </c>
      <c r="Z2453">
        <v>1304</v>
      </c>
      <c r="AA2453">
        <v>64</v>
      </c>
      <c r="AB2453">
        <v>38</v>
      </c>
      <c r="AC2453" t="s">
        <v>190</v>
      </c>
      <c r="AD2453" t="s">
        <v>191</v>
      </c>
      <c r="AE2453" t="s">
        <v>15535</v>
      </c>
      <c r="AF2453" t="s">
        <v>193</v>
      </c>
      <c r="AG2453" t="s">
        <v>194</v>
      </c>
      <c r="AH2453" t="s">
        <v>195</v>
      </c>
      <c r="AJ2453" s="2">
        <v>45790.892256944448</v>
      </c>
      <c r="AK2453" t="s">
        <v>190</v>
      </c>
      <c r="AL2453" t="s">
        <v>65</v>
      </c>
      <c r="AM2453" s="3">
        <v>2.3770833333333332</v>
      </c>
      <c r="AN2453" t="s">
        <v>66</v>
      </c>
      <c r="AO2453" t="s">
        <v>67</v>
      </c>
    </row>
    <row r="2454" spans="1:41" x14ac:dyDescent="0.2">
      <c r="A2454">
        <v>367644</v>
      </c>
      <c r="B2454" t="s">
        <v>15536</v>
      </c>
      <c r="C2454" t="s">
        <v>42</v>
      </c>
      <c r="D2454" t="s">
        <v>846</v>
      </c>
      <c r="E2454" t="s">
        <v>15537</v>
      </c>
      <c r="F2454">
        <v>290998</v>
      </c>
      <c r="G2454" s="1">
        <v>45684</v>
      </c>
      <c r="H2454" s="1">
        <v>45685</v>
      </c>
      <c r="I2454" s="1">
        <v>45931</v>
      </c>
      <c r="J2454" t="s">
        <v>45</v>
      </c>
      <c r="K2454" t="s">
        <v>45</v>
      </c>
      <c r="L2454" t="s">
        <v>72</v>
      </c>
      <c r="N2454" t="s">
        <v>89</v>
      </c>
      <c r="O2454" t="s">
        <v>121</v>
      </c>
      <c r="P2454" t="s">
        <v>49</v>
      </c>
      <c r="Q2454" t="s">
        <v>15538</v>
      </c>
      <c r="R2454" t="s">
        <v>15539</v>
      </c>
      <c r="S2454">
        <v>7710</v>
      </c>
      <c r="T2454" t="s">
        <v>52</v>
      </c>
      <c r="U2454">
        <v>3</v>
      </c>
      <c r="V2454" t="s">
        <v>1759</v>
      </c>
      <c r="W2454" t="s">
        <v>54</v>
      </c>
      <c r="X2454" t="s">
        <v>76</v>
      </c>
      <c r="Y2454" t="s">
        <v>125</v>
      </c>
      <c r="Z2454">
        <v>2740</v>
      </c>
      <c r="AA2454">
        <v>68</v>
      </c>
      <c r="AB2454">
        <v>158</v>
      </c>
      <c r="AC2454" t="s">
        <v>5734</v>
      </c>
      <c r="AD2454" t="s">
        <v>1761</v>
      </c>
      <c r="AE2454" t="s">
        <v>15540</v>
      </c>
      <c r="AJ2454" s="2">
        <v>45685.512303240743</v>
      </c>
      <c r="AK2454" t="s">
        <v>132</v>
      </c>
      <c r="AL2454" t="s">
        <v>65</v>
      </c>
      <c r="AM2454" s="3">
        <v>2.2361111111111112</v>
      </c>
      <c r="AN2454" t="s">
        <v>66</v>
      </c>
      <c r="AO2454" t="s">
        <v>67</v>
      </c>
    </row>
    <row r="2455" spans="1:41" x14ac:dyDescent="0.2">
      <c r="A2455">
        <v>371646</v>
      </c>
      <c r="B2455" t="s">
        <v>15541</v>
      </c>
      <c r="C2455" t="s">
        <v>42</v>
      </c>
      <c r="D2455" t="s">
        <v>846</v>
      </c>
      <c r="E2455" t="s">
        <v>15542</v>
      </c>
      <c r="F2455">
        <v>290901</v>
      </c>
      <c r="G2455" s="1">
        <v>36557</v>
      </c>
      <c r="H2455" s="1">
        <v>45812</v>
      </c>
      <c r="I2455" s="1">
        <v>46143</v>
      </c>
      <c r="J2455" t="s">
        <v>45</v>
      </c>
      <c r="K2455" t="s">
        <v>45</v>
      </c>
      <c r="L2455" t="s">
        <v>46</v>
      </c>
      <c r="N2455" t="s">
        <v>47</v>
      </c>
      <c r="O2455" t="s">
        <v>48</v>
      </c>
      <c r="P2455" t="s">
        <v>49</v>
      </c>
      <c r="Q2455" t="s">
        <v>15543</v>
      </c>
      <c r="R2455" t="s">
        <v>15544</v>
      </c>
      <c r="S2455">
        <v>7749</v>
      </c>
      <c r="T2455" t="s">
        <v>52</v>
      </c>
      <c r="U2455">
        <v>3</v>
      </c>
      <c r="V2455" t="s">
        <v>1759</v>
      </c>
      <c r="W2455" t="s">
        <v>54</v>
      </c>
      <c r="X2455" t="s">
        <v>55</v>
      </c>
      <c r="Y2455" t="s">
        <v>56</v>
      </c>
      <c r="Z2455">
        <v>743</v>
      </c>
      <c r="AA2455">
        <v>55</v>
      </c>
      <c r="AB2455">
        <v>160</v>
      </c>
      <c r="AC2455" t="s">
        <v>1760</v>
      </c>
      <c r="AD2455" t="s">
        <v>1761</v>
      </c>
      <c r="AE2455" t="s">
        <v>1762</v>
      </c>
      <c r="AF2455" t="s">
        <v>1763</v>
      </c>
      <c r="AG2455" t="s">
        <v>1764</v>
      </c>
      <c r="AH2455" t="s">
        <v>1765</v>
      </c>
      <c r="AI2455" t="s">
        <v>1809</v>
      </c>
      <c r="AJ2455" s="2">
        <v>45817.801944444444</v>
      </c>
      <c r="AK2455" t="s">
        <v>609</v>
      </c>
      <c r="AL2455" t="s">
        <v>65</v>
      </c>
      <c r="AM2455" s="3">
        <v>2.2083333333333335</v>
      </c>
      <c r="AN2455" t="s">
        <v>66</v>
      </c>
      <c r="AO2455" t="s">
        <v>67</v>
      </c>
    </row>
    <row r="2456" spans="1:41" x14ac:dyDescent="0.2">
      <c r="A2456">
        <v>369572</v>
      </c>
      <c r="B2456" t="s">
        <v>15545</v>
      </c>
      <c r="C2456" t="s">
        <v>182</v>
      </c>
      <c r="D2456" t="s">
        <v>8772</v>
      </c>
      <c r="E2456" t="s">
        <v>15546</v>
      </c>
      <c r="F2456">
        <v>44408</v>
      </c>
      <c r="G2456" s="1">
        <v>33520</v>
      </c>
      <c r="H2456" s="1">
        <v>45741</v>
      </c>
      <c r="I2456" s="1">
        <v>46113</v>
      </c>
      <c r="J2456" t="s">
        <v>45</v>
      </c>
      <c r="K2456" t="s">
        <v>45</v>
      </c>
      <c r="L2456" t="s">
        <v>429</v>
      </c>
      <c r="M2456" s="1">
        <v>43656</v>
      </c>
      <c r="N2456" t="s">
        <v>47</v>
      </c>
      <c r="O2456" t="s">
        <v>48</v>
      </c>
      <c r="P2456" t="s">
        <v>49</v>
      </c>
      <c r="Q2456" t="s">
        <v>15547</v>
      </c>
      <c r="R2456" t="s">
        <v>15548</v>
      </c>
      <c r="S2456">
        <v>5036</v>
      </c>
      <c r="T2456" t="s">
        <v>365</v>
      </c>
      <c r="U2456" t="s">
        <v>562</v>
      </c>
      <c r="V2456" t="s">
        <v>1980</v>
      </c>
      <c r="W2456" t="s">
        <v>367</v>
      </c>
      <c r="X2456" t="s">
        <v>493</v>
      </c>
      <c r="Y2456" t="s">
        <v>434</v>
      </c>
      <c r="Z2456">
        <v>81</v>
      </c>
      <c r="AA2456">
        <v>61</v>
      </c>
      <c r="AB2456">
        <v>166</v>
      </c>
      <c r="AC2456" t="s">
        <v>1981</v>
      </c>
      <c r="AD2456" t="s">
        <v>1982</v>
      </c>
      <c r="AE2456" t="s">
        <v>4452</v>
      </c>
      <c r="AF2456" t="s">
        <v>11771</v>
      </c>
      <c r="AG2456" t="s">
        <v>11772</v>
      </c>
      <c r="AH2456" t="s">
        <v>11773</v>
      </c>
      <c r="AI2456" t="s">
        <v>500</v>
      </c>
      <c r="AJ2456" s="2">
        <v>45743.971504629626</v>
      </c>
      <c r="AK2456" t="s">
        <v>1472</v>
      </c>
      <c r="AL2456" t="s">
        <v>65</v>
      </c>
      <c r="AM2456" s="3">
        <v>2.3958333333333335</v>
      </c>
      <c r="AN2456" t="s">
        <v>66</v>
      </c>
      <c r="AO2456" t="s">
        <v>67</v>
      </c>
    </row>
    <row r="2457" spans="1:41" x14ac:dyDescent="0.2">
      <c r="A2457">
        <v>370493</v>
      </c>
      <c r="B2457" t="s">
        <v>15549</v>
      </c>
      <c r="C2457" t="s">
        <v>182</v>
      </c>
      <c r="D2457" t="s">
        <v>8640</v>
      </c>
      <c r="E2457" t="s">
        <v>15550</v>
      </c>
      <c r="F2457">
        <v>42009</v>
      </c>
      <c r="G2457" s="1">
        <v>32509</v>
      </c>
      <c r="H2457" s="1">
        <v>45769</v>
      </c>
      <c r="J2457" t="s">
        <v>45</v>
      </c>
      <c r="K2457" t="s">
        <v>326</v>
      </c>
      <c r="L2457" t="s">
        <v>72</v>
      </c>
      <c r="N2457" t="s">
        <v>47</v>
      </c>
      <c r="O2457" t="s">
        <v>48</v>
      </c>
      <c r="P2457" t="s">
        <v>49</v>
      </c>
      <c r="Q2457" t="s">
        <v>15551</v>
      </c>
      <c r="R2457" t="s">
        <v>15552</v>
      </c>
      <c r="S2457">
        <v>599</v>
      </c>
      <c r="T2457" t="s">
        <v>92</v>
      </c>
      <c r="U2457" t="s">
        <v>187</v>
      </c>
      <c r="V2457" t="s">
        <v>447</v>
      </c>
      <c r="W2457" t="s">
        <v>448</v>
      </c>
      <c r="X2457" t="s">
        <v>92</v>
      </c>
      <c r="Y2457" t="s">
        <v>450</v>
      </c>
      <c r="Z2457">
        <v>1220</v>
      </c>
      <c r="AA2457">
        <v>56</v>
      </c>
      <c r="AB2457">
        <v>66</v>
      </c>
      <c r="AC2457" t="s">
        <v>451</v>
      </c>
      <c r="AD2457" t="s">
        <v>452</v>
      </c>
      <c r="AE2457" t="s">
        <v>453</v>
      </c>
      <c r="AF2457" t="s">
        <v>454</v>
      </c>
      <c r="AG2457" t="s">
        <v>473</v>
      </c>
      <c r="AH2457" t="s">
        <v>474</v>
      </c>
      <c r="AJ2457" s="2">
        <v>45776.759467592594</v>
      </c>
      <c r="AK2457" t="s">
        <v>456</v>
      </c>
      <c r="AL2457" t="s">
        <v>65</v>
      </c>
      <c r="AM2457" s="3">
        <v>1.2152777777777777</v>
      </c>
      <c r="AN2457" t="s">
        <v>66</v>
      </c>
      <c r="AO2457" t="s">
        <v>67</v>
      </c>
    </row>
    <row r="2458" spans="1:41" x14ac:dyDescent="0.2">
      <c r="A2458">
        <v>371147</v>
      </c>
      <c r="B2458" t="s">
        <v>15553</v>
      </c>
      <c r="C2458" t="s">
        <v>182</v>
      </c>
      <c r="D2458" t="s">
        <v>4421</v>
      </c>
      <c r="E2458" t="s">
        <v>15554</v>
      </c>
      <c r="F2458">
        <v>45217</v>
      </c>
      <c r="G2458" s="1">
        <v>32981</v>
      </c>
      <c r="H2458" s="1">
        <v>45627</v>
      </c>
      <c r="I2458" s="1">
        <v>45915</v>
      </c>
      <c r="J2458" t="s">
        <v>45</v>
      </c>
      <c r="K2458" t="s">
        <v>45</v>
      </c>
      <c r="L2458" t="s">
        <v>72</v>
      </c>
      <c r="M2458" s="1">
        <v>45792</v>
      </c>
      <c r="N2458" t="s">
        <v>47</v>
      </c>
      <c r="O2458" t="s">
        <v>48</v>
      </c>
      <c r="P2458" t="s">
        <v>49</v>
      </c>
      <c r="Q2458" t="s">
        <v>15555</v>
      </c>
      <c r="R2458" t="s">
        <v>15556</v>
      </c>
      <c r="S2458">
        <v>1284</v>
      </c>
      <c r="T2458" t="s">
        <v>257</v>
      </c>
      <c r="U2458" t="s">
        <v>640</v>
      </c>
      <c r="V2458" t="s">
        <v>656</v>
      </c>
      <c r="W2458" t="s">
        <v>260</v>
      </c>
      <c r="X2458" t="s">
        <v>257</v>
      </c>
      <c r="Y2458" t="s">
        <v>110</v>
      </c>
      <c r="Z2458">
        <v>505</v>
      </c>
      <c r="AA2458">
        <v>40</v>
      </c>
      <c r="AB2458">
        <v>160</v>
      </c>
      <c r="AC2458" t="s">
        <v>657</v>
      </c>
      <c r="AD2458" t="s">
        <v>658</v>
      </c>
      <c r="AE2458" t="s">
        <v>659</v>
      </c>
      <c r="AF2458" t="s">
        <v>15528</v>
      </c>
      <c r="AG2458" t="s">
        <v>15529</v>
      </c>
      <c r="AH2458" t="s">
        <v>15530</v>
      </c>
      <c r="AJ2458" s="2">
        <v>45797.705000000002</v>
      </c>
      <c r="AK2458" t="s">
        <v>657</v>
      </c>
      <c r="AL2458" t="s">
        <v>65</v>
      </c>
      <c r="AM2458" s="4">
        <v>0.55555555555555558</v>
      </c>
      <c r="AN2458" t="s">
        <v>66</v>
      </c>
      <c r="AO2458" t="s">
        <v>67</v>
      </c>
    </row>
    <row r="2459" spans="1:41" x14ac:dyDescent="0.2">
      <c r="A2459">
        <v>366457</v>
      </c>
      <c r="B2459" t="s">
        <v>15557</v>
      </c>
      <c r="C2459" t="s">
        <v>182</v>
      </c>
      <c r="D2459" t="s">
        <v>779</v>
      </c>
      <c r="E2459" t="s">
        <v>15558</v>
      </c>
      <c r="F2459">
        <v>45623</v>
      </c>
      <c r="G2459" s="1">
        <v>33932</v>
      </c>
      <c r="H2459" s="1">
        <v>45618</v>
      </c>
      <c r="J2459" t="s">
        <v>45</v>
      </c>
      <c r="K2459" t="s">
        <v>45</v>
      </c>
      <c r="L2459" t="s">
        <v>72</v>
      </c>
      <c r="N2459" t="s">
        <v>47</v>
      </c>
      <c r="O2459" t="s">
        <v>48</v>
      </c>
      <c r="P2459" t="s">
        <v>49</v>
      </c>
      <c r="Q2459" t="s">
        <v>15559</v>
      </c>
      <c r="R2459" t="s">
        <v>15560</v>
      </c>
      <c r="S2459">
        <v>1987</v>
      </c>
      <c r="T2459" t="s">
        <v>92</v>
      </c>
      <c r="U2459" t="s">
        <v>187</v>
      </c>
      <c r="V2459" t="s">
        <v>447</v>
      </c>
      <c r="W2459" t="s">
        <v>448</v>
      </c>
      <c r="X2459" t="s">
        <v>92</v>
      </c>
      <c r="Y2459" t="s">
        <v>450</v>
      </c>
      <c r="Z2459">
        <v>1271</v>
      </c>
      <c r="AA2459">
        <v>40</v>
      </c>
      <c r="AB2459">
        <v>144</v>
      </c>
      <c r="AC2459" t="s">
        <v>451</v>
      </c>
      <c r="AD2459" t="s">
        <v>452</v>
      </c>
      <c r="AE2459" t="s">
        <v>453</v>
      </c>
      <c r="AF2459" t="s">
        <v>454</v>
      </c>
      <c r="AG2459" t="s">
        <v>473</v>
      </c>
      <c r="AH2459" t="s">
        <v>474</v>
      </c>
      <c r="AJ2459" s="2">
        <v>45622.641435185185</v>
      </c>
      <c r="AK2459" t="s">
        <v>456</v>
      </c>
      <c r="AL2459" t="s">
        <v>65</v>
      </c>
      <c r="AM2459" s="3">
        <v>2.2847222222222223</v>
      </c>
      <c r="AN2459" t="s">
        <v>66</v>
      </c>
      <c r="AO2459" t="s">
        <v>67</v>
      </c>
    </row>
    <row r="2460" spans="1:41" x14ac:dyDescent="0.2">
      <c r="A2460">
        <v>368544</v>
      </c>
      <c r="B2460" t="s">
        <v>15561</v>
      </c>
      <c r="C2460" t="s">
        <v>151</v>
      </c>
      <c r="E2460" t="s">
        <v>15562</v>
      </c>
      <c r="F2460">
        <v>383401</v>
      </c>
      <c r="G2460" s="1">
        <v>38799</v>
      </c>
      <c r="H2460" s="1">
        <v>45707</v>
      </c>
      <c r="J2460" t="s">
        <v>45</v>
      </c>
      <c r="K2460" t="s">
        <v>72</v>
      </c>
      <c r="L2460" t="s">
        <v>72</v>
      </c>
      <c r="N2460" t="s">
        <v>47</v>
      </c>
      <c r="O2460" t="s">
        <v>48</v>
      </c>
      <c r="P2460" t="s">
        <v>49</v>
      </c>
      <c r="Q2460" t="s">
        <v>15563</v>
      </c>
      <c r="R2460" t="s">
        <v>15564</v>
      </c>
      <c r="S2460">
        <v>78</v>
      </c>
      <c r="T2460" t="s">
        <v>156</v>
      </c>
      <c r="U2460" t="s">
        <v>157</v>
      </c>
      <c r="V2460" t="s">
        <v>15561</v>
      </c>
      <c r="W2460" t="s">
        <v>159</v>
      </c>
      <c r="X2460" t="s">
        <v>156</v>
      </c>
      <c r="Y2460" t="s">
        <v>450</v>
      </c>
      <c r="Z2460">
        <v>2829</v>
      </c>
      <c r="AA2460">
        <v>30</v>
      </c>
      <c r="AB2460">
        <v>158</v>
      </c>
      <c r="AC2460" t="s">
        <v>160</v>
      </c>
      <c r="AD2460" t="s">
        <v>161</v>
      </c>
      <c r="AE2460" t="s">
        <v>162</v>
      </c>
      <c r="AF2460" t="s">
        <v>163</v>
      </c>
      <c r="AG2460" t="s">
        <v>164</v>
      </c>
      <c r="AH2460" t="s">
        <v>165</v>
      </c>
      <c r="AI2460" t="s">
        <v>15565</v>
      </c>
      <c r="AJ2460" s="2">
        <v>45714.78875</v>
      </c>
      <c r="AK2460" t="s">
        <v>526</v>
      </c>
      <c r="AL2460" t="s">
        <v>65</v>
      </c>
      <c r="AM2460" s="3">
        <v>1.8472222222222223</v>
      </c>
      <c r="AN2460" t="s">
        <v>809</v>
      </c>
      <c r="AO2460" t="s">
        <v>67</v>
      </c>
    </row>
    <row r="2461" spans="1:41" x14ac:dyDescent="0.2">
      <c r="A2461">
        <v>370245</v>
      </c>
      <c r="B2461" t="s">
        <v>15566</v>
      </c>
      <c r="C2461" t="s">
        <v>412</v>
      </c>
      <c r="D2461" t="s">
        <v>15567</v>
      </c>
      <c r="E2461" t="s">
        <v>15568</v>
      </c>
      <c r="F2461">
        <v>301901</v>
      </c>
      <c r="G2461" s="1">
        <v>38453</v>
      </c>
      <c r="H2461" s="1">
        <v>45750</v>
      </c>
      <c r="I2461" s="1">
        <v>46113</v>
      </c>
      <c r="J2461" t="s">
        <v>45</v>
      </c>
      <c r="K2461" t="s">
        <v>45</v>
      </c>
      <c r="L2461" t="s">
        <v>72</v>
      </c>
      <c r="M2461" s="1">
        <v>43493</v>
      </c>
      <c r="N2461" t="s">
        <v>47</v>
      </c>
      <c r="O2461" t="s">
        <v>48</v>
      </c>
      <c r="P2461" t="s">
        <v>49</v>
      </c>
      <c r="Q2461" t="s">
        <v>15569</v>
      </c>
      <c r="R2461" t="s">
        <v>15570</v>
      </c>
      <c r="S2461">
        <v>375</v>
      </c>
      <c r="T2461" t="s">
        <v>257</v>
      </c>
      <c r="U2461" t="s">
        <v>836</v>
      </c>
      <c r="V2461" t="s">
        <v>15571</v>
      </c>
      <c r="W2461" t="s">
        <v>260</v>
      </c>
      <c r="X2461" t="s">
        <v>257</v>
      </c>
      <c r="Y2461" t="s">
        <v>110</v>
      </c>
      <c r="Z2461">
        <v>1403</v>
      </c>
      <c r="AA2461">
        <v>36</v>
      </c>
      <c r="AB2461">
        <v>79</v>
      </c>
      <c r="AC2461" t="s">
        <v>2915</v>
      </c>
      <c r="AD2461" t="s">
        <v>2916</v>
      </c>
      <c r="AE2461" t="s">
        <v>2917</v>
      </c>
      <c r="AF2461" t="s">
        <v>2918</v>
      </c>
      <c r="AG2461" t="s">
        <v>2919</v>
      </c>
      <c r="AH2461" t="s">
        <v>2917</v>
      </c>
      <c r="AI2461" t="s">
        <v>2920</v>
      </c>
      <c r="AJ2461" s="2">
        <v>45768.616574074076</v>
      </c>
      <c r="AK2461" t="s">
        <v>2915</v>
      </c>
      <c r="AL2461" t="s">
        <v>65</v>
      </c>
      <c r="AM2461" s="3">
        <v>1.5902777777777777</v>
      </c>
      <c r="AN2461" t="s">
        <v>66</v>
      </c>
      <c r="AO2461" t="s">
        <v>101</v>
      </c>
    </row>
    <row r="2462" spans="1:41" x14ac:dyDescent="0.2">
      <c r="A2462">
        <v>369658</v>
      </c>
      <c r="B2462" t="s">
        <v>15572</v>
      </c>
      <c r="C2462" t="s">
        <v>182</v>
      </c>
      <c r="D2462" t="s">
        <v>811</v>
      </c>
      <c r="E2462" t="s">
        <v>15573</v>
      </c>
      <c r="G2462" s="1">
        <v>41355</v>
      </c>
      <c r="H2462" s="1">
        <v>45744</v>
      </c>
      <c r="J2462" t="s">
        <v>45</v>
      </c>
      <c r="K2462" t="s">
        <v>45</v>
      </c>
      <c r="L2462" t="s">
        <v>72</v>
      </c>
      <c r="M2462" s="1">
        <v>44344</v>
      </c>
      <c r="N2462" t="s">
        <v>47</v>
      </c>
      <c r="O2462" t="s">
        <v>48</v>
      </c>
      <c r="P2462" t="s">
        <v>406</v>
      </c>
      <c r="Q2462" t="s">
        <v>15574</v>
      </c>
      <c r="R2462" t="s">
        <v>15575</v>
      </c>
      <c r="S2462">
        <v>198</v>
      </c>
      <c r="T2462" t="s">
        <v>257</v>
      </c>
      <c r="U2462" t="s">
        <v>640</v>
      </c>
      <c r="V2462" t="s">
        <v>7178</v>
      </c>
      <c r="W2462" t="s">
        <v>260</v>
      </c>
      <c r="X2462" t="s">
        <v>257</v>
      </c>
      <c r="Y2462" t="s">
        <v>642</v>
      </c>
      <c r="Z2462">
        <v>6066</v>
      </c>
      <c r="AA2462">
        <v>18</v>
      </c>
      <c r="AB2462">
        <v>28</v>
      </c>
      <c r="AC2462" t="s">
        <v>6100</v>
      </c>
      <c r="AD2462" t="s">
        <v>6101</v>
      </c>
      <c r="AE2462" t="s">
        <v>6102</v>
      </c>
      <c r="AF2462" t="s">
        <v>6103</v>
      </c>
      <c r="AG2462" t="s">
        <v>7179</v>
      </c>
      <c r="AH2462" t="s">
        <v>6105</v>
      </c>
      <c r="AI2462" t="s">
        <v>6106</v>
      </c>
      <c r="AJ2462" s="2">
        <v>45748.015648148146</v>
      </c>
      <c r="AK2462" t="s">
        <v>6107</v>
      </c>
      <c r="AL2462" t="s">
        <v>1168</v>
      </c>
      <c r="AM2462" s="3">
        <v>1.4305555555555556</v>
      </c>
      <c r="AN2462" t="s">
        <v>66</v>
      </c>
      <c r="AO2462" t="s">
        <v>67</v>
      </c>
    </row>
    <row r="2463" spans="1:41" x14ac:dyDescent="0.2">
      <c r="A2463">
        <v>371116</v>
      </c>
      <c r="B2463" t="s">
        <v>15576</v>
      </c>
      <c r="C2463" t="s">
        <v>118</v>
      </c>
      <c r="D2463" t="s">
        <v>7071</v>
      </c>
      <c r="E2463">
        <v>83712434</v>
      </c>
      <c r="F2463">
        <v>21206</v>
      </c>
      <c r="G2463" s="1">
        <v>33675</v>
      </c>
      <c r="H2463" s="1">
        <v>45663</v>
      </c>
      <c r="I2463" s="1">
        <v>45976</v>
      </c>
      <c r="J2463" t="s">
        <v>45</v>
      </c>
      <c r="K2463" t="s">
        <v>45</v>
      </c>
      <c r="L2463" t="s">
        <v>429</v>
      </c>
      <c r="M2463" s="1">
        <v>41089</v>
      </c>
      <c r="N2463" t="s">
        <v>47</v>
      </c>
      <c r="O2463" t="s">
        <v>48</v>
      </c>
      <c r="P2463" t="s">
        <v>49</v>
      </c>
      <c r="Q2463" t="s">
        <v>15577</v>
      </c>
      <c r="R2463" t="s">
        <v>15578</v>
      </c>
      <c r="S2463">
        <v>3500</v>
      </c>
      <c r="T2463" t="s">
        <v>156</v>
      </c>
      <c r="U2463" t="s">
        <v>667</v>
      </c>
      <c r="V2463" t="s">
        <v>5122</v>
      </c>
      <c r="W2463" t="s">
        <v>159</v>
      </c>
      <c r="X2463" t="s">
        <v>55</v>
      </c>
      <c r="Y2463" t="s">
        <v>56</v>
      </c>
      <c r="Z2463">
        <v>476</v>
      </c>
      <c r="AA2463">
        <v>29</v>
      </c>
      <c r="AB2463">
        <v>34</v>
      </c>
      <c r="AC2463" t="s">
        <v>15579</v>
      </c>
      <c r="AD2463" t="s">
        <v>15580</v>
      </c>
      <c r="AE2463" t="s">
        <v>15581</v>
      </c>
      <c r="AF2463" t="s">
        <v>5123</v>
      </c>
      <c r="AG2463" t="s">
        <v>5124</v>
      </c>
      <c r="AH2463" t="s">
        <v>5125</v>
      </c>
      <c r="AI2463" t="s">
        <v>179</v>
      </c>
      <c r="AJ2463" s="2">
        <v>45796.756863425922</v>
      </c>
      <c r="AK2463" t="s">
        <v>15582</v>
      </c>
      <c r="AL2463" t="s">
        <v>65</v>
      </c>
      <c r="AM2463" s="4">
        <v>0.2361111111111111</v>
      </c>
      <c r="AN2463" t="s">
        <v>66</v>
      </c>
      <c r="AO2463" t="s">
        <v>67</v>
      </c>
    </row>
    <row r="2464" spans="1:41" x14ac:dyDescent="0.2">
      <c r="A2464">
        <v>369259</v>
      </c>
      <c r="B2464" t="s">
        <v>15583</v>
      </c>
      <c r="C2464" t="s">
        <v>182</v>
      </c>
      <c r="D2464" t="s">
        <v>183</v>
      </c>
      <c r="E2464" t="s">
        <v>15584</v>
      </c>
      <c r="F2464">
        <v>45412</v>
      </c>
      <c r="G2464" s="1">
        <v>34516</v>
      </c>
      <c r="H2464" s="1">
        <v>45729</v>
      </c>
      <c r="I2464" s="1">
        <v>46068</v>
      </c>
      <c r="J2464" t="s">
        <v>45</v>
      </c>
      <c r="K2464" t="s">
        <v>45</v>
      </c>
      <c r="L2464" t="s">
        <v>72</v>
      </c>
      <c r="M2464" s="1">
        <v>42802</v>
      </c>
      <c r="N2464" t="s">
        <v>47</v>
      </c>
      <c r="O2464" t="s">
        <v>48</v>
      </c>
      <c r="P2464" t="s">
        <v>49</v>
      </c>
      <c r="Q2464" t="s">
        <v>15585</v>
      </c>
      <c r="R2464" t="s">
        <v>15586</v>
      </c>
      <c r="S2464">
        <v>1450</v>
      </c>
      <c r="T2464" t="s">
        <v>92</v>
      </c>
      <c r="U2464" t="s">
        <v>187</v>
      </c>
      <c r="V2464" t="s">
        <v>188</v>
      </c>
      <c r="W2464" t="s">
        <v>189</v>
      </c>
      <c r="X2464" t="s">
        <v>92</v>
      </c>
      <c r="Y2464" t="s">
        <v>110</v>
      </c>
      <c r="Z2464">
        <v>1305</v>
      </c>
      <c r="AA2464">
        <v>61</v>
      </c>
      <c r="AB2464">
        <v>38</v>
      </c>
      <c r="AC2464" t="s">
        <v>190</v>
      </c>
      <c r="AD2464" t="s">
        <v>191</v>
      </c>
      <c r="AE2464" t="s">
        <v>192</v>
      </c>
      <c r="AF2464" t="s">
        <v>4170</v>
      </c>
      <c r="AG2464" t="s">
        <v>4171</v>
      </c>
      <c r="AH2464" t="s">
        <v>4172</v>
      </c>
      <c r="AJ2464" s="2">
        <v>45730.723449074074</v>
      </c>
      <c r="AK2464" t="s">
        <v>190</v>
      </c>
      <c r="AL2464" t="s">
        <v>65</v>
      </c>
      <c r="AM2464" s="3">
        <v>2.3819444444444446</v>
      </c>
      <c r="AN2464" t="s">
        <v>66</v>
      </c>
      <c r="AO2464" t="s">
        <v>67</v>
      </c>
    </row>
    <row r="2465" spans="1:41" x14ac:dyDescent="0.2">
      <c r="A2465">
        <v>368542</v>
      </c>
      <c r="B2465" t="s">
        <v>15587</v>
      </c>
      <c r="C2465" t="s">
        <v>197</v>
      </c>
      <c r="E2465" t="s">
        <v>15588</v>
      </c>
      <c r="F2465">
        <v>384201</v>
      </c>
      <c r="G2465" s="1">
        <v>37609</v>
      </c>
      <c r="H2465" s="1">
        <v>45708</v>
      </c>
      <c r="J2465" t="s">
        <v>45</v>
      </c>
      <c r="K2465" t="s">
        <v>72</v>
      </c>
      <c r="L2465" t="s">
        <v>72</v>
      </c>
      <c r="N2465" t="s">
        <v>47</v>
      </c>
      <c r="O2465" t="s">
        <v>48</v>
      </c>
      <c r="P2465" t="s">
        <v>49</v>
      </c>
      <c r="Q2465" t="s">
        <v>15589</v>
      </c>
      <c r="R2465" t="s">
        <v>15590</v>
      </c>
      <c r="S2465">
        <v>7</v>
      </c>
      <c r="T2465" t="s">
        <v>156</v>
      </c>
      <c r="U2465" t="s">
        <v>157</v>
      </c>
      <c r="V2465" t="s">
        <v>15587</v>
      </c>
      <c r="W2465" t="s">
        <v>159</v>
      </c>
      <c r="X2465" t="s">
        <v>156</v>
      </c>
      <c r="Y2465" t="s">
        <v>450</v>
      </c>
      <c r="Z2465">
        <v>2273</v>
      </c>
      <c r="AA2465">
        <v>37</v>
      </c>
      <c r="AB2465">
        <v>48</v>
      </c>
      <c r="AC2465" t="s">
        <v>160</v>
      </c>
      <c r="AD2465" t="s">
        <v>15591</v>
      </c>
      <c r="AE2465" t="s">
        <v>162</v>
      </c>
      <c r="AF2465" t="s">
        <v>163</v>
      </c>
      <c r="AG2465" t="s">
        <v>164</v>
      </c>
      <c r="AH2465" t="s">
        <v>165</v>
      </c>
      <c r="AI2465" t="s">
        <v>15565</v>
      </c>
      <c r="AJ2465" s="2">
        <v>45714.787314814814</v>
      </c>
      <c r="AK2465" t="s">
        <v>526</v>
      </c>
      <c r="AL2465" t="s">
        <v>65</v>
      </c>
      <c r="AM2465" s="4">
        <v>0.98611111111111116</v>
      </c>
      <c r="AN2465" t="s">
        <v>66</v>
      </c>
      <c r="AO2465" t="s">
        <v>67</v>
      </c>
    </row>
    <row r="2466" spans="1:41" x14ac:dyDescent="0.2">
      <c r="A2466">
        <v>368504</v>
      </c>
      <c r="B2466" t="s">
        <v>15592</v>
      </c>
      <c r="C2466" t="s">
        <v>151</v>
      </c>
      <c r="D2466" t="s">
        <v>15593</v>
      </c>
      <c r="E2466" t="s">
        <v>15594</v>
      </c>
      <c r="F2466">
        <v>384202</v>
      </c>
      <c r="G2466" s="1">
        <v>44523</v>
      </c>
      <c r="H2466" s="1">
        <v>44519</v>
      </c>
      <c r="I2466" s="1">
        <v>46218</v>
      </c>
      <c r="J2466" t="s">
        <v>326</v>
      </c>
      <c r="K2466" t="s">
        <v>72</v>
      </c>
      <c r="L2466" t="s">
        <v>72</v>
      </c>
      <c r="M2466" s="1">
        <v>41935</v>
      </c>
      <c r="N2466" t="s">
        <v>89</v>
      </c>
      <c r="O2466" t="s">
        <v>121</v>
      </c>
      <c r="P2466" t="s">
        <v>49</v>
      </c>
      <c r="T2466" t="s">
        <v>156</v>
      </c>
      <c r="U2466" t="s">
        <v>157</v>
      </c>
      <c r="V2466" t="s">
        <v>15587</v>
      </c>
      <c r="W2466" t="s">
        <v>159</v>
      </c>
      <c r="X2466" t="s">
        <v>156</v>
      </c>
      <c r="Y2466" t="s">
        <v>110</v>
      </c>
      <c r="Z2466">
        <v>3567</v>
      </c>
      <c r="AA2466">
        <v>35</v>
      </c>
      <c r="AB2466">
        <v>28</v>
      </c>
      <c r="AC2466" t="s">
        <v>15595</v>
      </c>
      <c r="AD2466" t="s">
        <v>15565</v>
      </c>
      <c r="AE2466" t="s">
        <v>15596</v>
      </c>
      <c r="AJ2466" s="2">
        <v>45713.860625000001</v>
      </c>
      <c r="AK2466" t="s">
        <v>100</v>
      </c>
      <c r="AL2466" t="s">
        <v>65</v>
      </c>
      <c r="AM2466" s="4">
        <v>0.99305555555555558</v>
      </c>
      <c r="AN2466" t="s">
        <v>66</v>
      </c>
      <c r="AO2466" t="s">
        <v>67</v>
      </c>
    </row>
    <row r="2467" spans="1:41" x14ac:dyDescent="0.2">
      <c r="A2467">
        <v>372966</v>
      </c>
      <c r="B2467" t="s">
        <v>15597</v>
      </c>
      <c r="C2467" t="s">
        <v>151</v>
      </c>
      <c r="D2467" t="s">
        <v>15598</v>
      </c>
      <c r="E2467">
        <v>32864166</v>
      </c>
      <c r="F2467">
        <v>383701</v>
      </c>
      <c r="G2467" s="1">
        <v>34607</v>
      </c>
      <c r="H2467" s="1">
        <v>45694</v>
      </c>
      <c r="I2467" s="1">
        <v>46082</v>
      </c>
      <c r="J2467" t="s">
        <v>45</v>
      </c>
      <c r="K2467" t="s">
        <v>45</v>
      </c>
      <c r="L2467" t="s">
        <v>46</v>
      </c>
      <c r="M2467" s="1">
        <v>44993</v>
      </c>
      <c r="N2467" t="s">
        <v>47</v>
      </c>
      <c r="O2467" t="s">
        <v>48</v>
      </c>
      <c r="P2467" t="s">
        <v>49</v>
      </c>
      <c r="Q2467" t="s">
        <v>15599</v>
      </c>
      <c r="R2467" t="s">
        <v>15600</v>
      </c>
      <c r="S2467">
        <v>330</v>
      </c>
      <c r="T2467" t="s">
        <v>52</v>
      </c>
      <c r="U2467">
        <v>8</v>
      </c>
      <c r="V2467" t="s">
        <v>15601</v>
      </c>
      <c r="W2467" t="s">
        <v>54</v>
      </c>
      <c r="X2467" t="s">
        <v>76</v>
      </c>
      <c r="Y2467" t="s">
        <v>56</v>
      </c>
      <c r="Z2467">
        <v>1073</v>
      </c>
      <c r="AA2467">
        <v>61</v>
      </c>
      <c r="AB2467">
        <v>37</v>
      </c>
      <c r="AC2467" t="s">
        <v>15602</v>
      </c>
      <c r="AD2467" t="s">
        <v>15603</v>
      </c>
      <c r="AE2467" t="s">
        <v>15604</v>
      </c>
      <c r="AF2467" t="s">
        <v>15605</v>
      </c>
      <c r="AG2467" t="s">
        <v>15606</v>
      </c>
      <c r="AH2467" t="s">
        <v>15607</v>
      </c>
      <c r="AI2467" t="s">
        <v>15603</v>
      </c>
      <c r="AJ2467" s="2">
        <v>45855.963784722226</v>
      </c>
      <c r="AK2467" t="s">
        <v>556</v>
      </c>
      <c r="AL2467" t="s">
        <v>65</v>
      </c>
      <c r="AM2467" s="4">
        <v>0.79166666666666663</v>
      </c>
      <c r="AN2467" t="s">
        <v>66</v>
      </c>
      <c r="AO2467" t="s">
        <v>101</v>
      </c>
    </row>
    <row r="2468" spans="1:41" x14ac:dyDescent="0.2">
      <c r="A2468">
        <v>372967</v>
      </c>
      <c r="B2468" t="s">
        <v>15608</v>
      </c>
      <c r="C2468" t="s">
        <v>151</v>
      </c>
      <c r="D2468" t="s">
        <v>15609</v>
      </c>
      <c r="E2468">
        <v>32865210</v>
      </c>
      <c r="F2468">
        <v>383101</v>
      </c>
      <c r="G2468" s="1">
        <v>33847</v>
      </c>
      <c r="H2468" s="1">
        <v>45694</v>
      </c>
      <c r="I2468" s="1">
        <v>46082</v>
      </c>
      <c r="J2468" t="s">
        <v>45</v>
      </c>
      <c r="K2468" t="s">
        <v>45</v>
      </c>
      <c r="L2468" t="s">
        <v>46</v>
      </c>
      <c r="M2468" s="1">
        <v>45098</v>
      </c>
      <c r="N2468" t="s">
        <v>47</v>
      </c>
      <c r="O2468" t="s">
        <v>48</v>
      </c>
      <c r="P2468" t="s">
        <v>49</v>
      </c>
      <c r="Q2468" t="s">
        <v>15610</v>
      </c>
      <c r="R2468" t="s">
        <v>15611</v>
      </c>
      <c r="S2468">
        <v>275</v>
      </c>
      <c r="T2468" t="s">
        <v>52</v>
      </c>
      <c r="U2468">
        <v>8</v>
      </c>
      <c r="V2468" t="s">
        <v>15601</v>
      </c>
      <c r="W2468" t="s">
        <v>54</v>
      </c>
      <c r="X2468" t="s">
        <v>76</v>
      </c>
      <c r="Y2468" t="s">
        <v>56</v>
      </c>
      <c r="Z2468">
        <v>1072</v>
      </c>
      <c r="AA2468">
        <v>67</v>
      </c>
      <c r="AB2468">
        <v>37</v>
      </c>
      <c r="AC2468" t="s">
        <v>15602</v>
      </c>
      <c r="AD2468" t="s">
        <v>15603</v>
      </c>
      <c r="AE2468" t="s">
        <v>15604</v>
      </c>
      <c r="AF2468" t="s">
        <v>15605</v>
      </c>
      <c r="AG2468" t="s">
        <v>15606</v>
      </c>
      <c r="AH2468" t="s">
        <v>15607</v>
      </c>
      <c r="AI2468" t="s">
        <v>15603</v>
      </c>
      <c r="AJ2468" s="2">
        <v>45855.96429398148</v>
      </c>
      <c r="AK2468" t="s">
        <v>556</v>
      </c>
      <c r="AL2468" t="s">
        <v>65</v>
      </c>
      <c r="AM2468" s="4">
        <v>0.77777777777777779</v>
      </c>
      <c r="AN2468" t="s">
        <v>66</v>
      </c>
      <c r="AO2468" t="s">
        <v>101</v>
      </c>
    </row>
    <row r="2469" spans="1:41" x14ac:dyDescent="0.2">
      <c r="A2469">
        <v>372295</v>
      </c>
      <c r="B2469" t="s">
        <v>15612</v>
      </c>
      <c r="C2469" t="s">
        <v>735</v>
      </c>
      <c r="D2469" t="s">
        <v>2559</v>
      </c>
      <c r="E2469" t="s">
        <v>15613</v>
      </c>
      <c r="F2469">
        <v>242915</v>
      </c>
      <c r="G2469" s="1">
        <v>35601</v>
      </c>
      <c r="H2469" s="1">
        <v>45834</v>
      </c>
      <c r="I2469" s="1">
        <v>46204</v>
      </c>
      <c r="J2469" t="s">
        <v>45</v>
      </c>
      <c r="K2469" t="s">
        <v>45</v>
      </c>
      <c r="L2469" t="s">
        <v>46</v>
      </c>
      <c r="M2469" s="1">
        <v>42656</v>
      </c>
      <c r="N2469" t="s">
        <v>47</v>
      </c>
      <c r="O2469" t="s">
        <v>48</v>
      </c>
      <c r="P2469" t="s">
        <v>49</v>
      </c>
      <c r="Q2469" t="s">
        <v>15614</v>
      </c>
      <c r="R2469" t="s">
        <v>15615</v>
      </c>
      <c r="S2469">
        <v>5540</v>
      </c>
      <c r="T2469" t="s">
        <v>52</v>
      </c>
      <c r="U2469">
        <v>1</v>
      </c>
      <c r="V2469" t="s">
        <v>2563</v>
      </c>
      <c r="W2469" t="s">
        <v>54</v>
      </c>
      <c r="X2469" t="s">
        <v>76</v>
      </c>
      <c r="Y2469" t="s">
        <v>56</v>
      </c>
      <c r="Z2469">
        <v>560</v>
      </c>
      <c r="AA2469">
        <v>60</v>
      </c>
      <c r="AB2469">
        <v>160</v>
      </c>
      <c r="AC2469" t="s">
        <v>2581</v>
      </c>
      <c r="AD2469" t="s">
        <v>2565</v>
      </c>
      <c r="AE2469" t="s">
        <v>2566</v>
      </c>
      <c r="AF2469" t="s">
        <v>2567</v>
      </c>
      <c r="AG2469" t="s">
        <v>2568</v>
      </c>
      <c r="AH2469" t="s">
        <v>2569</v>
      </c>
      <c r="AI2469" t="s">
        <v>6132</v>
      </c>
      <c r="AJ2469" s="2">
        <v>45837.790659722225</v>
      </c>
      <c r="AK2469" t="s">
        <v>568</v>
      </c>
      <c r="AL2469" t="s">
        <v>65</v>
      </c>
      <c r="AM2469" s="3">
        <v>2.4513888888888888</v>
      </c>
      <c r="AN2469" t="s">
        <v>66</v>
      </c>
      <c r="AO2469" t="s">
        <v>67</v>
      </c>
    </row>
    <row r="2470" spans="1:41" x14ac:dyDescent="0.2">
      <c r="A2470">
        <v>362554</v>
      </c>
      <c r="B2470" t="s">
        <v>15616</v>
      </c>
      <c r="C2470" t="s">
        <v>134</v>
      </c>
      <c r="D2470" t="s">
        <v>8818</v>
      </c>
      <c r="E2470" t="s">
        <v>15617</v>
      </c>
      <c r="F2470">
        <v>452221</v>
      </c>
      <c r="G2470" s="1">
        <v>35577</v>
      </c>
      <c r="H2470" s="1">
        <v>45488</v>
      </c>
      <c r="I2470" s="1">
        <v>46204</v>
      </c>
      <c r="J2470" t="s">
        <v>45</v>
      </c>
      <c r="K2470" t="s">
        <v>45</v>
      </c>
      <c r="L2470" t="s">
        <v>4306</v>
      </c>
      <c r="M2470" s="1">
        <v>41404</v>
      </c>
      <c r="N2470" t="s">
        <v>47</v>
      </c>
      <c r="O2470" t="s">
        <v>48</v>
      </c>
      <c r="P2470" t="s">
        <v>49</v>
      </c>
      <c r="Q2470" t="s">
        <v>15618</v>
      </c>
      <c r="R2470" t="s">
        <v>15619</v>
      </c>
      <c r="S2470">
        <v>3000</v>
      </c>
      <c r="T2470" t="s">
        <v>52</v>
      </c>
      <c r="U2470">
        <v>6</v>
      </c>
      <c r="V2470" t="s">
        <v>4158</v>
      </c>
      <c r="W2470" t="s">
        <v>54</v>
      </c>
      <c r="X2470" t="s">
        <v>76</v>
      </c>
      <c r="Y2470" t="s">
        <v>434</v>
      </c>
      <c r="Z2470">
        <v>860</v>
      </c>
      <c r="AA2470">
        <v>59</v>
      </c>
      <c r="AB2470">
        <v>30</v>
      </c>
      <c r="AC2470" t="s">
        <v>4159</v>
      </c>
      <c r="AD2470" t="s">
        <v>4160</v>
      </c>
      <c r="AE2470" t="s">
        <v>4161</v>
      </c>
      <c r="AF2470" t="s">
        <v>15620</v>
      </c>
      <c r="AG2470" t="s">
        <v>15621</v>
      </c>
      <c r="AH2470" t="s">
        <v>15622</v>
      </c>
      <c r="AI2470" t="s">
        <v>179</v>
      </c>
      <c r="AJ2470" s="2">
        <v>45490.045474537037</v>
      </c>
      <c r="AK2470" t="s">
        <v>2517</v>
      </c>
      <c r="AL2470" t="s">
        <v>65</v>
      </c>
      <c r="AM2470" s="3">
        <v>1.0625</v>
      </c>
      <c r="AN2470" t="s">
        <v>66</v>
      </c>
      <c r="AO2470" t="s">
        <v>67</v>
      </c>
    </row>
    <row r="2471" spans="1:41" x14ac:dyDescent="0.2">
      <c r="A2471">
        <v>370167</v>
      </c>
      <c r="B2471" t="s">
        <v>15623</v>
      </c>
      <c r="C2471" t="s">
        <v>692</v>
      </c>
      <c r="D2471" t="s">
        <v>413</v>
      </c>
      <c r="E2471" t="s">
        <v>15624</v>
      </c>
      <c r="F2471">
        <v>482105</v>
      </c>
      <c r="G2471" s="1">
        <v>32079</v>
      </c>
      <c r="H2471" s="1">
        <v>45587</v>
      </c>
      <c r="I2471" s="1">
        <v>45931</v>
      </c>
      <c r="J2471" t="s">
        <v>45</v>
      </c>
      <c r="K2471" t="s">
        <v>45</v>
      </c>
      <c r="L2471" t="s">
        <v>72</v>
      </c>
      <c r="M2471" s="1">
        <v>39680</v>
      </c>
      <c r="N2471" t="s">
        <v>47</v>
      </c>
      <c r="O2471" t="s">
        <v>48</v>
      </c>
      <c r="P2471" t="s">
        <v>49</v>
      </c>
      <c r="Q2471" t="s">
        <v>15625</v>
      </c>
      <c r="R2471" t="s">
        <v>15626</v>
      </c>
      <c r="S2471">
        <v>9078</v>
      </c>
      <c r="T2471" t="s">
        <v>52</v>
      </c>
      <c r="U2471">
        <v>2</v>
      </c>
      <c r="V2471" t="s">
        <v>7146</v>
      </c>
      <c r="W2471" t="s">
        <v>54</v>
      </c>
      <c r="X2471" t="s">
        <v>76</v>
      </c>
      <c r="Y2471" t="s">
        <v>56</v>
      </c>
      <c r="Z2471">
        <v>578</v>
      </c>
      <c r="AA2471">
        <v>60</v>
      </c>
      <c r="AB2471">
        <v>38</v>
      </c>
      <c r="AC2471" t="s">
        <v>6674</v>
      </c>
      <c r="AD2471" t="s">
        <v>6675</v>
      </c>
      <c r="AE2471" t="s">
        <v>6676</v>
      </c>
      <c r="AF2471" t="s">
        <v>11845</v>
      </c>
      <c r="AG2471" t="s">
        <v>11846</v>
      </c>
      <c r="AH2471" t="s">
        <v>11847</v>
      </c>
      <c r="AI2471" t="s">
        <v>179</v>
      </c>
      <c r="AJ2471" s="2">
        <v>45764.644016203703</v>
      </c>
      <c r="AK2471" t="s">
        <v>11845</v>
      </c>
      <c r="AL2471" t="s">
        <v>65</v>
      </c>
      <c r="AM2471" s="3">
        <v>2.1666666666666665</v>
      </c>
      <c r="AN2471" t="s">
        <v>66</v>
      </c>
      <c r="AO2471" t="s">
        <v>67</v>
      </c>
    </row>
    <row r="2472" spans="1:41" x14ac:dyDescent="0.2">
      <c r="A2472">
        <v>364863</v>
      </c>
      <c r="B2472" t="s">
        <v>15627</v>
      </c>
      <c r="C2472" t="s">
        <v>831</v>
      </c>
      <c r="D2472" t="s">
        <v>13009</v>
      </c>
      <c r="E2472" t="s">
        <v>15628</v>
      </c>
      <c r="F2472">
        <v>441906</v>
      </c>
      <c r="G2472" s="1">
        <v>39030</v>
      </c>
      <c r="H2472" s="1">
        <v>45532</v>
      </c>
      <c r="I2472" s="1">
        <v>46235</v>
      </c>
      <c r="J2472" t="s">
        <v>45</v>
      </c>
      <c r="K2472" t="s">
        <v>45</v>
      </c>
      <c r="L2472" t="s">
        <v>72</v>
      </c>
      <c r="M2472" s="1">
        <v>40070</v>
      </c>
      <c r="N2472" t="s">
        <v>47</v>
      </c>
      <c r="O2472" t="s">
        <v>48</v>
      </c>
      <c r="P2472" t="s">
        <v>49</v>
      </c>
      <c r="Q2472" t="s">
        <v>15629</v>
      </c>
      <c r="R2472" t="s">
        <v>15630</v>
      </c>
      <c r="S2472">
        <v>2072</v>
      </c>
      <c r="T2472" t="s">
        <v>257</v>
      </c>
      <c r="U2472" t="s">
        <v>836</v>
      </c>
      <c r="V2472" t="s">
        <v>837</v>
      </c>
      <c r="W2472" t="s">
        <v>260</v>
      </c>
      <c r="X2472" t="s">
        <v>257</v>
      </c>
      <c r="Y2472" t="s">
        <v>110</v>
      </c>
      <c r="Z2472">
        <v>1657</v>
      </c>
      <c r="AA2472">
        <v>40</v>
      </c>
      <c r="AB2472">
        <v>189</v>
      </c>
      <c r="AC2472" t="s">
        <v>838</v>
      </c>
      <c r="AD2472" t="s">
        <v>839</v>
      </c>
      <c r="AE2472" t="s">
        <v>840</v>
      </c>
      <c r="AF2472" t="s">
        <v>841</v>
      </c>
      <c r="AG2472" t="s">
        <v>842</v>
      </c>
      <c r="AH2472" t="s">
        <v>843</v>
      </c>
      <c r="AI2472" t="s">
        <v>844</v>
      </c>
      <c r="AJ2472" s="2">
        <v>45561.88821759259</v>
      </c>
      <c r="AK2472" t="s">
        <v>838</v>
      </c>
      <c r="AL2472" t="s">
        <v>65</v>
      </c>
      <c r="AM2472" s="3">
        <v>1.4965277777777777</v>
      </c>
      <c r="AN2472" t="s">
        <v>66</v>
      </c>
      <c r="AO2472" t="s">
        <v>101</v>
      </c>
    </row>
    <row r="2473" spans="1:41" x14ac:dyDescent="0.2">
      <c r="A2473">
        <v>369590</v>
      </c>
      <c r="B2473" t="s">
        <v>15631</v>
      </c>
      <c r="C2473" t="s">
        <v>69</v>
      </c>
      <c r="D2473" t="s">
        <v>5166</v>
      </c>
      <c r="E2473" t="s">
        <v>15632</v>
      </c>
      <c r="F2473">
        <v>101892</v>
      </c>
      <c r="G2473" s="1">
        <v>45484</v>
      </c>
      <c r="H2473" s="1">
        <v>45746</v>
      </c>
      <c r="I2473" s="1">
        <v>46113</v>
      </c>
      <c r="J2473" t="s">
        <v>45</v>
      </c>
      <c r="K2473" t="s">
        <v>45</v>
      </c>
      <c r="L2473" t="s">
        <v>72</v>
      </c>
      <c r="N2473" t="s">
        <v>89</v>
      </c>
      <c r="O2473" t="s">
        <v>121</v>
      </c>
      <c r="P2473" t="s">
        <v>49</v>
      </c>
      <c r="Q2473" t="s">
        <v>15633</v>
      </c>
      <c r="R2473" t="s">
        <v>15634</v>
      </c>
      <c r="S2473">
        <v>7295</v>
      </c>
      <c r="T2473" t="s">
        <v>52</v>
      </c>
      <c r="U2473">
        <v>4</v>
      </c>
      <c r="V2473" t="s">
        <v>5619</v>
      </c>
      <c r="W2473" t="s">
        <v>54</v>
      </c>
      <c r="X2473" t="s">
        <v>76</v>
      </c>
      <c r="Y2473" t="s">
        <v>125</v>
      </c>
      <c r="Z2473">
        <v>1426</v>
      </c>
      <c r="AA2473">
        <v>137</v>
      </c>
      <c r="AB2473">
        <v>160</v>
      </c>
      <c r="AC2473" t="s">
        <v>5620</v>
      </c>
      <c r="AD2473" t="s">
        <v>5621</v>
      </c>
      <c r="AE2473" t="s">
        <v>5622</v>
      </c>
      <c r="AF2473" t="s">
        <v>3690</v>
      </c>
      <c r="AG2473" t="s">
        <v>3691</v>
      </c>
      <c r="AH2473" t="s">
        <v>3692</v>
      </c>
      <c r="AI2473" t="s">
        <v>15635</v>
      </c>
      <c r="AJ2473" s="2">
        <v>45747.082025462965</v>
      </c>
      <c r="AK2473" t="s">
        <v>800</v>
      </c>
      <c r="AL2473" t="s">
        <v>65</v>
      </c>
      <c r="AM2473" s="3">
        <v>1.6527777777777777</v>
      </c>
      <c r="AN2473" t="s">
        <v>66</v>
      </c>
      <c r="AO2473" t="s">
        <v>67</v>
      </c>
    </row>
    <row r="2474" spans="1:41" x14ac:dyDescent="0.2">
      <c r="A2474">
        <v>369404</v>
      </c>
      <c r="B2474" t="s">
        <v>15636</v>
      </c>
      <c r="C2474" t="s">
        <v>69</v>
      </c>
      <c r="D2474" t="s">
        <v>7567</v>
      </c>
      <c r="E2474" t="s">
        <v>15637</v>
      </c>
      <c r="F2474">
        <v>101893</v>
      </c>
      <c r="G2474" s="1">
        <v>45504</v>
      </c>
      <c r="H2474" s="1">
        <v>45740</v>
      </c>
      <c r="I2474" s="1">
        <v>46113</v>
      </c>
      <c r="J2474" t="s">
        <v>45</v>
      </c>
      <c r="K2474" t="s">
        <v>45</v>
      </c>
      <c r="L2474" t="s">
        <v>72</v>
      </c>
      <c r="N2474" t="s">
        <v>89</v>
      </c>
      <c r="O2474" t="s">
        <v>121</v>
      </c>
      <c r="P2474" t="s">
        <v>49</v>
      </c>
      <c r="Q2474" t="s">
        <v>15638</v>
      </c>
      <c r="R2474" t="s">
        <v>15639</v>
      </c>
      <c r="S2474">
        <v>7954</v>
      </c>
      <c r="T2474" t="s">
        <v>52</v>
      </c>
      <c r="U2474">
        <v>4</v>
      </c>
      <c r="V2474" t="s">
        <v>5619</v>
      </c>
      <c r="W2474" t="s">
        <v>54</v>
      </c>
      <c r="X2474" t="s">
        <v>76</v>
      </c>
      <c r="Y2474" t="s">
        <v>125</v>
      </c>
      <c r="Z2474">
        <v>1425</v>
      </c>
      <c r="AA2474">
        <v>135</v>
      </c>
      <c r="AB2474">
        <v>166</v>
      </c>
      <c r="AC2474" t="s">
        <v>5620</v>
      </c>
      <c r="AD2474" t="s">
        <v>5621</v>
      </c>
      <c r="AE2474" t="s">
        <v>5622</v>
      </c>
      <c r="AF2474" t="s">
        <v>3690</v>
      </c>
      <c r="AG2474" t="s">
        <v>3691</v>
      </c>
      <c r="AH2474" t="s">
        <v>3692</v>
      </c>
      <c r="AI2474" t="s">
        <v>15635</v>
      </c>
      <c r="AJ2474" s="2">
        <v>45740.451678240737</v>
      </c>
      <c r="AK2474" t="s">
        <v>800</v>
      </c>
      <c r="AL2474" t="s">
        <v>65</v>
      </c>
      <c r="AM2474" s="4">
        <v>0.16666666666666666</v>
      </c>
      <c r="AN2474" t="s">
        <v>66</v>
      </c>
      <c r="AO2474" t="s">
        <v>67</v>
      </c>
    </row>
    <row r="2475" spans="1:41" x14ac:dyDescent="0.2">
      <c r="A2475">
        <v>369591</v>
      </c>
      <c r="B2475" t="s">
        <v>15640</v>
      </c>
      <c r="C2475" t="s">
        <v>69</v>
      </c>
      <c r="D2475" t="s">
        <v>5166</v>
      </c>
      <c r="E2475" t="s">
        <v>15641</v>
      </c>
      <c r="G2475" s="1">
        <v>45348</v>
      </c>
      <c r="H2475" s="1">
        <v>45746</v>
      </c>
      <c r="I2475" s="1">
        <v>46113</v>
      </c>
      <c r="J2475" t="s">
        <v>45</v>
      </c>
      <c r="K2475" t="s">
        <v>45</v>
      </c>
      <c r="L2475" t="s">
        <v>72</v>
      </c>
      <c r="M2475" s="1">
        <v>42541</v>
      </c>
      <c r="N2475" t="s">
        <v>89</v>
      </c>
      <c r="O2475" t="s">
        <v>121</v>
      </c>
      <c r="P2475" t="s">
        <v>49</v>
      </c>
      <c r="Q2475" t="s">
        <v>15642</v>
      </c>
      <c r="R2475" t="s">
        <v>15643</v>
      </c>
      <c r="S2475">
        <v>7648</v>
      </c>
      <c r="T2475" t="s">
        <v>52</v>
      </c>
      <c r="U2475">
        <v>4</v>
      </c>
      <c r="V2475" t="s">
        <v>5619</v>
      </c>
      <c r="W2475" t="s">
        <v>54</v>
      </c>
      <c r="X2475" t="s">
        <v>76</v>
      </c>
      <c r="Y2475" t="s">
        <v>125</v>
      </c>
      <c r="Z2475">
        <v>1356</v>
      </c>
      <c r="AA2475">
        <v>99</v>
      </c>
      <c r="AB2475">
        <v>146</v>
      </c>
      <c r="AC2475" t="s">
        <v>5620</v>
      </c>
      <c r="AD2475" t="s">
        <v>5621</v>
      </c>
      <c r="AE2475" t="s">
        <v>5622</v>
      </c>
      <c r="AF2475" t="s">
        <v>3690</v>
      </c>
      <c r="AG2475" t="s">
        <v>3691</v>
      </c>
      <c r="AH2475" t="s">
        <v>3692</v>
      </c>
      <c r="AI2475" t="s">
        <v>15635</v>
      </c>
      <c r="AJ2475" s="2">
        <v>45747.084548611114</v>
      </c>
      <c r="AK2475" t="s">
        <v>800</v>
      </c>
      <c r="AL2475" t="s">
        <v>65</v>
      </c>
      <c r="AM2475" s="3">
        <v>2.4055555555555554</v>
      </c>
      <c r="AN2475" t="s">
        <v>66</v>
      </c>
      <c r="AO2475" t="s">
        <v>67</v>
      </c>
    </row>
    <row r="2476" spans="1:41" x14ac:dyDescent="0.2">
      <c r="A2476">
        <v>371000</v>
      </c>
      <c r="B2476" t="s">
        <v>15644</v>
      </c>
      <c r="C2476" t="s">
        <v>182</v>
      </c>
      <c r="D2476" t="s">
        <v>1064</v>
      </c>
      <c r="E2476" t="s">
        <v>15645</v>
      </c>
      <c r="F2476">
        <v>40222</v>
      </c>
      <c r="G2476" s="1">
        <v>36613</v>
      </c>
      <c r="H2476" s="1">
        <v>45790</v>
      </c>
      <c r="I2476" s="1">
        <v>46113</v>
      </c>
      <c r="J2476" t="s">
        <v>45</v>
      </c>
      <c r="K2476" t="s">
        <v>45</v>
      </c>
      <c r="L2476" t="s">
        <v>429</v>
      </c>
      <c r="M2476" s="1">
        <v>42870</v>
      </c>
      <c r="N2476" t="s">
        <v>47</v>
      </c>
      <c r="O2476" t="s">
        <v>48</v>
      </c>
      <c r="P2476" t="s">
        <v>49</v>
      </c>
      <c r="Q2476" t="s">
        <v>15646</v>
      </c>
      <c r="R2476" t="s">
        <v>15647</v>
      </c>
      <c r="S2476">
        <v>2455</v>
      </c>
      <c r="T2476" t="s">
        <v>52</v>
      </c>
      <c r="U2476">
        <v>5</v>
      </c>
      <c r="V2476" t="s">
        <v>2947</v>
      </c>
      <c r="W2476" t="s">
        <v>54</v>
      </c>
      <c r="X2476" t="s">
        <v>493</v>
      </c>
      <c r="Y2476" t="s">
        <v>434</v>
      </c>
      <c r="Z2476">
        <v>696</v>
      </c>
      <c r="AA2476">
        <v>47</v>
      </c>
      <c r="AB2476">
        <v>34</v>
      </c>
      <c r="AC2476" t="s">
        <v>15648</v>
      </c>
      <c r="AD2476" t="s">
        <v>15649</v>
      </c>
      <c r="AE2476" t="s">
        <v>2950</v>
      </c>
      <c r="AF2476" t="s">
        <v>2951</v>
      </c>
      <c r="AG2476" t="s">
        <v>2951</v>
      </c>
      <c r="AI2476" t="s">
        <v>500</v>
      </c>
      <c r="AJ2476" s="2">
        <v>45792.721689814818</v>
      </c>
      <c r="AK2476" t="s">
        <v>1472</v>
      </c>
      <c r="AL2476" t="s">
        <v>65</v>
      </c>
      <c r="AM2476" s="4">
        <v>0.9375</v>
      </c>
      <c r="AN2476" t="s">
        <v>66</v>
      </c>
      <c r="AO2476" t="s">
        <v>67</v>
      </c>
    </row>
    <row r="2477" spans="1:41" x14ac:dyDescent="0.2">
      <c r="A2477">
        <v>356550</v>
      </c>
      <c r="B2477" t="s">
        <v>15650</v>
      </c>
      <c r="C2477" t="s">
        <v>69</v>
      </c>
      <c r="D2477" t="s">
        <v>3278</v>
      </c>
      <c r="E2477" t="s">
        <v>15651</v>
      </c>
      <c r="G2477" s="1">
        <v>40708</v>
      </c>
      <c r="H2477" s="1">
        <v>42100</v>
      </c>
      <c r="J2477" t="s">
        <v>326</v>
      </c>
      <c r="K2477" t="s">
        <v>326</v>
      </c>
      <c r="L2477" t="s">
        <v>72</v>
      </c>
      <c r="M2477" s="1">
        <v>42207</v>
      </c>
      <c r="N2477" t="s">
        <v>47</v>
      </c>
      <c r="O2477" t="s">
        <v>48</v>
      </c>
      <c r="P2477" t="s">
        <v>1752</v>
      </c>
      <c r="Q2477" t="s">
        <v>15652</v>
      </c>
      <c r="R2477" t="s">
        <v>15653</v>
      </c>
      <c r="S2477">
        <v>3608</v>
      </c>
      <c r="T2477" t="s">
        <v>1328</v>
      </c>
      <c r="W2477" t="s">
        <v>1331</v>
      </c>
      <c r="X2477" t="s">
        <v>1328</v>
      </c>
      <c r="Y2477" t="s">
        <v>642</v>
      </c>
      <c r="Z2477">
        <v>5007</v>
      </c>
      <c r="AA2477">
        <v>49</v>
      </c>
      <c r="AB2477">
        <v>34</v>
      </c>
      <c r="AC2477" t="s">
        <v>9914</v>
      </c>
      <c r="AD2477" t="s">
        <v>9915</v>
      </c>
      <c r="AE2477" t="s">
        <v>9916</v>
      </c>
      <c r="AJ2477" s="2">
        <v>45313.63490740741</v>
      </c>
      <c r="AK2477" t="s">
        <v>149</v>
      </c>
      <c r="AL2477" t="s">
        <v>1168</v>
      </c>
      <c r="AM2477" s="4">
        <v>9.7222222222222224E-2</v>
      </c>
      <c r="AN2477" t="s">
        <v>66</v>
      </c>
      <c r="AO2477" t="s">
        <v>67</v>
      </c>
    </row>
    <row r="2478" spans="1:41" x14ac:dyDescent="0.2">
      <c r="A2478">
        <v>370141</v>
      </c>
      <c r="B2478" t="s">
        <v>15654</v>
      </c>
      <c r="C2478" t="s">
        <v>182</v>
      </c>
      <c r="D2478" t="s">
        <v>4421</v>
      </c>
      <c r="E2478" t="s">
        <v>15655</v>
      </c>
      <c r="F2478">
        <v>45222</v>
      </c>
      <c r="G2478" s="1">
        <v>40668</v>
      </c>
      <c r="H2478" s="1">
        <v>45763</v>
      </c>
      <c r="I2478" s="1">
        <v>46157</v>
      </c>
      <c r="J2478" t="s">
        <v>45</v>
      </c>
      <c r="K2478" t="s">
        <v>72</v>
      </c>
      <c r="L2478" t="s">
        <v>72</v>
      </c>
      <c r="M2478" s="1">
        <v>43705</v>
      </c>
      <c r="N2478" t="s">
        <v>47</v>
      </c>
      <c r="O2478" t="s">
        <v>48</v>
      </c>
      <c r="P2478" t="s">
        <v>49</v>
      </c>
      <c r="Q2478" t="s">
        <v>15656</v>
      </c>
      <c r="R2478" t="s">
        <v>15657</v>
      </c>
      <c r="S2478">
        <v>753</v>
      </c>
      <c r="T2478" t="s">
        <v>92</v>
      </c>
      <c r="U2478" t="s">
        <v>187</v>
      </c>
      <c r="V2478" t="s">
        <v>4425</v>
      </c>
      <c r="W2478" t="s">
        <v>15658</v>
      </c>
      <c r="X2478" t="s">
        <v>92</v>
      </c>
      <c r="Y2478" t="s">
        <v>110</v>
      </c>
      <c r="Z2478">
        <v>4686</v>
      </c>
      <c r="AA2478">
        <v>29</v>
      </c>
      <c r="AB2478">
        <v>56</v>
      </c>
      <c r="AC2478" t="s">
        <v>4427</v>
      </c>
      <c r="AD2478" t="s">
        <v>4428</v>
      </c>
      <c r="AE2478" t="s">
        <v>4429</v>
      </c>
      <c r="AF2478" t="s">
        <v>15659</v>
      </c>
      <c r="AG2478" t="s">
        <v>15660</v>
      </c>
      <c r="AH2478" t="s">
        <v>15661</v>
      </c>
      <c r="AI2478" t="s">
        <v>4433</v>
      </c>
      <c r="AJ2478" s="2">
        <v>45763.946747685186</v>
      </c>
      <c r="AK2478" t="s">
        <v>4427</v>
      </c>
      <c r="AL2478" t="s">
        <v>65</v>
      </c>
      <c r="AM2478" s="3">
        <v>1.0347222222222223</v>
      </c>
      <c r="AN2478" t="s">
        <v>66</v>
      </c>
      <c r="AO2478" t="s">
        <v>67</v>
      </c>
    </row>
    <row r="2479" spans="1:41" x14ac:dyDescent="0.2">
      <c r="A2479">
        <v>370280</v>
      </c>
      <c r="B2479" t="s">
        <v>15662</v>
      </c>
      <c r="C2479" t="s">
        <v>182</v>
      </c>
      <c r="D2479" t="s">
        <v>4421</v>
      </c>
      <c r="E2479" t="s">
        <v>15663</v>
      </c>
      <c r="G2479" s="1">
        <v>45538</v>
      </c>
      <c r="H2479" s="1">
        <v>45551</v>
      </c>
      <c r="I2479" s="1">
        <v>45931</v>
      </c>
      <c r="J2479" t="s">
        <v>45</v>
      </c>
      <c r="K2479" t="s">
        <v>45</v>
      </c>
      <c r="L2479" t="s">
        <v>72</v>
      </c>
      <c r="M2479" s="1">
        <v>44811</v>
      </c>
      <c r="N2479" t="s">
        <v>89</v>
      </c>
      <c r="O2479" t="s">
        <v>121</v>
      </c>
      <c r="P2479" t="s">
        <v>49</v>
      </c>
      <c r="Q2479" t="s">
        <v>15664</v>
      </c>
      <c r="R2479" t="s">
        <v>15665</v>
      </c>
      <c r="S2479">
        <v>1914</v>
      </c>
      <c r="T2479" t="s">
        <v>92</v>
      </c>
      <c r="U2479" t="s">
        <v>187</v>
      </c>
      <c r="V2479" t="s">
        <v>4425</v>
      </c>
      <c r="W2479" t="s">
        <v>4426</v>
      </c>
      <c r="X2479" t="s">
        <v>92</v>
      </c>
      <c r="Y2479" t="s">
        <v>110</v>
      </c>
      <c r="Z2479">
        <v>9226</v>
      </c>
      <c r="AA2479">
        <v>36</v>
      </c>
      <c r="AB2479">
        <v>28</v>
      </c>
      <c r="AC2479" t="s">
        <v>4427</v>
      </c>
      <c r="AD2479" t="s">
        <v>4428</v>
      </c>
      <c r="AE2479" t="s">
        <v>4429</v>
      </c>
      <c r="AF2479" t="s">
        <v>4430</v>
      </c>
      <c r="AG2479" t="s">
        <v>4431</v>
      </c>
      <c r="AH2479" t="s">
        <v>4432</v>
      </c>
      <c r="AI2479" t="s">
        <v>4433</v>
      </c>
      <c r="AJ2479" s="2">
        <v>45847.727812500001</v>
      </c>
      <c r="AK2479" t="s">
        <v>4427</v>
      </c>
      <c r="AL2479" t="s">
        <v>65</v>
      </c>
      <c r="AM2479" s="4">
        <v>0.85416666666666663</v>
      </c>
      <c r="AN2479" t="s">
        <v>66</v>
      </c>
      <c r="AO2479" t="s">
        <v>67</v>
      </c>
    </row>
    <row r="2480" spans="1:41" x14ac:dyDescent="0.2">
      <c r="A2480">
        <v>370281</v>
      </c>
      <c r="B2480" t="s">
        <v>15666</v>
      </c>
      <c r="C2480" t="s">
        <v>182</v>
      </c>
      <c r="D2480" t="s">
        <v>4421</v>
      </c>
      <c r="E2480" t="s">
        <v>15667</v>
      </c>
      <c r="G2480" s="1">
        <v>45526</v>
      </c>
      <c r="H2480" s="1">
        <v>45551</v>
      </c>
      <c r="I2480" s="1">
        <v>45931</v>
      </c>
      <c r="J2480" t="s">
        <v>45</v>
      </c>
      <c r="K2480" t="s">
        <v>45</v>
      </c>
      <c r="L2480" t="s">
        <v>72</v>
      </c>
      <c r="M2480" s="1">
        <v>44427</v>
      </c>
      <c r="N2480" t="s">
        <v>89</v>
      </c>
      <c r="O2480" t="s">
        <v>121</v>
      </c>
      <c r="P2480" t="s">
        <v>49</v>
      </c>
      <c r="Q2480" t="s">
        <v>15668</v>
      </c>
      <c r="R2480" t="s">
        <v>15669</v>
      </c>
      <c r="S2480">
        <v>851</v>
      </c>
      <c r="T2480" t="s">
        <v>92</v>
      </c>
      <c r="U2480" t="s">
        <v>187</v>
      </c>
      <c r="V2480" t="s">
        <v>4425</v>
      </c>
      <c r="W2480" t="s">
        <v>4426</v>
      </c>
      <c r="Y2480" t="s">
        <v>110</v>
      </c>
      <c r="Z2480">
        <v>10526</v>
      </c>
      <c r="AA2480">
        <v>28</v>
      </c>
      <c r="AB2480">
        <v>78</v>
      </c>
      <c r="AC2480" t="s">
        <v>4427</v>
      </c>
      <c r="AD2480" t="s">
        <v>4428</v>
      </c>
      <c r="AE2480" t="s">
        <v>4429</v>
      </c>
      <c r="AF2480" t="s">
        <v>4430</v>
      </c>
      <c r="AG2480" t="s">
        <v>4431</v>
      </c>
      <c r="AH2480" t="s">
        <v>4432</v>
      </c>
      <c r="AI2480" t="s">
        <v>4433</v>
      </c>
      <c r="AJ2480" s="2">
        <v>45847.727812500001</v>
      </c>
      <c r="AK2480" t="s">
        <v>4427</v>
      </c>
      <c r="AL2480" t="s">
        <v>65</v>
      </c>
      <c r="AM2480" s="3">
        <v>1.9166666666666667</v>
      </c>
      <c r="AN2480" t="s">
        <v>66</v>
      </c>
      <c r="AO2480" t="s">
        <v>67</v>
      </c>
    </row>
    <row r="2481" spans="1:41" x14ac:dyDescent="0.2">
      <c r="A2481">
        <v>365923</v>
      </c>
      <c r="B2481" t="s">
        <v>15670</v>
      </c>
      <c r="C2481" t="s">
        <v>151</v>
      </c>
      <c r="D2481" t="s">
        <v>5476</v>
      </c>
      <c r="E2481" t="s">
        <v>15671</v>
      </c>
      <c r="F2481">
        <v>380380</v>
      </c>
      <c r="G2481" s="1">
        <v>44036</v>
      </c>
      <c r="H2481" s="1">
        <v>45594</v>
      </c>
      <c r="I2481" s="1">
        <v>45945</v>
      </c>
      <c r="J2481" t="s">
        <v>45</v>
      </c>
      <c r="K2481" t="s">
        <v>45</v>
      </c>
      <c r="L2481" t="s">
        <v>72</v>
      </c>
      <c r="M2481" s="1">
        <v>45503</v>
      </c>
      <c r="N2481" t="s">
        <v>47</v>
      </c>
      <c r="O2481" t="s">
        <v>121</v>
      </c>
      <c r="P2481" t="s">
        <v>49</v>
      </c>
      <c r="Q2481" t="s">
        <v>15672</v>
      </c>
      <c r="R2481" t="s">
        <v>15673</v>
      </c>
      <c r="S2481">
        <v>297</v>
      </c>
      <c r="T2481" t="s">
        <v>92</v>
      </c>
      <c r="U2481" t="s">
        <v>6005</v>
      </c>
      <c r="V2481" t="s">
        <v>5510</v>
      </c>
      <c r="W2481" t="s">
        <v>6006</v>
      </c>
      <c r="X2481" t="s">
        <v>92</v>
      </c>
      <c r="Y2481" t="s">
        <v>110</v>
      </c>
      <c r="Z2481">
        <v>9646</v>
      </c>
      <c r="AA2481">
        <v>10</v>
      </c>
      <c r="AB2481">
        <v>45</v>
      </c>
      <c r="AC2481" t="s">
        <v>6007</v>
      </c>
      <c r="AD2481" t="s">
        <v>6008</v>
      </c>
      <c r="AE2481" t="s">
        <v>6009</v>
      </c>
      <c r="AJ2481" s="2">
        <v>45595.77275462963</v>
      </c>
      <c r="AK2481" t="s">
        <v>6007</v>
      </c>
      <c r="AL2481" t="s">
        <v>65</v>
      </c>
      <c r="AM2481" s="4">
        <v>0.8125</v>
      </c>
      <c r="AN2481" t="s">
        <v>66</v>
      </c>
      <c r="AO2481" t="s">
        <v>67</v>
      </c>
    </row>
    <row r="2482" spans="1:41" x14ac:dyDescent="0.2">
      <c r="A2482">
        <v>370118</v>
      </c>
      <c r="B2482" t="s">
        <v>6371</v>
      </c>
      <c r="C2482" t="s">
        <v>309</v>
      </c>
      <c r="D2482" t="s">
        <v>6367</v>
      </c>
      <c r="E2482" t="s">
        <v>15674</v>
      </c>
      <c r="F2482">
        <v>499902</v>
      </c>
      <c r="G2482" s="1">
        <v>36356</v>
      </c>
      <c r="H2482" s="1">
        <v>45505</v>
      </c>
      <c r="I2482" s="1">
        <v>46235</v>
      </c>
      <c r="J2482" t="s">
        <v>45</v>
      </c>
      <c r="K2482" t="s">
        <v>45</v>
      </c>
      <c r="L2482" t="s">
        <v>72</v>
      </c>
      <c r="M2482" s="1">
        <v>43306</v>
      </c>
      <c r="N2482" t="s">
        <v>47</v>
      </c>
      <c r="O2482" t="s">
        <v>48</v>
      </c>
      <c r="P2482" t="s">
        <v>49</v>
      </c>
      <c r="Q2482" t="s">
        <v>15675</v>
      </c>
      <c r="R2482" t="s">
        <v>15676</v>
      </c>
      <c r="S2482">
        <v>980</v>
      </c>
      <c r="T2482" t="s">
        <v>1328</v>
      </c>
      <c r="U2482" t="s">
        <v>3114</v>
      </c>
      <c r="V2482" t="s">
        <v>6371</v>
      </c>
      <c r="W2482" t="s">
        <v>3116</v>
      </c>
      <c r="X2482" t="s">
        <v>1328</v>
      </c>
      <c r="Y2482" t="s">
        <v>110</v>
      </c>
      <c r="Z2482">
        <v>1643</v>
      </c>
      <c r="AA2482">
        <v>35</v>
      </c>
      <c r="AB2482">
        <v>76</v>
      </c>
      <c r="AC2482" t="s">
        <v>6372</v>
      </c>
      <c r="AD2482" t="s">
        <v>6373</v>
      </c>
      <c r="AE2482" t="s">
        <v>6374</v>
      </c>
      <c r="AF2482" t="s">
        <v>6375</v>
      </c>
      <c r="AG2482" t="s">
        <v>6376</v>
      </c>
      <c r="AH2482" t="s">
        <v>6377</v>
      </c>
      <c r="AJ2482" s="2">
        <v>45763.778344907405</v>
      </c>
      <c r="AK2482" t="s">
        <v>6372</v>
      </c>
      <c r="AL2482" t="s">
        <v>65</v>
      </c>
      <c r="AM2482" s="3">
        <v>2.4097222222222223</v>
      </c>
      <c r="AN2482" t="s">
        <v>66</v>
      </c>
      <c r="AO2482" t="s">
        <v>67</v>
      </c>
    </row>
    <row r="2483" spans="1:41" x14ac:dyDescent="0.2">
      <c r="A2483">
        <v>359233</v>
      </c>
      <c r="B2483" t="s">
        <v>15677</v>
      </c>
      <c r="C2483" t="s">
        <v>309</v>
      </c>
      <c r="D2483" t="s">
        <v>6367</v>
      </c>
      <c r="E2483" t="s">
        <v>15678</v>
      </c>
      <c r="F2483">
        <v>499908</v>
      </c>
      <c r="G2483" s="1">
        <v>36664</v>
      </c>
      <c r="H2483" s="1">
        <v>45273</v>
      </c>
      <c r="I2483" s="1">
        <v>46235</v>
      </c>
      <c r="J2483" t="s">
        <v>45</v>
      </c>
      <c r="K2483" t="s">
        <v>45</v>
      </c>
      <c r="L2483" t="s">
        <v>72</v>
      </c>
      <c r="M2483" s="1">
        <v>44008</v>
      </c>
      <c r="N2483" t="s">
        <v>47</v>
      </c>
      <c r="O2483" t="s">
        <v>48</v>
      </c>
      <c r="P2483" t="s">
        <v>49</v>
      </c>
      <c r="Q2483" t="s">
        <v>15679</v>
      </c>
      <c r="R2483" t="s">
        <v>15680</v>
      </c>
      <c r="S2483">
        <v>1250</v>
      </c>
      <c r="T2483" t="s">
        <v>1328</v>
      </c>
      <c r="U2483" t="s">
        <v>7801</v>
      </c>
      <c r="V2483" t="s">
        <v>6371</v>
      </c>
      <c r="W2483" t="s">
        <v>3116</v>
      </c>
      <c r="X2483" t="s">
        <v>1328</v>
      </c>
      <c r="Y2483" t="s">
        <v>110</v>
      </c>
      <c r="Z2483">
        <v>1767</v>
      </c>
      <c r="AA2483">
        <v>26</v>
      </c>
      <c r="AB2483">
        <v>76</v>
      </c>
      <c r="AC2483" t="s">
        <v>6372</v>
      </c>
      <c r="AD2483" t="s">
        <v>6373</v>
      </c>
      <c r="AE2483" t="s">
        <v>6374</v>
      </c>
      <c r="AF2483" t="s">
        <v>6375</v>
      </c>
      <c r="AG2483" t="s">
        <v>6376</v>
      </c>
      <c r="AH2483" t="s">
        <v>6377</v>
      </c>
      <c r="AJ2483" s="2">
        <v>45386.782106481478</v>
      </c>
      <c r="AK2483" t="s">
        <v>149</v>
      </c>
      <c r="AL2483" t="s">
        <v>65</v>
      </c>
      <c r="AM2483" s="3">
        <v>2.4375</v>
      </c>
      <c r="AN2483" t="s">
        <v>66</v>
      </c>
      <c r="AO2483" t="s">
        <v>67</v>
      </c>
    </row>
    <row r="2484" spans="1:41" x14ac:dyDescent="0.2">
      <c r="A2484">
        <v>364966</v>
      </c>
      <c r="B2484" t="s">
        <v>15681</v>
      </c>
      <c r="C2484" t="s">
        <v>692</v>
      </c>
      <c r="D2484" t="s">
        <v>2256</v>
      </c>
      <c r="E2484" t="s">
        <v>15682</v>
      </c>
      <c r="F2484">
        <v>481002</v>
      </c>
      <c r="G2484" s="1">
        <v>32637</v>
      </c>
      <c r="H2484" s="1">
        <v>45560</v>
      </c>
      <c r="I2484" s="1">
        <v>45915</v>
      </c>
      <c r="J2484" t="s">
        <v>45</v>
      </c>
      <c r="K2484" t="s">
        <v>45</v>
      </c>
      <c r="L2484" t="s">
        <v>429</v>
      </c>
      <c r="M2484" s="1">
        <v>45097</v>
      </c>
      <c r="N2484" t="s">
        <v>47</v>
      </c>
      <c r="O2484" t="s">
        <v>48</v>
      </c>
      <c r="P2484" t="s">
        <v>49</v>
      </c>
      <c r="Q2484" t="s">
        <v>15683</v>
      </c>
      <c r="R2484" t="s">
        <v>15684</v>
      </c>
      <c r="S2484">
        <v>8101</v>
      </c>
      <c r="T2484" t="s">
        <v>52</v>
      </c>
      <c r="U2484">
        <v>2</v>
      </c>
      <c r="V2484" t="s">
        <v>2248</v>
      </c>
      <c r="W2484" t="s">
        <v>54</v>
      </c>
      <c r="X2484" t="s">
        <v>76</v>
      </c>
      <c r="Y2484" t="s">
        <v>56</v>
      </c>
      <c r="Z2484">
        <v>566</v>
      </c>
      <c r="AA2484">
        <v>57</v>
      </c>
      <c r="AB2484">
        <v>38</v>
      </c>
      <c r="AC2484" t="s">
        <v>12136</v>
      </c>
      <c r="AD2484" t="s">
        <v>2250</v>
      </c>
      <c r="AE2484" t="s">
        <v>2251</v>
      </c>
      <c r="AF2484" t="s">
        <v>10893</v>
      </c>
      <c r="AG2484" t="s">
        <v>10894</v>
      </c>
      <c r="AH2484" t="s">
        <v>10895</v>
      </c>
      <c r="AI2484" t="s">
        <v>3703</v>
      </c>
      <c r="AJ2484" s="2">
        <v>45566.528379629628</v>
      </c>
      <c r="AK2484" t="s">
        <v>568</v>
      </c>
      <c r="AL2484" t="s">
        <v>65</v>
      </c>
      <c r="AM2484" s="3">
        <v>1.9583333333333333</v>
      </c>
      <c r="AN2484" t="s">
        <v>66</v>
      </c>
      <c r="AO2484" t="s">
        <v>67</v>
      </c>
    </row>
    <row r="2485" spans="1:41" x14ac:dyDescent="0.2">
      <c r="A2485">
        <v>368096</v>
      </c>
      <c r="B2485" t="s">
        <v>15685</v>
      </c>
      <c r="C2485" t="s">
        <v>182</v>
      </c>
      <c r="D2485" t="s">
        <v>468</v>
      </c>
      <c r="E2485" t="s">
        <v>15686</v>
      </c>
      <c r="F2485">
        <v>40425</v>
      </c>
      <c r="G2485" s="1">
        <v>36847</v>
      </c>
      <c r="H2485" s="1">
        <v>45441</v>
      </c>
      <c r="I2485" s="1">
        <v>46174</v>
      </c>
      <c r="J2485" t="s">
        <v>45</v>
      </c>
      <c r="K2485" t="s">
        <v>45</v>
      </c>
      <c r="L2485" t="s">
        <v>72</v>
      </c>
      <c r="M2485" s="1">
        <v>40348</v>
      </c>
      <c r="N2485" t="s">
        <v>47</v>
      </c>
      <c r="O2485" t="s">
        <v>48</v>
      </c>
      <c r="P2485" t="s">
        <v>49</v>
      </c>
      <c r="Q2485" t="s">
        <v>15687</v>
      </c>
      <c r="R2485" t="s">
        <v>15688</v>
      </c>
      <c r="S2485">
        <v>2653</v>
      </c>
      <c r="T2485" t="s">
        <v>257</v>
      </c>
      <c r="U2485" t="s">
        <v>640</v>
      </c>
      <c r="V2485" t="s">
        <v>15689</v>
      </c>
      <c r="W2485" t="s">
        <v>260</v>
      </c>
      <c r="X2485" t="s">
        <v>493</v>
      </c>
      <c r="Y2485" t="s">
        <v>56</v>
      </c>
      <c r="Z2485">
        <v>1839</v>
      </c>
      <c r="AA2485">
        <v>48</v>
      </c>
      <c r="AB2485">
        <v>34</v>
      </c>
      <c r="AC2485" t="s">
        <v>5793</v>
      </c>
      <c r="AD2485" t="s">
        <v>5794</v>
      </c>
      <c r="AE2485" t="s">
        <v>15690</v>
      </c>
      <c r="AF2485" t="s">
        <v>15691</v>
      </c>
      <c r="AH2485" t="s">
        <v>15692</v>
      </c>
      <c r="AI2485" t="s">
        <v>15693</v>
      </c>
      <c r="AJ2485" s="2">
        <v>45700.753298611111</v>
      </c>
      <c r="AK2485" t="s">
        <v>149</v>
      </c>
      <c r="AL2485" t="s">
        <v>65</v>
      </c>
      <c r="AM2485" s="4">
        <v>4.8611111111111112E-2</v>
      </c>
      <c r="AN2485" t="s">
        <v>66</v>
      </c>
      <c r="AO2485" t="s">
        <v>67</v>
      </c>
    </row>
    <row r="2486" spans="1:41" x14ac:dyDescent="0.2">
      <c r="A2486">
        <v>371720</v>
      </c>
      <c r="B2486" t="s">
        <v>15685</v>
      </c>
      <c r="C2486" t="s">
        <v>221</v>
      </c>
      <c r="D2486" t="s">
        <v>13804</v>
      </c>
      <c r="E2486" t="s">
        <v>15694</v>
      </c>
      <c r="F2486">
        <v>12801</v>
      </c>
      <c r="G2486" s="1">
        <v>41863</v>
      </c>
      <c r="H2486" s="1">
        <v>45572</v>
      </c>
      <c r="I2486" s="1">
        <v>45915</v>
      </c>
      <c r="J2486" t="s">
        <v>45</v>
      </c>
      <c r="K2486" t="s">
        <v>45</v>
      </c>
      <c r="L2486" t="s">
        <v>46</v>
      </c>
      <c r="M2486" s="1">
        <v>45377</v>
      </c>
      <c r="N2486" t="s">
        <v>47</v>
      </c>
      <c r="O2486" t="s">
        <v>48</v>
      </c>
      <c r="P2486" t="s">
        <v>49</v>
      </c>
      <c r="Q2486" t="s">
        <v>15695</v>
      </c>
      <c r="R2486" t="s">
        <v>15696</v>
      </c>
      <c r="S2486">
        <v>932</v>
      </c>
      <c r="T2486" t="s">
        <v>52</v>
      </c>
      <c r="U2486">
        <v>8</v>
      </c>
      <c r="V2486" t="s">
        <v>1648</v>
      </c>
      <c r="W2486" t="s">
        <v>54</v>
      </c>
      <c r="X2486" t="s">
        <v>76</v>
      </c>
      <c r="Y2486" t="s">
        <v>56</v>
      </c>
      <c r="Z2486">
        <v>7166</v>
      </c>
      <c r="AA2486">
        <v>26</v>
      </c>
      <c r="AB2486">
        <v>45</v>
      </c>
      <c r="AC2486" t="s">
        <v>15697</v>
      </c>
      <c r="AD2486" t="s">
        <v>15698</v>
      </c>
      <c r="AE2486" t="s">
        <v>15699</v>
      </c>
      <c r="AF2486" t="s">
        <v>6460</v>
      </c>
      <c r="AG2486" t="s">
        <v>1653</v>
      </c>
      <c r="AH2486" t="s">
        <v>1654</v>
      </c>
      <c r="AI2486" t="s">
        <v>1653</v>
      </c>
      <c r="AJ2486" s="2">
        <v>45818.742106481484</v>
      </c>
      <c r="AK2486" t="s">
        <v>132</v>
      </c>
      <c r="AL2486" t="s">
        <v>65</v>
      </c>
      <c r="AM2486" s="3">
        <v>2.0694444444444446</v>
      </c>
      <c r="AN2486" t="s">
        <v>66</v>
      </c>
      <c r="AO2486" t="s">
        <v>101</v>
      </c>
    </row>
    <row r="2487" spans="1:41" x14ac:dyDescent="0.2">
      <c r="A2487">
        <v>364024</v>
      </c>
      <c r="B2487" t="s">
        <v>15700</v>
      </c>
      <c r="C2487" t="s">
        <v>412</v>
      </c>
      <c r="D2487" t="s">
        <v>12550</v>
      </c>
      <c r="E2487">
        <v>62500568</v>
      </c>
      <c r="F2487">
        <v>300311</v>
      </c>
      <c r="G2487" s="1">
        <v>37740</v>
      </c>
      <c r="H2487" s="1">
        <v>45468</v>
      </c>
      <c r="J2487" t="s">
        <v>45</v>
      </c>
      <c r="K2487" t="s">
        <v>72</v>
      </c>
      <c r="L2487" t="s">
        <v>72</v>
      </c>
      <c r="M2487" s="1">
        <v>38861</v>
      </c>
      <c r="N2487" t="s">
        <v>47</v>
      </c>
      <c r="O2487" t="s">
        <v>48</v>
      </c>
      <c r="P2487" t="s">
        <v>586</v>
      </c>
      <c r="Q2487" t="s">
        <v>15701</v>
      </c>
      <c r="R2487" t="s">
        <v>15702</v>
      </c>
      <c r="S2487">
        <v>820</v>
      </c>
      <c r="T2487" t="s">
        <v>92</v>
      </c>
      <c r="U2487" t="s">
        <v>417</v>
      </c>
      <c r="V2487" t="s">
        <v>418</v>
      </c>
      <c r="W2487" t="s">
        <v>419</v>
      </c>
      <c r="X2487" t="s">
        <v>92</v>
      </c>
      <c r="Y2487" t="s">
        <v>410</v>
      </c>
      <c r="Z2487">
        <v>2396</v>
      </c>
      <c r="AA2487">
        <v>37</v>
      </c>
      <c r="AB2487">
        <v>144</v>
      </c>
      <c r="AC2487" t="s">
        <v>420</v>
      </c>
      <c r="AD2487" t="s">
        <v>421</v>
      </c>
      <c r="AE2487" t="s">
        <v>422</v>
      </c>
      <c r="AF2487" t="s">
        <v>15703</v>
      </c>
      <c r="AG2487" t="s">
        <v>15704</v>
      </c>
      <c r="AJ2487" s="2">
        <v>45848.64607638889</v>
      </c>
      <c r="AK2487" t="s">
        <v>100</v>
      </c>
      <c r="AL2487" t="s">
        <v>65</v>
      </c>
      <c r="AM2487" s="4">
        <v>0.31944444444444442</v>
      </c>
      <c r="AN2487" t="s">
        <v>66</v>
      </c>
      <c r="AO2487" t="s">
        <v>67</v>
      </c>
    </row>
    <row r="2488" spans="1:41" x14ac:dyDescent="0.2">
      <c r="A2488">
        <v>364025</v>
      </c>
      <c r="B2488" t="s">
        <v>15705</v>
      </c>
      <c r="C2488" t="s">
        <v>412</v>
      </c>
      <c r="D2488" t="s">
        <v>5326</v>
      </c>
      <c r="E2488" t="s">
        <v>15706</v>
      </c>
      <c r="F2488">
        <v>300191</v>
      </c>
      <c r="G2488" s="1">
        <v>38156</v>
      </c>
      <c r="H2488" s="1">
        <v>45513</v>
      </c>
      <c r="J2488" t="s">
        <v>45</v>
      </c>
      <c r="K2488" t="s">
        <v>72</v>
      </c>
      <c r="L2488" t="s">
        <v>72</v>
      </c>
      <c r="N2488" t="s">
        <v>47</v>
      </c>
      <c r="O2488" t="s">
        <v>48</v>
      </c>
      <c r="P2488" t="s">
        <v>586</v>
      </c>
      <c r="Q2488" t="s">
        <v>15707</v>
      </c>
      <c r="R2488" t="s">
        <v>15708</v>
      </c>
      <c r="S2488">
        <v>650</v>
      </c>
      <c r="T2488" t="s">
        <v>92</v>
      </c>
      <c r="U2488" t="s">
        <v>417</v>
      </c>
      <c r="V2488" t="s">
        <v>418</v>
      </c>
      <c r="W2488" t="s">
        <v>419</v>
      </c>
      <c r="X2488" t="s">
        <v>92</v>
      </c>
      <c r="Y2488" t="s">
        <v>410</v>
      </c>
      <c r="Z2488">
        <v>2557</v>
      </c>
      <c r="AA2488">
        <v>34</v>
      </c>
      <c r="AB2488">
        <v>158</v>
      </c>
      <c r="AC2488" t="s">
        <v>420</v>
      </c>
      <c r="AD2488" t="s">
        <v>421</v>
      </c>
      <c r="AE2488" t="s">
        <v>422</v>
      </c>
      <c r="AF2488" t="s">
        <v>12554</v>
      </c>
      <c r="AG2488" t="s">
        <v>12555</v>
      </c>
      <c r="AH2488" t="s">
        <v>12556</v>
      </c>
      <c r="AJ2488" s="2">
        <v>45848.64607638889</v>
      </c>
      <c r="AK2488" t="s">
        <v>100</v>
      </c>
      <c r="AL2488" t="s">
        <v>65</v>
      </c>
      <c r="AM2488" s="4">
        <v>6.25E-2</v>
      </c>
      <c r="AN2488" t="s">
        <v>66</v>
      </c>
      <c r="AO2488" t="s">
        <v>67</v>
      </c>
    </row>
    <row r="2489" spans="1:41" x14ac:dyDescent="0.2">
      <c r="A2489">
        <v>370992</v>
      </c>
      <c r="B2489" t="s">
        <v>15709</v>
      </c>
      <c r="C2489" t="s">
        <v>182</v>
      </c>
      <c r="D2489" t="s">
        <v>1467</v>
      </c>
      <c r="E2489">
        <v>32421044</v>
      </c>
      <c r="F2489">
        <v>40517</v>
      </c>
      <c r="G2489" s="1">
        <v>33156</v>
      </c>
      <c r="H2489" s="1">
        <v>45790</v>
      </c>
      <c r="I2489" s="1">
        <v>46113</v>
      </c>
      <c r="J2489" t="s">
        <v>45</v>
      </c>
      <c r="K2489" t="s">
        <v>45</v>
      </c>
      <c r="L2489" t="s">
        <v>429</v>
      </c>
      <c r="M2489" s="1">
        <v>43670</v>
      </c>
      <c r="N2489" t="s">
        <v>47</v>
      </c>
      <c r="O2489" t="s">
        <v>48</v>
      </c>
      <c r="P2489" t="s">
        <v>49</v>
      </c>
      <c r="Q2489" t="s">
        <v>15710</v>
      </c>
      <c r="R2489" t="s">
        <v>15711</v>
      </c>
      <c r="S2489">
        <v>3365</v>
      </c>
      <c r="T2489" t="s">
        <v>52</v>
      </c>
      <c r="U2489">
        <v>5</v>
      </c>
      <c r="V2489" t="s">
        <v>1068</v>
      </c>
      <c r="W2489" t="s">
        <v>54</v>
      </c>
      <c r="X2489" t="s">
        <v>493</v>
      </c>
      <c r="Y2489" t="s">
        <v>434</v>
      </c>
      <c r="Z2489">
        <v>738</v>
      </c>
      <c r="AA2489">
        <v>59</v>
      </c>
      <c r="AB2489">
        <v>28</v>
      </c>
      <c r="AC2489" t="s">
        <v>1069</v>
      </c>
      <c r="AD2489" t="s">
        <v>1070</v>
      </c>
      <c r="AE2489" t="s">
        <v>1071</v>
      </c>
      <c r="AF2489" t="s">
        <v>1072</v>
      </c>
      <c r="AG2489" t="s">
        <v>1073</v>
      </c>
      <c r="AH2489" t="s">
        <v>1071</v>
      </c>
      <c r="AI2489" t="s">
        <v>1471</v>
      </c>
      <c r="AJ2489" s="2">
        <v>45792.699733796297</v>
      </c>
      <c r="AK2489" t="s">
        <v>1472</v>
      </c>
      <c r="AL2489" t="s">
        <v>65</v>
      </c>
      <c r="AM2489" s="3">
        <v>1.3263888888888888</v>
      </c>
      <c r="AN2489" t="s">
        <v>66</v>
      </c>
      <c r="AO2489" t="s">
        <v>67</v>
      </c>
    </row>
    <row r="2490" spans="1:41" x14ac:dyDescent="0.2">
      <c r="A2490">
        <v>369176</v>
      </c>
      <c r="B2490" t="s">
        <v>15712</v>
      </c>
      <c r="C2490" t="s">
        <v>252</v>
      </c>
      <c r="D2490" t="s">
        <v>15713</v>
      </c>
      <c r="E2490" t="s">
        <v>15714</v>
      </c>
      <c r="F2490">
        <v>251905</v>
      </c>
      <c r="G2490" s="1">
        <v>37132</v>
      </c>
      <c r="H2490" s="1">
        <v>45727</v>
      </c>
      <c r="I2490" s="1">
        <v>46068</v>
      </c>
      <c r="J2490" t="s">
        <v>45</v>
      </c>
      <c r="K2490" t="s">
        <v>45</v>
      </c>
      <c r="L2490" t="s">
        <v>72</v>
      </c>
      <c r="M2490" s="1">
        <v>45274</v>
      </c>
      <c r="N2490" t="s">
        <v>47</v>
      </c>
      <c r="O2490" t="s">
        <v>48</v>
      </c>
      <c r="P2490" t="s">
        <v>49</v>
      </c>
      <c r="Q2490" t="s">
        <v>15715</v>
      </c>
      <c r="R2490" t="s">
        <v>15716</v>
      </c>
      <c r="S2490">
        <v>4224</v>
      </c>
      <c r="T2490" t="s">
        <v>257</v>
      </c>
      <c r="U2490" t="s">
        <v>258</v>
      </c>
      <c r="V2490" t="s">
        <v>15717</v>
      </c>
      <c r="W2490" t="s">
        <v>260</v>
      </c>
      <c r="X2490" t="s">
        <v>257</v>
      </c>
      <c r="Y2490" t="s">
        <v>110</v>
      </c>
      <c r="Z2490">
        <v>1352</v>
      </c>
      <c r="AA2490">
        <v>47</v>
      </c>
      <c r="AB2490">
        <v>34</v>
      </c>
      <c r="AC2490" t="s">
        <v>261</v>
      </c>
      <c r="AD2490" t="s">
        <v>262</v>
      </c>
      <c r="AE2490" t="s">
        <v>263</v>
      </c>
      <c r="AF2490" t="s">
        <v>264</v>
      </c>
      <c r="AG2490" t="s">
        <v>265</v>
      </c>
      <c r="AH2490" t="s">
        <v>266</v>
      </c>
      <c r="AJ2490" s="2">
        <v>45728.73</v>
      </c>
      <c r="AK2490" t="s">
        <v>6321</v>
      </c>
      <c r="AL2490" t="s">
        <v>65</v>
      </c>
      <c r="AM2490" s="3">
        <v>1.4375</v>
      </c>
      <c r="AN2490" t="s">
        <v>66</v>
      </c>
      <c r="AO2490" t="s">
        <v>67</v>
      </c>
    </row>
    <row r="2491" spans="1:41" x14ac:dyDescent="0.2">
      <c r="A2491">
        <v>365544</v>
      </c>
      <c r="B2491" t="s">
        <v>15718</v>
      </c>
      <c r="C2491" t="s">
        <v>118</v>
      </c>
      <c r="D2491" t="s">
        <v>7071</v>
      </c>
      <c r="E2491" t="s">
        <v>15719</v>
      </c>
      <c r="F2491">
        <v>21208</v>
      </c>
      <c r="G2491" s="1">
        <v>35354</v>
      </c>
      <c r="H2491" s="1">
        <v>45583</v>
      </c>
      <c r="I2491" s="1">
        <v>45945</v>
      </c>
      <c r="J2491" t="s">
        <v>45</v>
      </c>
      <c r="K2491" t="s">
        <v>45</v>
      </c>
      <c r="L2491" t="s">
        <v>429</v>
      </c>
      <c r="M2491" s="1">
        <v>43389</v>
      </c>
      <c r="N2491" t="s">
        <v>47</v>
      </c>
      <c r="O2491" t="s">
        <v>48</v>
      </c>
      <c r="P2491" t="s">
        <v>49</v>
      </c>
      <c r="Q2491" t="s">
        <v>15720</v>
      </c>
      <c r="R2491" t="s">
        <v>15721</v>
      </c>
      <c r="S2491">
        <v>7554</v>
      </c>
      <c r="T2491" t="s">
        <v>52</v>
      </c>
      <c r="U2491">
        <v>3</v>
      </c>
      <c r="V2491" t="s">
        <v>4297</v>
      </c>
      <c r="W2491" t="s">
        <v>54</v>
      </c>
      <c r="X2491" t="s">
        <v>55</v>
      </c>
      <c r="Y2491" t="s">
        <v>56</v>
      </c>
      <c r="Z2491">
        <v>614</v>
      </c>
      <c r="AA2491">
        <v>64</v>
      </c>
      <c r="AB2491">
        <v>204</v>
      </c>
      <c r="AC2491" t="s">
        <v>4438</v>
      </c>
      <c r="AD2491" t="s">
        <v>4299</v>
      </c>
      <c r="AE2491" t="s">
        <v>4300</v>
      </c>
      <c r="AF2491" t="s">
        <v>4301</v>
      </c>
      <c r="AG2491" t="s">
        <v>4302</v>
      </c>
      <c r="AH2491" t="s">
        <v>4303</v>
      </c>
      <c r="AI2491" t="s">
        <v>1809</v>
      </c>
      <c r="AJ2491" s="2">
        <v>45586.788877314815</v>
      </c>
      <c r="AK2491" t="s">
        <v>64</v>
      </c>
      <c r="AL2491" t="s">
        <v>65</v>
      </c>
      <c r="AM2491" t="s">
        <v>9489</v>
      </c>
      <c r="AN2491" t="s">
        <v>66</v>
      </c>
      <c r="AO2491" t="s">
        <v>67</v>
      </c>
    </row>
    <row r="2492" spans="1:41" x14ac:dyDescent="0.2">
      <c r="A2492">
        <v>372167</v>
      </c>
      <c r="B2492" t="s">
        <v>15722</v>
      </c>
      <c r="C2492" t="s">
        <v>69</v>
      </c>
      <c r="D2492" t="s">
        <v>15723</v>
      </c>
      <c r="E2492">
        <v>33353092</v>
      </c>
      <c r="F2492">
        <v>103103</v>
      </c>
      <c r="G2492" s="1">
        <v>38147</v>
      </c>
      <c r="H2492" s="1">
        <v>45832</v>
      </c>
      <c r="I2492" s="1">
        <v>46188</v>
      </c>
      <c r="J2492" t="s">
        <v>45</v>
      </c>
      <c r="K2492" t="s">
        <v>45</v>
      </c>
      <c r="L2492" t="s">
        <v>72</v>
      </c>
      <c r="M2492" s="1">
        <v>40429</v>
      </c>
      <c r="N2492" t="s">
        <v>47</v>
      </c>
      <c r="O2492" t="s">
        <v>48</v>
      </c>
      <c r="P2492" t="s">
        <v>49</v>
      </c>
      <c r="Q2492" t="s">
        <v>15724</v>
      </c>
      <c r="R2492" t="s">
        <v>15725</v>
      </c>
      <c r="S2492">
        <v>5696</v>
      </c>
      <c r="T2492" t="s">
        <v>52</v>
      </c>
      <c r="U2492">
        <v>4</v>
      </c>
      <c r="V2492" t="s">
        <v>75</v>
      </c>
      <c r="W2492" t="s">
        <v>54</v>
      </c>
      <c r="X2492" t="s">
        <v>76</v>
      </c>
      <c r="Y2492" t="s">
        <v>56</v>
      </c>
      <c r="Z2492">
        <v>2481</v>
      </c>
      <c r="AA2492">
        <v>49</v>
      </c>
      <c r="AB2492">
        <v>160</v>
      </c>
      <c r="AC2492" t="s">
        <v>80</v>
      </c>
      <c r="AD2492" t="s">
        <v>81</v>
      </c>
      <c r="AE2492" t="s">
        <v>82</v>
      </c>
      <c r="AF2492" t="s">
        <v>80</v>
      </c>
      <c r="AG2492" t="s">
        <v>81</v>
      </c>
      <c r="AH2492" t="s">
        <v>82</v>
      </c>
      <c r="AI2492" t="s">
        <v>7577</v>
      </c>
      <c r="AJ2492" s="2">
        <v>45832.87023148148</v>
      </c>
      <c r="AK2492" t="s">
        <v>132</v>
      </c>
      <c r="AL2492" t="s">
        <v>65</v>
      </c>
      <c r="AM2492" s="4">
        <v>0.1388888888888889</v>
      </c>
      <c r="AN2492" t="s">
        <v>66</v>
      </c>
      <c r="AO2492" t="s">
        <v>67</v>
      </c>
    </row>
    <row r="2493" spans="1:41" x14ac:dyDescent="0.2">
      <c r="A2493">
        <v>372614</v>
      </c>
      <c r="B2493" t="s">
        <v>15726</v>
      </c>
      <c r="C2493" t="s">
        <v>1565</v>
      </c>
      <c r="D2493" t="s">
        <v>15727</v>
      </c>
      <c r="E2493" t="s">
        <v>15728</v>
      </c>
      <c r="G2493" s="1">
        <v>45736</v>
      </c>
      <c r="H2493" s="1">
        <v>45642</v>
      </c>
      <c r="I2493" s="1">
        <v>46023</v>
      </c>
      <c r="J2493" t="s">
        <v>45</v>
      </c>
      <c r="K2493" t="s">
        <v>45</v>
      </c>
      <c r="L2493" t="s">
        <v>72</v>
      </c>
      <c r="M2493" s="1">
        <v>45847</v>
      </c>
      <c r="N2493" t="s">
        <v>89</v>
      </c>
      <c r="O2493" t="s">
        <v>121</v>
      </c>
      <c r="P2493" t="s">
        <v>49</v>
      </c>
      <c r="Q2493" t="s">
        <v>15729</v>
      </c>
      <c r="R2493" t="s">
        <v>15730</v>
      </c>
      <c r="S2493">
        <v>3430</v>
      </c>
      <c r="T2493" t="s">
        <v>365</v>
      </c>
      <c r="U2493" t="s">
        <v>969</v>
      </c>
      <c r="V2493" t="s">
        <v>15731</v>
      </c>
      <c r="W2493" t="s">
        <v>367</v>
      </c>
      <c r="X2493" t="s">
        <v>76</v>
      </c>
      <c r="Y2493" t="s">
        <v>125</v>
      </c>
      <c r="Z2493">
        <v>2717</v>
      </c>
      <c r="AA2493">
        <v>90</v>
      </c>
      <c r="AB2493">
        <v>160</v>
      </c>
      <c r="AC2493" t="s">
        <v>15732</v>
      </c>
      <c r="AD2493" t="s">
        <v>15733</v>
      </c>
      <c r="AE2493" t="s">
        <v>15734</v>
      </c>
      <c r="AF2493" t="s">
        <v>15735</v>
      </c>
      <c r="AG2493" t="s">
        <v>15736</v>
      </c>
      <c r="AH2493" t="s">
        <v>15737</v>
      </c>
      <c r="AJ2493" s="2">
        <v>45847.636423611111</v>
      </c>
      <c r="AK2493" t="s">
        <v>800</v>
      </c>
      <c r="AL2493" t="s">
        <v>65</v>
      </c>
      <c r="AM2493" s="3">
        <v>2.125</v>
      </c>
      <c r="AN2493" t="s">
        <v>66</v>
      </c>
      <c r="AO2493" t="s">
        <v>67</v>
      </c>
    </row>
    <row r="2494" spans="1:41" x14ac:dyDescent="0.2">
      <c r="A2494">
        <v>371496</v>
      </c>
      <c r="B2494" t="s">
        <v>15738</v>
      </c>
      <c r="C2494" t="s">
        <v>1565</v>
      </c>
      <c r="D2494" t="s">
        <v>3131</v>
      </c>
      <c r="E2494" t="s">
        <v>15739</v>
      </c>
      <c r="G2494" s="1">
        <v>45741</v>
      </c>
      <c r="H2494" s="1">
        <v>45625</v>
      </c>
      <c r="I2494" s="1">
        <v>46006</v>
      </c>
      <c r="J2494" t="s">
        <v>45</v>
      </c>
      <c r="K2494" t="s">
        <v>45</v>
      </c>
      <c r="L2494" t="s">
        <v>72</v>
      </c>
      <c r="M2494" s="1">
        <v>39661</v>
      </c>
      <c r="N2494" t="s">
        <v>89</v>
      </c>
      <c r="O2494" t="s">
        <v>121</v>
      </c>
      <c r="P2494" t="s">
        <v>49</v>
      </c>
      <c r="Q2494" t="s">
        <v>15740</v>
      </c>
      <c r="R2494" t="s">
        <v>15741</v>
      </c>
      <c r="S2494">
        <v>4900</v>
      </c>
      <c r="T2494" t="s">
        <v>365</v>
      </c>
      <c r="U2494" t="s">
        <v>969</v>
      </c>
      <c r="V2494" t="s">
        <v>15731</v>
      </c>
      <c r="W2494" t="s">
        <v>367</v>
      </c>
      <c r="X2494" t="s">
        <v>76</v>
      </c>
      <c r="Y2494" t="s">
        <v>125</v>
      </c>
      <c r="Z2494">
        <v>2841</v>
      </c>
      <c r="AA2494">
        <v>94</v>
      </c>
      <c r="AB2494">
        <v>158</v>
      </c>
      <c r="AC2494" t="s">
        <v>15732</v>
      </c>
      <c r="AD2494" t="s">
        <v>15733</v>
      </c>
      <c r="AE2494" t="s">
        <v>15734</v>
      </c>
      <c r="AF2494" t="s">
        <v>15735</v>
      </c>
      <c r="AG2494" t="s">
        <v>15742</v>
      </c>
      <c r="AH2494" t="s">
        <v>15743</v>
      </c>
      <c r="AJ2494" s="2">
        <v>45813.680497685185</v>
      </c>
      <c r="AK2494" t="s">
        <v>276</v>
      </c>
      <c r="AL2494" t="s">
        <v>65</v>
      </c>
      <c r="AM2494" s="3">
        <v>1.7430555555555556</v>
      </c>
      <c r="AN2494" t="s">
        <v>66</v>
      </c>
      <c r="AO2494" t="s">
        <v>67</v>
      </c>
    </row>
    <row r="2495" spans="1:41" x14ac:dyDescent="0.2">
      <c r="A2495">
        <v>372284</v>
      </c>
      <c r="B2495" t="s">
        <v>15744</v>
      </c>
      <c r="C2495" t="s">
        <v>1565</v>
      </c>
      <c r="D2495" t="s">
        <v>14747</v>
      </c>
      <c r="E2495" t="s">
        <v>15745</v>
      </c>
      <c r="F2495">
        <v>393507</v>
      </c>
      <c r="G2495" s="1">
        <v>44767</v>
      </c>
      <c r="H2495" s="1">
        <v>45835</v>
      </c>
      <c r="I2495" s="1">
        <v>46174</v>
      </c>
      <c r="J2495" t="s">
        <v>45</v>
      </c>
      <c r="K2495" t="s">
        <v>45</v>
      </c>
      <c r="L2495" t="s">
        <v>72</v>
      </c>
      <c r="N2495" t="s">
        <v>89</v>
      </c>
      <c r="O2495" t="s">
        <v>121</v>
      </c>
      <c r="P2495" t="s">
        <v>586</v>
      </c>
      <c r="Q2495" t="s">
        <v>15746</v>
      </c>
      <c r="R2495" t="s">
        <v>15747</v>
      </c>
      <c r="S2495">
        <v>1631</v>
      </c>
      <c r="T2495" t="s">
        <v>92</v>
      </c>
      <c r="U2495" t="s">
        <v>5946</v>
      </c>
      <c r="V2495" t="s">
        <v>14644</v>
      </c>
      <c r="W2495" t="s">
        <v>5948</v>
      </c>
      <c r="X2495" t="s">
        <v>92</v>
      </c>
      <c r="Y2495" t="s">
        <v>110</v>
      </c>
      <c r="Z2495">
        <v>6146</v>
      </c>
      <c r="AA2495">
        <v>45</v>
      </c>
      <c r="AB2495">
        <v>78</v>
      </c>
      <c r="AC2495" t="s">
        <v>15748</v>
      </c>
      <c r="AD2495" t="s">
        <v>5950</v>
      </c>
      <c r="AE2495" t="s">
        <v>15749</v>
      </c>
      <c r="AF2495" t="s">
        <v>5952</v>
      </c>
      <c r="AG2495" t="s">
        <v>5953</v>
      </c>
      <c r="AH2495" t="s">
        <v>5954</v>
      </c>
      <c r="AJ2495" s="2">
        <v>45835.936944444446</v>
      </c>
      <c r="AK2495" t="s">
        <v>5952</v>
      </c>
      <c r="AL2495" t="s">
        <v>65</v>
      </c>
      <c r="AM2495" s="4">
        <v>0.67361111111111116</v>
      </c>
      <c r="AN2495" t="s">
        <v>66</v>
      </c>
      <c r="AO2495" t="s">
        <v>67</v>
      </c>
    </row>
    <row r="2496" spans="1:41" x14ac:dyDescent="0.2">
      <c r="A2496">
        <v>365806</v>
      </c>
      <c r="B2496" t="s">
        <v>15750</v>
      </c>
      <c r="C2496" t="s">
        <v>236</v>
      </c>
      <c r="D2496" t="s">
        <v>198</v>
      </c>
      <c r="E2496" t="s">
        <v>15751</v>
      </c>
      <c r="F2496">
        <v>210709</v>
      </c>
      <c r="G2496" s="1">
        <v>35186</v>
      </c>
      <c r="H2496" s="1">
        <v>45589</v>
      </c>
      <c r="I2496" s="1">
        <v>45931</v>
      </c>
      <c r="J2496" t="s">
        <v>45</v>
      </c>
      <c r="K2496" t="s">
        <v>45</v>
      </c>
      <c r="L2496" t="s">
        <v>46</v>
      </c>
      <c r="M2496" s="1">
        <v>43335</v>
      </c>
      <c r="N2496" t="s">
        <v>47</v>
      </c>
      <c r="O2496" t="s">
        <v>48</v>
      </c>
      <c r="P2496" t="s">
        <v>49</v>
      </c>
      <c r="Q2496" t="s">
        <v>15752</v>
      </c>
      <c r="R2496" t="s">
        <v>15753</v>
      </c>
      <c r="S2496">
        <v>1430</v>
      </c>
      <c r="T2496" t="s">
        <v>52</v>
      </c>
      <c r="U2496">
        <v>9</v>
      </c>
      <c r="V2496" t="s">
        <v>7038</v>
      </c>
      <c r="W2496" t="s">
        <v>54</v>
      </c>
      <c r="X2496" t="s">
        <v>76</v>
      </c>
      <c r="Y2496" t="s">
        <v>56</v>
      </c>
      <c r="Z2496">
        <v>1176</v>
      </c>
      <c r="AA2496">
        <v>50</v>
      </c>
      <c r="AB2496">
        <v>146</v>
      </c>
      <c r="AC2496" t="s">
        <v>9654</v>
      </c>
      <c r="AD2496" t="s">
        <v>8897</v>
      </c>
      <c r="AE2496" t="s">
        <v>8898</v>
      </c>
      <c r="AF2496" t="s">
        <v>8899</v>
      </c>
      <c r="AG2496" t="s">
        <v>5961</v>
      </c>
      <c r="AJ2496" s="2">
        <v>45593.891145833331</v>
      </c>
      <c r="AK2496" t="s">
        <v>717</v>
      </c>
      <c r="AL2496" t="s">
        <v>65</v>
      </c>
      <c r="AM2496" s="4">
        <v>0.19444444444444445</v>
      </c>
      <c r="AN2496" t="s">
        <v>66</v>
      </c>
      <c r="AO2496" t="s">
        <v>67</v>
      </c>
    </row>
    <row r="2497" spans="1:41" x14ac:dyDescent="0.2">
      <c r="A2497">
        <v>369544</v>
      </c>
      <c r="B2497" t="s">
        <v>15754</v>
      </c>
      <c r="C2497" t="s">
        <v>182</v>
      </c>
      <c r="D2497" t="s">
        <v>558</v>
      </c>
      <c r="E2497" t="s">
        <v>15755</v>
      </c>
      <c r="F2497">
        <v>41808</v>
      </c>
      <c r="G2497" s="1">
        <v>32509</v>
      </c>
      <c r="H2497" s="1">
        <v>45733</v>
      </c>
      <c r="J2497" t="s">
        <v>45</v>
      </c>
      <c r="K2497" t="s">
        <v>72</v>
      </c>
      <c r="L2497" t="s">
        <v>72</v>
      </c>
      <c r="M2497" s="1">
        <v>37745</v>
      </c>
      <c r="N2497" t="s">
        <v>47</v>
      </c>
      <c r="O2497" t="s">
        <v>48</v>
      </c>
      <c r="P2497" t="s">
        <v>49</v>
      </c>
      <c r="Q2497" t="s">
        <v>15756</v>
      </c>
      <c r="R2497" t="s">
        <v>15757</v>
      </c>
      <c r="S2497">
        <v>2757</v>
      </c>
      <c r="T2497" t="s">
        <v>92</v>
      </c>
      <c r="U2497" t="s">
        <v>187</v>
      </c>
      <c r="V2497" t="s">
        <v>447</v>
      </c>
      <c r="W2497" t="s">
        <v>448</v>
      </c>
      <c r="X2497" t="s">
        <v>92</v>
      </c>
      <c r="Y2497" t="s">
        <v>450</v>
      </c>
      <c r="Z2497">
        <v>1272</v>
      </c>
      <c r="AA2497">
        <v>50</v>
      </c>
      <c r="AB2497">
        <v>66</v>
      </c>
      <c r="AC2497" t="s">
        <v>451</v>
      </c>
      <c r="AD2497" t="s">
        <v>452</v>
      </c>
      <c r="AE2497" t="s">
        <v>453</v>
      </c>
      <c r="AF2497" t="s">
        <v>454</v>
      </c>
      <c r="AG2497" t="s">
        <v>473</v>
      </c>
      <c r="AH2497" t="s">
        <v>474</v>
      </c>
      <c r="AJ2497" s="2">
        <v>45743.64702546296</v>
      </c>
      <c r="AK2497" t="s">
        <v>526</v>
      </c>
      <c r="AL2497" t="s">
        <v>65</v>
      </c>
      <c r="AM2497" s="3">
        <v>1.1944444444444444</v>
      </c>
      <c r="AN2497" t="s">
        <v>66</v>
      </c>
      <c r="AO2497" t="s">
        <v>67</v>
      </c>
    </row>
    <row r="2498" spans="1:41" x14ac:dyDescent="0.2">
      <c r="A2498">
        <v>367175</v>
      </c>
      <c r="B2498" t="s">
        <v>15758</v>
      </c>
      <c r="C2498" t="s">
        <v>134</v>
      </c>
      <c r="D2498" t="s">
        <v>8818</v>
      </c>
      <c r="E2498" t="s">
        <v>15759</v>
      </c>
      <c r="F2498">
        <v>452306</v>
      </c>
      <c r="G2498" s="1">
        <v>37028</v>
      </c>
      <c r="H2498" s="1">
        <v>45489</v>
      </c>
      <c r="I2498" s="1">
        <v>46218</v>
      </c>
      <c r="J2498" t="s">
        <v>45</v>
      </c>
      <c r="K2498" t="s">
        <v>45</v>
      </c>
      <c r="L2498" t="s">
        <v>72</v>
      </c>
      <c r="M2498" s="1">
        <v>41918</v>
      </c>
      <c r="N2498" t="s">
        <v>47</v>
      </c>
      <c r="O2498" t="s">
        <v>48</v>
      </c>
      <c r="P2498" t="s">
        <v>49</v>
      </c>
      <c r="Q2498" t="s">
        <v>15760</v>
      </c>
      <c r="R2498" t="s">
        <v>15761</v>
      </c>
      <c r="S2498">
        <v>4300</v>
      </c>
      <c r="T2498" t="s">
        <v>92</v>
      </c>
      <c r="U2498" t="s">
        <v>139</v>
      </c>
      <c r="V2498" t="s">
        <v>140</v>
      </c>
      <c r="W2498" t="s">
        <v>141</v>
      </c>
      <c r="X2498" t="s">
        <v>92</v>
      </c>
      <c r="Y2498" t="s">
        <v>110</v>
      </c>
      <c r="Z2498">
        <v>395</v>
      </c>
      <c r="AA2498">
        <v>49</v>
      </c>
      <c r="AB2498">
        <v>158</v>
      </c>
      <c r="AC2498" t="s">
        <v>8048</v>
      </c>
      <c r="AD2498" t="s">
        <v>8049</v>
      </c>
      <c r="AE2498" t="s">
        <v>8050</v>
      </c>
      <c r="AF2498" t="s">
        <v>145</v>
      </c>
      <c r="AG2498" t="s">
        <v>146</v>
      </c>
      <c r="AH2498" t="s">
        <v>147</v>
      </c>
      <c r="AI2498" t="s">
        <v>8051</v>
      </c>
      <c r="AJ2498" s="2">
        <v>45664.705104166664</v>
      </c>
      <c r="AK2498" t="s">
        <v>149</v>
      </c>
      <c r="AL2498" t="s">
        <v>65</v>
      </c>
      <c r="AM2498" s="4">
        <v>0.40972222222222221</v>
      </c>
      <c r="AN2498" t="s">
        <v>66</v>
      </c>
      <c r="AO2498" t="s">
        <v>67</v>
      </c>
    </row>
    <row r="2499" spans="1:41" x14ac:dyDescent="0.2">
      <c r="A2499">
        <v>366796</v>
      </c>
      <c r="B2499" t="s">
        <v>15762</v>
      </c>
      <c r="C2499" t="s">
        <v>182</v>
      </c>
      <c r="D2499" t="s">
        <v>4421</v>
      </c>
      <c r="E2499" t="s">
        <v>15763</v>
      </c>
      <c r="F2499">
        <v>45226</v>
      </c>
      <c r="G2499" s="1">
        <v>42879</v>
      </c>
      <c r="H2499" s="1">
        <v>45631</v>
      </c>
      <c r="I2499" s="1">
        <v>45992</v>
      </c>
      <c r="J2499" t="s">
        <v>45</v>
      </c>
      <c r="K2499" t="s">
        <v>45</v>
      </c>
      <c r="L2499" t="s">
        <v>72</v>
      </c>
      <c r="M2499" s="1">
        <v>44173</v>
      </c>
      <c r="N2499" t="s">
        <v>47</v>
      </c>
      <c r="O2499" t="s">
        <v>48</v>
      </c>
      <c r="P2499" t="s">
        <v>49</v>
      </c>
      <c r="Q2499" t="s">
        <v>15764</v>
      </c>
      <c r="R2499" t="s">
        <v>15765</v>
      </c>
      <c r="S2499">
        <v>1402</v>
      </c>
      <c r="T2499" t="s">
        <v>92</v>
      </c>
      <c r="U2499" t="s">
        <v>187</v>
      </c>
      <c r="V2499" t="s">
        <v>4425</v>
      </c>
      <c r="W2499" t="s">
        <v>4426</v>
      </c>
      <c r="X2499" t="s">
        <v>92</v>
      </c>
      <c r="Y2499" t="s">
        <v>110</v>
      </c>
      <c r="Z2499">
        <v>8807</v>
      </c>
      <c r="AA2499">
        <v>20</v>
      </c>
      <c r="AB2499">
        <v>78</v>
      </c>
      <c r="AC2499" t="s">
        <v>4427</v>
      </c>
      <c r="AD2499" t="s">
        <v>4428</v>
      </c>
      <c r="AE2499" t="s">
        <v>4429</v>
      </c>
      <c r="AF2499" t="s">
        <v>4430</v>
      </c>
      <c r="AG2499" t="s">
        <v>4431</v>
      </c>
      <c r="AH2499" t="s">
        <v>4432</v>
      </c>
      <c r="AI2499" t="s">
        <v>4433</v>
      </c>
      <c r="AJ2499" s="2">
        <v>45847.727812500001</v>
      </c>
      <c r="AK2499" t="s">
        <v>4427</v>
      </c>
      <c r="AL2499" t="s">
        <v>65</v>
      </c>
      <c r="AM2499" s="4">
        <v>0.38194444444444442</v>
      </c>
      <c r="AN2499" t="s">
        <v>66</v>
      </c>
      <c r="AO2499" t="s">
        <v>67</v>
      </c>
    </row>
    <row r="2500" spans="1:41" x14ac:dyDescent="0.2">
      <c r="A2500">
        <v>372683</v>
      </c>
      <c r="B2500" t="s">
        <v>15766</v>
      </c>
      <c r="C2500" t="s">
        <v>182</v>
      </c>
      <c r="D2500" t="s">
        <v>6734</v>
      </c>
      <c r="E2500" t="s">
        <v>15767</v>
      </c>
      <c r="F2500">
        <v>41908</v>
      </c>
      <c r="G2500" s="1">
        <v>36881</v>
      </c>
      <c r="H2500" s="1">
        <v>45848</v>
      </c>
      <c r="I2500" s="1">
        <v>46174</v>
      </c>
      <c r="J2500" t="s">
        <v>45</v>
      </c>
      <c r="K2500" t="s">
        <v>45</v>
      </c>
      <c r="L2500" t="s">
        <v>429</v>
      </c>
      <c r="M2500" s="1">
        <v>45812</v>
      </c>
      <c r="N2500" t="s">
        <v>47</v>
      </c>
      <c r="O2500" t="s">
        <v>48</v>
      </c>
      <c r="P2500" t="s">
        <v>49</v>
      </c>
      <c r="Q2500" t="s">
        <v>15768</v>
      </c>
      <c r="R2500" t="s">
        <v>15769</v>
      </c>
      <c r="S2500">
        <v>4355</v>
      </c>
      <c r="T2500" t="s">
        <v>52</v>
      </c>
      <c r="U2500">
        <v>5</v>
      </c>
      <c r="V2500" t="s">
        <v>4389</v>
      </c>
      <c r="W2500" t="s">
        <v>54</v>
      </c>
      <c r="X2500" t="s">
        <v>493</v>
      </c>
      <c r="Y2500" t="s">
        <v>434</v>
      </c>
      <c r="Z2500">
        <v>1825</v>
      </c>
      <c r="AA2500">
        <v>48</v>
      </c>
      <c r="AB2500">
        <v>34</v>
      </c>
      <c r="AC2500" t="s">
        <v>6738</v>
      </c>
      <c r="AD2500" t="s">
        <v>6739</v>
      </c>
      <c r="AE2500" t="s">
        <v>6740</v>
      </c>
      <c r="AF2500" t="s">
        <v>6741</v>
      </c>
      <c r="AG2500" t="s">
        <v>6742</v>
      </c>
      <c r="AH2500" t="s">
        <v>15770</v>
      </c>
      <c r="AI2500" t="s">
        <v>15771</v>
      </c>
      <c r="AJ2500" s="2">
        <v>45849.865694444445</v>
      </c>
      <c r="AK2500" t="s">
        <v>501</v>
      </c>
      <c r="AL2500" t="s">
        <v>65</v>
      </c>
      <c r="AM2500" s="3">
        <v>1.3819444444444444</v>
      </c>
      <c r="AN2500" t="s">
        <v>66</v>
      </c>
      <c r="AO2500" t="s">
        <v>67</v>
      </c>
    </row>
    <row r="2501" spans="1:41" x14ac:dyDescent="0.2">
      <c r="A2501">
        <v>364135</v>
      </c>
      <c r="B2501" t="s">
        <v>15772</v>
      </c>
      <c r="C2501" t="s">
        <v>735</v>
      </c>
      <c r="D2501" t="s">
        <v>2922</v>
      </c>
      <c r="E2501" t="s">
        <v>15773</v>
      </c>
      <c r="F2501">
        <v>241508</v>
      </c>
      <c r="G2501" s="1">
        <v>36815</v>
      </c>
      <c r="H2501" s="1">
        <v>45524</v>
      </c>
      <c r="I2501" s="1">
        <v>46235</v>
      </c>
      <c r="J2501" t="s">
        <v>45</v>
      </c>
      <c r="K2501" t="s">
        <v>45</v>
      </c>
      <c r="L2501" t="s">
        <v>545</v>
      </c>
      <c r="M2501" s="1">
        <v>43675</v>
      </c>
      <c r="N2501" t="s">
        <v>47</v>
      </c>
      <c r="O2501" t="s">
        <v>48</v>
      </c>
      <c r="P2501" t="s">
        <v>49</v>
      </c>
      <c r="Q2501" t="s">
        <v>15774</v>
      </c>
      <c r="R2501" t="s">
        <v>15775</v>
      </c>
      <c r="S2501">
        <v>4130</v>
      </c>
      <c r="T2501" t="s">
        <v>52</v>
      </c>
      <c r="U2501">
        <v>1</v>
      </c>
      <c r="V2501" t="s">
        <v>2926</v>
      </c>
      <c r="W2501" t="s">
        <v>54</v>
      </c>
      <c r="X2501" t="s">
        <v>76</v>
      </c>
      <c r="Y2501" t="s">
        <v>56</v>
      </c>
      <c r="Z2501">
        <v>1006</v>
      </c>
      <c r="AA2501">
        <v>65</v>
      </c>
      <c r="AB2501">
        <v>78</v>
      </c>
      <c r="AC2501" t="s">
        <v>2927</v>
      </c>
      <c r="AD2501" t="s">
        <v>2928</v>
      </c>
      <c r="AE2501" t="s">
        <v>2929</v>
      </c>
      <c r="AF2501" t="s">
        <v>11273</v>
      </c>
      <c r="AG2501" t="s">
        <v>11274</v>
      </c>
      <c r="AH2501" t="s">
        <v>11275</v>
      </c>
      <c r="AI2501" t="s">
        <v>179</v>
      </c>
      <c r="AJ2501" s="2">
        <v>45533.780810185184</v>
      </c>
      <c r="AK2501" t="s">
        <v>568</v>
      </c>
      <c r="AL2501" t="s">
        <v>65</v>
      </c>
      <c r="AM2501" s="4">
        <v>0.51388888888888884</v>
      </c>
      <c r="AN2501" t="s">
        <v>66</v>
      </c>
      <c r="AO2501" t="s">
        <v>67</v>
      </c>
    </row>
    <row r="2502" spans="1:41" x14ac:dyDescent="0.2">
      <c r="A2502">
        <v>372954</v>
      </c>
      <c r="B2502" t="s">
        <v>15776</v>
      </c>
      <c r="C2502" t="s">
        <v>3441</v>
      </c>
      <c r="D2502" t="s">
        <v>1938</v>
      </c>
      <c r="E2502" t="s">
        <v>15777</v>
      </c>
      <c r="G2502" s="1">
        <v>44645</v>
      </c>
      <c r="H2502" s="1">
        <v>45729</v>
      </c>
      <c r="I2502" s="1">
        <v>46113</v>
      </c>
      <c r="J2502" t="s">
        <v>45</v>
      </c>
      <c r="K2502" t="s">
        <v>45</v>
      </c>
      <c r="L2502" t="s">
        <v>46</v>
      </c>
      <c r="N2502" t="s">
        <v>47</v>
      </c>
      <c r="O2502" t="s">
        <v>48</v>
      </c>
      <c r="P2502" t="s">
        <v>49</v>
      </c>
      <c r="Q2502" t="s">
        <v>15778</v>
      </c>
      <c r="R2502" t="s">
        <v>15779</v>
      </c>
      <c r="S2502">
        <v>1657</v>
      </c>
      <c r="T2502" t="s">
        <v>296</v>
      </c>
      <c r="U2502" t="s">
        <v>9316</v>
      </c>
      <c r="W2502" t="s">
        <v>299</v>
      </c>
      <c r="X2502" t="s">
        <v>76</v>
      </c>
      <c r="Y2502" t="s">
        <v>56</v>
      </c>
      <c r="Z2502">
        <v>10867</v>
      </c>
      <c r="AA2502">
        <v>12</v>
      </c>
      <c r="AB2502">
        <v>78</v>
      </c>
      <c r="AC2502" t="s">
        <v>9317</v>
      </c>
      <c r="AD2502" t="s">
        <v>9318</v>
      </c>
      <c r="AE2502" t="s">
        <v>15780</v>
      </c>
      <c r="AF2502" t="s">
        <v>9320</v>
      </c>
      <c r="AG2502" t="s">
        <v>9321</v>
      </c>
      <c r="AH2502" t="s">
        <v>9319</v>
      </c>
      <c r="AI2502" t="s">
        <v>9322</v>
      </c>
      <c r="AJ2502" s="2">
        <v>45855.952546296299</v>
      </c>
      <c r="AK2502" t="s">
        <v>556</v>
      </c>
      <c r="AL2502" t="s">
        <v>65</v>
      </c>
      <c r="AM2502" s="3">
        <v>1.9930555555555556</v>
      </c>
      <c r="AN2502" t="s">
        <v>66</v>
      </c>
      <c r="AO2502" t="s">
        <v>67</v>
      </c>
    </row>
    <row r="2503" spans="1:41" x14ac:dyDescent="0.2">
      <c r="A2503">
        <v>368378</v>
      </c>
      <c r="B2503" t="s">
        <v>15781</v>
      </c>
      <c r="C2503" t="s">
        <v>1687</v>
      </c>
      <c r="D2503" t="s">
        <v>15782</v>
      </c>
      <c r="E2503" t="s">
        <v>15783</v>
      </c>
      <c r="G2503" s="1">
        <v>45017</v>
      </c>
      <c r="H2503" s="1">
        <v>45708</v>
      </c>
      <c r="I2503" s="1">
        <v>46068</v>
      </c>
      <c r="J2503" t="s">
        <v>45</v>
      </c>
      <c r="K2503" t="s">
        <v>45</v>
      </c>
      <c r="L2503" t="s">
        <v>72</v>
      </c>
      <c r="M2503" s="1">
        <v>45278</v>
      </c>
      <c r="N2503" t="s">
        <v>47</v>
      </c>
      <c r="O2503" t="s">
        <v>121</v>
      </c>
      <c r="P2503" t="s">
        <v>49</v>
      </c>
      <c r="Q2503" t="s">
        <v>15784</v>
      </c>
      <c r="R2503" t="s">
        <v>15785</v>
      </c>
      <c r="S2503">
        <v>3</v>
      </c>
      <c r="T2503" t="s">
        <v>156</v>
      </c>
      <c r="U2503" t="s">
        <v>157</v>
      </c>
      <c r="V2503" t="s">
        <v>2345</v>
      </c>
      <c r="W2503" t="s">
        <v>159</v>
      </c>
      <c r="X2503" t="s">
        <v>156</v>
      </c>
      <c r="Y2503" t="s">
        <v>110</v>
      </c>
      <c r="Z2503">
        <v>3947</v>
      </c>
      <c r="AA2503">
        <v>51</v>
      </c>
      <c r="AB2503">
        <v>30</v>
      </c>
      <c r="AC2503" t="s">
        <v>2349</v>
      </c>
      <c r="AD2503" t="s">
        <v>2350</v>
      </c>
      <c r="AE2503" t="s">
        <v>2351</v>
      </c>
      <c r="AF2503" t="s">
        <v>15786</v>
      </c>
      <c r="AG2503" t="s">
        <v>7541</v>
      </c>
      <c r="AH2503" t="s">
        <v>2354</v>
      </c>
      <c r="AJ2503" s="2">
        <v>45708.848969907405</v>
      </c>
      <c r="AK2503" t="s">
        <v>2349</v>
      </c>
      <c r="AL2503" t="s">
        <v>65</v>
      </c>
      <c r="AM2503" s="3">
        <v>1.4513888888888888</v>
      </c>
      <c r="AN2503" t="s">
        <v>66</v>
      </c>
      <c r="AO2503" t="s">
        <v>67</v>
      </c>
    </row>
    <row r="2504" spans="1:41" x14ac:dyDescent="0.2">
      <c r="A2504">
        <v>371749</v>
      </c>
      <c r="B2504" t="s">
        <v>15787</v>
      </c>
      <c r="C2504" t="s">
        <v>323</v>
      </c>
      <c r="D2504" t="s">
        <v>3603</v>
      </c>
      <c r="E2504" t="s">
        <v>15788</v>
      </c>
      <c r="F2504">
        <v>500734</v>
      </c>
      <c r="G2504" s="1">
        <v>33379</v>
      </c>
      <c r="H2504" s="1">
        <v>45792</v>
      </c>
      <c r="I2504" s="1">
        <v>46037</v>
      </c>
      <c r="J2504" t="s">
        <v>45</v>
      </c>
      <c r="K2504" t="s">
        <v>45</v>
      </c>
      <c r="L2504" t="s">
        <v>72</v>
      </c>
      <c r="M2504" s="1">
        <v>45056</v>
      </c>
      <c r="N2504" t="s">
        <v>47</v>
      </c>
      <c r="O2504" t="s">
        <v>48</v>
      </c>
      <c r="P2504" t="s">
        <v>49</v>
      </c>
      <c r="Q2504" t="s">
        <v>15789</v>
      </c>
      <c r="R2504" t="s">
        <v>15790</v>
      </c>
      <c r="S2504">
        <v>105</v>
      </c>
      <c r="T2504" t="s">
        <v>156</v>
      </c>
      <c r="U2504" t="s">
        <v>460</v>
      </c>
      <c r="V2504" t="s">
        <v>330</v>
      </c>
      <c r="W2504" t="s">
        <v>159</v>
      </c>
      <c r="X2504" t="s">
        <v>76</v>
      </c>
      <c r="Y2504" t="s">
        <v>110</v>
      </c>
      <c r="Z2504">
        <v>461</v>
      </c>
      <c r="AA2504">
        <v>40</v>
      </c>
      <c r="AB2504">
        <v>158</v>
      </c>
      <c r="AC2504" t="s">
        <v>368</v>
      </c>
      <c r="AD2504" t="s">
        <v>369</v>
      </c>
      <c r="AE2504" t="s">
        <v>370</v>
      </c>
      <c r="AF2504" t="s">
        <v>5645</v>
      </c>
      <c r="AG2504" t="s">
        <v>5646</v>
      </c>
      <c r="AH2504" t="s">
        <v>5647</v>
      </c>
      <c r="AI2504" t="s">
        <v>466</v>
      </c>
      <c r="AJ2504" s="2">
        <v>45818.852534722224</v>
      </c>
      <c r="AK2504" t="s">
        <v>727</v>
      </c>
      <c r="AL2504" t="s">
        <v>65</v>
      </c>
      <c r="AM2504" s="3">
        <v>2.0763888888888888</v>
      </c>
      <c r="AN2504" t="s">
        <v>66</v>
      </c>
      <c r="AO2504" t="s">
        <v>67</v>
      </c>
    </row>
    <row r="2505" spans="1:41" x14ac:dyDescent="0.2">
      <c r="A2505">
        <v>372496</v>
      </c>
      <c r="B2505" t="s">
        <v>15791</v>
      </c>
      <c r="C2505" t="s">
        <v>167</v>
      </c>
      <c r="D2505" t="s">
        <v>2702</v>
      </c>
      <c r="E2505">
        <v>32464502</v>
      </c>
      <c r="F2505">
        <v>353339</v>
      </c>
      <c r="G2505" s="1">
        <v>37204</v>
      </c>
      <c r="H2505" s="1">
        <v>45506</v>
      </c>
      <c r="I2505" s="1">
        <v>46218</v>
      </c>
      <c r="J2505" t="s">
        <v>45</v>
      </c>
      <c r="K2505" t="s">
        <v>45</v>
      </c>
      <c r="L2505" t="s">
        <v>72</v>
      </c>
      <c r="M2505" s="1">
        <v>41767</v>
      </c>
      <c r="N2505" t="s">
        <v>47</v>
      </c>
      <c r="O2505" t="s">
        <v>48</v>
      </c>
      <c r="P2505" t="s">
        <v>49</v>
      </c>
      <c r="Q2505" t="s">
        <v>15792</v>
      </c>
      <c r="R2505" t="s">
        <v>15793</v>
      </c>
      <c r="S2505">
        <v>4875</v>
      </c>
      <c r="T2505" t="s">
        <v>52</v>
      </c>
      <c r="U2505">
        <v>6</v>
      </c>
      <c r="V2505" t="s">
        <v>3013</v>
      </c>
      <c r="W2505" t="s">
        <v>54</v>
      </c>
      <c r="X2505" t="s">
        <v>76</v>
      </c>
      <c r="Y2505" t="s">
        <v>56</v>
      </c>
      <c r="Z2505">
        <v>874</v>
      </c>
      <c r="AA2505">
        <v>70</v>
      </c>
      <c r="AB2505">
        <v>176</v>
      </c>
      <c r="AC2505" t="s">
        <v>4117</v>
      </c>
      <c r="AD2505" t="s">
        <v>4118</v>
      </c>
      <c r="AE2505" t="s">
        <v>4119</v>
      </c>
      <c r="AF2505" t="s">
        <v>4120</v>
      </c>
      <c r="AG2505" t="s">
        <v>4121</v>
      </c>
      <c r="AH2505" t="s">
        <v>4122</v>
      </c>
      <c r="AI2505" t="s">
        <v>179</v>
      </c>
      <c r="AJ2505" s="2">
        <v>45840.913240740738</v>
      </c>
      <c r="AK2505" t="s">
        <v>556</v>
      </c>
      <c r="AL2505" t="s">
        <v>65</v>
      </c>
      <c r="AM2505" s="4">
        <v>0.3263888888888889</v>
      </c>
      <c r="AN2505" t="s">
        <v>66</v>
      </c>
      <c r="AO2505" t="s">
        <v>67</v>
      </c>
    </row>
    <row r="2506" spans="1:41" x14ac:dyDescent="0.2">
      <c r="A2506">
        <v>367532</v>
      </c>
      <c r="B2506" t="s">
        <v>15794</v>
      </c>
      <c r="C2506" t="s">
        <v>118</v>
      </c>
      <c r="D2506" t="s">
        <v>7071</v>
      </c>
      <c r="E2506" t="s">
        <v>15795</v>
      </c>
      <c r="F2506">
        <v>21209</v>
      </c>
      <c r="G2506" s="1">
        <v>37329</v>
      </c>
      <c r="H2506" s="1">
        <v>45663</v>
      </c>
      <c r="I2506" s="1">
        <v>46174</v>
      </c>
      <c r="J2506" t="s">
        <v>45</v>
      </c>
      <c r="K2506" t="s">
        <v>45</v>
      </c>
      <c r="L2506" t="s">
        <v>4306</v>
      </c>
      <c r="N2506" t="s">
        <v>47</v>
      </c>
      <c r="O2506" t="s">
        <v>48</v>
      </c>
      <c r="P2506" t="s">
        <v>49</v>
      </c>
      <c r="Q2506" t="s">
        <v>15796</v>
      </c>
      <c r="R2506" t="s">
        <v>15797</v>
      </c>
      <c r="S2506">
        <v>2262</v>
      </c>
      <c r="T2506" t="s">
        <v>296</v>
      </c>
      <c r="U2506" t="s">
        <v>297</v>
      </c>
      <c r="V2506" t="s">
        <v>15798</v>
      </c>
      <c r="W2506" t="s">
        <v>299</v>
      </c>
      <c r="X2506" t="s">
        <v>55</v>
      </c>
      <c r="Y2506" t="s">
        <v>56</v>
      </c>
      <c r="Z2506">
        <v>2170</v>
      </c>
      <c r="AA2506">
        <v>37</v>
      </c>
      <c r="AB2506">
        <v>160</v>
      </c>
      <c r="AC2506" t="s">
        <v>15799</v>
      </c>
      <c r="AD2506" t="s">
        <v>15800</v>
      </c>
      <c r="AE2506" t="s">
        <v>15801</v>
      </c>
      <c r="AF2506" t="s">
        <v>15802</v>
      </c>
      <c r="AG2506" t="s">
        <v>304</v>
      </c>
      <c r="AH2506" t="s">
        <v>305</v>
      </c>
      <c r="AI2506" t="s">
        <v>306</v>
      </c>
      <c r="AJ2506" s="2">
        <v>45680.599374999998</v>
      </c>
      <c r="AK2506" t="s">
        <v>568</v>
      </c>
      <c r="AL2506" t="s">
        <v>65</v>
      </c>
      <c r="AM2506" s="4">
        <v>0.59027777777777779</v>
      </c>
      <c r="AN2506" t="s">
        <v>66</v>
      </c>
      <c r="AO2506" t="s">
        <v>67</v>
      </c>
    </row>
    <row r="2507" spans="1:41" x14ac:dyDescent="0.2">
      <c r="A2507">
        <v>369212</v>
      </c>
      <c r="B2507" t="s">
        <v>15803</v>
      </c>
      <c r="C2507" t="s">
        <v>182</v>
      </c>
      <c r="D2507" t="s">
        <v>3779</v>
      </c>
      <c r="E2507">
        <v>32598110</v>
      </c>
      <c r="F2507">
        <v>45801</v>
      </c>
      <c r="G2507" s="1">
        <v>31518</v>
      </c>
      <c r="H2507" s="1">
        <v>45726</v>
      </c>
      <c r="I2507" s="1">
        <v>46068</v>
      </c>
      <c r="J2507" t="s">
        <v>45</v>
      </c>
      <c r="K2507" t="s">
        <v>45</v>
      </c>
      <c r="L2507" t="s">
        <v>429</v>
      </c>
      <c r="M2507" s="1">
        <v>45639</v>
      </c>
      <c r="N2507" t="s">
        <v>47</v>
      </c>
      <c r="O2507" t="s">
        <v>48</v>
      </c>
      <c r="P2507" t="s">
        <v>49</v>
      </c>
      <c r="Q2507" t="s">
        <v>15804</v>
      </c>
      <c r="R2507" t="s">
        <v>15805</v>
      </c>
      <c r="S2507">
        <v>285</v>
      </c>
      <c r="T2507" t="s">
        <v>365</v>
      </c>
      <c r="U2507" t="s">
        <v>815</v>
      </c>
      <c r="V2507" t="s">
        <v>8067</v>
      </c>
      <c r="W2507" t="s">
        <v>367</v>
      </c>
      <c r="X2507" t="s">
        <v>55</v>
      </c>
      <c r="Y2507" t="s">
        <v>434</v>
      </c>
      <c r="Z2507">
        <v>75</v>
      </c>
      <c r="AA2507">
        <v>63</v>
      </c>
      <c r="AB2507">
        <v>210</v>
      </c>
      <c r="AC2507" t="s">
        <v>15806</v>
      </c>
      <c r="AD2507" t="s">
        <v>15807</v>
      </c>
      <c r="AE2507" t="s">
        <v>15808</v>
      </c>
      <c r="AF2507" t="s">
        <v>8068</v>
      </c>
      <c r="AG2507" t="s">
        <v>8069</v>
      </c>
      <c r="AH2507" t="s">
        <v>8070</v>
      </c>
      <c r="AI2507" t="s">
        <v>179</v>
      </c>
      <c r="AJ2507" s="2">
        <v>45729.624166666668</v>
      </c>
      <c r="AK2507" t="s">
        <v>307</v>
      </c>
      <c r="AL2507" t="s">
        <v>65</v>
      </c>
      <c r="AM2507" s="3">
        <v>1.1319444444444444</v>
      </c>
      <c r="AN2507" t="s">
        <v>66</v>
      </c>
      <c r="AO2507" t="s">
        <v>67</v>
      </c>
    </row>
    <row r="2508" spans="1:41" x14ac:dyDescent="0.2">
      <c r="A2508">
        <v>372193</v>
      </c>
      <c r="B2508" t="s">
        <v>15809</v>
      </c>
      <c r="C2508" t="s">
        <v>86</v>
      </c>
      <c r="D2508" t="s">
        <v>15810</v>
      </c>
      <c r="E2508" s="5">
        <v>837643000000</v>
      </c>
      <c r="F2508">
        <v>201202</v>
      </c>
      <c r="G2508" s="1">
        <v>37515</v>
      </c>
      <c r="H2508" s="1">
        <v>45805</v>
      </c>
      <c r="I2508" s="1">
        <v>46174</v>
      </c>
      <c r="J2508" t="s">
        <v>45</v>
      </c>
      <c r="K2508" t="s">
        <v>45</v>
      </c>
      <c r="L2508" t="s">
        <v>72</v>
      </c>
      <c r="M2508" s="1">
        <v>42546</v>
      </c>
      <c r="N2508" t="s">
        <v>47</v>
      </c>
      <c r="O2508" t="s">
        <v>48</v>
      </c>
      <c r="P2508" t="s">
        <v>49</v>
      </c>
      <c r="Q2508" t="s">
        <v>15811</v>
      </c>
      <c r="R2508" t="s">
        <v>15812</v>
      </c>
      <c r="S2508">
        <v>900</v>
      </c>
      <c r="T2508" t="s">
        <v>156</v>
      </c>
      <c r="U2508" t="s">
        <v>241</v>
      </c>
      <c r="V2508" t="s">
        <v>15813</v>
      </c>
      <c r="W2508" t="s">
        <v>159</v>
      </c>
      <c r="X2508" t="s">
        <v>156</v>
      </c>
      <c r="Y2508" t="s">
        <v>110</v>
      </c>
      <c r="Z2508">
        <v>2291</v>
      </c>
      <c r="AA2508">
        <v>38</v>
      </c>
      <c r="AB2508">
        <v>28</v>
      </c>
      <c r="AC2508" t="s">
        <v>15814</v>
      </c>
      <c r="AD2508" t="s">
        <v>15815</v>
      </c>
      <c r="AE2508" t="s">
        <v>15816</v>
      </c>
      <c r="AI2508" t="s">
        <v>2419</v>
      </c>
      <c r="AJ2508" s="2">
        <v>45833.618055555555</v>
      </c>
      <c r="AK2508" t="s">
        <v>15814</v>
      </c>
      <c r="AL2508" t="s">
        <v>65</v>
      </c>
      <c r="AM2508" s="4">
        <v>0.13194444444444445</v>
      </c>
      <c r="AN2508" t="s">
        <v>66</v>
      </c>
      <c r="AO2508" t="s">
        <v>67</v>
      </c>
    </row>
    <row r="2509" spans="1:41" x14ac:dyDescent="0.2">
      <c r="A2509">
        <v>361503</v>
      </c>
      <c r="B2509" t="s">
        <v>15817</v>
      </c>
      <c r="C2509" t="s">
        <v>323</v>
      </c>
      <c r="E2509">
        <v>39611780</v>
      </c>
      <c r="G2509" s="1">
        <v>40773</v>
      </c>
      <c r="H2509" s="1">
        <v>45444</v>
      </c>
      <c r="J2509" t="s">
        <v>72</v>
      </c>
      <c r="K2509" t="s">
        <v>72</v>
      </c>
      <c r="L2509" t="s">
        <v>72</v>
      </c>
      <c r="N2509" t="s">
        <v>47</v>
      </c>
      <c r="O2509" t="s">
        <v>48</v>
      </c>
      <c r="P2509" t="s">
        <v>406</v>
      </c>
      <c r="Q2509" t="s">
        <v>15818</v>
      </c>
      <c r="R2509" t="s">
        <v>15819</v>
      </c>
      <c r="S2509">
        <v>518</v>
      </c>
      <c r="T2509" t="s">
        <v>257</v>
      </c>
      <c r="U2509" t="s">
        <v>329</v>
      </c>
      <c r="V2509" t="s">
        <v>6276</v>
      </c>
      <c r="W2509" t="s">
        <v>3303</v>
      </c>
      <c r="X2509" t="s">
        <v>257</v>
      </c>
      <c r="Y2509" t="s">
        <v>642</v>
      </c>
      <c r="Z2509">
        <v>5087</v>
      </c>
      <c r="AA2509">
        <v>24</v>
      </c>
      <c r="AB2509">
        <v>152</v>
      </c>
      <c r="AC2509" t="s">
        <v>1164</v>
      </c>
      <c r="AD2509" t="s">
        <v>1165</v>
      </c>
      <c r="AE2509" t="s">
        <v>9106</v>
      </c>
      <c r="AF2509" t="s">
        <v>1164</v>
      </c>
      <c r="AH2509" t="s">
        <v>9106</v>
      </c>
      <c r="AJ2509" s="2">
        <v>45455.789606481485</v>
      </c>
      <c r="AK2509" t="s">
        <v>6277</v>
      </c>
      <c r="AL2509" t="s">
        <v>1168</v>
      </c>
      <c r="AM2509" s="3">
        <v>1.6180555555555556</v>
      </c>
      <c r="AN2509" t="s">
        <v>66</v>
      </c>
      <c r="AO2509" t="s">
        <v>67</v>
      </c>
    </row>
    <row r="2510" spans="1:41" x14ac:dyDescent="0.2">
      <c r="A2510">
        <v>366006</v>
      </c>
      <c r="B2510" t="s">
        <v>15820</v>
      </c>
      <c r="C2510" t="s">
        <v>558</v>
      </c>
      <c r="D2510" t="s">
        <v>5338</v>
      </c>
      <c r="E2510" t="s">
        <v>15821</v>
      </c>
      <c r="F2510" t="s">
        <v>2951</v>
      </c>
      <c r="G2510" s="1">
        <v>40080</v>
      </c>
      <c r="H2510" s="1">
        <v>45594</v>
      </c>
      <c r="I2510" s="1">
        <v>45931</v>
      </c>
      <c r="J2510" t="s">
        <v>45</v>
      </c>
      <c r="K2510" t="s">
        <v>45</v>
      </c>
      <c r="L2510" t="s">
        <v>72</v>
      </c>
      <c r="M2510" s="1">
        <v>42816</v>
      </c>
      <c r="N2510" t="s">
        <v>47</v>
      </c>
      <c r="O2510" t="s">
        <v>48</v>
      </c>
      <c r="P2510" t="s">
        <v>49</v>
      </c>
      <c r="Q2510" t="s">
        <v>15822</v>
      </c>
      <c r="R2510" t="s">
        <v>15823</v>
      </c>
      <c r="S2510">
        <v>7725</v>
      </c>
      <c r="T2510" t="s">
        <v>365</v>
      </c>
      <c r="U2510" t="s">
        <v>562</v>
      </c>
      <c r="V2510" t="s">
        <v>1881</v>
      </c>
      <c r="W2510" t="s">
        <v>367</v>
      </c>
      <c r="X2510" t="s">
        <v>76</v>
      </c>
      <c r="Y2510" t="s">
        <v>434</v>
      </c>
      <c r="Z2510">
        <v>161</v>
      </c>
      <c r="AA2510">
        <v>83</v>
      </c>
      <c r="AB2510">
        <v>78</v>
      </c>
      <c r="AC2510" t="s">
        <v>1882</v>
      </c>
      <c r="AD2510" t="s">
        <v>1883</v>
      </c>
      <c r="AE2510" t="s">
        <v>1884</v>
      </c>
      <c r="AI2510" t="s">
        <v>5342</v>
      </c>
      <c r="AJ2510" s="2">
        <v>45600.758680555555</v>
      </c>
      <c r="AK2510" t="s">
        <v>180</v>
      </c>
      <c r="AL2510" t="s">
        <v>65</v>
      </c>
      <c r="AM2510" s="3">
        <v>1.5486111111111112</v>
      </c>
      <c r="AN2510" t="s">
        <v>66</v>
      </c>
      <c r="AO2510" t="s">
        <v>67</v>
      </c>
    </row>
    <row r="2511" spans="1:41" x14ac:dyDescent="0.2">
      <c r="A2511">
        <v>372322</v>
      </c>
      <c r="B2511" t="s">
        <v>15820</v>
      </c>
      <c r="C2511" t="s">
        <v>323</v>
      </c>
      <c r="D2511" t="s">
        <v>372</v>
      </c>
      <c r="E2511" t="s">
        <v>15824</v>
      </c>
      <c r="F2511">
        <v>500405</v>
      </c>
      <c r="G2511" s="1">
        <v>36424</v>
      </c>
      <c r="H2511" s="1">
        <v>45766</v>
      </c>
      <c r="I2511" s="1">
        <v>46037</v>
      </c>
      <c r="J2511" t="s">
        <v>45</v>
      </c>
      <c r="K2511" t="s">
        <v>45</v>
      </c>
      <c r="L2511" t="s">
        <v>72</v>
      </c>
      <c r="N2511" t="s">
        <v>47</v>
      </c>
      <c r="O2511" t="s">
        <v>48</v>
      </c>
      <c r="P2511" t="s">
        <v>49</v>
      </c>
      <c r="Q2511" t="s">
        <v>15825</v>
      </c>
      <c r="R2511" t="s">
        <v>15826</v>
      </c>
      <c r="S2511">
        <v>823</v>
      </c>
      <c r="T2511" t="s">
        <v>365</v>
      </c>
      <c r="U2511" t="s">
        <v>366</v>
      </c>
      <c r="V2511" t="s">
        <v>330</v>
      </c>
      <c r="W2511" t="s">
        <v>367</v>
      </c>
      <c r="X2511" t="s">
        <v>76</v>
      </c>
      <c r="Y2511" t="s">
        <v>110</v>
      </c>
      <c r="Z2511">
        <v>30</v>
      </c>
      <c r="AA2511">
        <v>38</v>
      </c>
      <c r="AB2511">
        <v>158</v>
      </c>
      <c r="AC2511" t="s">
        <v>368</v>
      </c>
      <c r="AD2511" t="s">
        <v>369</v>
      </c>
      <c r="AE2511" t="s">
        <v>370</v>
      </c>
      <c r="AF2511" t="s">
        <v>384</v>
      </c>
      <c r="AG2511" t="s">
        <v>385</v>
      </c>
      <c r="AH2511" t="s">
        <v>386</v>
      </c>
      <c r="AJ2511" s="2">
        <v>45838.502592592595</v>
      </c>
      <c r="AK2511" t="s">
        <v>132</v>
      </c>
      <c r="AL2511" t="s">
        <v>65</v>
      </c>
      <c r="AM2511" s="4">
        <v>0.81944444444444442</v>
      </c>
      <c r="AN2511" t="s">
        <v>66</v>
      </c>
      <c r="AO2511" t="s">
        <v>67</v>
      </c>
    </row>
    <row r="2512" spans="1:41" x14ac:dyDescent="0.2">
      <c r="A2512">
        <v>369890</v>
      </c>
      <c r="B2512" t="s">
        <v>15827</v>
      </c>
      <c r="C2512" t="s">
        <v>167</v>
      </c>
      <c r="D2512" t="s">
        <v>1603</v>
      </c>
      <c r="E2512">
        <v>60005212</v>
      </c>
      <c r="F2512">
        <v>352820</v>
      </c>
      <c r="G2512" s="1">
        <v>38432</v>
      </c>
      <c r="H2512" s="1">
        <v>45736</v>
      </c>
      <c r="I2512" s="1">
        <v>46127</v>
      </c>
      <c r="J2512" t="s">
        <v>45</v>
      </c>
      <c r="K2512" t="s">
        <v>45</v>
      </c>
      <c r="L2512" t="s">
        <v>72</v>
      </c>
      <c r="M2512" s="1">
        <v>43837</v>
      </c>
      <c r="N2512" t="s">
        <v>47</v>
      </c>
      <c r="O2512" t="s">
        <v>48</v>
      </c>
      <c r="P2512" t="s">
        <v>49</v>
      </c>
      <c r="Q2512" t="s">
        <v>15828</v>
      </c>
      <c r="R2512" t="s">
        <v>15829</v>
      </c>
      <c r="S2512">
        <v>438</v>
      </c>
      <c r="T2512" t="s">
        <v>92</v>
      </c>
      <c r="U2512" t="s">
        <v>3030</v>
      </c>
      <c r="V2512" t="s">
        <v>3031</v>
      </c>
      <c r="W2512" t="s">
        <v>3032</v>
      </c>
      <c r="X2512" t="s">
        <v>52</v>
      </c>
      <c r="Y2512" t="s">
        <v>110</v>
      </c>
      <c r="Z2512">
        <v>2177</v>
      </c>
      <c r="AA2512">
        <v>40</v>
      </c>
      <c r="AB2512">
        <v>176</v>
      </c>
      <c r="AC2512" t="s">
        <v>4847</v>
      </c>
      <c r="AD2512" t="s">
        <v>4848</v>
      </c>
      <c r="AE2512" t="s">
        <v>4849</v>
      </c>
      <c r="AF2512" t="s">
        <v>4850</v>
      </c>
      <c r="AG2512" t="s">
        <v>4851</v>
      </c>
      <c r="AH2512" t="s">
        <v>4852</v>
      </c>
      <c r="AJ2512" s="2">
        <v>45756.866574074076</v>
      </c>
      <c r="AK2512" t="s">
        <v>4847</v>
      </c>
      <c r="AL2512" t="s">
        <v>65</v>
      </c>
      <c r="AM2512" s="4">
        <v>0.5625</v>
      </c>
      <c r="AN2512" t="s">
        <v>66</v>
      </c>
      <c r="AO2512" t="s">
        <v>67</v>
      </c>
    </row>
    <row r="2513" spans="1:41" x14ac:dyDescent="0.2">
      <c r="A2513">
        <v>372399</v>
      </c>
      <c r="B2513" t="s">
        <v>15830</v>
      </c>
      <c r="C2513" t="s">
        <v>278</v>
      </c>
      <c r="D2513" t="s">
        <v>3165</v>
      </c>
      <c r="E2513" t="s">
        <v>15831</v>
      </c>
      <c r="F2513">
        <v>421501</v>
      </c>
      <c r="G2513" s="1">
        <v>32008</v>
      </c>
      <c r="H2513" s="1">
        <v>45834</v>
      </c>
      <c r="I2513" s="1">
        <v>46096</v>
      </c>
      <c r="J2513" t="s">
        <v>45</v>
      </c>
      <c r="K2513" t="s">
        <v>45</v>
      </c>
      <c r="L2513" t="s">
        <v>429</v>
      </c>
      <c r="M2513" s="1">
        <v>42205</v>
      </c>
      <c r="N2513" t="s">
        <v>47</v>
      </c>
      <c r="O2513" t="s">
        <v>48</v>
      </c>
      <c r="P2513" t="s">
        <v>49</v>
      </c>
      <c r="Q2513" t="s">
        <v>15832</v>
      </c>
      <c r="R2513" t="s">
        <v>15833</v>
      </c>
      <c r="S2513">
        <v>5369</v>
      </c>
      <c r="T2513" t="s">
        <v>365</v>
      </c>
      <c r="U2513" t="s">
        <v>432</v>
      </c>
      <c r="V2513" t="s">
        <v>5393</v>
      </c>
      <c r="W2513" t="s">
        <v>367</v>
      </c>
      <c r="X2513" t="s">
        <v>55</v>
      </c>
      <c r="Y2513" t="s">
        <v>434</v>
      </c>
      <c r="Z2513">
        <v>353</v>
      </c>
      <c r="AA2513">
        <v>59</v>
      </c>
      <c r="AB2513">
        <v>158</v>
      </c>
      <c r="AC2513" t="s">
        <v>9047</v>
      </c>
      <c r="AD2513" t="s">
        <v>9048</v>
      </c>
      <c r="AE2513" t="s">
        <v>15834</v>
      </c>
      <c r="AF2513" t="s">
        <v>15835</v>
      </c>
      <c r="AI2513" t="s">
        <v>179</v>
      </c>
      <c r="AJ2513" s="2">
        <v>45838.873055555552</v>
      </c>
      <c r="AK2513" t="s">
        <v>307</v>
      </c>
      <c r="AL2513" t="s">
        <v>65</v>
      </c>
      <c r="AM2513" s="3">
        <v>2.1597222222222223</v>
      </c>
      <c r="AN2513" t="s">
        <v>66</v>
      </c>
      <c r="AO2513" t="s">
        <v>67</v>
      </c>
    </row>
    <row r="2514" spans="1:41" x14ac:dyDescent="0.2">
      <c r="A2514">
        <v>371610</v>
      </c>
      <c r="B2514" t="s">
        <v>15836</v>
      </c>
      <c r="C2514" t="s">
        <v>42</v>
      </c>
      <c r="D2514" t="s">
        <v>3219</v>
      </c>
      <c r="E2514" s="5">
        <v>8379330000</v>
      </c>
      <c r="F2514">
        <v>292105</v>
      </c>
      <c r="G2514" s="1">
        <v>38771</v>
      </c>
      <c r="H2514" s="1">
        <v>45812</v>
      </c>
      <c r="I2514" s="1">
        <v>46174</v>
      </c>
      <c r="J2514" t="s">
        <v>45</v>
      </c>
      <c r="K2514" t="s">
        <v>45</v>
      </c>
      <c r="L2514" t="s">
        <v>429</v>
      </c>
      <c r="N2514" t="s">
        <v>47</v>
      </c>
      <c r="O2514" t="s">
        <v>48</v>
      </c>
      <c r="P2514" t="s">
        <v>49</v>
      </c>
      <c r="Q2514" t="s">
        <v>15837</v>
      </c>
      <c r="R2514" t="s">
        <v>15838</v>
      </c>
      <c r="S2514">
        <v>5246</v>
      </c>
      <c r="T2514" t="s">
        <v>156</v>
      </c>
      <c r="U2514" t="s">
        <v>667</v>
      </c>
      <c r="V2514" t="s">
        <v>15839</v>
      </c>
      <c r="W2514" t="s">
        <v>159</v>
      </c>
      <c r="X2514" t="s">
        <v>55</v>
      </c>
      <c r="Y2514" t="s">
        <v>56</v>
      </c>
      <c r="Z2514">
        <v>2649</v>
      </c>
      <c r="AA2514">
        <v>33</v>
      </c>
      <c r="AB2514">
        <v>158</v>
      </c>
      <c r="AC2514" t="s">
        <v>3224</v>
      </c>
      <c r="AD2514" t="s">
        <v>3225</v>
      </c>
      <c r="AE2514" t="s">
        <v>3226</v>
      </c>
      <c r="AI2514" t="s">
        <v>179</v>
      </c>
      <c r="AJ2514" s="2">
        <v>45817.707418981481</v>
      </c>
      <c r="AK2514" t="s">
        <v>64</v>
      </c>
      <c r="AL2514" t="s">
        <v>65</v>
      </c>
      <c r="AM2514" s="4">
        <v>0.4861111111111111</v>
      </c>
      <c r="AN2514" t="s">
        <v>809</v>
      </c>
      <c r="AO2514" t="s">
        <v>67</v>
      </c>
    </row>
    <row r="2515" spans="1:41" x14ac:dyDescent="0.2">
      <c r="A2515">
        <v>372257</v>
      </c>
      <c r="B2515" t="s">
        <v>15840</v>
      </c>
      <c r="C2515" t="s">
        <v>182</v>
      </c>
      <c r="D2515" t="s">
        <v>1467</v>
      </c>
      <c r="E2515" t="s">
        <v>15841</v>
      </c>
      <c r="G2515" s="1">
        <v>45343</v>
      </c>
      <c r="H2515" s="1">
        <v>45835</v>
      </c>
      <c r="I2515" s="1">
        <v>46037</v>
      </c>
      <c r="J2515" t="s">
        <v>45</v>
      </c>
      <c r="K2515" t="s">
        <v>326</v>
      </c>
      <c r="L2515" t="s">
        <v>72</v>
      </c>
      <c r="M2515" s="1">
        <v>40840</v>
      </c>
      <c r="N2515" t="s">
        <v>89</v>
      </c>
      <c r="O2515" t="s">
        <v>121</v>
      </c>
      <c r="P2515" t="s">
        <v>49</v>
      </c>
      <c r="Q2515" t="s">
        <v>15842</v>
      </c>
      <c r="R2515" t="s">
        <v>15843</v>
      </c>
      <c r="S2515">
        <v>2890</v>
      </c>
      <c r="T2515" t="s">
        <v>52</v>
      </c>
      <c r="U2515">
        <v>5</v>
      </c>
      <c r="V2515" t="s">
        <v>1068</v>
      </c>
      <c r="W2515" t="s">
        <v>54</v>
      </c>
      <c r="X2515" t="s">
        <v>52</v>
      </c>
      <c r="Y2515" t="s">
        <v>125</v>
      </c>
      <c r="Z2515">
        <v>3003</v>
      </c>
      <c r="AA2515">
        <v>49</v>
      </c>
      <c r="AB2515">
        <v>138</v>
      </c>
      <c r="AC2515" t="s">
        <v>15844</v>
      </c>
      <c r="AD2515" t="s">
        <v>15845</v>
      </c>
      <c r="AE2515" t="s">
        <v>15846</v>
      </c>
      <c r="AF2515" t="s">
        <v>1069</v>
      </c>
      <c r="AG2515" t="s">
        <v>1070</v>
      </c>
      <c r="AH2515" t="s">
        <v>1071</v>
      </c>
      <c r="AI2515" t="s">
        <v>4396</v>
      </c>
      <c r="AJ2515" s="2">
        <v>45835.524942129632</v>
      </c>
      <c r="AK2515" t="s">
        <v>800</v>
      </c>
      <c r="AL2515" t="s">
        <v>65</v>
      </c>
      <c r="AM2515" s="3">
        <v>1.1388888888888888</v>
      </c>
      <c r="AN2515" t="s">
        <v>66</v>
      </c>
      <c r="AO2515" t="s">
        <v>67</v>
      </c>
    </row>
    <row r="2516" spans="1:41" x14ac:dyDescent="0.2">
      <c r="A2516">
        <v>372333</v>
      </c>
      <c r="B2516" t="s">
        <v>15847</v>
      </c>
      <c r="C2516" t="s">
        <v>1565</v>
      </c>
      <c r="D2516" t="s">
        <v>15848</v>
      </c>
      <c r="E2516" t="s">
        <v>15849</v>
      </c>
      <c r="F2516">
        <v>391051</v>
      </c>
      <c r="G2516" s="1">
        <v>41591</v>
      </c>
      <c r="H2516" s="1">
        <v>45835</v>
      </c>
      <c r="I2516" s="1">
        <v>46174</v>
      </c>
      <c r="J2516" t="s">
        <v>45</v>
      </c>
      <c r="K2516" t="s">
        <v>45</v>
      </c>
      <c r="L2516" t="s">
        <v>429</v>
      </c>
      <c r="M2516" s="1">
        <v>44405</v>
      </c>
      <c r="N2516" t="s">
        <v>47</v>
      </c>
      <c r="O2516" t="s">
        <v>48</v>
      </c>
      <c r="P2516" t="s">
        <v>49</v>
      </c>
      <c r="Q2516" t="s">
        <v>15850</v>
      </c>
      <c r="R2516" t="s">
        <v>15851</v>
      </c>
      <c r="S2516">
        <v>2451</v>
      </c>
      <c r="T2516" t="s">
        <v>52</v>
      </c>
      <c r="U2516">
        <v>1</v>
      </c>
      <c r="V2516" t="s">
        <v>15852</v>
      </c>
      <c r="W2516" t="s">
        <v>54</v>
      </c>
      <c r="X2516" t="s">
        <v>76</v>
      </c>
      <c r="Y2516" t="s">
        <v>56</v>
      </c>
      <c r="Z2516">
        <v>6626</v>
      </c>
      <c r="AA2516">
        <v>23</v>
      </c>
      <c r="AB2516">
        <v>78</v>
      </c>
      <c r="AC2516" t="s">
        <v>15853</v>
      </c>
      <c r="AD2516" t="s">
        <v>15446</v>
      </c>
      <c r="AE2516" t="s">
        <v>15854</v>
      </c>
      <c r="AF2516" t="s">
        <v>15855</v>
      </c>
      <c r="AG2516" t="s">
        <v>15446</v>
      </c>
      <c r="AH2516" t="s">
        <v>15856</v>
      </c>
      <c r="AI2516" t="s">
        <v>15857</v>
      </c>
      <c r="AJ2516" s="2">
        <v>45838.599629629629</v>
      </c>
      <c r="AK2516" t="s">
        <v>540</v>
      </c>
      <c r="AL2516" t="s">
        <v>65</v>
      </c>
      <c r="AM2516" s="4">
        <v>0.34027777777777779</v>
      </c>
      <c r="AN2516" t="s">
        <v>66</v>
      </c>
      <c r="AO2516" t="s">
        <v>67</v>
      </c>
    </row>
    <row r="2517" spans="1:41" x14ac:dyDescent="0.2">
      <c r="A2517">
        <v>369545</v>
      </c>
      <c r="B2517" t="s">
        <v>15858</v>
      </c>
      <c r="C2517" t="s">
        <v>182</v>
      </c>
      <c r="D2517" t="s">
        <v>1086</v>
      </c>
      <c r="E2517" t="s">
        <v>15859</v>
      </c>
      <c r="F2517">
        <v>44724</v>
      </c>
      <c r="G2517" s="1">
        <v>32509</v>
      </c>
      <c r="H2517" s="1">
        <v>45739</v>
      </c>
      <c r="J2517" t="s">
        <v>45</v>
      </c>
      <c r="K2517" t="s">
        <v>45</v>
      </c>
      <c r="L2517" t="s">
        <v>72</v>
      </c>
      <c r="M2517" s="1">
        <v>38931</v>
      </c>
      <c r="N2517" t="s">
        <v>47</v>
      </c>
      <c r="O2517" t="s">
        <v>48</v>
      </c>
      <c r="P2517" t="s">
        <v>49</v>
      </c>
      <c r="Q2517" t="s">
        <v>15860</v>
      </c>
      <c r="R2517" t="s">
        <v>15861</v>
      </c>
      <c r="S2517">
        <v>4340</v>
      </c>
      <c r="T2517" t="s">
        <v>92</v>
      </c>
      <c r="U2517" t="s">
        <v>187</v>
      </c>
      <c r="V2517" t="s">
        <v>447</v>
      </c>
      <c r="W2517" t="s">
        <v>448</v>
      </c>
      <c r="X2517" t="s">
        <v>92</v>
      </c>
      <c r="Y2517" t="s">
        <v>450</v>
      </c>
      <c r="Z2517">
        <v>1273</v>
      </c>
      <c r="AA2517">
        <v>50</v>
      </c>
      <c r="AB2517">
        <v>142</v>
      </c>
      <c r="AC2517" t="s">
        <v>451</v>
      </c>
      <c r="AD2517" t="s">
        <v>452</v>
      </c>
      <c r="AE2517" t="s">
        <v>453</v>
      </c>
      <c r="AF2517" t="s">
        <v>454</v>
      </c>
      <c r="AG2517" t="s">
        <v>473</v>
      </c>
      <c r="AH2517" t="s">
        <v>474</v>
      </c>
      <c r="AJ2517" s="2">
        <v>45743.647696759261</v>
      </c>
      <c r="AK2517" t="s">
        <v>526</v>
      </c>
      <c r="AL2517" t="s">
        <v>65</v>
      </c>
      <c r="AM2517" s="3">
        <v>2.3298611111111112</v>
      </c>
      <c r="AN2517" t="s">
        <v>66</v>
      </c>
      <c r="AO2517" t="s">
        <v>67</v>
      </c>
    </row>
    <row r="2518" spans="1:41" x14ac:dyDescent="0.2">
      <c r="A2518">
        <v>367789</v>
      </c>
      <c r="B2518" t="s">
        <v>15862</v>
      </c>
      <c r="C2518" t="s">
        <v>118</v>
      </c>
      <c r="D2518" t="s">
        <v>1396</v>
      </c>
      <c r="E2518" t="s">
        <v>15863</v>
      </c>
      <c r="F2518">
        <v>20611</v>
      </c>
      <c r="G2518" s="1">
        <v>39825</v>
      </c>
      <c r="H2518" s="1">
        <v>45687</v>
      </c>
      <c r="I2518" s="1">
        <v>46023</v>
      </c>
      <c r="J2518" t="s">
        <v>45</v>
      </c>
      <c r="K2518" t="s">
        <v>45</v>
      </c>
      <c r="L2518" t="s">
        <v>46</v>
      </c>
      <c r="N2518" t="s">
        <v>47</v>
      </c>
      <c r="O2518" t="s">
        <v>48</v>
      </c>
      <c r="P2518" t="s">
        <v>49</v>
      </c>
      <c r="Q2518" t="s">
        <v>15864</v>
      </c>
      <c r="R2518" t="s">
        <v>15865</v>
      </c>
      <c r="S2518">
        <v>5543</v>
      </c>
      <c r="T2518" t="s">
        <v>52</v>
      </c>
      <c r="U2518">
        <v>3</v>
      </c>
      <c r="V2518" t="s">
        <v>4644</v>
      </c>
      <c r="W2518" t="s">
        <v>54</v>
      </c>
      <c r="X2518" t="s">
        <v>55</v>
      </c>
      <c r="Y2518" t="s">
        <v>56</v>
      </c>
      <c r="Z2518">
        <v>3034</v>
      </c>
      <c r="AA2518">
        <v>30</v>
      </c>
      <c r="AB2518">
        <v>66</v>
      </c>
      <c r="AC2518" t="s">
        <v>8057</v>
      </c>
      <c r="AD2518" t="s">
        <v>8058</v>
      </c>
      <c r="AE2518" t="s">
        <v>8059</v>
      </c>
      <c r="AF2518" t="s">
        <v>13799</v>
      </c>
      <c r="AG2518" t="s">
        <v>13800</v>
      </c>
      <c r="AH2518" t="s">
        <v>13801</v>
      </c>
      <c r="AI2518" t="s">
        <v>15866</v>
      </c>
      <c r="AJ2518" s="2">
        <v>45691.687974537039</v>
      </c>
      <c r="AK2518" t="s">
        <v>64</v>
      </c>
      <c r="AL2518" t="s">
        <v>65</v>
      </c>
      <c r="AM2518" s="4">
        <v>0.38194444444444442</v>
      </c>
      <c r="AN2518" t="s">
        <v>66</v>
      </c>
      <c r="AO2518" t="s">
        <v>67</v>
      </c>
    </row>
    <row r="2519" spans="1:41" x14ac:dyDescent="0.2">
      <c r="A2519">
        <v>371746</v>
      </c>
      <c r="B2519" t="s">
        <v>15867</v>
      </c>
      <c r="C2519" t="s">
        <v>323</v>
      </c>
      <c r="D2519" t="s">
        <v>3273</v>
      </c>
      <c r="E2519" t="s">
        <v>15868</v>
      </c>
      <c r="F2519">
        <v>500220</v>
      </c>
      <c r="G2519" s="1">
        <v>41106</v>
      </c>
      <c r="H2519" s="1">
        <v>45798</v>
      </c>
      <c r="I2519" s="1">
        <v>46037</v>
      </c>
      <c r="J2519" t="s">
        <v>45</v>
      </c>
      <c r="K2519" t="s">
        <v>326</v>
      </c>
      <c r="L2519" t="s">
        <v>72</v>
      </c>
      <c r="M2519" s="1">
        <v>45421</v>
      </c>
      <c r="N2519" t="s">
        <v>47</v>
      </c>
      <c r="O2519" t="s">
        <v>48</v>
      </c>
      <c r="P2519" t="s">
        <v>49</v>
      </c>
      <c r="Q2519" t="s">
        <v>15869</v>
      </c>
      <c r="R2519" t="s">
        <v>15870</v>
      </c>
      <c r="S2519">
        <v>1850</v>
      </c>
      <c r="T2519" t="s">
        <v>365</v>
      </c>
      <c r="U2519" t="s">
        <v>366</v>
      </c>
      <c r="V2519" t="s">
        <v>330</v>
      </c>
      <c r="W2519" t="s">
        <v>367</v>
      </c>
      <c r="X2519" t="s">
        <v>76</v>
      </c>
      <c r="Y2519" t="s">
        <v>110</v>
      </c>
      <c r="Z2519">
        <v>5308</v>
      </c>
      <c r="AA2519">
        <v>27</v>
      </c>
      <c r="AB2519">
        <v>34</v>
      </c>
      <c r="AC2519" t="s">
        <v>368</v>
      </c>
      <c r="AD2519" t="s">
        <v>369</v>
      </c>
      <c r="AE2519" t="s">
        <v>370</v>
      </c>
      <c r="AF2519" t="s">
        <v>384</v>
      </c>
      <c r="AG2519" t="s">
        <v>385</v>
      </c>
      <c r="AH2519" t="s">
        <v>386</v>
      </c>
      <c r="AJ2519" s="2">
        <v>45818.837129629632</v>
      </c>
      <c r="AK2519" t="s">
        <v>727</v>
      </c>
      <c r="AL2519" t="s">
        <v>65</v>
      </c>
      <c r="AM2519" s="4">
        <v>0.88888888888888884</v>
      </c>
      <c r="AN2519" t="s">
        <v>66</v>
      </c>
      <c r="AO2519" t="s">
        <v>67</v>
      </c>
    </row>
    <row r="2520" spans="1:41" x14ac:dyDescent="0.2">
      <c r="A2520">
        <v>373047</v>
      </c>
      <c r="B2520" t="s">
        <v>15871</v>
      </c>
      <c r="C2520" t="s">
        <v>692</v>
      </c>
      <c r="D2520" t="s">
        <v>1927</v>
      </c>
      <c r="E2520" t="s">
        <v>15872</v>
      </c>
      <c r="F2520">
        <v>481412</v>
      </c>
      <c r="G2520" s="1">
        <v>42128</v>
      </c>
      <c r="H2520" s="1">
        <v>45491</v>
      </c>
      <c r="I2520" s="1">
        <v>46204</v>
      </c>
      <c r="J2520" t="s">
        <v>45</v>
      </c>
      <c r="K2520" t="s">
        <v>45</v>
      </c>
      <c r="L2520" t="s">
        <v>46</v>
      </c>
      <c r="N2520" t="s">
        <v>47</v>
      </c>
      <c r="O2520" t="s">
        <v>48</v>
      </c>
      <c r="P2520" t="s">
        <v>49</v>
      </c>
      <c r="Q2520" t="s">
        <v>15873</v>
      </c>
      <c r="R2520" t="s">
        <v>15874</v>
      </c>
      <c r="S2520">
        <v>5555</v>
      </c>
      <c r="T2520" t="s">
        <v>296</v>
      </c>
      <c r="U2520" t="s">
        <v>1487</v>
      </c>
      <c r="V2520" t="s">
        <v>15875</v>
      </c>
      <c r="W2520" t="s">
        <v>299</v>
      </c>
      <c r="X2520" t="s">
        <v>76</v>
      </c>
      <c r="Y2520" t="s">
        <v>56</v>
      </c>
      <c r="Z2520">
        <v>7706</v>
      </c>
      <c r="AA2520">
        <v>17</v>
      </c>
      <c r="AB2520">
        <v>28</v>
      </c>
      <c r="AC2520" t="s">
        <v>15876</v>
      </c>
      <c r="AD2520" t="s">
        <v>15877</v>
      </c>
      <c r="AE2520" t="s">
        <v>15878</v>
      </c>
      <c r="AF2520" t="s">
        <v>15879</v>
      </c>
      <c r="AG2520" t="s">
        <v>15880</v>
      </c>
      <c r="AH2520" t="s">
        <v>15881</v>
      </c>
      <c r="AI2520" t="s">
        <v>1494</v>
      </c>
      <c r="AJ2520" s="2">
        <v>45856.061759259261</v>
      </c>
      <c r="AK2520" t="s">
        <v>556</v>
      </c>
      <c r="AL2520" t="s">
        <v>65</v>
      </c>
      <c r="AM2520" s="3">
        <v>1.9444444444444444</v>
      </c>
      <c r="AN2520" t="s">
        <v>66</v>
      </c>
      <c r="AO2520" t="s">
        <v>67</v>
      </c>
    </row>
    <row r="2521" spans="1:41" x14ac:dyDescent="0.2">
      <c r="A2521">
        <v>363196</v>
      </c>
      <c r="B2521" t="s">
        <v>15882</v>
      </c>
      <c r="C2521" t="s">
        <v>182</v>
      </c>
      <c r="D2521" t="s">
        <v>443</v>
      </c>
      <c r="E2521" t="s">
        <v>15883</v>
      </c>
      <c r="F2521">
        <v>44522</v>
      </c>
      <c r="G2521" s="1">
        <v>34622</v>
      </c>
      <c r="H2521" s="1">
        <v>45504</v>
      </c>
      <c r="J2521" t="s">
        <v>45</v>
      </c>
      <c r="K2521" t="s">
        <v>72</v>
      </c>
      <c r="L2521" t="s">
        <v>72</v>
      </c>
      <c r="N2521" t="s">
        <v>47</v>
      </c>
      <c r="O2521" t="s">
        <v>48</v>
      </c>
      <c r="P2521" t="s">
        <v>49</v>
      </c>
      <c r="Q2521" t="s">
        <v>15884</v>
      </c>
      <c r="R2521" t="s">
        <v>15885</v>
      </c>
      <c r="S2521">
        <v>5632</v>
      </c>
      <c r="T2521" t="s">
        <v>92</v>
      </c>
      <c r="U2521" t="s">
        <v>187</v>
      </c>
      <c r="V2521" t="s">
        <v>447</v>
      </c>
      <c r="W2521" t="s">
        <v>448</v>
      </c>
      <c r="X2521" t="s">
        <v>92</v>
      </c>
      <c r="Y2521" t="s">
        <v>450</v>
      </c>
      <c r="Z2521">
        <v>1274</v>
      </c>
      <c r="AA2521">
        <v>50</v>
      </c>
      <c r="AB2521">
        <v>142</v>
      </c>
      <c r="AC2521" t="s">
        <v>451</v>
      </c>
      <c r="AD2521" t="s">
        <v>452</v>
      </c>
      <c r="AE2521" t="s">
        <v>453</v>
      </c>
      <c r="AF2521" t="s">
        <v>454</v>
      </c>
      <c r="AG2521" t="s">
        <v>473</v>
      </c>
      <c r="AH2521" t="s">
        <v>474</v>
      </c>
      <c r="AJ2521" s="2">
        <v>45506.695810185185</v>
      </c>
      <c r="AK2521" t="s">
        <v>526</v>
      </c>
      <c r="AL2521" t="s">
        <v>475</v>
      </c>
      <c r="AM2521" s="3">
        <v>2.3368055555555554</v>
      </c>
      <c r="AN2521" t="s">
        <v>66</v>
      </c>
      <c r="AO2521" t="s">
        <v>67</v>
      </c>
    </row>
    <row r="2522" spans="1:41" x14ac:dyDescent="0.2">
      <c r="A2522">
        <v>373012</v>
      </c>
      <c r="B2522" t="s">
        <v>15886</v>
      </c>
      <c r="C2522" t="s">
        <v>2962</v>
      </c>
      <c r="D2522" t="s">
        <v>15887</v>
      </c>
      <c r="E2522" t="s">
        <v>15888</v>
      </c>
      <c r="F2522">
        <v>337501</v>
      </c>
      <c r="G2522" s="1">
        <v>39374</v>
      </c>
      <c r="H2522" s="1">
        <v>45593</v>
      </c>
      <c r="I2522" s="1">
        <v>45945</v>
      </c>
      <c r="J2522" t="s">
        <v>45</v>
      </c>
      <c r="K2522" t="s">
        <v>45</v>
      </c>
      <c r="L2522" t="s">
        <v>46</v>
      </c>
      <c r="M2522" s="1">
        <v>43084</v>
      </c>
      <c r="N2522" t="s">
        <v>47</v>
      </c>
      <c r="O2522" t="s">
        <v>48</v>
      </c>
      <c r="P2522" t="s">
        <v>49</v>
      </c>
      <c r="Q2522" t="s">
        <v>15889</v>
      </c>
      <c r="R2522" t="s">
        <v>15890</v>
      </c>
      <c r="S2522">
        <v>1068</v>
      </c>
      <c r="T2522" t="s">
        <v>92</v>
      </c>
      <c r="U2522" t="s">
        <v>2967</v>
      </c>
      <c r="V2522" t="s">
        <v>2968</v>
      </c>
      <c r="W2522" t="s">
        <v>2969</v>
      </c>
      <c r="X2522" t="s">
        <v>76</v>
      </c>
      <c r="Y2522" t="s">
        <v>56</v>
      </c>
      <c r="Z2522">
        <v>2302</v>
      </c>
      <c r="AA2522">
        <v>32</v>
      </c>
      <c r="AB2522">
        <v>45</v>
      </c>
      <c r="AC2522" t="s">
        <v>2970</v>
      </c>
      <c r="AD2522" t="s">
        <v>2971</v>
      </c>
      <c r="AE2522" t="s">
        <v>2972</v>
      </c>
      <c r="AF2522" t="s">
        <v>2973</v>
      </c>
      <c r="AG2522" t="s">
        <v>2974</v>
      </c>
      <c r="AH2522" t="s">
        <v>2975</v>
      </c>
      <c r="AI2522" t="s">
        <v>2976</v>
      </c>
      <c r="AJ2522" s="2">
        <v>45856.014525462961</v>
      </c>
      <c r="AK2522" t="s">
        <v>556</v>
      </c>
      <c r="AL2522" t="s">
        <v>65</v>
      </c>
      <c r="AM2522" s="3">
        <v>1.8541666666666667</v>
      </c>
      <c r="AN2522" t="s">
        <v>66</v>
      </c>
      <c r="AO2522" t="s">
        <v>101</v>
      </c>
    </row>
    <row r="2523" spans="1:41" x14ac:dyDescent="0.2">
      <c r="A2523">
        <v>371486</v>
      </c>
      <c r="B2523" t="s">
        <v>15891</v>
      </c>
      <c r="C2523" t="s">
        <v>1887</v>
      </c>
      <c r="D2523" t="s">
        <v>15892</v>
      </c>
      <c r="E2523" t="s">
        <v>15893</v>
      </c>
      <c r="G2523" s="1">
        <v>45617</v>
      </c>
      <c r="H2523" s="1">
        <v>45611</v>
      </c>
      <c r="I2523" s="1">
        <v>46235</v>
      </c>
      <c r="J2523" t="s">
        <v>45</v>
      </c>
      <c r="K2523" t="s">
        <v>45</v>
      </c>
      <c r="L2523" t="s">
        <v>72</v>
      </c>
      <c r="N2523" t="s">
        <v>89</v>
      </c>
      <c r="O2523" t="s">
        <v>121</v>
      </c>
      <c r="P2523" t="s">
        <v>49</v>
      </c>
      <c r="Q2523" t="s">
        <v>15894</v>
      </c>
      <c r="R2523" t="s">
        <v>15895</v>
      </c>
      <c r="S2523">
        <v>305</v>
      </c>
      <c r="T2523" t="s">
        <v>52</v>
      </c>
      <c r="U2523">
        <v>9</v>
      </c>
      <c r="V2523" t="s">
        <v>1892</v>
      </c>
      <c r="W2523" t="s">
        <v>54</v>
      </c>
      <c r="X2523" t="s">
        <v>52</v>
      </c>
      <c r="Y2523" t="s">
        <v>125</v>
      </c>
      <c r="Z2523">
        <v>3023</v>
      </c>
      <c r="AA2523">
        <v>49</v>
      </c>
      <c r="AB2523">
        <v>166</v>
      </c>
      <c r="AC2523" t="s">
        <v>1896</v>
      </c>
      <c r="AD2523" t="s">
        <v>1897</v>
      </c>
      <c r="AE2523" t="s">
        <v>1898</v>
      </c>
      <c r="AF2523" t="s">
        <v>15896</v>
      </c>
      <c r="AG2523" t="s">
        <v>15897</v>
      </c>
      <c r="AH2523" t="s">
        <v>15898</v>
      </c>
      <c r="AI2523" t="s">
        <v>15899</v>
      </c>
      <c r="AJ2523" s="2">
        <v>45812.789756944447</v>
      </c>
      <c r="AK2523" t="s">
        <v>650</v>
      </c>
      <c r="AL2523" t="s">
        <v>65</v>
      </c>
      <c r="AM2523" s="3">
        <v>2.2708333333333335</v>
      </c>
      <c r="AN2523" t="s">
        <v>66</v>
      </c>
      <c r="AO2523" t="s">
        <v>67</v>
      </c>
    </row>
    <row r="2524" spans="1:41" x14ac:dyDescent="0.2">
      <c r="A2524">
        <v>370693</v>
      </c>
      <c r="B2524" t="s">
        <v>15900</v>
      </c>
      <c r="C2524" t="s">
        <v>323</v>
      </c>
      <c r="D2524" t="s">
        <v>5007</v>
      </c>
      <c r="E2524">
        <v>39625384</v>
      </c>
      <c r="G2524" s="1">
        <v>40403</v>
      </c>
      <c r="H2524" s="1">
        <v>45497</v>
      </c>
      <c r="J2524" t="s">
        <v>326</v>
      </c>
      <c r="K2524" t="s">
        <v>72</v>
      </c>
      <c r="L2524" t="s">
        <v>72</v>
      </c>
      <c r="N2524" t="s">
        <v>47</v>
      </c>
      <c r="O2524" t="s">
        <v>48</v>
      </c>
      <c r="P2524" t="s">
        <v>1752</v>
      </c>
      <c r="Q2524" t="s">
        <v>15901</v>
      </c>
      <c r="R2524" t="s">
        <v>15902</v>
      </c>
      <c r="S2524">
        <v>920</v>
      </c>
      <c r="T2524" t="s">
        <v>257</v>
      </c>
      <c r="U2524" t="s">
        <v>329</v>
      </c>
      <c r="V2524" t="s">
        <v>3302</v>
      </c>
      <c r="W2524" t="s">
        <v>260</v>
      </c>
      <c r="X2524" t="s">
        <v>257</v>
      </c>
      <c r="Y2524" t="s">
        <v>410</v>
      </c>
      <c r="Z2524">
        <v>3486</v>
      </c>
      <c r="AA2524">
        <v>48</v>
      </c>
      <c r="AB2524">
        <v>108</v>
      </c>
      <c r="AC2524" t="s">
        <v>3304</v>
      </c>
      <c r="AD2524" t="s">
        <v>3305</v>
      </c>
      <c r="AE2524" t="s">
        <v>5011</v>
      </c>
      <c r="AF2524" t="s">
        <v>3307</v>
      </c>
      <c r="AG2524" t="s">
        <v>3308</v>
      </c>
      <c r="AH2524" t="s">
        <v>15903</v>
      </c>
      <c r="AI2524" t="s">
        <v>5012</v>
      </c>
      <c r="AJ2524" s="2">
        <v>45783.007662037038</v>
      </c>
      <c r="AK2524" t="s">
        <v>3304</v>
      </c>
      <c r="AL2524" t="s">
        <v>1168</v>
      </c>
      <c r="AM2524" s="3">
        <v>1.0069444444444444</v>
      </c>
      <c r="AN2524" t="s">
        <v>66</v>
      </c>
      <c r="AO2524" t="s">
        <v>67</v>
      </c>
    </row>
    <row r="2525" spans="1:41" x14ac:dyDescent="0.2">
      <c r="A2525">
        <v>372877</v>
      </c>
      <c r="B2525" t="s">
        <v>15904</v>
      </c>
      <c r="C2525" t="s">
        <v>323</v>
      </c>
      <c r="D2525" t="s">
        <v>15905</v>
      </c>
      <c r="E2525" t="s">
        <v>15906</v>
      </c>
      <c r="F2525">
        <v>501042</v>
      </c>
      <c r="G2525" s="1">
        <v>31950</v>
      </c>
      <c r="H2525" s="1">
        <v>45850</v>
      </c>
      <c r="I2525" s="1">
        <v>46174</v>
      </c>
      <c r="J2525" t="s">
        <v>45</v>
      </c>
      <c r="K2525" t="s">
        <v>45</v>
      </c>
      <c r="L2525" t="s">
        <v>429</v>
      </c>
      <c r="M2525" s="1">
        <v>44749</v>
      </c>
      <c r="N2525" t="s">
        <v>47</v>
      </c>
      <c r="O2525" t="s">
        <v>48</v>
      </c>
      <c r="P2525" t="s">
        <v>49</v>
      </c>
      <c r="Q2525" t="s">
        <v>15907</v>
      </c>
      <c r="R2525" t="s">
        <v>15908</v>
      </c>
      <c r="S2525">
        <v>492</v>
      </c>
      <c r="T2525" t="s">
        <v>52</v>
      </c>
      <c r="U2525">
        <v>10</v>
      </c>
      <c r="V2525" t="s">
        <v>2192</v>
      </c>
      <c r="W2525" t="s">
        <v>54</v>
      </c>
      <c r="X2525" t="s">
        <v>76</v>
      </c>
      <c r="Y2525" t="s">
        <v>56</v>
      </c>
      <c r="Z2525">
        <v>887</v>
      </c>
      <c r="AA2525">
        <v>49</v>
      </c>
      <c r="AB2525">
        <v>66</v>
      </c>
      <c r="AC2525" t="s">
        <v>8495</v>
      </c>
      <c r="AD2525" t="s">
        <v>8496</v>
      </c>
      <c r="AE2525" t="s">
        <v>8497</v>
      </c>
      <c r="AF2525" t="s">
        <v>8498</v>
      </c>
      <c r="AG2525" t="s">
        <v>8499</v>
      </c>
      <c r="AH2525" t="s">
        <v>8500</v>
      </c>
      <c r="AI2525" t="s">
        <v>179</v>
      </c>
      <c r="AJ2525" s="2">
        <v>45855.71502314815</v>
      </c>
      <c r="AK2525" t="s">
        <v>717</v>
      </c>
      <c r="AL2525" t="s">
        <v>65</v>
      </c>
      <c r="AM2525" s="3">
        <v>2.2986111111111112</v>
      </c>
      <c r="AN2525" t="s">
        <v>66</v>
      </c>
      <c r="AO2525" t="s">
        <v>67</v>
      </c>
    </row>
    <row r="2526" spans="1:41" x14ac:dyDescent="0.2">
      <c r="A2526">
        <v>366614</v>
      </c>
      <c r="B2526" t="s">
        <v>15909</v>
      </c>
      <c r="C2526" t="s">
        <v>735</v>
      </c>
      <c r="D2526" t="s">
        <v>1825</v>
      </c>
      <c r="E2526" t="s">
        <v>15910</v>
      </c>
      <c r="F2526">
        <v>244601</v>
      </c>
      <c r="G2526" s="1">
        <v>37020</v>
      </c>
      <c r="H2526" s="1">
        <v>45514</v>
      </c>
      <c r="I2526" s="1">
        <v>46235</v>
      </c>
      <c r="J2526" t="s">
        <v>45</v>
      </c>
      <c r="K2526" t="s">
        <v>45</v>
      </c>
      <c r="L2526" t="s">
        <v>3920</v>
      </c>
      <c r="M2526" s="1">
        <v>39976</v>
      </c>
      <c r="N2526" t="s">
        <v>47</v>
      </c>
      <c r="O2526" t="s">
        <v>48</v>
      </c>
      <c r="P2526" t="s">
        <v>49</v>
      </c>
      <c r="Q2526" t="s">
        <v>15911</v>
      </c>
      <c r="R2526" t="s">
        <v>15912</v>
      </c>
      <c r="S2526">
        <v>5391</v>
      </c>
      <c r="T2526" t="s">
        <v>52</v>
      </c>
      <c r="U2526">
        <v>1</v>
      </c>
      <c r="V2526" t="s">
        <v>1122</v>
      </c>
      <c r="W2526" t="s">
        <v>54</v>
      </c>
      <c r="X2526" t="s">
        <v>76</v>
      </c>
      <c r="Y2526" t="s">
        <v>56</v>
      </c>
      <c r="Z2526">
        <v>550</v>
      </c>
      <c r="AA2526">
        <v>52</v>
      </c>
      <c r="AB2526">
        <v>30</v>
      </c>
      <c r="AC2526" t="s">
        <v>1829</v>
      </c>
      <c r="AD2526" t="s">
        <v>1830</v>
      </c>
      <c r="AE2526" t="s">
        <v>1831</v>
      </c>
      <c r="AF2526" t="s">
        <v>1832</v>
      </c>
      <c r="AG2526" t="s">
        <v>1833</v>
      </c>
      <c r="AH2526" t="s">
        <v>5821</v>
      </c>
      <c r="AI2526" t="s">
        <v>15913</v>
      </c>
      <c r="AJ2526" s="2">
        <v>45629.922395833331</v>
      </c>
      <c r="AK2526" t="s">
        <v>84</v>
      </c>
      <c r="AL2526" t="s">
        <v>65</v>
      </c>
      <c r="AM2526" s="3">
        <v>1.6527777777777777</v>
      </c>
      <c r="AN2526" t="s">
        <v>809</v>
      </c>
      <c r="AO2526" t="s">
        <v>67</v>
      </c>
    </row>
    <row r="2527" spans="1:41" x14ac:dyDescent="0.2">
      <c r="A2527">
        <v>364092</v>
      </c>
      <c r="B2527" t="s">
        <v>15914</v>
      </c>
      <c r="C2527" t="s">
        <v>412</v>
      </c>
      <c r="D2527" t="s">
        <v>15915</v>
      </c>
      <c r="E2527">
        <v>62502384</v>
      </c>
      <c r="F2527">
        <v>300171</v>
      </c>
      <c r="G2527" s="1">
        <v>37742</v>
      </c>
      <c r="H2527" s="1">
        <v>45531</v>
      </c>
      <c r="J2527" t="s">
        <v>45</v>
      </c>
      <c r="K2527" t="s">
        <v>326</v>
      </c>
      <c r="L2527" t="s">
        <v>72</v>
      </c>
      <c r="N2527" t="s">
        <v>47</v>
      </c>
      <c r="O2527" t="s">
        <v>48</v>
      </c>
      <c r="P2527" t="s">
        <v>586</v>
      </c>
      <c r="Q2527" t="s">
        <v>15916</v>
      </c>
      <c r="R2527" t="s">
        <v>15917</v>
      </c>
      <c r="S2527">
        <v>1100</v>
      </c>
      <c r="T2527" t="s">
        <v>92</v>
      </c>
      <c r="U2527" t="s">
        <v>417</v>
      </c>
      <c r="V2527" t="s">
        <v>418</v>
      </c>
      <c r="W2527" t="s">
        <v>419</v>
      </c>
      <c r="X2527" t="s">
        <v>92</v>
      </c>
      <c r="Y2527" t="s">
        <v>410</v>
      </c>
      <c r="Z2527">
        <v>2397</v>
      </c>
      <c r="AA2527">
        <v>34</v>
      </c>
      <c r="AB2527">
        <v>144</v>
      </c>
      <c r="AC2527" t="s">
        <v>420</v>
      </c>
      <c r="AD2527" t="s">
        <v>421</v>
      </c>
      <c r="AE2527" t="s">
        <v>422</v>
      </c>
      <c r="AF2527" t="s">
        <v>15918</v>
      </c>
      <c r="AG2527" t="s">
        <v>15919</v>
      </c>
      <c r="AH2527" t="s">
        <v>15920</v>
      </c>
      <c r="AJ2527" s="2">
        <v>45848.64607638889</v>
      </c>
      <c r="AK2527" t="s">
        <v>100</v>
      </c>
      <c r="AL2527" t="s">
        <v>65</v>
      </c>
      <c r="AM2527" s="4">
        <v>0.33333333333333331</v>
      </c>
      <c r="AN2527" t="s">
        <v>66</v>
      </c>
      <c r="AO2527" t="s">
        <v>67</v>
      </c>
    </row>
    <row r="2528" spans="1:41" x14ac:dyDescent="0.2">
      <c r="A2528">
        <v>371272</v>
      </c>
      <c r="B2528" t="s">
        <v>15914</v>
      </c>
      <c r="C2528" t="s">
        <v>236</v>
      </c>
      <c r="D2528" t="s">
        <v>15921</v>
      </c>
      <c r="E2528">
        <v>83765090</v>
      </c>
      <c r="F2528">
        <v>214001</v>
      </c>
      <c r="G2528" s="1">
        <v>37554</v>
      </c>
      <c r="H2528" s="1">
        <v>45768</v>
      </c>
      <c r="I2528" s="1">
        <v>46143</v>
      </c>
      <c r="J2528" t="s">
        <v>45</v>
      </c>
      <c r="K2528" t="s">
        <v>45</v>
      </c>
      <c r="L2528" t="s">
        <v>72</v>
      </c>
      <c r="M2528" s="1">
        <v>45201</v>
      </c>
      <c r="N2528" t="s">
        <v>47</v>
      </c>
      <c r="O2528" t="s">
        <v>48</v>
      </c>
      <c r="P2528" t="s">
        <v>49</v>
      </c>
      <c r="Q2528" t="s">
        <v>15922</v>
      </c>
      <c r="R2528" t="s">
        <v>15923</v>
      </c>
      <c r="S2528">
        <v>1002</v>
      </c>
      <c r="T2528" t="s">
        <v>156</v>
      </c>
      <c r="U2528" t="s">
        <v>241</v>
      </c>
      <c r="V2528" t="s">
        <v>15924</v>
      </c>
      <c r="W2528" t="s">
        <v>159</v>
      </c>
      <c r="X2528" t="s">
        <v>156</v>
      </c>
      <c r="Y2528" t="s">
        <v>110</v>
      </c>
      <c r="Z2528">
        <v>2331</v>
      </c>
      <c r="AA2528">
        <v>32</v>
      </c>
      <c r="AB2528">
        <v>160</v>
      </c>
      <c r="AC2528" t="s">
        <v>11035</v>
      </c>
      <c r="AD2528" t="s">
        <v>11036</v>
      </c>
      <c r="AE2528" t="s">
        <v>15925</v>
      </c>
      <c r="AF2528" t="s">
        <v>15926</v>
      </c>
      <c r="AG2528" t="s">
        <v>14899</v>
      </c>
      <c r="AH2528" t="s">
        <v>15927</v>
      </c>
      <c r="AI2528" t="s">
        <v>249</v>
      </c>
      <c r="AJ2528" s="2">
        <v>45804.627349537041</v>
      </c>
      <c r="AK2528" t="s">
        <v>14901</v>
      </c>
      <c r="AL2528" t="s">
        <v>65</v>
      </c>
      <c r="AM2528" s="4">
        <v>0.84027777777777779</v>
      </c>
      <c r="AN2528" t="s">
        <v>66</v>
      </c>
      <c r="AO2528" t="s">
        <v>67</v>
      </c>
    </row>
    <row r="2529" spans="1:41" x14ac:dyDescent="0.2">
      <c r="A2529">
        <v>369438</v>
      </c>
      <c r="B2529" t="s">
        <v>15928</v>
      </c>
      <c r="C2529" t="s">
        <v>979</v>
      </c>
      <c r="D2529" t="s">
        <v>3018</v>
      </c>
      <c r="E2529" t="s">
        <v>15929</v>
      </c>
      <c r="F2529">
        <v>35102</v>
      </c>
      <c r="G2529" s="1">
        <v>38099</v>
      </c>
      <c r="H2529" s="1">
        <v>45722</v>
      </c>
      <c r="I2529" s="1">
        <v>46082</v>
      </c>
      <c r="J2529" t="s">
        <v>45</v>
      </c>
      <c r="K2529" t="s">
        <v>45</v>
      </c>
      <c r="L2529" t="s">
        <v>72</v>
      </c>
      <c r="M2529" s="1">
        <v>44334</v>
      </c>
      <c r="N2529" t="s">
        <v>47</v>
      </c>
      <c r="O2529" t="s">
        <v>48</v>
      </c>
      <c r="P2529" t="s">
        <v>49</v>
      </c>
      <c r="Q2529" t="s">
        <v>15930</v>
      </c>
      <c r="R2529" t="s">
        <v>15931</v>
      </c>
      <c r="S2529">
        <v>272</v>
      </c>
      <c r="T2529" t="s">
        <v>92</v>
      </c>
      <c r="U2529" t="s">
        <v>2996</v>
      </c>
      <c r="V2529" t="s">
        <v>2997</v>
      </c>
      <c r="W2529" t="s">
        <v>2998</v>
      </c>
      <c r="X2529" t="s">
        <v>92</v>
      </c>
      <c r="Y2529" t="s">
        <v>110</v>
      </c>
      <c r="Z2529">
        <v>2308</v>
      </c>
      <c r="AA2529">
        <v>34</v>
      </c>
      <c r="AB2529">
        <v>158</v>
      </c>
      <c r="AC2529" t="s">
        <v>2999</v>
      </c>
      <c r="AD2529" t="s">
        <v>3000</v>
      </c>
      <c r="AE2529" t="s">
        <v>3001</v>
      </c>
      <c r="AF2529" t="s">
        <v>8436</v>
      </c>
      <c r="AG2529" t="s">
        <v>3003</v>
      </c>
      <c r="AH2529" t="s">
        <v>3004</v>
      </c>
      <c r="AJ2529" s="2">
        <v>45740.812465277777</v>
      </c>
      <c r="AK2529" t="s">
        <v>2999</v>
      </c>
      <c r="AL2529" t="s">
        <v>65</v>
      </c>
      <c r="AM2529" s="4">
        <v>0.4236111111111111</v>
      </c>
      <c r="AN2529" t="s">
        <v>66</v>
      </c>
      <c r="AO2529" t="s">
        <v>67</v>
      </c>
    </row>
    <row r="2530" spans="1:41" x14ac:dyDescent="0.2">
      <c r="A2530">
        <v>372329</v>
      </c>
      <c r="B2530" t="s">
        <v>15932</v>
      </c>
      <c r="C2530" t="s">
        <v>1013</v>
      </c>
      <c r="D2530" t="s">
        <v>15933</v>
      </c>
      <c r="E2530" t="s">
        <v>15934</v>
      </c>
      <c r="F2530">
        <v>324605</v>
      </c>
      <c r="G2530" s="1">
        <v>35641</v>
      </c>
      <c r="H2530" s="1">
        <v>45833</v>
      </c>
      <c r="I2530" s="1">
        <v>46174</v>
      </c>
      <c r="J2530" t="s">
        <v>45</v>
      </c>
      <c r="K2530" t="s">
        <v>45</v>
      </c>
      <c r="L2530" t="s">
        <v>72</v>
      </c>
      <c r="M2530" s="1">
        <v>45098</v>
      </c>
      <c r="N2530" t="s">
        <v>47</v>
      </c>
      <c r="O2530" t="s">
        <v>48</v>
      </c>
      <c r="P2530" t="s">
        <v>49</v>
      </c>
      <c r="Q2530" t="s">
        <v>15935</v>
      </c>
      <c r="R2530" t="s">
        <v>15936</v>
      </c>
      <c r="S2530">
        <v>1070</v>
      </c>
      <c r="T2530" t="s">
        <v>365</v>
      </c>
      <c r="U2530" t="s">
        <v>969</v>
      </c>
      <c r="V2530" t="s">
        <v>15444</v>
      </c>
      <c r="W2530" t="s">
        <v>367</v>
      </c>
      <c r="X2530" t="s">
        <v>76</v>
      </c>
      <c r="Y2530" t="s">
        <v>434</v>
      </c>
      <c r="Z2530">
        <v>1319</v>
      </c>
      <c r="AA2530">
        <v>59</v>
      </c>
      <c r="AB2530">
        <v>166</v>
      </c>
      <c r="AC2530" t="s">
        <v>15937</v>
      </c>
      <c r="AD2530" t="s">
        <v>15446</v>
      </c>
      <c r="AE2530" t="s">
        <v>15447</v>
      </c>
      <c r="AF2530" t="s">
        <v>15938</v>
      </c>
      <c r="AG2530" t="s">
        <v>15939</v>
      </c>
      <c r="AH2530" t="s">
        <v>15940</v>
      </c>
      <c r="AI2530" t="s">
        <v>179</v>
      </c>
      <c r="AJ2530" s="2">
        <v>45838.591979166667</v>
      </c>
      <c r="AK2530" t="s">
        <v>540</v>
      </c>
      <c r="AL2530" t="s">
        <v>65</v>
      </c>
      <c r="AM2530" s="3">
        <v>2.0555555555555554</v>
      </c>
      <c r="AN2530" t="s">
        <v>66</v>
      </c>
      <c r="AO2530" t="s">
        <v>67</v>
      </c>
    </row>
    <row r="2531" spans="1:41" x14ac:dyDescent="0.2">
      <c r="A2531">
        <v>366598</v>
      </c>
      <c r="B2531" t="s">
        <v>15941</v>
      </c>
      <c r="C2531" t="s">
        <v>182</v>
      </c>
      <c r="D2531" t="s">
        <v>894</v>
      </c>
      <c r="E2531" t="s">
        <v>15942</v>
      </c>
      <c r="F2531">
        <v>49911</v>
      </c>
      <c r="G2531" s="1">
        <v>45538</v>
      </c>
      <c r="H2531" s="1">
        <v>45539</v>
      </c>
      <c r="I2531" s="1">
        <v>46174</v>
      </c>
      <c r="J2531" t="s">
        <v>45</v>
      </c>
      <c r="K2531" t="s">
        <v>45</v>
      </c>
      <c r="L2531" t="s">
        <v>72</v>
      </c>
      <c r="M2531" s="1">
        <v>44742</v>
      </c>
      <c r="N2531" t="s">
        <v>89</v>
      </c>
      <c r="O2531" t="s">
        <v>121</v>
      </c>
      <c r="P2531" t="s">
        <v>49</v>
      </c>
      <c r="Q2531" t="s">
        <v>15943</v>
      </c>
      <c r="R2531" t="s">
        <v>15944</v>
      </c>
      <c r="S2531">
        <v>2283</v>
      </c>
      <c r="T2531" t="s">
        <v>52</v>
      </c>
      <c r="U2531">
        <v>5</v>
      </c>
      <c r="V2531" t="s">
        <v>1068</v>
      </c>
      <c r="W2531" t="s">
        <v>54</v>
      </c>
      <c r="X2531" t="s">
        <v>76</v>
      </c>
      <c r="Y2531" t="s">
        <v>125</v>
      </c>
      <c r="Z2531">
        <v>2793</v>
      </c>
      <c r="AA2531">
        <v>63</v>
      </c>
      <c r="AB2531">
        <v>160</v>
      </c>
      <c r="AC2531" t="s">
        <v>15945</v>
      </c>
      <c r="AD2531" t="s">
        <v>13268</v>
      </c>
      <c r="AE2531" t="s">
        <v>1071</v>
      </c>
      <c r="AF2531" t="s">
        <v>15946</v>
      </c>
      <c r="AG2531" t="s">
        <v>15947</v>
      </c>
      <c r="AH2531" t="s">
        <v>15948</v>
      </c>
      <c r="AI2531" t="s">
        <v>4396</v>
      </c>
      <c r="AJ2531" s="2">
        <v>45629.651435185187</v>
      </c>
      <c r="AK2531" t="s">
        <v>84</v>
      </c>
      <c r="AL2531" t="s">
        <v>65</v>
      </c>
      <c r="AM2531" s="3">
        <v>1.1319444444444444</v>
      </c>
      <c r="AN2531" t="s">
        <v>66</v>
      </c>
      <c r="AO2531" t="s">
        <v>67</v>
      </c>
    </row>
    <row r="2532" spans="1:41" x14ac:dyDescent="0.2">
      <c r="A2532">
        <v>370176</v>
      </c>
      <c r="B2532" t="s">
        <v>15949</v>
      </c>
      <c r="C2532" t="s">
        <v>182</v>
      </c>
      <c r="E2532" t="s">
        <v>15950</v>
      </c>
      <c r="F2532">
        <v>49912</v>
      </c>
      <c r="G2532" s="1">
        <v>45454</v>
      </c>
      <c r="H2532" s="1">
        <v>45764</v>
      </c>
      <c r="I2532" s="1">
        <v>46068</v>
      </c>
      <c r="J2532" t="s">
        <v>45</v>
      </c>
      <c r="K2532" t="s">
        <v>45</v>
      </c>
      <c r="L2532" t="s">
        <v>72</v>
      </c>
      <c r="M2532" s="1">
        <v>41787</v>
      </c>
      <c r="N2532" t="s">
        <v>89</v>
      </c>
      <c r="O2532" t="s">
        <v>121</v>
      </c>
      <c r="P2532" t="s">
        <v>49</v>
      </c>
      <c r="Q2532" t="s">
        <v>15951</v>
      </c>
      <c r="R2532" t="s">
        <v>15952</v>
      </c>
      <c r="S2532">
        <v>2400</v>
      </c>
      <c r="T2532" t="s">
        <v>52</v>
      </c>
      <c r="U2532">
        <v>5</v>
      </c>
      <c r="V2532" t="s">
        <v>1068</v>
      </c>
      <c r="W2532" t="s">
        <v>54</v>
      </c>
      <c r="X2532" t="s">
        <v>76</v>
      </c>
      <c r="Y2532" t="s">
        <v>125</v>
      </c>
      <c r="Z2532">
        <v>2794</v>
      </c>
      <c r="AA2532">
        <v>57</v>
      </c>
      <c r="AB2532">
        <v>160</v>
      </c>
      <c r="AC2532" t="s">
        <v>15953</v>
      </c>
      <c r="AD2532" t="s">
        <v>15954</v>
      </c>
      <c r="AE2532" t="s">
        <v>15955</v>
      </c>
      <c r="AF2532" t="s">
        <v>13265</v>
      </c>
      <c r="AG2532" t="s">
        <v>13266</v>
      </c>
      <c r="AH2532" t="s">
        <v>15956</v>
      </c>
      <c r="AI2532" t="s">
        <v>15957</v>
      </c>
      <c r="AJ2532" s="2">
        <v>45764.678414351853</v>
      </c>
      <c r="AK2532" t="s">
        <v>800</v>
      </c>
      <c r="AL2532" t="s">
        <v>65</v>
      </c>
      <c r="AM2532" s="3">
        <v>1.1388888888888888</v>
      </c>
      <c r="AN2532" t="s">
        <v>66</v>
      </c>
      <c r="AO2532" t="s">
        <v>67</v>
      </c>
    </row>
    <row r="2533" spans="1:41" x14ac:dyDescent="0.2">
      <c r="A2533">
        <v>369987</v>
      </c>
      <c r="B2533" t="s">
        <v>15958</v>
      </c>
      <c r="C2533" t="s">
        <v>182</v>
      </c>
      <c r="D2533" t="s">
        <v>1064</v>
      </c>
      <c r="E2533" t="s">
        <v>15959</v>
      </c>
      <c r="F2533">
        <v>40290</v>
      </c>
      <c r="G2533" s="1">
        <v>45565</v>
      </c>
      <c r="H2533" s="1">
        <v>45742</v>
      </c>
      <c r="I2533" s="1">
        <v>46096</v>
      </c>
      <c r="J2533" t="s">
        <v>45</v>
      </c>
      <c r="K2533" t="s">
        <v>45</v>
      </c>
      <c r="L2533" t="s">
        <v>72</v>
      </c>
      <c r="N2533" t="s">
        <v>47</v>
      </c>
      <c r="O2533" t="s">
        <v>121</v>
      </c>
      <c r="P2533" t="s">
        <v>49</v>
      </c>
      <c r="Q2533" t="s">
        <v>15960</v>
      </c>
      <c r="R2533" t="s">
        <v>15961</v>
      </c>
      <c r="S2533">
        <v>4350</v>
      </c>
      <c r="T2533" t="s">
        <v>52</v>
      </c>
      <c r="U2533">
        <v>5</v>
      </c>
      <c r="V2533" t="s">
        <v>1068</v>
      </c>
      <c r="W2533" t="s">
        <v>54</v>
      </c>
      <c r="X2533" t="s">
        <v>76</v>
      </c>
      <c r="Y2533" t="s">
        <v>125</v>
      </c>
      <c r="Z2533">
        <v>740</v>
      </c>
      <c r="AA2533">
        <v>90</v>
      </c>
      <c r="AB2533">
        <v>174</v>
      </c>
      <c r="AC2533" t="s">
        <v>1069</v>
      </c>
      <c r="AD2533" t="s">
        <v>1070</v>
      </c>
      <c r="AE2533" t="s">
        <v>1071</v>
      </c>
      <c r="AF2533" t="s">
        <v>15962</v>
      </c>
      <c r="AG2533" t="s">
        <v>15963</v>
      </c>
      <c r="AH2533" t="s">
        <v>15964</v>
      </c>
      <c r="AI2533" t="s">
        <v>4396</v>
      </c>
      <c r="AJ2533" s="2">
        <v>45758.932453703703</v>
      </c>
      <c r="AK2533" t="s">
        <v>660</v>
      </c>
      <c r="AL2533" t="s">
        <v>65</v>
      </c>
      <c r="AM2533" s="4">
        <v>0.63194444444444442</v>
      </c>
      <c r="AN2533" t="s">
        <v>66</v>
      </c>
      <c r="AO2533" t="s">
        <v>67</v>
      </c>
    </row>
    <row r="2534" spans="1:41" x14ac:dyDescent="0.2">
      <c r="A2534">
        <v>369549</v>
      </c>
      <c r="B2534" t="s">
        <v>15965</v>
      </c>
      <c r="C2534" t="s">
        <v>182</v>
      </c>
      <c r="D2534" t="s">
        <v>1064</v>
      </c>
      <c r="E2534">
        <v>32348044</v>
      </c>
      <c r="F2534">
        <v>40590</v>
      </c>
      <c r="G2534" s="1">
        <v>45574</v>
      </c>
      <c r="H2534" s="1">
        <v>45742</v>
      </c>
      <c r="I2534" s="1">
        <v>46088</v>
      </c>
      <c r="J2534" t="s">
        <v>45</v>
      </c>
      <c r="K2534" t="s">
        <v>45</v>
      </c>
      <c r="L2534" t="s">
        <v>72</v>
      </c>
      <c r="N2534" t="s">
        <v>89</v>
      </c>
      <c r="O2534" t="s">
        <v>121</v>
      </c>
      <c r="P2534" t="s">
        <v>49</v>
      </c>
      <c r="Q2534" t="s">
        <v>15966</v>
      </c>
      <c r="R2534" t="s">
        <v>15967</v>
      </c>
      <c r="S2534">
        <v>4807</v>
      </c>
      <c r="T2534" t="s">
        <v>52</v>
      </c>
      <c r="U2534">
        <v>5</v>
      </c>
      <c r="V2534" t="s">
        <v>1068</v>
      </c>
      <c r="W2534" t="s">
        <v>54</v>
      </c>
      <c r="X2534" t="s">
        <v>76</v>
      </c>
      <c r="Y2534" t="s">
        <v>125</v>
      </c>
      <c r="Z2534">
        <v>729</v>
      </c>
      <c r="AA2534">
        <v>76</v>
      </c>
      <c r="AB2534">
        <v>78</v>
      </c>
      <c r="AC2534" t="s">
        <v>1069</v>
      </c>
      <c r="AD2534" t="s">
        <v>1070</v>
      </c>
      <c r="AE2534" t="s">
        <v>1071</v>
      </c>
      <c r="AF2534" t="s">
        <v>15962</v>
      </c>
      <c r="AG2534" t="s">
        <v>15963</v>
      </c>
      <c r="AH2534" t="s">
        <v>15964</v>
      </c>
      <c r="AI2534" t="s">
        <v>4396</v>
      </c>
      <c r="AJ2534" s="2">
        <v>45743.733043981483</v>
      </c>
      <c r="AK2534" t="s">
        <v>800</v>
      </c>
      <c r="AL2534" t="s">
        <v>65</v>
      </c>
      <c r="AM2534" s="3">
        <v>1.2013888888888888</v>
      </c>
      <c r="AN2534" t="s">
        <v>66</v>
      </c>
      <c r="AO2534" t="s">
        <v>67</v>
      </c>
    </row>
    <row r="2535" spans="1:41" x14ac:dyDescent="0.2">
      <c r="A2535">
        <v>372056</v>
      </c>
      <c r="B2535" t="s">
        <v>15968</v>
      </c>
      <c r="C2535" t="s">
        <v>182</v>
      </c>
      <c r="E2535" t="s">
        <v>15969</v>
      </c>
      <c r="G2535" s="1">
        <v>45602</v>
      </c>
      <c r="H2535" s="1">
        <v>45826</v>
      </c>
      <c r="I2535" s="1">
        <v>46235</v>
      </c>
      <c r="J2535" t="s">
        <v>45</v>
      </c>
      <c r="K2535" t="s">
        <v>326</v>
      </c>
      <c r="L2535" t="s">
        <v>72</v>
      </c>
      <c r="M2535" s="1">
        <v>45125</v>
      </c>
      <c r="N2535" t="s">
        <v>89</v>
      </c>
      <c r="O2535" t="s">
        <v>121</v>
      </c>
      <c r="P2535" t="s">
        <v>49</v>
      </c>
      <c r="Q2535" t="s">
        <v>15970</v>
      </c>
      <c r="R2535" t="s">
        <v>15971</v>
      </c>
      <c r="T2535" t="s">
        <v>52</v>
      </c>
      <c r="U2535">
        <v>5</v>
      </c>
      <c r="V2535" t="s">
        <v>1068</v>
      </c>
      <c r="W2535" t="s">
        <v>54</v>
      </c>
      <c r="X2535" t="s">
        <v>76</v>
      </c>
      <c r="Y2535" t="s">
        <v>125</v>
      </c>
      <c r="Z2535">
        <v>3229</v>
      </c>
      <c r="AA2535">
        <v>67</v>
      </c>
      <c r="AB2535">
        <v>30</v>
      </c>
      <c r="AC2535" t="s">
        <v>15945</v>
      </c>
      <c r="AD2535" t="s">
        <v>13268</v>
      </c>
      <c r="AE2535" t="s">
        <v>15972</v>
      </c>
      <c r="AF2535" t="s">
        <v>15946</v>
      </c>
      <c r="AG2535" t="s">
        <v>15947</v>
      </c>
      <c r="AH2535" t="s">
        <v>15948</v>
      </c>
      <c r="AI2535" t="s">
        <v>4396</v>
      </c>
      <c r="AJ2535" s="2">
        <v>45828.544282407405</v>
      </c>
      <c r="AK2535" t="s">
        <v>800</v>
      </c>
      <c r="AL2535" t="s">
        <v>65</v>
      </c>
      <c r="AM2535" s="3">
        <v>1.4791666666666667</v>
      </c>
      <c r="AN2535" t="s">
        <v>66</v>
      </c>
      <c r="AO2535" t="s">
        <v>67</v>
      </c>
    </row>
    <row r="2536" spans="1:41" x14ac:dyDescent="0.2">
      <c r="A2536">
        <v>370976</v>
      </c>
      <c r="B2536" t="s">
        <v>15973</v>
      </c>
      <c r="C2536" t="s">
        <v>692</v>
      </c>
      <c r="D2536" t="s">
        <v>3845</v>
      </c>
      <c r="E2536">
        <v>32305316</v>
      </c>
      <c r="F2536">
        <v>50199</v>
      </c>
      <c r="G2536" s="1">
        <v>45644</v>
      </c>
      <c r="H2536" s="1">
        <v>45645</v>
      </c>
      <c r="I2536" s="1">
        <v>46023</v>
      </c>
      <c r="J2536" t="s">
        <v>45</v>
      </c>
      <c r="K2536" t="s">
        <v>45</v>
      </c>
      <c r="L2536" t="s">
        <v>72</v>
      </c>
      <c r="M2536" s="1">
        <v>43923</v>
      </c>
      <c r="N2536" t="s">
        <v>89</v>
      </c>
      <c r="O2536" t="s">
        <v>121</v>
      </c>
      <c r="P2536" t="s">
        <v>49</v>
      </c>
      <c r="Q2536" t="s">
        <v>15974</v>
      </c>
      <c r="R2536" t="s">
        <v>15975</v>
      </c>
      <c r="S2536">
        <v>7346</v>
      </c>
      <c r="T2536" t="s">
        <v>52</v>
      </c>
      <c r="U2536">
        <v>2</v>
      </c>
      <c r="V2536" t="s">
        <v>5779</v>
      </c>
      <c r="W2536" t="s">
        <v>54</v>
      </c>
      <c r="X2536" t="s">
        <v>76</v>
      </c>
      <c r="Y2536" t="s">
        <v>125</v>
      </c>
      <c r="Z2536">
        <v>898</v>
      </c>
      <c r="AA2536">
        <v>154</v>
      </c>
      <c r="AB2536">
        <v>52</v>
      </c>
      <c r="AC2536" t="s">
        <v>5781</v>
      </c>
      <c r="AD2536" t="s">
        <v>5782</v>
      </c>
      <c r="AE2536" t="s">
        <v>5783</v>
      </c>
      <c r="AF2536" t="s">
        <v>2252</v>
      </c>
      <c r="AG2536" t="s">
        <v>5780</v>
      </c>
      <c r="AH2536" t="s">
        <v>2254</v>
      </c>
      <c r="AJ2536" s="2">
        <v>45792.60597222222</v>
      </c>
      <c r="AK2536" t="s">
        <v>660</v>
      </c>
      <c r="AL2536" t="s">
        <v>65</v>
      </c>
      <c r="AM2536" s="3">
        <v>2.3333333333333335</v>
      </c>
      <c r="AN2536" t="s">
        <v>66</v>
      </c>
      <c r="AO2536" t="s">
        <v>67</v>
      </c>
    </row>
    <row r="2537" spans="1:41" x14ac:dyDescent="0.2">
      <c r="A2537">
        <v>370908</v>
      </c>
      <c r="B2537" t="s">
        <v>15976</v>
      </c>
      <c r="C2537" t="s">
        <v>692</v>
      </c>
      <c r="D2537" t="s">
        <v>3845</v>
      </c>
      <c r="E2537">
        <v>32721634</v>
      </c>
      <c r="G2537" s="1">
        <v>45762</v>
      </c>
      <c r="H2537" s="1">
        <v>45694</v>
      </c>
      <c r="I2537" s="1">
        <v>46068</v>
      </c>
      <c r="J2537" t="s">
        <v>45</v>
      </c>
      <c r="K2537" t="s">
        <v>45</v>
      </c>
      <c r="L2537" t="s">
        <v>72</v>
      </c>
      <c r="M2537" s="1">
        <v>44365</v>
      </c>
      <c r="N2537" t="s">
        <v>89</v>
      </c>
      <c r="O2537" t="s">
        <v>121</v>
      </c>
      <c r="P2537" t="s">
        <v>49</v>
      </c>
      <c r="Q2537" t="s">
        <v>15977</v>
      </c>
      <c r="R2537" t="s">
        <v>15978</v>
      </c>
      <c r="S2537">
        <v>8560</v>
      </c>
      <c r="T2537" t="s">
        <v>52</v>
      </c>
      <c r="U2537">
        <v>2</v>
      </c>
      <c r="V2537" t="s">
        <v>5779</v>
      </c>
      <c r="W2537" t="s">
        <v>54</v>
      </c>
      <c r="X2537" t="s">
        <v>52</v>
      </c>
      <c r="Y2537" t="s">
        <v>125</v>
      </c>
      <c r="Z2537">
        <v>1701</v>
      </c>
      <c r="AA2537">
        <v>147</v>
      </c>
      <c r="AB2537">
        <v>28</v>
      </c>
      <c r="AC2537" t="s">
        <v>5781</v>
      </c>
      <c r="AD2537" t="s">
        <v>5782</v>
      </c>
      <c r="AE2537" t="s">
        <v>5783</v>
      </c>
      <c r="AF2537" t="s">
        <v>2252</v>
      </c>
      <c r="AG2537" t="s">
        <v>5780</v>
      </c>
      <c r="AH2537" t="s">
        <v>2254</v>
      </c>
      <c r="AJ2537" s="2">
        <v>45789.931145833332</v>
      </c>
      <c r="AK2537" t="s">
        <v>1167</v>
      </c>
      <c r="AL2537" t="s">
        <v>65</v>
      </c>
      <c r="AM2537" s="4">
        <v>9.7222222222222224E-2</v>
      </c>
      <c r="AN2537" t="s">
        <v>66</v>
      </c>
      <c r="AO2537" t="s">
        <v>67</v>
      </c>
    </row>
    <row r="2538" spans="1:41" x14ac:dyDescent="0.2">
      <c r="A2538">
        <v>367950</v>
      </c>
      <c r="B2538" t="s">
        <v>15979</v>
      </c>
      <c r="C2538" t="s">
        <v>692</v>
      </c>
      <c r="D2538" t="s">
        <v>1927</v>
      </c>
      <c r="E2538" t="s">
        <v>15980</v>
      </c>
      <c r="G2538" s="1">
        <v>45531</v>
      </c>
      <c r="H2538" s="1">
        <v>45694</v>
      </c>
      <c r="I2538" s="1">
        <v>46068</v>
      </c>
      <c r="J2538" t="s">
        <v>45</v>
      </c>
      <c r="K2538" t="s">
        <v>45</v>
      </c>
      <c r="L2538" t="s">
        <v>72</v>
      </c>
      <c r="M2538" s="1">
        <v>43936</v>
      </c>
      <c r="N2538" t="s">
        <v>89</v>
      </c>
      <c r="O2538" t="s">
        <v>121</v>
      </c>
      <c r="P2538" t="s">
        <v>49</v>
      </c>
      <c r="Q2538" t="s">
        <v>15981</v>
      </c>
      <c r="R2538" t="s">
        <v>15982</v>
      </c>
      <c r="S2538">
        <v>8652</v>
      </c>
      <c r="T2538" t="s">
        <v>52</v>
      </c>
      <c r="U2538">
        <v>2</v>
      </c>
      <c r="V2538" t="s">
        <v>5779</v>
      </c>
      <c r="W2538" t="s">
        <v>54</v>
      </c>
      <c r="X2538" t="s">
        <v>76</v>
      </c>
      <c r="Y2538" t="s">
        <v>125</v>
      </c>
      <c r="Z2538">
        <v>2673</v>
      </c>
      <c r="AA2538">
        <v>78</v>
      </c>
      <c r="AB2538">
        <v>144</v>
      </c>
      <c r="AC2538" t="s">
        <v>5781</v>
      </c>
      <c r="AD2538" t="s">
        <v>5782</v>
      </c>
      <c r="AE2538" t="s">
        <v>5783</v>
      </c>
      <c r="AF2538" t="s">
        <v>2252</v>
      </c>
      <c r="AG2538" t="s">
        <v>5780</v>
      </c>
      <c r="AH2538" t="s">
        <v>2254</v>
      </c>
      <c r="AJ2538" s="2">
        <v>45694.521331018521</v>
      </c>
      <c r="AK2538" t="s">
        <v>800</v>
      </c>
      <c r="AL2538" t="s">
        <v>65</v>
      </c>
      <c r="AM2538" s="3">
        <v>2.1180555555555554</v>
      </c>
      <c r="AN2538" t="s">
        <v>66</v>
      </c>
      <c r="AO2538" t="s">
        <v>67</v>
      </c>
    </row>
    <row r="2539" spans="1:41" x14ac:dyDescent="0.2">
      <c r="A2539">
        <v>372058</v>
      </c>
      <c r="B2539" t="s">
        <v>15983</v>
      </c>
      <c r="C2539" t="s">
        <v>692</v>
      </c>
      <c r="D2539" t="s">
        <v>1927</v>
      </c>
      <c r="E2539" t="s">
        <v>15984</v>
      </c>
      <c r="G2539" s="1">
        <v>45587</v>
      </c>
      <c r="H2539" s="1">
        <v>45588</v>
      </c>
      <c r="I2539" s="1">
        <v>45976</v>
      </c>
      <c r="J2539" t="s">
        <v>45</v>
      </c>
      <c r="K2539" t="s">
        <v>45</v>
      </c>
      <c r="L2539" t="s">
        <v>72</v>
      </c>
      <c r="M2539" s="1">
        <v>43585</v>
      </c>
      <c r="N2539" t="s">
        <v>89</v>
      </c>
      <c r="O2539" t="s">
        <v>121</v>
      </c>
      <c r="P2539" t="s">
        <v>49</v>
      </c>
      <c r="Q2539" t="s">
        <v>15985</v>
      </c>
      <c r="R2539" t="s">
        <v>15986</v>
      </c>
      <c r="S2539">
        <v>8645</v>
      </c>
      <c r="T2539" t="s">
        <v>52</v>
      </c>
      <c r="U2539">
        <v>2</v>
      </c>
      <c r="V2539" t="s">
        <v>5779</v>
      </c>
      <c r="W2539" t="s">
        <v>54</v>
      </c>
      <c r="X2539" t="s">
        <v>76</v>
      </c>
      <c r="Y2539" t="s">
        <v>125</v>
      </c>
      <c r="Z2539">
        <v>10206</v>
      </c>
      <c r="AA2539">
        <v>42</v>
      </c>
      <c r="AB2539">
        <v>76</v>
      </c>
      <c r="AC2539" t="s">
        <v>5781</v>
      </c>
      <c r="AD2539" t="s">
        <v>5782</v>
      </c>
      <c r="AE2539" t="s">
        <v>5783</v>
      </c>
      <c r="AF2539" t="s">
        <v>2252</v>
      </c>
      <c r="AG2539" t="s">
        <v>5780</v>
      </c>
      <c r="AH2539" t="s">
        <v>2254</v>
      </c>
      <c r="AJ2539" s="2">
        <v>45828.591817129629</v>
      </c>
      <c r="AK2539" t="s">
        <v>375</v>
      </c>
      <c r="AL2539" t="s">
        <v>65</v>
      </c>
      <c r="AM2539" s="4">
        <v>0.34722222222222221</v>
      </c>
      <c r="AN2539" t="s">
        <v>66</v>
      </c>
      <c r="AO2539" t="s">
        <v>67</v>
      </c>
    </row>
    <row r="2540" spans="1:41" x14ac:dyDescent="0.2">
      <c r="A2540">
        <v>367336</v>
      </c>
      <c r="B2540" t="s">
        <v>15987</v>
      </c>
      <c r="C2540" t="s">
        <v>1000</v>
      </c>
      <c r="D2540" t="s">
        <v>15988</v>
      </c>
      <c r="E2540" s="5">
        <v>2.5999999999999998E+286</v>
      </c>
      <c r="F2540">
        <v>408302</v>
      </c>
      <c r="G2540" s="1">
        <v>37915</v>
      </c>
      <c r="H2540" s="1">
        <v>45621</v>
      </c>
      <c r="J2540" t="s">
        <v>45</v>
      </c>
      <c r="K2540" t="s">
        <v>45</v>
      </c>
      <c r="L2540" t="s">
        <v>72</v>
      </c>
      <c r="M2540" s="1">
        <v>45621</v>
      </c>
      <c r="N2540" t="s">
        <v>47</v>
      </c>
      <c r="O2540" t="s">
        <v>48</v>
      </c>
      <c r="P2540" t="s">
        <v>49</v>
      </c>
      <c r="Q2540" t="s">
        <v>15989</v>
      </c>
      <c r="R2540" t="s">
        <v>15990</v>
      </c>
      <c r="S2540">
        <v>420</v>
      </c>
      <c r="T2540" t="s">
        <v>92</v>
      </c>
      <c r="U2540" t="s">
        <v>1005</v>
      </c>
      <c r="V2540" t="s">
        <v>590</v>
      </c>
      <c r="W2540" t="s">
        <v>1006</v>
      </c>
      <c r="X2540" t="s">
        <v>92</v>
      </c>
      <c r="Y2540" t="s">
        <v>770</v>
      </c>
      <c r="Z2540">
        <v>2422</v>
      </c>
      <c r="AA2540">
        <v>34</v>
      </c>
      <c r="AB2540">
        <v>144</v>
      </c>
      <c r="AC2540" t="s">
        <v>3708</v>
      </c>
      <c r="AD2540" t="s">
        <v>3709</v>
      </c>
      <c r="AE2540" t="s">
        <v>10935</v>
      </c>
      <c r="AF2540" t="s">
        <v>1011</v>
      </c>
      <c r="AG2540" t="s">
        <v>1010</v>
      </c>
      <c r="AH2540" t="s">
        <v>3711</v>
      </c>
      <c r="AJ2540" s="2">
        <v>45672.273564814815</v>
      </c>
      <c r="AK2540" t="s">
        <v>1011</v>
      </c>
      <c r="AL2540" t="s">
        <v>65</v>
      </c>
      <c r="AM2540" s="4">
        <v>0.3125</v>
      </c>
      <c r="AN2540" t="s">
        <v>66</v>
      </c>
      <c r="AO2540" t="s">
        <v>67</v>
      </c>
    </row>
    <row r="2541" spans="1:41" x14ac:dyDescent="0.2">
      <c r="A2541">
        <v>366153</v>
      </c>
      <c r="B2541" t="s">
        <v>15991</v>
      </c>
      <c r="C2541" t="s">
        <v>4770</v>
      </c>
      <c r="D2541" t="s">
        <v>15992</v>
      </c>
      <c r="E2541" t="s">
        <v>15993</v>
      </c>
      <c r="F2541">
        <v>139801</v>
      </c>
      <c r="G2541" s="1">
        <v>38636</v>
      </c>
      <c r="H2541" s="1">
        <v>45602</v>
      </c>
      <c r="I2541" s="1">
        <v>45976</v>
      </c>
      <c r="J2541" t="s">
        <v>45</v>
      </c>
      <c r="K2541" t="s">
        <v>45</v>
      </c>
      <c r="L2541" t="s">
        <v>72</v>
      </c>
      <c r="N2541" t="s">
        <v>47</v>
      </c>
      <c r="O2541" t="s">
        <v>48</v>
      </c>
      <c r="P2541" t="s">
        <v>49</v>
      </c>
      <c r="Q2541" t="s">
        <v>15994</v>
      </c>
      <c r="R2541" t="s">
        <v>15995</v>
      </c>
      <c r="S2541">
        <v>651</v>
      </c>
      <c r="T2541" t="s">
        <v>92</v>
      </c>
      <c r="U2541" t="s">
        <v>11203</v>
      </c>
      <c r="V2541" t="s">
        <v>768</v>
      </c>
      <c r="W2541" t="s">
        <v>11204</v>
      </c>
      <c r="X2541" t="s">
        <v>92</v>
      </c>
      <c r="Y2541" t="s">
        <v>110</v>
      </c>
      <c r="Z2541">
        <v>2766</v>
      </c>
      <c r="AA2541">
        <v>35</v>
      </c>
      <c r="AB2541">
        <v>146</v>
      </c>
      <c r="AC2541" t="s">
        <v>11212</v>
      </c>
      <c r="AD2541" t="s">
        <v>11213</v>
      </c>
      <c r="AE2541" t="s">
        <v>11214</v>
      </c>
      <c r="AF2541" t="s">
        <v>15996</v>
      </c>
      <c r="AH2541" t="s">
        <v>15997</v>
      </c>
      <c r="AI2541" t="s">
        <v>11217</v>
      </c>
      <c r="AJ2541" s="2">
        <v>45604.673726851855</v>
      </c>
      <c r="AK2541" t="s">
        <v>11212</v>
      </c>
      <c r="AL2541" t="s">
        <v>65</v>
      </c>
      <c r="AM2541" s="4">
        <v>0.2986111111111111</v>
      </c>
      <c r="AN2541" t="s">
        <v>66</v>
      </c>
      <c r="AO2541" t="s">
        <v>67</v>
      </c>
    </row>
    <row r="2542" spans="1:41" x14ac:dyDescent="0.2">
      <c r="A2542">
        <v>368944</v>
      </c>
      <c r="B2542" t="s">
        <v>15998</v>
      </c>
      <c r="C2542" t="s">
        <v>182</v>
      </c>
      <c r="D2542" t="s">
        <v>4261</v>
      </c>
      <c r="E2542" t="s">
        <v>15999</v>
      </c>
      <c r="F2542">
        <v>40105</v>
      </c>
      <c r="G2542" s="1">
        <v>33674</v>
      </c>
      <c r="H2542" s="1">
        <v>45553</v>
      </c>
      <c r="I2542" s="1">
        <v>46188</v>
      </c>
      <c r="J2542" t="s">
        <v>45</v>
      </c>
      <c r="K2542" t="s">
        <v>45</v>
      </c>
      <c r="L2542" t="s">
        <v>3920</v>
      </c>
      <c r="M2542" s="1">
        <v>44416</v>
      </c>
      <c r="N2542" t="s">
        <v>47</v>
      </c>
      <c r="O2542" t="s">
        <v>48</v>
      </c>
      <c r="P2542" t="s">
        <v>49</v>
      </c>
      <c r="Q2542" t="s">
        <v>16000</v>
      </c>
      <c r="R2542" t="s">
        <v>16001</v>
      </c>
      <c r="S2542">
        <v>5151</v>
      </c>
      <c r="T2542" t="s">
        <v>52</v>
      </c>
      <c r="U2542">
        <v>5</v>
      </c>
      <c r="V2542" t="s">
        <v>3513</v>
      </c>
      <c r="W2542" t="s">
        <v>54</v>
      </c>
      <c r="X2542" t="s">
        <v>493</v>
      </c>
      <c r="Y2542" t="s">
        <v>434</v>
      </c>
      <c r="Z2542">
        <v>744</v>
      </c>
      <c r="AA2542">
        <v>67</v>
      </c>
      <c r="AB2542">
        <v>146</v>
      </c>
      <c r="AC2542" t="s">
        <v>4265</v>
      </c>
      <c r="AD2542" t="s">
        <v>4266</v>
      </c>
      <c r="AE2542" t="s">
        <v>4267</v>
      </c>
      <c r="AF2542" t="s">
        <v>3517</v>
      </c>
      <c r="AG2542" t="s">
        <v>3518</v>
      </c>
      <c r="AH2542" t="s">
        <v>3519</v>
      </c>
      <c r="AI2542" t="s">
        <v>500</v>
      </c>
      <c r="AJ2542" s="2">
        <v>45722.919618055559</v>
      </c>
      <c r="AK2542" t="s">
        <v>501</v>
      </c>
      <c r="AL2542" t="s">
        <v>65</v>
      </c>
      <c r="AM2542" s="3">
        <v>2.3986111111111112</v>
      </c>
      <c r="AN2542" t="s">
        <v>66</v>
      </c>
      <c r="AO2542" t="s">
        <v>67</v>
      </c>
    </row>
    <row r="2543" spans="1:41" x14ac:dyDescent="0.2">
      <c r="A2543">
        <v>370403</v>
      </c>
      <c r="B2543" t="s">
        <v>16002</v>
      </c>
      <c r="C2543" t="s">
        <v>69</v>
      </c>
      <c r="D2543" t="s">
        <v>3278</v>
      </c>
      <c r="E2543" t="s">
        <v>16003</v>
      </c>
      <c r="F2543">
        <v>103211</v>
      </c>
      <c r="G2543" s="1">
        <v>37466</v>
      </c>
      <c r="H2543" s="1">
        <v>45768</v>
      </c>
      <c r="I2543" s="1">
        <v>46174</v>
      </c>
      <c r="J2543" t="s">
        <v>45</v>
      </c>
      <c r="K2543" t="s">
        <v>45</v>
      </c>
      <c r="L2543" t="s">
        <v>46</v>
      </c>
      <c r="M2543" s="1">
        <v>44811</v>
      </c>
      <c r="N2543" t="s">
        <v>47</v>
      </c>
      <c r="O2543" t="s">
        <v>48</v>
      </c>
      <c r="P2543" t="s">
        <v>49</v>
      </c>
      <c r="Q2543" t="s">
        <v>16004</v>
      </c>
      <c r="R2543" t="s">
        <v>16005</v>
      </c>
      <c r="S2543">
        <v>5377</v>
      </c>
      <c r="T2543" t="s">
        <v>296</v>
      </c>
      <c r="U2543" t="s">
        <v>297</v>
      </c>
      <c r="V2543" t="s">
        <v>16006</v>
      </c>
      <c r="W2543" t="s">
        <v>299</v>
      </c>
      <c r="X2543" t="s">
        <v>76</v>
      </c>
      <c r="Y2543" t="s">
        <v>56</v>
      </c>
      <c r="Z2543">
        <v>2241</v>
      </c>
      <c r="AA2543">
        <v>44</v>
      </c>
      <c r="AB2543">
        <v>158</v>
      </c>
      <c r="AC2543" t="s">
        <v>16007</v>
      </c>
      <c r="AD2543" t="s">
        <v>16008</v>
      </c>
      <c r="AE2543" t="s">
        <v>16009</v>
      </c>
      <c r="AF2543" t="s">
        <v>303</v>
      </c>
      <c r="AG2543" t="s">
        <v>304</v>
      </c>
      <c r="AH2543" t="s">
        <v>305</v>
      </c>
      <c r="AI2543" t="s">
        <v>16010</v>
      </c>
      <c r="AJ2543" s="2">
        <v>45775.543877314813</v>
      </c>
      <c r="AK2543" t="s">
        <v>568</v>
      </c>
      <c r="AL2543" t="s">
        <v>65</v>
      </c>
      <c r="AM2543" s="3">
        <v>1.3194444444444444</v>
      </c>
      <c r="AN2543" t="s">
        <v>66</v>
      </c>
      <c r="AO2543" t="s">
        <v>67</v>
      </c>
    </row>
    <row r="2544" spans="1:41" x14ac:dyDescent="0.2">
      <c r="A2544">
        <v>371897</v>
      </c>
      <c r="B2544" t="s">
        <v>16011</v>
      </c>
      <c r="C2544" t="s">
        <v>221</v>
      </c>
      <c r="D2544" t="s">
        <v>16012</v>
      </c>
      <c r="E2544">
        <v>32765004</v>
      </c>
      <c r="F2544">
        <v>12902</v>
      </c>
      <c r="G2544" s="1">
        <v>37608</v>
      </c>
      <c r="H2544" s="1">
        <v>45573</v>
      </c>
      <c r="I2544" s="1">
        <v>45915</v>
      </c>
      <c r="J2544" t="s">
        <v>45</v>
      </c>
      <c r="K2544" t="s">
        <v>45</v>
      </c>
      <c r="L2544" t="s">
        <v>46</v>
      </c>
      <c r="M2544" s="1">
        <v>42858</v>
      </c>
      <c r="N2544" t="s">
        <v>47</v>
      </c>
      <c r="O2544" t="s">
        <v>48</v>
      </c>
      <c r="P2544" t="s">
        <v>49</v>
      </c>
      <c r="Q2544" t="s">
        <v>16013</v>
      </c>
      <c r="R2544" t="s">
        <v>16014</v>
      </c>
      <c r="S2544">
        <v>908</v>
      </c>
      <c r="T2544" t="s">
        <v>52</v>
      </c>
      <c r="U2544">
        <v>8</v>
      </c>
      <c r="V2544" t="s">
        <v>1648</v>
      </c>
      <c r="W2544" t="s">
        <v>54</v>
      </c>
      <c r="X2544" t="s">
        <v>76</v>
      </c>
      <c r="Y2544" t="s">
        <v>56</v>
      </c>
      <c r="Z2544">
        <v>1924</v>
      </c>
      <c r="AA2544">
        <v>37</v>
      </c>
      <c r="AB2544">
        <v>152</v>
      </c>
      <c r="AC2544" t="s">
        <v>15697</v>
      </c>
      <c r="AD2544" t="s">
        <v>15698</v>
      </c>
      <c r="AE2544" t="s">
        <v>15699</v>
      </c>
      <c r="AF2544" t="s">
        <v>6460</v>
      </c>
      <c r="AG2544" t="s">
        <v>1653</v>
      </c>
      <c r="AH2544" t="s">
        <v>1654</v>
      </c>
      <c r="AI2544" t="s">
        <v>1653</v>
      </c>
      <c r="AJ2544" s="2">
        <v>45824.661597222221</v>
      </c>
      <c r="AK2544" t="s">
        <v>132</v>
      </c>
      <c r="AL2544" t="s">
        <v>65</v>
      </c>
      <c r="AM2544" s="4">
        <v>0.59722222222222221</v>
      </c>
      <c r="AN2544" t="s">
        <v>809</v>
      </c>
      <c r="AO2544" t="s">
        <v>67</v>
      </c>
    </row>
    <row r="2545" spans="1:41" x14ac:dyDescent="0.2">
      <c r="A2545">
        <v>373087</v>
      </c>
      <c r="B2545" t="s">
        <v>16015</v>
      </c>
      <c r="C2545" t="s">
        <v>69</v>
      </c>
      <c r="D2545" t="s">
        <v>14274</v>
      </c>
      <c r="E2545" t="s">
        <v>16016</v>
      </c>
      <c r="F2545">
        <v>100606</v>
      </c>
      <c r="G2545" s="1">
        <v>31321</v>
      </c>
      <c r="H2545" s="1">
        <v>45856</v>
      </c>
      <c r="I2545" s="1">
        <v>46204</v>
      </c>
      <c r="J2545" t="s">
        <v>45</v>
      </c>
      <c r="K2545" t="s">
        <v>45</v>
      </c>
      <c r="L2545" t="s">
        <v>429</v>
      </c>
      <c r="M2545" s="1">
        <v>43949</v>
      </c>
      <c r="N2545" t="s">
        <v>47</v>
      </c>
      <c r="O2545" t="s">
        <v>48</v>
      </c>
      <c r="P2545" t="s">
        <v>49</v>
      </c>
      <c r="Q2545" t="s">
        <v>16017</v>
      </c>
      <c r="R2545" t="s">
        <v>16018</v>
      </c>
      <c r="S2545">
        <v>3687</v>
      </c>
      <c r="T2545" t="s">
        <v>52</v>
      </c>
      <c r="U2545">
        <v>1</v>
      </c>
      <c r="V2545" t="s">
        <v>4698</v>
      </c>
      <c r="W2545" t="s">
        <v>54</v>
      </c>
      <c r="X2545" t="s">
        <v>76</v>
      </c>
      <c r="Y2545" t="s">
        <v>56</v>
      </c>
      <c r="Z2545">
        <v>544</v>
      </c>
      <c r="AA2545">
        <v>69</v>
      </c>
      <c r="AB2545">
        <v>44</v>
      </c>
      <c r="AC2545" t="s">
        <v>14278</v>
      </c>
      <c r="AD2545" t="s">
        <v>14279</v>
      </c>
      <c r="AE2545" t="s">
        <v>14280</v>
      </c>
      <c r="AF2545" t="s">
        <v>4702</v>
      </c>
      <c r="AG2545" t="s">
        <v>4703</v>
      </c>
      <c r="AH2545" t="s">
        <v>6200</v>
      </c>
      <c r="AI2545" t="s">
        <v>6201</v>
      </c>
      <c r="AJ2545" s="2">
        <v>45856.950891203705</v>
      </c>
      <c r="AK2545" t="s">
        <v>375</v>
      </c>
      <c r="AL2545" t="s">
        <v>65</v>
      </c>
      <c r="AM2545" s="4">
        <v>0.90625</v>
      </c>
      <c r="AN2545" t="s">
        <v>66</v>
      </c>
      <c r="AO2545" t="s">
        <v>67</v>
      </c>
    </row>
    <row r="2546" spans="1:41" x14ac:dyDescent="0.2">
      <c r="A2546">
        <v>366280</v>
      </c>
      <c r="B2546" t="s">
        <v>16019</v>
      </c>
      <c r="C2546" t="s">
        <v>558</v>
      </c>
      <c r="D2546" t="s">
        <v>4940</v>
      </c>
      <c r="E2546" t="s">
        <v>16020</v>
      </c>
      <c r="F2546">
        <v>260402</v>
      </c>
      <c r="G2546" s="1">
        <v>31623</v>
      </c>
      <c r="H2546" s="1">
        <v>45602</v>
      </c>
      <c r="I2546" s="1">
        <v>45931</v>
      </c>
      <c r="J2546" t="s">
        <v>45</v>
      </c>
      <c r="K2546" t="s">
        <v>45</v>
      </c>
      <c r="L2546" t="s">
        <v>429</v>
      </c>
      <c r="M2546" s="1">
        <v>43572</v>
      </c>
      <c r="N2546" t="s">
        <v>47</v>
      </c>
      <c r="O2546" t="s">
        <v>48</v>
      </c>
      <c r="P2546" t="s">
        <v>49</v>
      </c>
      <c r="Q2546" t="s">
        <v>16021</v>
      </c>
      <c r="R2546" t="s">
        <v>16022</v>
      </c>
      <c r="S2546">
        <v>4600</v>
      </c>
      <c r="T2546" t="s">
        <v>365</v>
      </c>
      <c r="U2546" t="s">
        <v>562</v>
      </c>
      <c r="V2546" t="s">
        <v>2987</v>
      </c>
      <c r="W2546" t="s">
        <v>367</v>
      </c>
      <c r="X2546" t="s">
        <v>493</v>
      </c>
      <c r="Y2546" t="s">
        <v>434</v>
      </c>
      <c r="Z2546">
        <v>281</v>
      </c>
      <c r="AA2546">
        <v>58</v>
      </c>
      <c r="AB2546">
        <v>166</v>
      </c>
      <c r="AC2546" t="s">
        <v>1882</v>
      </c>
      <c r="AD2546" t="s">
        <v>1883</v>
      </c>
      <c r="AE2546" t="s">
        <v>2988</v>
      </c>
      <c r="AF2546" t="s">
        <v>2989</v>
      </c>
      <c r="AG2546" t="s">
        <v>2990</v>
      </c>
      <c r="AH2546" t="s">
        <v>2991</v>
      </c>
      <c r="AI2546" t="s">
        <v>2992</v>
      </c>
      <c r="AJ2546" s="2">
        <v>45611.665856481479</v>
      </c>
      <c r="AK2546" t="s">
        <v>501</v>
      </c>
      <c r="AL2546" t="s">
        <v>65</v>
      </c>
      <c r="AM2546" s="3">
        <v>1.5902777777777777</v>
      </c>
      <c r="AN2546" t="s">
        <v>66</v>
      </c>
      <c r="AO2546" t="s">
        <v>67</v>
      </c>
    </row>
    <row r="2547" spans="1:41" x14ac:dyDescent="0.2">
      <c r="A2547">
        <v>364728</v>
      </c>
      <c r="B2547" t="s">
        <v>16023</v>
      </c>
      <c r="C2547" t="s">
        <v>134</v>
      </c>
      <c r="D2547" t="s">
        <v>8818</v>
      </c>
      <c r="E2547" t="s">
        <v>16024</v>
      </c>
      <c r="F2547">
        <v>452307</v>
      </c>
      <c r="G2547" s="1">
        <v>37159</v>
      </c>
      <c r="H2547" s="1">
        <v>45553</v>
      </c>
      <c r="I2547" s="1">
        <v>46266</v>
      </c>
      <c r="J2547" t="s">
        <v>45</v>
      </c>
      <c r="K2547" t="s">
        <v>45</v>
      </c>
      <c r="L2547" t="s">
        <v>429</v>
      </c>
      <c r="N2547" t="s">
        <v>47</v>
      </c>
      <c r="O2547" t="s">
        <v>48</v>
      </c>
      <c r="P2547" t="s">
        <v>49</v>
      </c>
      <c r="Q2547" t="s">
        <v>16025</v>
      </c>
      <c r="R2547" t="s">
        <v>16026</v>
      </c>
      <c r="S2547">
        <v>5052</v>
      </c>
      <c r="T2547" t="s">
        <v>296</v>
      </c>
      <c r="U2547" t="s">
        <v>2267</v>
      </c>
      <c r="V2547" t="s">
        <v>8821</v>
      </c>
      <c r="W2547" t="s">
        <v>299</v>
      </c>
      <c r="X2547" t="s">
        <v>76</v>
      </c>
      <c r="Y2547" t="s">
        <v>56</v>
      </c>
      <c r="Z2547">
        <v>1330</v>
      </c>
      <c r="AA2547">
        <v>38</v>
      </c>
      <c r="AB2547">
        <v>158</v>
      </c>
      <c r="AC2547" t="s">
        <v>8822</v>
      </c>
      <c r="AD2547" t="s">
        <v>8823</v>
      </c>
      <c r="AE2547" t="s">
        <v>8824</v>
      </c>
      <c r="AF2547" t="s">
        <v>8825</v>
      </c>
      <c r="AG2547" t="s">
        <v>8826</v>
      </c>
      <c r="AH2547" t="s">
        <v>8824</v>
      </c>
      <c r="AI2547" t="s">
        <v>2274</v>
      </c>
      <c r="AJ2547" s="2">
        <v>45558.683217592596</v>
      </c>
      <c r="AK2547" t="s">
        <v>2517</v>
      </c>
      <c r="AL2547" t="s">
        <v>65</v>
      </c>
      <c r="AM2547" s="3">
        <v>1.2222222222222223</v>
      </c>
      <c r="AN2547" t="s">
        <v>66</v>
      </c>
      <c r="AO2547" t="s">
        <v>67</v>
      </c>
    </row>
    <row r="2548" spans="1:41" x14ac:dyDescent="0.2">
      <c r="A2548">
        <v>372393</v>
      </c>
      <c r="B2548" t="s">
        <v>16023</v>
      </c>
      <c r="C2548" t="s">
        <v>278</v>
      </c>
      <c r="D2548" t="s">
        <v>7478</v>
      </c>
      <c r="E2548" t="s">
        <v>16027</v>
      </c>
      <c r="F2548">
        <v>421904</v>
      </c>
      <c r="G2548" s="1">
        <v>31755</v>
      </c>
      <c r="H2548" s="1">
        <v>45833</v>
      </c>
      <c r="I2548" s="1">
        <v>46174</v>
      </c>
      <c r="J2548" t="s">
        <v>45</v>
      </c>
      <c r="K2548" t="s">
        <v>45</v>
      </c>
      <c r="L2548" t="s">
        <v>429</v>
      </c>
      <c r="M2548" s="1">
        <v>42446</v>
      </c>
      <c r="N2548" t="s">
        <v>47</v>
      </c>
      <c r="O2548" t="s">
        <v>48</v>
      </c>
      <c r="P2548" t="s">
        <v>49</v>
      </c>
      <c r="Q2548" t="s">
        <v>16028</v>
      </c>
      <c r="R2548" t="s">
        <v>16029</v>
      </c>
      <c r="S2548">
        <v>8767</v>
      </c>
      <c r="T2548" t="s">
        <v>52</v>
      </c>
      <c r="U2548">
        <v>4</v>
      </c>
      <c r="V2548" t="s">
        <v>2622</v>
      </c>
      <c r="W2548" t="s">
        <v>54</v>
      </c>
      <c r="X2548" t="s">
        <v>55</v>
      </c>
      <c r="Y2548" t="s">
        <v>56</v>
      </c>
      <c r="Z2548">
        <v>657</v>
      </c>
      <c r="AA2548">
        <v>62</v>
      </c>
      <c r="AB2548">
        <v>152</v>
      </c>
      <c r="AC2548" t="s">
        <v>1186</v>
      </c>
      <c r="AD2548" t="s">
        <v>1187</v>
      </c>
      <c r="AE2548" t="s">
        <v>1188</v>
      </c>
      <c r="AF2548" t="s">
        <v>2623</v>
      </c>
      <c r="AG2548" t="s">
        <v>2624</v>
      </c>
      <c r="AH2548" t="s">
        <v>7499</v>
      </c>
      <c r="AI2548" t="s">
        <v>1192</v>
      </c>
      <c r="AJ2548" s="2">
        <v>45838.854953703703</v>
      </c>
      <c r="AK2548" t="s">
        <v>307</v>
      </c>
      <c r="AL2548" t="s">
        <v>65</v>
      </c>
      <c r="AM2548" s="4">
        <v>0.34027777777777779</v>
      </c>
      <c r="AN2548" t="s">
        <v>66</v>
      </c>
      <c r="AO2548" t="s">
        <v>67</v>
      </c>
    </row>
    <row r="2549" spans="1:41" x14ac:dyDescent="0.2">
      <c r="A2549">
        <v>372911</v>
      </c>
      <c r="B2549" t="s">
        <v>16030</v>
      </c>
      <c r="C2549" t="s">
        <v>167</v>
      </c>
      <c r="D2549" t="s">
        <v>1603</v>
      </c>
      <c r="E2549" t="s">
        <v>16031</v>
      </c>
      <c r="F2549">
        <v>352816</v>
      </c>
      <c r="G2549" s="1">
        <v>32966</v>
      </c>
      <c r="H2549" s="1">
        <v>45715</v>
      </c>
      <c r="I2549" s="1">
        <v>46054</v>
      </c>
      <c r="J2549" t="s">
        <v>45</v>
      </c>
      <c r="K2549" t="s">
        <v>45</v>
      </c>
      <c r="L2549" t="s">
        <v>429</v>
      </c>
      <c r="M2549" s="1">
        <v>42907</v>
      </c>
      <c r="N2549" t="s">
        <v>47</v>
      </c>
      <c r="O2549" t="s">
        <v>48</v>
      </c>
      <c r="P2549" t="s">
        <v>49</v>
      </c>
      <c r="Q2549" t="s">
        <v>16032</v>
      </c>
      <c r="R2549" t="s">
        <v>16033</v>
      </c>
      <c r="S2549">
        <v>3294</v>
      </c>
      <c r="T2549" t="s">
        <v>365</v>
      </c>
      <c r="U2549" t="s">
        <v>532</v>
      </c>
      <c r="V2549" t="s">
        <v>3729</v>
      </c>
      <c r="W2549" t="s">
        <v>367</v>
      </c>
      <c r="X2549" t="s">
        <v>76</v>
      </c>
      <c r="Y2549" t="s">
        <v>434</v>
      </c>
      <c r="Z2549">
        <v>297</v>
      </c>
      <c r="AA2549">
        <v>60</v>
      </c>
      <c r="AB2549">
        <v>166</v>
      </c>
      <c r="AC2549" t="s">
        <v>3730</v>
      </c>
      <c r="AD2549" t="s">
        <v>12634</v>
      </c>
      <c r="AE2549" t="s">
        <v>3732</v>
      </c>
      <c r="AF2549" t="s">
        <v>3730</v>
      </c>
      <c r="AI2549" t="s">
        <v>12635</v>
      </c>
      <c r="AJ2549" s="2">
        <v>45855.892187500001</v>
      </c>
      <c r="AK2549" t="s">
        <v>556</v>
      </c>
      <c r="AL2549" t="s">
        <v>65</v>
      </c>
      <c r="AM2549" s="3">
        <v>1.4652777777777777</v>
      </c>
      <c r="AN2549" t="s">
        <v>66</v>
      </c>
      <c r="AO2549" t="s">
        <v>67</v>
      </c>
    </row>
    <row r="2550" spans="1:41" x14ac:dyDescent="0.2">
      <c r="A2550">
        <v>363770</v>
      </c>
      <c r="B2550" t="s">
        <v>16034</v>
      </c>
      <c r="C2550" t="s">
        <v>167</v>
      </c>
      <c r="D2550" t="s">
        <v>1315</v>
      </c>
      <c r="E2550" t="s">
        <v>16035</v>
      </c>
      <c r="F2550">
        <v>353041</v>
      </c>
      <c r="G2550" s="1">
        <v>31637</v>
      </c>
      <c r="H2550" s="1">
        <v>45510</v>
      </c>
      <c r="I2550" s="1">
        <v>46218</v>
      </c>
      <c r="J2550" t="s">
        <v>45</v>
      </c>
      <c r="K2550" t="s">
        <v>45</v>
      </c>
      <c r="L2550" t="s">
        <v>429</v>
      </c>
      <c r="M2550" s="1">
        <v>42097</v>
      </c>
      <c r="N2550" t="s">
        <v>47</v>
      </c>
      <c r="O2550" t="s">
        <v>48</v>
      </c>
      <c r="P2550" t="s">
        <v>49</v>
      </c>
      <c r="Q2550" t="s">
        <v>16036</v>
      </c>
      <c r="R2550" t="s">
        <v>16037</v>
      </c>
      <c r="S2550">
        <v>3973</v>
      </c>
      <c r="T2550" t="s">
        <v>365</v>
      </c>
      <c r="U2550" t="s">
        <v>532</v>
      </c>
      <c r="V2550" t="s">
        <v>12633</v>
      </c>
      <c r="W2550" t="s">
        <v>367</v>
      </c>
      <c r="X2550" t="s">
        <v>76</v>
      </c>
      <c r="Y2550" t="s">
        <v>434</v>
      </c>
      <c r="Z2550">
        <v>323</v>
      </c>
      <c r="AA2550">
        <v>88</v>
      </c>
      <c r="AB2550">
        <v>158</v>
      </c>
      <c r="AC2550" t="s">
        <v>3730</v>
      </c>
      <c r="AD2550" t="s">
        <v>12634</v>
      </c>
      <c r="AE2550" t="s">
        <v>3732</v>
      </c>
      <c r="AI2550" t="s">
        <v>12635</v>
      </c>
      <c r="AJ2550" s="2">
        <v>45523.763078703705</v>
      </c>
      <c r="AK2550" t="s">
        <v>2517</v>
      </c>
      <c r="AL2550" t="s">
        <v>65</v>
      </c>
      <c r="AM2550" s="4">
        <v>0.60416666666666663</v>
      </c>
      <c r="AN2550" t="s">
        <v>66</v>
      </c>
      <c r="AO2550" t="s">
        <v>67</v>
      </c>
    </row>
    <row r="2551" spans="1:41" x14ac:dyDescent="0.2">
      <c r="A2551">
        <v>370566</v>
      </c>
      <c r="B2551" t="s">
        <v>16038</v>
      </c>
      <c r="C2551" t="s">
        <v>86</v>
      </c>
      <c r="D2551" t="s">
        <v>16039</v>
      </c>
      <c r="E2551" t="s">
        <v>16040</v>
      </c>
      <c r="F2551">
        <v>203601</v>
      </c>
      <c r="G2551" s="1">
        <v>38099</v>
      </c>
      <c r="H2551" s="1">
        <v>45776</v>
      </c>
      <c r="I2551" s="1">
        <v>46157</v>
      </c>
      <c r="J2551" t="s">
        <v>45</v>
      </c>
      <c r="K2551" t="s">
        <v>45</v>
      </c>
      <c r="L2551" t="s">
        <v>72</v>
      </c>
      <c r="M2551" s="1">
        <v>44287</v>
      </c>
      <c r="N2551" t="s">
        <v>47</v>
      </c>
      <c r="O2551" t="s">
        <v>48</v>
      </c>
      <c r="P2551" t="s">
        <v>49</v>
      </c>
      <c r="Q2551" t="s">
        <v>16041</v>
      </c>
      <c r="R2551" t="s">
        <v>16042</v>
      </c>
      <c r="S2551">
        <v>704</v>
      </c>
      <c r="T2551" t="s">
        <v>52</v>
      </c>
      <c r="U2551">
        <v>9</v>
      </c>
      <c r="V2551" t="s">
        <v>1631</v>
      </c>
      <c r="W2551" t="s">
        <v>54</v>
      </c>
      <c r="X2551" t="s">
        <v>76</v>
      </c>
      <c r="Y2551" t="s">
        <v>56</v>
      </c>
      <c r="Z2551">
        <v>2554</v>
      </c>
      <c r="AA2551">
        <v>41</v>
      </c>
      <c r="AB2551">
        <v>97</v>
      </c>
      <c r="AC2551" t="s">
        <v>1632</v>
      </c>
      <c r="AD2551" t="s">
        <v>1633</v>
      </c>
      <c r="AE2551" t="s">
        <v>1634</v>
      </c>
      <c r="AF2551" t="s">
        <v>1635</v>
      </c>
      <c r="AG2551" t="s">
        <v>1636</v>
      </c>
      <c r="AH2551" t="s">
        <v>1637</v>
      </c>
      <c r="AI2551" t="s">
        <v>1638</v>
      </c>
      <c r="AJ2551" s="2">
        <v>45777.96806712963</v>
      </c>
      <c r="AK2551" t="s">
        <v>540</v>
      </c>
      <c r="AL2551" t="s">
        <v>65</v>
      </c>
      <c r="AM2551" s="3">
        <v>1.3298611111111112</v>
      </c>
      <c r="AN2551" t="s">
        <v>66</v>
      </c>
      <c r="AO2551" t="s">
        <v>101</v>
      </c>
    </row>
    <row r="2552" spans="1:41" x14ac:dyDescent="0.2">
      <c r="A2552">
        <v>372985</v>
      </c>
      <c r="B2552" t="s">
        <v>16043</v>
      </c>
      <c r="C2552" t="s">
        <v>979</v>
      </c>
      <c r="D2552" t="s">
        <v>16044</v>
      </c>
      <c r="E2552" t="s">
        <v>16045</v>
      </c>
      <c r="F2552">
        <v>31201</v>
      </c>
      <c r="G2552" s="1">
        <v>34578</v>
      </c>
      <c r="H2552" s="1">
        <v>45674</v>
      </c>
      <c r="I2552" s="1">
        <v>46037</v>
      </c>
      <c r="J2552" t="s">
        <v>45</v>
      </c>
      <c r="K2552" t="s">
        <v>45</v>
      </c>
      <c r="L2552" t="s">
        <v>46</v>
      </c>
      <c r="M2552" s="1">
        <v>45120</v>
      </c>
      <c r="N2552" t="s">
        <v>47</v>
      </c>
      <c r="O2552" t="s">
        <v>48</v>
      </c>
      <c r="P2552" t="s">
        <v>49</v>
      </c>
      <c r="Q2552" t="s">
        <v>16046</v>
      </c>
      <c r="R2552" t="s">
        <v>16047</v>
      </c>
      <c r="S2552">
        <v>930</v>
      </c>
      <c r="T2552" t="s">
        <v>52</v>
      </c>
      <c r="U2552">
        <v>8</v>
      </c>
      <c r="V2552" t="s">
        <v>984</v>
      </c>
      <c r="W2552" t="s">
        <v>54</v>
      </c>
      <c r="X2552" t="s">
        <v>76</v>
      </c>
      <c r="Y2552" t="s">
        <v>56</v>
      </c>
      <c r="Z2552">
        <v>1044</v>
      </c>
      <c r="AA2552">
        <v>55</v>
      </c>
      <c r="AB2552">
        <v>176</v>
      </c>
      <c r="AC2552" t="s">
        <v>985</v>
      </c>
      <c r="AD2552" t="s">
        <v>986</v>
      </c>
      <c r="AE2552" t="s">
        <v>3446</v>
      </c>
      <c r="AI2552" t="s">
        <v>988</v>
      </c>
      <c r="AJ2552" s="2">
        <v>45855.97991898148</v>
      </c>
      <c r="AK2552" t="s">
        <v>556</v>
      </c>
      <c r="AL2552" t="s">
        <v>65</v>
      </c>
      <c r="AM2552" s="4">
        <v>0.3125</v>
      </c>
      <c r="AN2552" t="s">
        <v>66</v>
      </c>
      <c r="AO2552" t="s">
        <v>67</v>
      </c>
    </row>
    <row r="2553" spans="1:41" x14ac:dyDescent="0.2">
      <c r="A2553">
        <v>371123</v>
      </c>
      <c r="B2553" t="s">
        <v>16048</v>
      </c>
      <c r="C2553" t="s">
        <v>345</v>
      </c>
      <c r="D2553" t="s">
        <v>8405</v>
      </c>
      <c r="E2553" t="s">
        <v>16049</v>
      </c>
      <c r="G2553" s="1">
        <v>44469</v>
      </c>
      <c r="H2553" s="1">
        <v>45481</v>
      </c>
      <c r="I2553" s="1">
        <v>45931</v>
      </c>
      <c r="J2553" t="s">
        <v>45</v>
      </c>
      <c r="K2553" t="s">
        <v>45</v>
      </c>
      <c r="L2553" t="s">
        <v>72</v>
      </c>
      <c r="M2553" s="1">
        <v>45168</v>
      </c>
      <c r="N2553" t="s">
        <v>47</v>
      </c>
      <c r="O2553" t="s">
        <v>48</v>
      </c>
      <c r="P2553" t="s">
        <v>49</v>
      </c>
      <c r="Q2553" t="s">
        <v>16050</v>
      </c>
      <c r="R2553" t="s">
        <v>16051</v>
      </c>
      <c r="S2553">
        <v>9106</v>
      </c>
      <c r="T2553" t="s">
        <v>52</v>
      </c>
      <c r="U2553">
        <v>2</v>
      </c>
      <c r="V2553" t="s">
        <v>8005</v>
      </c>
      <c r="W2553" t="s">
        <v>54</v>
      </c>
      <c r="X2553" t="s">
        <v>55</v>
      </c>
      <c r="Y2553" t="s">
        <v>56</v>
      </c>
      <c r="Z2553">
        <v>11867</v>
      </c>
      <c r="AA2553">
        <v>13</v>
      </c>
      <c r="AB2553">
        <v>210</v>
      </c>
      <c r="AC2553" t="s">
        <v>8009</v>
      </c>
      <c r="AD2553" t="s">
        <v>8010</v>
      </c>
      <c r="AE2553" t="s">
        <v>8011</v>
      </c>
      <c r="AF2553" t="s">
        <v>8012</v>
      </c>
      <c r="AG2553" t="s">
        <v>8007</v>
      </c>
      <c r="AH2553" t="s">
        <v>8008</v>
      </c>
      <c r="AI2553" t="s">
        <v>179</v>
      </c>
      <c r="AJ2553" s="2">
        <v>45796.797395833331</v>
      </c>
      <c r="AK2553" t="s">
        <v>8012</v>
      </c>
      <c r="AL2553" t="s">
        <v>65</v>
      </c>
      <c r="AM2553" s="4">
        <v>0.49305555555555558</v>
      </c>
      <c r="AN2553" t="s">
        <v>66</v>
      </c>
      <c r="AO2553" t="s">
        <v>67</v>
      </c>
    </row>
    <row r="2554" spans="1:41" x14ac:dyDescent="0.2">
      <c r="A2554">
        <v>371778</v>
      </c>
      <c r="B2554" t="s">
        <v>16052</v>
      </c>
      <c r="C2554" t="s">
        <v>323</v>
      </c>
      <c r="E2554">
        <v>32352246</v>
      </c>
      <c r="F2554">
        <v>270105</v>
      </c>
      <c r="G2554" s="1">
        <v>41464</v>
      </c>
      <c r="H2554" s="1">
        <v>45818</v>
      </c>
      <c r="I2554" s="1">
        <v>46037</v>
      </c>
      <c r="J2554" t="s">
        <v>45</v>
      </c>
      <c r="K2554" t="s">
        <v>45</v>
      </c>
      <c r="L2554" t="s">
        <v>72</v>
      </c>
      <c r="M2554" s="1">
        <v>45125</v>
      </c>
      <c r="N2554" t="s">
        <v>47</v>
      </c>
      <c r="O2554" t="s">
        <v>48</v>
      </c>
      <c r="P2554" t="s">
        <v>1752</v>
      </c>
      <c r="Q2554" t="s">
        <v>16053</v>
      </c>
      <c r="R2554" t="s">
        <v>16054</v>
      </c>
      <c r="S2554">
        <v>23</v>
      </c>
      <c r="T2554" t="s">
        <v>257</v>
      </c>
      <c r="U2554" t="s">
        <v>329</v>
      </c>
      <c r="V2554" t="s">
        <v>4990</v>
      </c>
      <c r="W2554" t="s">
        <v>260</v>
      </c>
      <c r="X2554" t="s">
        <v>257</v>
      </c>
      <c r="Y2554" t="s">
        <v>110</v>
      </c>
      <c r="Z2554">
        <v>6166</v>
      </c>
      <c r="AA2554">
        <v>25</v>
      </c>
      <c r="AB2554">
        <v>78</v>
      </c>
      <c r="AC2554" t="s">
        <v>4991</v>
      </c>
      <c r="AD2554" t="s">
        <v>4992</v>
      </c>
      <c r="AE2554" t="s">
        <v>4993</v>
      </c>
      <c r="AF2554" t="s">
        <v>4994</v>
      </c>
      <c r="AG2554" t="s">
        <v>4995</v>
      </c>
      <c r="AH2554" t="s">
        <v>5692</v>
      </c>
      <c r="AI2554" t="s">
        <v>4997</v>
      </c>
      <c r="AJ2554" s="2">
        <v>45819.187673611108</v>
      </c>
      <c r="AK2554" t="s">
        <v>331</v>
      </c>
      <c r="AL2554" t="s">
        <v>65</v>
      </c>
      <c r="AM2554" s="3">
        <v>1.3472222222222223</v>
      </c>
      <c r="AN2554" t="s">
        <v>66</v>
      </c>
      <c r="AO2554" t="s">
        <v>67</v>
      </c>
    </row>
    <row r="2555" spans="1:41" x14ac:dyDescent="0.2">
      <c r="A2555">
        <v>370923</v>
      </c>
      <c r="B2555" t="s">
        <v>16055</v>
      </c>
      <c r="C2555" t="s">
        <v>182</v>
      </c>
      <c r="D2555" t="s">
        <v>894</v>
      </c>
      <c r="E2555" t="s">
        <v>16056</v>
      </c>
      <c r="F2555">
        <v>40618</v>
      </c>
      <c r="G2555" s="1">
        <v>32639</v>
      </c>
      <c r="H2555" s="1">
        <v>45509</v>
      </c>
      <c r="I2555" s="1">
        <v>46127</v>
      </c>
      <c r="J2555" t="s">
        <v>45</v>
      </c>
      <c r="K2555" t="s">
        <v>45</v>
      </c>
      <c r="L2555" t="s">
        <v>429</v>
      </c>
      <c r="M2555" s="1">
        <v>45789</v>
      </c>
      <c r="N2555" t="s">
        <v>47</v>
      </c>
      <c r="O2555" t="s">
        <v>48</v>
      </c>
      <c r="P2555" t="s">
        <v>49</v>
      </c>
      <c r="Q2555" t="s">
        <v>16057</v>
      </c>
      <c r="R2555" t="s">
        <v>16058</v>
      </c>
      <c r="S2555">
        <v>2537</v>
      </c>
      <c r="T2555" t="s">
        <v>52</v>
      </c>
      <c r="U2555">
        <v>5</v>
      </c>
      <c r="V2555" t="s">
        <v>1068</v>
      </c>
      <c r="W2555" t="s">
        <v>54</v>
      </c>
      <c r="X2555" t="s">
        <v>493</v>
      </c>
      <c r="Y2555" t="s">
        <v>434</v>
      </c>
      <c r="Z2555">
        <v>734</v>
      </c>
      <c r="AA2555">
        <v>61</v>
      </c>
      <c r="AB2555">
        <v>28</v>
      </c>
      <c r="AC2555" t="s">
        <v>1069</v>
      </c>
      <c r="AD2555" t="s">
        <v>1070</v>
      </c>
      <c r="AE2555" t="s">
        <v>1071</v>
      </c>
      <c r="AF2555" t="s">
        <v>1072</v>
      </c>
      <c r="AG2555" t="s">
        <v>1073</v>
      </c>
      <c r="AH2555" t="s">
        <v>1071</v>
      </c>
      <c r="AI2555" t="s">
        <v>1074</v>
      </c>
      <c r="AJ2555" s="2">
        <v>45790.70753472222</v>
      </c>
      <c r="AK2555" t="s">
        <v>15962</v>
      </c>
      <c r="AL2555" t="s">
        <v>65</v>
      </c>
      <c r="AM2555" s="3">
        <v>1.3402777777777777</v>
      </c>
      <c r="AN2555" t="s">
        <v>66</v>
      </c>
      <c r="AO2555" t="s">
        <v>67</v>
      </c>
    </row>
    <row r="2556" spans="1:41" x14ac:dyDescent="0.2">
      <c r="A2556">
        <v>369386</v>
      </c>
      <c r="B2556" t="s">
        <v>16059</v>
      </c>
      <c r="C2556" t="s">
        <v>1107</v>
      </c>
      <c r="D2556" t="s">
        <v>16060</v>
      </c>
      <c r="E2556" t="s">
        <v>16061</v>
      </c>
      <c r="F2556">
        <v>236403</v>
      </c>
      <c r="G2556" s="1">
        <v>34914</v>
      </c>
      <c r="H2556" s="1">
        <v>45726</v>
      </c>
      <c r="I2556" s="1">
        <v>46096</v>
      </c>
      <c r="J2556" t="s">
        <v>45</v>
      </c>
      <c r="K2556" t="s">
        <v>45</v>
      </c>
      <c r="L2556" t="s">
        <v>72</v>
      </c>
      <c r="M2556" s="1">
        <v>44342</v>
      </c>
      <c r="N2556" t="s">
        <v>47</v>
      </c>
      <c r="O2556" t="s">
        <v>48</v>
      </c>
      <c r="P2556" t="s">
        <v>49</v>
      </c>
      <c r="Q2556" t="s">
        <v>16062</v>
      </c>
      <c r="R2556" t="s">
        <v>16063</v>
      </c>
      <c r="S2556">
        <v>1333</v>
      </c>
      <c r="T2556" t="s">
        <v>52</v>
      </c>
      <c r="U2556">
        <v>9</v>
      </c>
      <c r="V2556" t="s">
        <v>1318</v>
      </c>
      <c r="W2556" t="s">
        <v>54</v>
      </c>
      <c r="Y2556" t="s">
        <v>56</v>
      </c>
      <c r="Z2556">
        <v>1140</v>
      </c>
      <c r="AA2556">
        <v>50</v>
      </c>
      <c r="AB2556">
        <v>166</v>
      </c>
      <c r="AC2556" t="s">
        <v>1319</v>
      </c>
      <c r="AD2556" t="s">
        <v>1322</v>
      </c>
      <c r="AE2556" t="s">
        <v>1321</v>
      </c>
      <c r="AF2556" t="s">
        <v>16064</v>
      </c>
      <c r="AG2556" t="s">
        <v>16065</v>
      </c>
      <c r="AH2556" t="s">
        <v>16066</v>
      </c>
      <c r="AI2556" t="s">
        <v>16067</v>
      </c>
      <c r="AJ2556" s="2">
        <v>45736.795474537037</v>
      </c>
      <c r="AK2556" t="s">
        <v>1999</v>
      </c>
      <c r="AL2556" t="s">
        <v>65</v>
      </c>
      <c r="AM2556" s="4">
        <v>0.41666666666666669</v>
      </c>
      <c r="AN2556" t="s">
        <v>66</v>
      </c>
      <c r="AO2556" t="s">
        <v>67</v>
      </c>
    </row>
    <row r="2557" spans="1:41" x14ac:dyDescent="0.2">
      <c r="A2557">
        <v>371517</v>
      </c>
      <c r="B2557" t="s">
        <v>16068</v>
      </c>
      <c r="C2557" t="s">
        <v>323</v>
      </c>
      <c r="E2557" t="s">
        <v>16069</v>
      </c>
      <c r="G2557" s="1">
        <v>40737</v>
      </c>
      <c r="H2557" s="1">
        <v>45808</v>
      </c>
      <c r="J2557" t="s">
        <v>72</v>
      </c>
      <c r="K2557" t="s">
        <v>72</v>
      </c>
      <c r="L2557" t="s">
        <v>72</v>
      </c>
      <c r="N2557" t="s">
        <v>47</v>
      </c>
      <c r="O2557" t="s">
        <v>48</v>
      </c>
      <c r="P2557" t="s">
        <v>406</v>
      </c>
      <c r="Q2557" t="s">
        <v>16070</v>
      </c>
      <c r="R2557" t="s">
        <v>16071</v>
      </c>
      <c r="S2557">
        <v>1823</v>
      </c>
      <c r="T2557" t="s">
        <v>257</v>
      </c>
      <c r="U2557" t="s">
        <v>329</v>
      </c>
      <c r="V2557" t="s">
        <v>1163</v>
      </c>
      <c r="W2557" t="s">
        <v>260</v>
      </c>
      <c r="X2557" t="s">
        <v>257</v>
      </c>
      <c r="Y2557" t="s">
        <v>642</v>
      </c>
      <c r="Z2557">
        <v>4886</v>
      </c>
      <c r="AA2557">
        <v>26</v>
      </c>
      <c r="AB2557">
        <v>152</v>
      </c>
      <c r="AC2557" t="s">
        <v>5079</v>
      </c>
      <c r="AD2557" t="s">
        <v>16072</v>
      </c>
      <c r="AE2557" t="s">
        <v>9106</v>
      </c>
      <c r="AF2557" t="s">
        <v>1164</v>
      </c>
      <c r="AG2557" t="s">
        <v>16072</v>
      </c>
      <c r="AH2557" t="s">
        <v>9106</v>
      </c>
      <c r="AJ2557" s="2">
        <v>45813.926388888889</v>
      </c>
      <c r="AK2557" t="s">
        <v>1164</v>
      </c>
      <c r="AL2557" t="s">
        <v>1168</v>
      </c>
      <c r="AM2557" s="3">
        <v>1.6458333333333333</v>
      </c>
      <c r="AN2557" t="s">
        <v>66</v>
      </c>
      <c r="AO2557" t="s">
        <v>67</v>
      </c>
    </row>
    <row r="2558" spans="1:41" x14ac:dyDescent="0.2">
      <c r="A2558">
        <v>359917</v>
      </c>
      <c r="B2558" t="s">
        <v>16073</v>
      </c>
      <c r="C2558" t="s">
        <v>167</v>
      </c>
      <c r="D2558" t="s">
        <v>168</v>
      </c>
      <c r="E2558" t="s">
        <v>16074</v>
      </c>
      <c r="G2558" s="1">
        <v>45404</v>
      </c>
      <c r="H2558" s="1">
        <v>45383</v>
      </c>
      <c r="I2558" s="1">
        <v>46127</v>
      </c>
      <c r="J2558" t="s">
        <v>45</v>
      </c>
      <c r="K2558" t="s">
        <v>45</v>
      </c>
      <c r="L2558" t="s">
        <v>72</v>
      </c>
      <c r="M2558" s="1">
        <v>44417</v>
      </c>
      <c r="N2558" t="s">
        <v>47</v>
      </c>
      <c r="O2558" t="s">
        <v>121</v>
      </c>
      <c r="P2558" t="s">
        <v>49</v>
      </c>
      <c r="Q2558" t="s">
        <v>16075</v>
      </c>
      <c r="R2558" t="s">
        <v>16076</v>
      </c>
      <c r="S2558">
        <v>4715</v>
      </c>
      <c r="T2558" t="s">
        <v>52</v>
      </c>
      <c r="U2558">
        <v>6</v>
      </c>
      <c r="V2558" t="s">
        <v>172</v>
      </c>
      <c r="W2558" t="s">
        <v>54</v>
      </c>
      <c r="X2558" t="s">
        <v>52</v>
      </c>
      <c r="Y2558" t="s">
        <v>125</v>
      </c>
      <c r="Z2558">
        <v>7806</v>
      </c>
      <c r="AA2558">
        <v>34</v>
      </c>
      <c r="AB2558">
        <v>78</v>
      </c>
      <c r="AC2558" t="s">
        <v>173</v>
      </c>
      <c r="AD2558" t="s">
        <v>174</v>
      </c>
      <c r="AE2558" t="s">
        <v>3598</v>
      </c>
      <c r="AF2558" t="s">
        <v>16077</v>
      </c>
      <c r="AG2558" t="s">
        <v>16078</v>
      </c>
      <c r="AH2558" t="s">
        <v>16079</v>
      </c>
      <c r="AJ2558" s="2">
        <v>45404.854884259257</v>
      </c>
      <c r="AK2558" t="s">
        <v>660</v>
      </c>
      <c r="AL2558" t="s">
        <v>65</v>
      </c>
      <c r="AM2558" s="4">
        <v>0.53472222222222221</v>
      </c>
      <c r="AN2558" t="s">
        <v>66</v>
      </c>
      <c r="AO2558" t="s">
        <v>67</v>
      </c>
    </row>
    <row r="2559" spans="1:41" x14ac:dyDescent="0.2">
      <c r="A2559">
        <v>356474</v>
      </c>
      <c r="B2559" t="s">
        <v>16080</v>
      </c>
      <c r="C2559" t="s">
        <v>323</v>
      </c>
      <c r="E2559" t="s">
        <v>16081</v>
      </c>
      <c r="G2559" s="1">
        <v>36819</v>
      </c>
      <c r="H2559" s="1">
        <v>39631</v>
      </c>
      <c r="J2559" t="s">
        <v>326</v>
      </c>
      <c r="K2559" t="s">
        <v>326</v>
      </c>
      <c r="L2559" t="s">
        <v>72</v>
      </c>
      <c r="N2559" t="s">
        <v>89</v>
      </c>
      <c r="O2559" t="s">
        <v>48</v>
      </c>
      <c r="P2559" t="s">
        <v>49</v>
      </c>
      <c r="Q2559" t="s">
        <v>16082</v>
      </c>
      <c r="R2559" t="s">
        <v>16083</v>
      </c>
      <c r="S2559">
        <v>3924</v>
      </c>
      <c r="T2559" t="s">
        <v>365</v>
      </c>
      <c r="U2559" t="s">
        <v>366</v>
      </c>
      <c r="V2559" t="s">
        <v>330</v>
      </c>
      <c r="W2559" t="s">
        <v>367</v>
      </c>
      <c r="X2559" t="s">
        <v>76</v>
      </c>
      <c r="Y2559" t="s">
        <v>110</v>
      </c>
      <c r="Z2559">
        <v>1833</v>
      </c>
      <c r="AA2559">
        <v>11</v>
      </c>
      <c r="AB2559">
        <v>152</v>
      </c>
      <c r="AC2559" t="s">
        <v>368</v>
      </c>
      <c r="AD2559" t="s">
        <v>369</v>
      </c>
      <c r="AE2559" t="s">
        <v>370</v>
      </c>
      <c r="AJ2559" s="2">
        <v>45313.596493055556</v>
      </c>
      <c r="AK2559" t="s">
        <v>149</v>
      </c>
      <c r="AL2559" t="s">
        <v>3105</v>
      </c>
      <c r="AM2559" s="3">
        <v>2.2222222222222223</v>
      </c>
      <c r="AN2559" t="s">
        <v>66</v>
      </c>
      <c r="AO2559" t="s">
        <v>67</v>
      </c>
    </row>
    <row r="2560" spans="1:41" x14ac:dyDescent="0.2">
      <c r="A2560">
        <v>370837</v>
      </c>
      <c r="B2560" t="s">
        <v>16084</v>
      </c>
      <c r="C2560" t="s">
        <v>13359</v>
      </c>
      <c r="E2560" t="s">
        <v>16085</v>
      </c>
      <c r="F2560">
        <v>520103</v>
      </c>
      <c r="G2560" s="1">
        <v>40983</v>
      </c>
      <c r="H2560" s="1">
        <v>45510</v>
      </c>
      <c r="J2560" t="s">
        <v>45</v>
      </c>
      <c r="K2560" t="s">
        <v>45</v>
      </c>
      <c r="L2560" t="s">
        <v>72</v>
      </c>
      <c r="M2560" s="1">
        <v>44944</v>
      </c>
      <c r="N2560" t="s">
        <v>47</v>
      </c>
      <c r="O2560" t="s">
        <v>48</v>
      </c>
      <c r="P2560" t="s">
        <v>406</v>
      </c>
      <c r="Q2560" t="s">
        <v>16086</v>
      </c>
      <c r="R2560" t="s">
        <v>16087</v>
      </c>
      <c r="S2560">
        <v>480</v>
      </c>
      <c r="T2560" t="s">
        <v>257</v>
      </c>
      <c r="U2560" t="s">
        <v>640</v>
      </c>
      <c r="V2560" t="s">
        <v>13364</v>
      </c>
      <c r="W2560" t="s">
        <v>260</v>
      </c>
      <c r="X2560" t="s">
        <v>257</v>
      </c>
      <c r="Y2560" t="s">
        <v>642</v>
      </c>
      <c r="Z2560">
        <v>5373</v>
      </c>
      <c r="AA2560">
        <v>20</v>
      </c>
      <c r="AB2560">
        <v>34</v>
      </c>
      <c r="AC2560" t="s">
        <v>643</v>
      </c>
      <c r="AD2560" t="s">
        <v>644</v>
      </c>
      <c r="AE2560" t="s">
        <v>645</v>
      </c>
      <c r="AF2560" t="s">
        <v>16088</v>
      </c>
      <c r="AG2560" t="s">
        <v>647</v>
      </c>
      <c r="AH2560" t="s">
        <v>648</v>
      </c>
      <c r="AI2560" t="s">
        <v>11418</v>
      </c>
      <c r="AJ2560" s="2">
        <v>45785.577997685185</v>
      </c>
      <c r="AK2560" t="s">
        <v>650</v>
      </c>
      <c r="AL2560" t="s">
        <v>1168</v>
      </c>
      <c r="AM2560" s="4">
        <v>0.99305555555555558</v>
      </c>
      <c r="AN2560" t="s">
        <v>66</v>
      </c>
      <c r="AO2560" t="s">
        <v>67</v>
      </c>
    </row>
    <row r="2561" spans="1:41" x14ac:dyDescent="0.2">
      <c r="A2561">
        <v>366554</v>
      </c>
      <c r="B2561" t="s">
        <v>16089</v>
      </c>
      <c r="C2561" t="s">
        <v>345</v>
      </c>
      <c r="D2561" t="s">
        <v>2321</v>
      </c>
      <c r="E2561" t="s">
        <v>16090</v>
      </c>
      <c r="G2561" s="1">
        <v>45324</v>
      </c>
      <c r="H2561" s="1">
        <v>45028</v>
      </c>
      <c r="I2561" s="1">
        <v>46023</v>
      </c>
      <c r="J2561" t="s">
        <v>45</v>
      </c>
      <c r="K2561" t="s">
        <v>45</v>
      </c>
      <c r="L2561" t="s">
        <v>72</v>
      </c>
      <c r="M2561" s="1">
        <v>43952</v>
      </c>
      <c r="N2561" t="s">
        <v>89</v>
      </c>
      <c r="O2561" t="s">
        <v>121</v>
      </c>
      <c r="P2561" t="s">
        <v>49</v>
      </c>
      <c r="Q2561" t="s">
        <v>16091</v>
      </c>
      <c r="R2561" t="s">
        <v>16092</v>
      </c>
      <c r="S2561">
        <v>9570</v>
      </c>
      <c r="T2561" t="s">
        <v>52</v>
      </c>
      <c r="U2561">
        <v>2</v>
      </c>
      <c r="V2561" t="s">
        <v>2325</v>
      </c>
      <c r="W2561" t="s">
        <v>54</v>
      </c>
      <c r="X2561" t="s">
        <v>76</v>
      </c>
      <c r="Y2561" t="s">
        <v>125</v>
      </c>
      <c r="Z2561">
        <v>820</v>
      </c>
      <c r="AA2561">
        <v>78</v>
      </c>
      <c r="AB2561">
        <v>52</v>
      </c>
      <c r="AC2561" t="s">
        <v>2326</v>
      </c>
      <c r="AD2561" t="s">
        <v>2327</v>
      </c>
      <c r="AE2561" t="s">
        <v>2328</v>
      </c>
      <c r="AF2561" t="s">
        <v>2329</v>
      </c>
      <c r="AG2561" t="s">
        <v>2330</v>
      </c>
      <c r="AH2561" t="s">
        <v>12282</v>
      </c>
      <c r="AJ2561" s="2">
        <v>45626.581319444442</v>
      </c>
      <c r="AK2561" t="s">
        <v>132</v>
      </c>
      <c r="AL2561" t="s">
        <v>65</v>
      </c>
      <c r="AM2561" s="3">
        <v>2.3263888888888888</v>
      </c>
      <c r="AN2561" t="s">
        <v>66</v>
      </c>
      <c r="AO2561" t="s">
        <v>67</v>
      </c>
    </row>
    <row r="2562" spans="1:41" x14ac:dyDescent="0.2">
      <c r="A2562">
        <v>370241</v>
      </c>
      <c r="B2562" t="s">
        <v>16093</v>
      </c>
      <c r="C2562" t="s">
        <v>345</v>
      </c>
      <c r="D2562" t="s">
        <v>3608</v>
      </c>
      <c r="E2562" t="s">
        <v>16094</v>
      </c>
      <c r="F2562">
        <v>55904</v>
      </c>
      <c r="G2562" s="1">
        <v>45766</v>
      </c>
      <c r="H2562" s="1">
        <v>45664</v>
      </c>
      <c r="I2562" s="1">
        <v>46023</v>
      </c>
      <c r="J2562" t="s">
        <v>45</v>
      </c>
      <c r="K2562" t="s">
        <v>45</v>
      </c>
      <c r="L2562" t="s">
        <v>72</v>
      </c>
      <c r="M2562" s="1">
        <v>41239</v>
      </c>
      <c r="N2562" t="s">
        <v>47</v>
      </c>
      <c r="O2562" t="s">
        <v>121</v>
      </c>
      <c r="P2562" t="s">
        <v>49</v>
      </c>
      <c r="Q2562" t="s">
        <v>16095</v>
      </c>
      <c r="R2562" t="s">
        <v>16096</v>
      </c>
      <c r="S2562">
        <v>8053</v>
      </c>
      <c r="T2562" t="s">
        <v>52</v>
      </c>
      <c r="U2562">
        <v>2</v>
      </c>
      <c r="V2562" t="s">
        <v>2325</v>
      </c>
      <c r="W2562" t="s">
        <v>54</v>
      </c>
      <c r="X2562" t="s">
        <v>52</v>
      </c>
      <c r="Y2562" t="s">
        <v>125</v>
      </c>
      <c r="Z2562">
        <v>1931</v>
      </c>
      <c r="AA2562">
        <v>147</v>
      </c>
      <c r="AB2562">
        <v>138</v>
      </c>
      <c r="AC2562" t="s">
        <v>16097</v>
      </c>
      <c r="AD2562" t="s">
        <v>16098</v>
      </c>
      <c r="AE2562" t="s">
        <v>16099</v>
      </c>
      <c r="AF2562" t="s">
        <v>2326</v>
      </c>
      <c r="AG2562" t="s">
        <v>2327</v>
      </c>
      <c r="AH2562" t="s">
        <v>2328</v>
      </c>
      <c r="AI2562" t="s">
        <v>16100</v>
      </c>
      <c r="AJ2562" s="2">
        <v>45768.605416666665</v>
      </c>
      <c r="AK2562" t="s">
        <v>375</v>
      </c>
      <c r="AL2562" t="s">
        <v>65</v>
      </c>
      <c r="AM2562" s="3">
        <v>2.0555555555555554</v>
      </c>
      <c r="AN2562" t="s">
        <v>66</v>
      </c>
      <c r="AO2562" t="s">
        <v>67</v>
      </c>
    </row>
    <row r="2563" spans="1:41" x14ac:dyDescent="0.2">
      <c r="A2563">
        <v>370815</v>
      </c>
      <c r="B2563" t="s">
        <v>16101</v>
      </c>
      <c r="C2563" t="s">
        <v>345</v>
      </c>
      <c r="D2563" t="s">
        <v>4835</v>
      </c>
      <c r="E2563" s="5" t="s">
        <v>16102</v>
      </c>
      <c r="G2563" s="1">
        <v>45784</v>
      </c>
      <c r="H2563" s="1">
        <v>45656</v>
      </c>
      <c r="I2563" s="1">
        <v>46006</v>
      </c>
      <c r="J2563" t="s">
        <v>45</v>
      </c>
      <c r="K2563" t="s">
        <v>45</v>
      </c>
      <c r="L2563" t="s">
        <v>72</v>
      </c>
      <c r="N2563" t="s">
        <v>47</v>
      </c>
      <c r="O2563" t="s">
        <v>121</v>
      </c>
      <c r="P2563" t="s">
        <v>49</v>
      </c>
      <c r="Q2563" t="s">
        <v>16103</v>
      </c>
      <c r="R2563" t="s">
        <v>16104</v>
      </c>
      <c r="S2563">
        <v>8158</v>
      </c>
      <c r="T2563" t="s">
        <v>52</v>
      </c>
      <c r="U2563">
        <v>2</v>
      </c>
      <c r="V2563" t="s">
        <v>2325</v>
      </c>
      <c r="W2563" t="s">
        <v>54</v>
      </c>
      <c r="X2563" t="s">
        <v>76</v>
      </c>
      <c r="Y2563" t="s">
        <v>125</v>
      </c>
      <c r="Z2563">
        <v>12201</v>
      </c>
      <c r="AA2563">
        <v>28</v>
      </c>
      <c r="AB2563">
        <v>48</v>
      </c>
      <c r="AC2563" t="s">
        <v>16105</v>
      </c>
      <c r="AD2563" t="s">
        <v>16106</v>
      </c>
      <c r="AE2563" t="s">
        <v>16107</v>
      </c>
      <c r="AF2563" t="s">
        <v>16108</v>
      </c>
      <c r="AG2563" t="s">
        <v>6538</v>
      </c>
      <c r="AH2563" t="s">
        <v>6539</v>
      </c>
      <c r="AJ2563" s="2">
        <v>45784.907708333332</v>
      </c>
      <c r="AK2563" t="s">
        <v>2068</v>
      </c>
      <c r="AL2563" t="s">
        <v>65</v>
      </c>
      <c r="AM2563" s="4">
        <v>0.71875</v>
      </c>
      <c r="AN2563" t="s">
        <v>66</v>
      </c>
      <c r="AO2563" t="s">
        <v>67</v>
      </c>
    </row>
    <row r="2564" spans="1:41" x14ac:dyDescent="0.2">
      <c r="A2564">
        <v>368881</v>
      </c>
      <c r="B2564" t="s">
        <v>16109</v>
      </c>
      <c r="C2564" t="s">
        <v>182</v>
      </c>
      <c r="D2564" t="s">
        <v>3934</v>
      </c>
      <c r="E2564" t="s">
        <v>16110</v>
      </c>
      <c r="G2564" s="1">
        <v>45715</v>
      </c>
      <c r="H2564" s="1">
        <v>45561</v>
      </c>
      <c r="I2564" s="1">
        <v>46266</v>
      </c>
      <c r="J2564" t="s">
        <v>45</v>
      </c>
      <c r="K2564" t="s">
        <v>45</v>
      </c>
      <c r="L2564" t="s">
        <v>72</v>
      </c>
      <c r="N2564" t="s">
        <v>47</v>
      </c>
      <c r="O2564" t="s">
        <v>121</v>
      </c>
      <c r="P2564" t="s">
        <v>406</v>
      </c>
      <c r="Q2564" t="s">
        <v>16111</v>
      </c>
      <c r="R2564" t="s">
        <v>16112</v>
      </c>
      <c r="S2564">
        <v>27</v>
      </c>
      <c r="T2564" t="s">
        <v>92</v>
      </c>
      <c r="U2564" t="s">
        <v>187</v>
      </c>
      <c r="V2564" t="s">
        <v>4009</v>
      </c>
      <c r="W2564" t="s">
        <v>2751</v>
      </c>
      <c r="X2564" t="s">
        <v>92</v>
      </c>
      <c r="Y2564" t="s">
        <v>110</v>
      </c>
      <c r="Z2564">
        <v>12158</v>
      </c>
      <c r="AA2564">
        <v>21</v>
      </c>
      <c r="AB2564">
        <v>44</v>
      </c>
      <c r="AC2564" t="s">
        <v>2755</v>
      </c>
      <c r="AD2564" t="s">
        <v>2756</v>
      </c>
      <c r="AE2564" t="s">
        <v>2757</v>
      </c>
      <c r="AF2564" t="s">
        <v>2752</v>
      </c>
      <c r="AG2564" t="s">
        <v>2753</v>
      </c>
      <c r="AH2564" t="s">
        <v>2754</v>
      </c>
      <c r="AI2564" t="s">
        <v>2756</v>
      </c>
      <c r="AJ2564" s="2">
        <v>45722.888564814813</v>
      </c>
      <c r="AK2564" t="s">
        <v>100</v>
      </c>
      <c r="AL2564" t="s">
        <v>65</v>
      </c>
      <c r="AM2564" s="4">
        <v>0.95486111111111116</v>
      </c>
      <c r="AN2564" t="s">
        <v>66</v>
      </c>
      <c r="AO2564" t="s">
        <v>67</v>
      </c>
    </row>
    <row r="2565" spans="1:41" x14ac:dyDescent="0.2">
      <c r="A2565">
        <v>371894</v>
      </c>
      <c r="B2565" t="s">
        <v>16113</v>
      </c>
      <c r="C2565" t="s">
        <v>69</v>
      </c>
      <c r="D2565" t="s">
        <v>2006</v>
      </c>
      <c r="E2565" s="5" t="s">
        <v>16114</v>
      </c>
      <c r="F2565">
        <v>101223</v>
      </c>
      <c r="G2565" s="1">
        <v>31992</v>
      </c>
      <c r="H2565" s="1">
        <v>45823</v>
      </c>
      <c r="I2565" s="1">
        <v>46174</v>
      </c>
      <c r="J2565" t="s">
        <v>45</v>
      </c>
      <c r="K2565" t="s">
        <v>45</v>
      </c>
      <c r="L2565" t="s">
        <v>429</v>
      </c>
      <c r="M2565" s="1">
        <v>42895</v>
      </c>
      <c r="N2565" t="s">
        <v>47</v>
      </c>
      <c r="O2565" t="s">
        <v>48</v>
      </c>
      <c r="P2565" t="s">
        <v>49</v>
      </c>
      <c r="Q2565" t="s">
        <v>16115</v>
      </c>
      <c r="R2565" t="s">
        <v>16116</v>
      </c>
      <c r="S2565">
        <v>5297</v>
      </c>
      <c r="T2565" t="s">
        <v>52</v>
      </c>
      <c r="U2565">
        <v>4</v>
      </c>
      <c r="V2565" t="s">
        <v>10138</v>
      </c>
      <c r="W2565" t="s">
        <v>54</v>
      </c>
      <c r="X2565" t="s">
        <v>76</v>
      </c>
      <c r="Y2565" t="s">
        <v>56</v>
      </c>
      <c r="Z2565">
        <v>659</v>
      </c>
      <c r="AA2565">
        <v>61</v>
      </c>
      <c r="AB2565">
        <v>66</v>
      </c>
      <c r="AC2565" t="s">
        <v>11193</v>
      </c>
      <c r="AD2565" t="s">
        <v>10140</v>
      </c>
      <c r="AE2565" t="s">
        <v>10141</v>
      </c>
      <c r="AF2565" t="s">
        <v>10142</v>
      </c>
      <c r="AG2565" t="s">
        <v>16117</v>
      </c>
      <c r="AH2565" t="s">
        <v>10144</v>
      </c>
      <c r="AI2565" t="s">
        <v>10145</v>
      </c>
      <c r="AJ2565" s="2">
        <v>45824.539375</v>
      </c>
      <c r="AK2565" t="s">
        <v>556</v>
      </c>
      <c r="AL2565" t="s">
        <v>65</v>
      </c>
      <c r="AM2565" s="3">
        <v>2.4444444444444446</v>
      </c>
      <c r="AN2565" t="s">
        <v>66</v>
      </c>
      <c r="AO2565" t="s">
        <v>67</v>
      </c>
    </row>
    <row r="2566" spans="1:41" x14ac:dyDescent="0.2">
      <c r="A2566">
        <v>365826</v>
      </c>
      <c r="B2566" t="s">
        <v>16118</v>
      </c>
      <c r="C2566" t="s">
        <v>236</v>
      </c>
      <c r="D2566" t="s">
        <v>7034</v>
      </c>
      <c r="E2566" t="s">
        <v>16119</v>
      </c>
      <c r="F2566">
        <v>210519</v>
      </c>
      <c r="G2566" s="1">
        <v>42102</v>
      </c>
      <c r="H2566" s="1">
        <v>45587</v>
      </c>
      <c r="I2566" s="1">
        <v>45931</v>
      </c>
      <c r="J2566" t="s">
        <v>45</v>
      </c>
      <c r="K2566" t="s">
        <v>45</v>
      </c>
      <c r="L2566" t="s">
        <v>46</v>
      </c>
      <c r="N2566" t="s">
        <v>47</v>
      </c>
      <c r="O2566" t="s">
        <v>48</v>
      </c>
      <c r="P2566" t="s">
        <v>49</v>
      </c>
      <c r="Q2566" t="s">
        <v>16120</v>
      </c>
      <c r="R2566" t="s">
        <v>16121</v>
      </c>
      <c r="S2566">
        <v>1590</v>
      </c>
      <c r="T2566" t="s">
        <v>52</v>
      </c>
      <c r="U2566">
        <v>9</v>
      </c>
      <c r="V2566" t="s">
        <v>7038</v>
      </c>
      <c r="W2566" t="s">
        <v>54</v>
      </c>
      <c r="X2566" t="s">
        <v>76</v>
      </c>
      <c r="Y2566" t="s">
        <v>56</v>
      </c>
      <c r="Z2566">
        <v>7346</v>
      </c>
      <c r="AA2566">
        <v>24</v>
      </c>
      <c r="AB2566">
        <v>78</v>
      </c>
      <c r="AC2566" t="s">
        <v>7364</v>
      </c>
      <c r="AD2566" t="s">
        <v>7040</v>
      </c>
      <c r="AE2566" t="s">
        <v>7365</v>
      </c>
      <c r="AF2566" t="s">
        <v>11953</v>
      </c>
      <c r="AG2566" t="s">
        <v>7366</v>
      </c>
      <c r="AH2566" t="s">
        <v>7044</v>
      </c>
      <c r="AI2566" t="s">
        <v>5961</v>
      </c>
      <c r="AJ2566" s="2">
        <v>45593.965011574073</v>
      </c>
      <c r="AK2566" t="s">
        <v>717</v>
      </c>
      <c r="AL2566" t="s">
        <v>65</v>
      </c>
      <c r="AM2566" s="4">
        <v>0.92361111111111116</v>
      </c>
      <c r="AN2566" t="s">
        <v>66</v>
      </c>
      <c r="AO2566" t="s">
        <v>67</v>
      </c>
    </row>
    <row r="2567" spans="1:41" x14ac:dyDescent="0.2">
      <c r="A2567">
        <v>371416</v>
      </c>
      <c r="B2567" t="s">
        <v>16122</v>
      </c>
      <c r="C2567" t="s">
        <v>323</v>
      </c>
      <c r="D2567" t="s">
        <v>3429</v>
      </c>
      <c r="E2567">
        <v>33911512</v>
      </c>
      <c r="F2567">
        <v>500967</v>
      </c>
      <c r="G2567" s="1">
        <v>36652</v>
      </c>
      <c r="H2567" s="1">
        <v>45808</v>
      </c>
      <c r="I2567" s="1">
        <v>46037</v>
      </c>
      <c r="J2567" t="s">
        <v>45</v>
      </c>
      <c r="K2567" t="s">
        <v>45</v>
      </c>
      <c r="L2567" t="s">
        <v>72</v>
      </c>
      <c r="M2567" s="1">
        <v>43210</v>
      </c>
      <c r="N2567" t="s">
        <v>47</v>
      </c>
      <c r="O2567" t="s">
        <v>48</v>
      </c>
      <c r="P2567" t="s">
        <v>49</v>
      </c>
      <c r="Q2567" t="s">
        <v>16123</v>
      </c>
      <c r="R2567" t="s">
        <v>16124</v>
      </c>
      <c r="S2567">
        <v>307</v>
      </c>
      <c r="T2567" t="s">
        <v>156</v>
      </c>
      <c r="U2567" t="s">
        <v>460</v>
      </c>
      <c r="V2567" t="s">
        <v>330</v>
      </c>
      <c r="W2567" t="s">
        <v>159</v>
      </c>
      <c r="X2567" t="s">
        <v>156</v>
      </c>
      <c r="Y2567" t="s">
        <v>110</v>
      </c>
      <c r="Z2567">
        <v>1762</v>
      </c>
      <c r="AA2567">
        <v>38</v>
      </c>
      <c r="AB2567">
        <v>152</v>
      </c>
      <c r="AC2567" t="s">
        <v>461</v>
      </c>
      <c r="AD2567" t="s">
        <v>5071</v>
      </c>
      <c r="AE2567" t="s">
        <v>7788</v>
      </c>
      <c r="AF2567" t="s">
        <v>16125</v>
      </c>
      <c r="AG2567" t="s">
        <v>16126</v>
      </c>
      <c r="AH2567" t="s">
        <v>16127</v>
      </c>
      <c r="AI2567" t="s">
        <v>5071</v>
      </c>
      <c r="AJ2567" s="2">
        <v>45810.193252314813</v>
      </c>
      <c r="AK2567" t="s">
        <v>331</v>
      </c>
      <c r="AL2567" t="s">
        <v>65</v>
      </c>
      <c r="AM2567" s="3">
        <v>2.25</v>
      </c>
      <c r="AN2567" t="s">
        <v>66</v>
      </c>
      <c r="AO2567" t="s">
        <v>67</v>
      </c>
    </row>
    <row r="2568" spans="1:41" x14ac:dyDescent="0.2">
      <c r="A2568">
        <v>364184</v>
      </c>
      <c r="B2568" t="s">
        <v>16128</v>
      </c>
      <c r="C2568" t="s">
        <v>69</v>
      </c>
      <c r="D2568" t="s">
        <v>7205</v>
      </c>
      <c r="E2568" t="s">
        <v>16129</v>
      </c>
      <c r="F2568">
        <v>101311</v>
      </c>
      <c r="G2568" s="1">
        <v>35241</v>
      </c>
      <c r="H2568" s="1">
        <v>45531</v>
      </c>
      <c r="I2568" s="1">
        <v>46249</v>
      </c>
      <c r="J2568" t="s">
        <v>45</v>
      </c>
      <c r="K2568" t="s">
        <v>45</v>
      </c>
      <c r="L2568" t="s">
        <v>72</v>
      </c>
      <c r="M2568" s="1">
        <v>44410</v>
      </c>
      <c r="N2568" t="s">
        <v>47</v>
      </c>
      <c r="O2568" t="s">
        <v>48</v>
      </c>
      <c r="P2568" t="s">
        <v>49</v>
      </c>
      <c r="Q2568" t="s">
        <v>16130</v>
      </c>
      <c r="R2568" t="s">
        <v>16131</v>
      </c>
      <c r="S2568">
        <v>5878</v>
      </c>
      <c r="T2568" t="s">
        <v>52</v>
      </c>
      <c r="U2568">
        <v>4</v>
      </c>
      <c r="V2568" t="s">
        <v>3135</v>
      </c>
      <c r="W2568" t="s">
        <v>54</v>
      </c>
      <c r="X2568" t="s">
        <v>76</v>
      </c>
      <c r="Y2568" t="s">
        <v>56</v>
      </c>
      <c r="Z2568">
        <v>665</v>
      </c>
      <c r="AA2568">
        <v>64</v>
      </c>
      <c r="AB2568">
        <v>138</v>
      </c>
      <c r="AC2568" t="s">
        <v>7209</v>
      </c>
      <c r="AD2568" t="s">
        <v>7210</v>
      </c>
      <c r="AE2568" t="s">
        <v>7211</v>
      </c>
      <c r="AF2568" t="s">
        <v>7212</v>
      </c>
      <c r="AG2568" t="s">
        <v>7213</v>
      </c>
      <c r="AH2568" t="s">
        <v>7214</v>
      </c>
      <c r="AI2568" t="s">
        <v>9360</v>
      </c>
      <c r="AJ2568" s="2">
        <v>45534.728020833332</v>
      </c>
      <c r="AK2568" t="s">
        <v>2517</v>
      </c>
      <c r="AL2568" t="s">
        <v>65</v>
      </c>
      <c r="AM2568" s="3">
        <v>2.1319444444444446</v>
      </c>
      <c r="AN2568" t="s">
        <v>66</v>
      </c>
      <c r="AO2568" t="s">
        <v>67</v>
      </c>
    </row>
    <row r="2569" spans="1:41" x14ac:dyDescent="0.2">
      <c r="A2569">
        <v>371130</v>
      </c>
      <c r="B2569" t="s">
        <v>16132</v>
      </c>
      <c r="C2569" t="s">
        <v>558</v>
      </c>
      <c r="D2569" t="s">
        <v>1315</v>
      </c>
      <c r="E2569" t="s">
        <v>16133</v>
      </c>
      <c r="F2569">
        <v>261205</v>
      </c>
      <c r="G2569" s="1">
        <v>42597</v>
      </c>
      <c r="H2569" s="1">
        <v>45796</v>
      </c>
      <c r="I2569" s="1">
        <v>46096</v>
      </c>
      <c r="J2569" t="s">
        <v>45</v>
      </c>
      <c r="K2569" t="s">
        <v>45</v>
      </c>
      <c r="L2569" t="s">
        <v>46</v>
      </c>
      <c r="M2569" s="1">
        <v>45057</v>
      </c>
      <c r="N2569" t="s">
        <v>47</v>
      </c>
      <c r="O2569" t="s">
        <v>48</v>
      </c>
      <c r="P2569" t="s">
        <v>49</v>
      </c>
      <c r="Q2569" t="s">
        <v>16134</v>
      </c>
      <c r="R2569" t="s">
        <v>16135</v>
      </c>
      <c r="S2569">
        <v>6599</v>
      </c>
      <c r="T2569" t="s">
        <v>52</v>
      </c>
      <c r="U2569">
        <v>5</v>
      </c>
      <c r="V2569" t="s">
        <v>1734</v>
      </c>
      <c r="W2569" t="s">
        <v>54</v>
      </c>
      <c r="X2569" t="s">
        <v>493</v>
      </c>
      <c r="Y2569" t="s">
        <v>434</v>
      </c>
      <c r="Z2569">
        <v>7866</v>
      </c>
      <c r="AA2569">
        <v>21</v>
      </c>
      <c r="AB2569">
        <v>78</v>
      </c>
      <c r="AC2569" t="s">
        <v>1735</v>
      </c>
      <c r="AD2569" t="s">
        <v>1736</v>
      </c>
      <c r="AE2569" t="s">
        <v>1737</v>
      </c>
      <c r="AF2569" t="s">
        <v>1738</v>
      </c>
      <c r="AG2569" t="s">
        <v>1739</v>
      </c>
      <c r="AH2569" t="s">
        <v>16136</v>
      </c>
      <c r="AI2569" t="s">
        <v>500</v>
      </c>
      <c r="AJ2569" s="2">
        <v>45796.88490740741</v>
      </c>
      <c r="AK2569" t="s">
        <v>1740</v>
      </c>
      <c r="AL2569" t="s">
        <v>65</v>
      </c>
      <c r="AM2569" s="4">
        <v>0.61805555555555558</v>
      </c>
      <c r="AN2569" t="s">
        <v>66</v>
      </c>
      <c r="AO2569" t="s">
        <v>67</v>
      </c>
    </row>
    <row r="2570" spans="1:41" x14ac:dyDescent="0.2">
      <c r="A2570">
        <v>369908</v>
      </c>
      <c r="B2570" t="s">
        <v>16137</v>
      </c>
      <c r="C2570" t="s">
        <v>69</v>
      </c>
      <c r="D2570" t="s">
        <v>69</v>
      </c>
      <c r="E2570" t="s">
        <v>16138</v>
      </c>
      <c r="F2570">
        <v>101037</v>
      </c>
      <c r="G2570" s="1">
        <v>41089</v>
      </c>
      <c r="H2570" s="1">
        <v>45756</v>
      </c>
      <c r="I2570" s="1">
        <v>46127</v>
      </c>
      <c r="J2570" t="s">
        <v>45</v>
      </c>
      <c r="K2570" t="s">
        <v>45</v>
      </c>
      <c r="L2570" t="s">
        <v>429</v>
      </c>
      <c r="M2570" s="1">
        <v>42346</v>
      </c>
      <c r="N2570" t="s">
        <v>47</v>
      </c>
      <c r="O2570" t="s">
        <v>48</v>
      </c>
      <c r="P2570" t="s">
        <v>49</v>
      </c>
      <c r="Q2570" t="s">
        <v>16139</v>
      </c>
      <c r="R2570" t="s">
        <v>16140</v>
      </c>
      <c r="S2570">
        <v>1568</v>
      </c>
      <c r="T2570" t="s">
        <v>52</v>
      </c>
      <c r="U2570">
        <v>1</v>
      </c>
      <c r="V2570" t="s">
        <v>4698</v>
      </c>
      <c r="W2570" t="s">
        <v>54</v>
      </c>
      <c r="X2570" t="s">
        <v>76</v>
      </c>
      <c r="Y2570" t="s">
        <v>56</v>
      </c>
      <c r="Z2570">
        <v>965</v>
      </c>
      <c r="AA2570">
        <v>62</v>
      </c>
      <c r="AB2570">
        <v>176</v>
      </c>
      <c r="AC2570" t="s">
        <v>11126</v>
      </c>
      <c r="AD2570" t="s">
        <v>11127</v>
      </c>
      <c r="AE2570" t="s">
        <v>11128</v>
      </c>
      <c r="AF2570" t="s">
        <v>4702</v>
      </c>
      <c r="AG2570" t="s">
        <v>4703</v>
      </c>
      <c r="AH2570" t="s">
        <v>6200</v>
      </c>
      <c r="AI2570" t="s">
        <v>6201</v>
      </c>
      <c r="AJ2570" s="2">
        <v>45757.699560185189</v>
      </c>
      <c r="AK2570" t="s">
        <v>180</v>
      </c>
      <c r="AL2570" t="s">
        <v>65</v>
      </c>
      <c r="AM2570" s="4">
        <v>0.4513888888888889</v>
      </c>
      <c r="AN2570" t="s">
        <v>66</v>
      </c>
      <c r="AO2570" t="s">
        <v>67</v>
      </c>
    </row>
    <row r="2571" spans="1:41" x14ac:dyDescent="0.2">
      <c r="A2571">
        <v>368946</v>
      </c>
      <c r="B2571" t="s">
        <v>16137</v>
      </c>
      <c r="C2571" t="s">
        <v>182</v>
      </c>
      <c r="D2571" t="s">
        <v>468</v>
      </c>
      <c r="E2571" t="s">
        <v>16141</v>
      </c>
      <c r="F2571">
        <v>40430</v>
      </c>
      <c r="G2571" s="1">
        <v>40786</v>
      </c>
      <c r="H2571" s="1">
        <v>45510</v>
      </c>
      <c r="I2571" s="1">
        <v>46188</v>
      </c>
      <c r="J2571" t="s">
        <v>45</v>
      </c>
      <c r="K2571" t="s">
        <v>45</v>
      </c>
      <c r="L2571" t="s">
        <v>46</v>
      </c>
      <c r="M2571" s="1">
        <v>43985</v>
      </c>
      <c r="N2571" t="s">
        <v>47</v>
      </c>
      <c r="O2571" t="s">
        <v>48</v>
      </c>
      <c r="P2571" t="s">
        <v>49</v>
      </c>
      <c r="Q2571" t="s">
        <v>16142</v>
      </c>
      <c r="R2571" t="s">
        <v>16143</v>
      </c>
      <c r="S2571">
        <v>4178</v>
      </c>
      <c r="T2571" t="s">
        <v>52</v>
      </c>
      <c r="U2571">
        <v>5</v>
      </c>
      <c r="V2571" t="s">
        <v>3513</v>
      </c>
      <c r="W2571" t="s">
        <v>54</v>
      </c>
      <c r="X2571" t="s">
        <v>493</v>
      </c>
      <c r="Y2571" t="s">
        <v>434</v>
      </c>
      <c r="Z2571">
        <v>2984</v>
      </c>
      <c r="AA2571">
        <v>32</v>
      </c>
      <c r="AB2571">
        <v>146</v>
      </c>
      <c r="AC2571" t="s">
        <v>16144</v>
      </c>
      <c r="AD2571" t="s">
        <v>16145</v>
      </c>
      <c r="AE2571" t="s">
        <v>16146</v>
      </c>
      <c r="AF2571" t="s">
        <v>3517</v>
      </c>
      <c r="AG2571" t="s">
        <v>3518</v>
      </c>
      <c r="AH2571" t="s">
        <v>3519</v>
      </c>
      <c r="AI2571" t="s">
        <v>16147</v>
      </c>
      <c r="AJ2571" s="2">
        <v>45722.920439814814</v>
      </c>
      <c r="AK2571" t="s">
        <v>1472</v>
      </c>
      <c r="AL2571" t="s">
        <v>65</v>
      </c>
      <c r="AM2571" s="3">
        <v>2.3916666666666666</v>
      </c>
      <c r="AN2571" t="s">
        <v>66</v>
      </c>
      <c r="AO2571" t="s">
        <v>67</v>
      </c>
    </row>
    <row r="2572" spans="1:41" x14ac:dyDescent="0.2">
      <c r="A2572">
        <v>372306</v>
      </c>
      <c r="B2572" t="s">
        <v>16148</v>
      </c>
      <c r="C2572" t="s">
        <v>182</v>
      </c>
      <c r="D2572" t="s">
        <v>1064</v>
      </c>
      <c r="E2572" t="s">
        <v>16149</v>
      </c>
      <c r="F2572">
        <v>40225</v>
      </c>
      <c r="G2572" s="1">
        <v>36784</v>
      </c>
      <c r="H2572" s="1">
        <v>45834</v>
      </c>
      <c r="I2572" s="1">
        <v>45945</v>
      </c>
      <c r="J2572" t="s">
        <v>45</v>
      </c>
      <c r="K2572" t="s">
        <v>45</v>
      </c>
      <c r="L2572" t="s">
        <v>46</v>
      </c>
      <c r="M2572" s="1">
        <v>45197</v>
      </c>
      <c r="N2572" t="s">
        <v>47</v>
      </c>
      <c r="O2572" t="s">
        <v>48</v>
      </c>
      <c r="P2572" t="s">
        <v>49</v>
      </c>
      <c r="Q2572" t="s">
        <v>16150</v>
      </c>
      <c r="R2572" t="s">
        <v>16151</v>
      </c>
      <c r="S2572">
        <v>4621</v>
      </c>
      <c r="T2572" t="s">
        <v>52</v>
      </c>
      <c r="U2572">
        <v>5</v>
      </c>
      <c r="V2572" t="s">
        <v>2947</v>
      </c>
      <c r="W2572" t="s">
        <v>54</v>
      </c>
      <c r="X2572" t="s">
        <v>493</v>
      </c>
      <c r="Y2572" t="s">
        <v>434</v>
      </c>
      <c r="Z2572">
        <v>690</v>
      </c>
      <c r="AA2572">
        <v>60</v>
      </c>
      <c r="AB2572">
        <v>138</v>
      </c>
      <c r="AC2572" t="s">
        <v>2948</v>
      </c>
      <c r="AD2572" t="s">
        <v>2949</v>
      </c>
      <c r="AE2572" t="s">
        <v>2950</v>
      </c>
      <c r="AF2572" t="s">
        <v>6776</v>
      </c>
      <c r="AG2572" t="s">
        <v>6777</v>
      </c>
      <c r="AH2572" t="s">
        <v>6778</v>
      </c>
      <c r="AI2572" t="s">
        <v>4396</v>
      </c>
      <c r="AJ2572" s="2">
        <v>45837.915127314816</v>
      </c>
      <c r="AK2572" t="s">
        <v>180</v>
      </c>
      <c r="AL2572" t="s">
        <v>65</v>
      </c>
      <c r="AM2572" s="3">
        <v>2.2013888888888888</v>
      </c>
      <c r="AN2572" t="s">
        <v>66</v>
      </c>
      <c r="AO2572" t="s">
        <v>67</v>
      </c>
    </row>
    <row r="2573" spans="1:41" x14ac:dyDescent="0.2">
      <c r="A2573">
        <v>370058</v>
      </c>
      <c r="B2573" t="s">
        <v>16152</v>
      </c>
      <c r="C2573" t="s">
        <v>42</v>
      </c>
      <c r="D2573" t="s">
        <v>2050</v>
      </c>
      <c r="E2573" t="s">
        <v>16153</v>
      </c>
      <c r="F2573">
        <v>292008</v>
      </c>
      <c r="G2573" s="1">
        <v>32509</v>
      </c>
      <c r="H2573" s="1">
        <v>45758</v>
      </c>
      <c r="I2573" s="1">
        <v>46127</v>
      </c>
      <c r="J2573" t="s">
        <v>45</v>
      </c>
      <c r="K2573" t="s">
        <v>45</v>
      </c>
      <c r="L2573" t="s">
        <v>429</v>
      </c>
      <c r="M2573" s="1">
        <v>42877</v>
      </c>
      <c r="N2573" t="s">
        <v>47</v>
      </c>
      <c r="O2573" t="s">
        <v>48</v>
      </c>
      <c r="P2573" t="s">
        <v>49</v>
      </c>
      <c r="Q2573" t="s">
        <v>16154</v>
      </c>
      <c r="R2573" t="s">
        <v>16155</v>
      </c>
      <c r="S2573">
        <v>8680</v>
      </c>
      <c r="T2573" t="s">
        <v>52</v>
      </c>
      <c r="U2573">
        <v>3</v>
      </c>
      <c r="V2573" t="s">
        <v>2054</v>
      </c>
      <c r="W2573" t="s">
        <v>54</v>
      </c>
      <c r="X2573" t="s">
        <v>55</v>
      </c>
      <c r="Y2573" t="s">
        <v>56</v>
      </c>
      <c r="Z2573">
        <v>618</v>
      </c>
      <c r="AA2573">
        <v>53</v>
      </c>
      <c r="AB2573">
        <v>152</v>
      </c>
      <c r="AC2573" t="s">
        <v>2058</v>
      </c>
      <c r="AD2573" t="s">
        <v>2059</v>
      </c>
      <c r="AE2573" t="s">
        <v>3753</v>
      </c>
      <c r="AI2573" t="s">
        <v>1809</v>
      </c>
      <c r="AJ2573" s="2">
        <v>45762.735208333332</v>
      </c>
      <c r="AK2573" t="s">
        <v>609</v>
      </c>
      <c r="AL2573" t="s">
        <v>65</v>
      </c>
      <c r="AM2573" s="4">
        <v>0.53472222222222221</v>
      </c>
      <c r="AN2573" t="s">
        <v>66</v>
      </c>
      <c r="AO2573" t="s">
        <v>67</v>
      </c>
    </row>
    <row r="2574" spans="1:41" x14ac:dyDescent="0.2">
      <c r="A2574">
        <v>371931</v>
      </c>
      <c r="B2574" t="s">
        <v>16156</v>
      </c>
      <c r="C2574" t="s">
        <v>167</v>
      </c>
      <c r="D2574" t="s">
        <v>1474</v>
      </c>
      <c r="E2574">
        <v>32604422</v>
      </c>
      <c r="F2574">
        <v>352207</v>
      </c>
      <c r="G2574" s="1">
        <v>31441</v>
      </c>
      <c r="H2574" s="1">
        <v>45791</v>
      </c>
      <c r="I2574" s="1">
        <v>46143</v>
      </c>
      <c r="J2574" t="s">
        <v>45</v>
      </c>
      <c r="K2574" t="s">
        <v>326</v>
      </c>
      <c r="L2574" t="s">
        <v>429</v>
      </c>
      <c r="M2574" s="1">
        <v>45824</v>
      </c>
      <c r="N2574" t="s">
        <v>47</v>
      </c>
      <c r="O2574" t="s">
        <v>48</v>
      </c>
      <c r="P2574" t="s">
        <v>49</v>
      </c>
      <c r="Q2574" t="s">
        <v>16157</v>
      </c>
      <c r="R2574" t="s">
        <v>16158</v>
      </c>
      <c r="S2574">
        <v>5589</v>
      </c>
      <c r="T2574" t="s">
        <v>52</v>
      </c>
      <c r="U2574">
        <v>6</v>
      </c>
      <c r="V2574" t="s">
        <v>1477</v>
      </c>
      <c r="W2574" t="s">
        <v>54</v>
      </c>
      <c r="X2574" t="s">
        <v>76</v>
      </c>
      <c r="Y2574" t="s">
        <v>56</v>
      </c>
      <c r="Z2574">
        <v>796</v>
      </c>
      <c r="AA2574">
        <v>68</v>
      </c>
      <c r="AB2574">
        <v>176</v>
      </c>
      <c r="AC2574" t="s">
        <v>1478</v>
      </c>
      <c r="AD2574" t="s">
        <v>1479</v>
      </c>
      <c r="AE2574" t="s">
        <v>1480</v>
      </c>
      <c r="AF2574" t="s">
        <v>1478</v>
      </c>
      <c r="AG2574" t="s">
        <v>1479</v>
      </c>
      <c r="AH2574" t="s">
        <v>1480</v>
      </c>
      <c r="AI2574" t="s">
        <v>1481</v>
      </c>
      <c r="AJ2574" s="2">
        <v>45825.094976851855</v>
      </c>
      <c r="AK2574" t="s">
        <v>717</v>
      </c>
      <c r="AL2574" t="s">
        <v>65</v>
      </c>
      <c r="AM2574" s="4">
        <v>0.2638888888888889</v>
      </c>
      <c r="AN2574" t="s">
        <v>66</v>
      </c>
      <c r="AO2574" t="s">
        <v>67</v>
      </c>
    </row>
    <row r="2575" spans="1:41" x14ac:dyDescent="0.2">
      <c r="A2575">
        <v>364178</v>
      </c>
      <c r="B2575" t="s">
        <v>16159</v>
      </c>
      <c r="C2575" t="s">
        <v>5982</v>
      </c>
      <c r="D2575" t="s">
        <v>5982</v>
      </c>
      <c r="E2575" t="s">
        <v>16160</v>
      </c>
      <c r="J2575" t="s">
        <v>45</v>
      </c>
      <c r="K2575" t="s">
        <v>45</v>
      </c>
      <c r="L2575" t="s">
        <v>72</v>
      </c>
      <c r="N2575" t="s">
        <v>89</v>
      </c>
      <c r="O2575" t="s">
        <v>48</v>
      </c>
      <c r="P2575" t="s">
        <v>49</v>
      </c>
      <c r="T2575" t="s">
        <v>1328</v>
      </c>
      <c r="U2575" t="s">
        <v>1583</v>
      </c>
      <c r="V2575" t="s">
        <v>16161</v>
      </c>
      <c r="W2575" t="s">
        <v>2727</v>
      </c>
      <c r="X2575" t="s">
        <v>1328</v>
      </c>
      <c r="Y2575" t="s">
        <v>96</v>
      </c>
      <c r="Z2575">
        <v>12161</v>
      </c>
      <c r="AA2575">
        <v>9</v>
      </c>
      <c r="AB2575">
        <v>20</v>
      </c>
      <c r="AC2575" t="s">
        <v>16162</v>
      </c>
      <c r="AD2575" t="s">
        <v>16163</v>
      </c>
      <c r="AE2575" t="s">
        <v>16164</v>
      </c>
      <c r="AJ2575" s="2">
        <v>45534.711550925924</v>
      </c>
      <c r="AK2575" t="s">
        <v>375</v>
      </c>
      <c r="AL2575" t="s">
        <v>65</v>
      </c>
      <c r="AM2575" s="4">
        <v>0.72499999999999998</v>
      </c>
      <c r="AN2575" t="s">
        <v>66</v>
      </c>
      <c r="AO2575" t="s">
        <v>67</v>
      </c>
    </row>
    <row r="2576" spans="1:41" x14ac:dyDescent="0.2">
      <c r="A2576">
        <v>364179</v>
      </c>
      <c r="B2576" t="s">
        <v>16165</v>
      </c>
      <c r="C2576" t="s">
        <v>5982</v>
      </c>
      <c r="D2576" t="s">
        <v>5982</v>
      </c>
      <c r="E2576" t="s">
        <v>16166</v>
      </c>
      <c r="J2576" t="s">
        <v>45</v>
      </c>
      <c r="K2576" t="s">
        <v>45</v>
      </c>
      <c r="L2576" t="s">
        <v>72</v>
      </c>
      <c r="N2576" t="s">
        <v>89</v>
      </c>
      <c r="O2576" t="s">
        <v>48</v>
      </c>
      <c r="P2576" t="s">
        <v>49</v>
      </c>
      <c r="T2576" t="s">
        <v>1328</v>
      </c>
      <c r="U2576" t="s">
        <v>1583</v>
      </c>
      <c r="V2576" t="s">
        <v>16161</v>
      </c>
      <c r="W2576" t="s">
        <v>2727</v>
      </c>
      <c r="X2576" t="s">
        <v>1328</v>
      </c>
      <c r="Y2576" t="s">
        <v>96</v>
      </c>
      <c r="Z2576">
        <v>12159</v>
      </c>
      <c r="AA2576">
        <v>8</v>
      </c>
      <c r="AB2576">
        <v>20</v>
      </c>
      <c r="AC2576" t="s">
        <v>16162</v>
      </c>
      <c r="AD2576" t="s">
        <v>16167</v>
      </c>
      <c r="AE2576" t="s">
        <v>16164</v>
      </c>
      <c r="AJ2576" s="2">
        <v>45534.71193287037</v>
      </c>
      <c r="AK2576" t="s">
        <v>375</v>
      </c>
      <c r="AL2576" t="s">
        <v>65</v>
      </c>
      <c r="AM2576" s="4">
        <v>0.72916666666666663</v>
      </c>
      <c r="AN2576" t="s">
        <v>66</v>
      </c>
      <c r="AO2576" t="s">
        <v>67</v>
      </c>
    </row>
    <row r="2577" spans="1:41" x14ac:dyDescent="0.2">
      <c r="A2577">
        <v>372925</v>
      </c>
      <c r="B2577" t="s">
        <v>16168</v>
      </c>
      <c r="C2577" t="s">
        <v>558</v>
      </c>
      <c r="D2577" t="s">
        <v>4940</v>
      </c>
      <c r="E2577" t="s">
        <v>16169</v>
      </c>
      <c r="G2577" s="1">
        <v>43047</v>
      </c>
      <c r="H2577" s="1">
        <v>45597</v>
      </c>
      <c r="I2577" s="1">
        <v>45931</v>
      </c>
      <c r="J2577" t="s">
        <v>45</v>
      </c>
      <c r="K2577" t="s">
        <v>45</v>
      </c>
      <c r="L2577" t="s">
        <v>46</v>
      </c>
      <c r="M2577" s="1">
        <v>43871</v>
      </c>
      <c r="N2577" t="s">
        <v>47</v>
      </c>
      <c r="O2577" t="s">
        <v>48</v>
      </c>
      <c r="P2577" t="s">
        <v>49</v>
      </c>
      <c r="Q2577" t="s">
        <v>16170</v>
      </c>
      <c r="R2577" t="s">
        <v>16171</v>
      </c>
      <c r="S2577">
        <v>3911</v>
      </c>
      <c r="T2577" t="s">
        <v>365</v>
      </c>
      <c r="U2577" t="s">
        <v>562</v>
      </c>
      <c r="V2577" t="s">
        <v>2987</v>
      </c>
      <c r="W2577" t="s">
        <v>367</v>
      </c>
      <c r="X2577" t="s">
        <v>76</v>
      </c>
      <c r="Y2577" t="s">
        <v>434</v>
      </c>
      <c r="Z2577">
        <v>9286</v>
      </c>
      <c r="AA2577">
        <v>23</v>
      </c>
      <c r="AB2577">
        <v>28</v>
      </c>
      <c r="AC2577" t="s">
        <v>1882</v>
      </c>
      <c r="AD2577" t="s">
        <v>1883</v>
      </c>
      <c r="AE2577" t="s">
        <v>2988</v>
      </c>
      <c r="AF2577" t="s">
        <v>2989</v>
      </c>
      <c r="AG2577" t="s">
        <v>16172</v>
      </c>
      <c r="AH2577" t="s">
        <v>2991</v>
      </c>
      <c r="AI2577" t="s">
        <v>2992</v>
      </c>
      <c r="AJ2577" s="2">
        <v>45855.907557870371</v>
      </c>
      <c r="AK2577" t="s">
        <v>556</v>
      </c>
      <c r="AL2577" t="s">
        <v>65</v>
      </c>
      <c r="AM2577" s="3">
        <v>1.5694444444444444</v>
      </c>
      <c r="AN2577" t="s">
        <v>66</v>
      </c>
      <c r="AO2577" t="s">
        <v>67</v>
      </c>
    </row>
    <row r="2578" spans="1:41" x14ac:dyDescent="0.2">
      <c r="A2578">
        <v>371719</v>
      </c>
      <c r="B2578" t="s">
        <v>16173</v>
      </c>
      <c r="C2578" t="s">
        <v>323</v>
      </c>
      <c r="D2578" t="s">
        <v>324</v>
      </c>
      <c r="E2578" t="s">
        <v>16174</v>
      </c>
      <c r="F2578">
        <v>500754</v>
      </c>
      <c r="G2578" s="1">
        <v>38546</v>
      </c>
      <c r="H2578" s="1">
        <v>45763</v>
      </c>
      <c r="I2578" s="1">
        <v>46037</v>
      </c>
      <c r="J2578" t="s">
        <v>45</v>
      </c>
      <c r="K2578" t="s">
        <v>45</v>
      </c>
      <c r="L2578" t="s">
        <v>72</v>
      </c>
      <c r="M2578" s="1">
        <v>45377</v>
      </c>
      <c r="N2578" t="s">
        <v>47</v>
      </c>
      <c r="O2578" t="s">
        <v>48</v>
      </c>
      <c r="P2578" t="s">
        <v>1752</v>
      </c>
      <c r="Q2578" t="s">
        <v>16175</v>
      </c>
      <c r="R2578" t="s">
        <v>16176</v>
      </c>
      <c r="S2578">
        <v>460</v>
      </c>
      <c r="T2578" t="s">
        <v>1328</v>
      </c>
      <c r="U2578" t="s">
        <v>3114</v>
      </c>
      <c r="V2578" t="s">
        <v>3115</v>
      </c>
      <c r="W2578" t="s">
        <v>3116</v>
      </c>
      <c r="X2578" t="s">
        <v>1328</v>
      </c>
      <c r="Y2578" t="s">
        <v>110</v>
      </c>
      <c r="Z2578">
        <v>2746</v>
      </c>
      <c r="AA2578">
        <v>27</v>
      </c>
      <c r="AB2578">
        <v>152</v>
      </c>
      <c r="AC2578" t="s">
        <v>2833</v>
      </c>
      <c r="AD2578" t="s">
        <v>2834</v>
      </c>
      <c r="AE2578" t="s">
        <v>2835</v>
      </c>
      <c r="AF2578" t="s">
        <v>368</v>
      </c>
      <c r="AG2578" t="s">
        <v>369</v>
      </c>
      <c r="AH2578" t="s">
        <v>370</v>
      </c>
      <c r="AJ2578" s="2">
        <v>45818.739803240744</v>
      </c>
      <c r="AK2578" t="s">
        <v>727</v>
      </c>
      <c r="AL2578" t="s">
        <v>65</v>
      </c>
      <c r="AM2578" s="3">
        <v>1.0486111111111112</v>
      </c>
      <c r="AN2578" t="s">
        <v>66</v>
      </c>
      <c r="AO2578" t="s">
        <v>67</v>
      </c>
    </row>
    <row r="2579" spans="1:41" x14ac:dyDescent="0.2">
      <c r="A2579">
        <v>372297</v>
      </c>
      <c r="B2579" t="s">
        <v>16177</v>
      </c>
      <c r="C2579" t="s">
        <v>735</v>
      </c>
      <c r="D2579" t="s">
        <v>2559</v>
      </c>
      <c r="E2579" t="s">
        <v>16178</v>
      </c>
      <c r="F2579">
        <v>242912</v>
      </c>
      <c r="G2579" s="1">
        <v>36644</v>
      </c>
      <c r="H2579" s="1">
        <v>45834</v>
      </c>
      <c r="I2579" s="1">
        <v>46204</v>
      </c>
      <c r="J2579" t="s">
        <v>45</v>
      </c>
      <c r="K2579" t="s">
        <v>45</v>
      </c>
      <c r="L2579" t="s">
        <v>46</v>
      </c>
      <c r="M2579" s="1">
        <v>45469</v>
      </c>
      <c r="N2579" t="s">
        <v>47</v>
      </c>
      <c r="O2579" t="s">
        <v>48</v>
      </c>
      <c r="P2579" t="s">
        <v>49</v>
      </c>
      <c r="Q2579" t="s">
        <v>16179</v>
      </c>
      <c r="R2579" t="s">
        <v>16180</v>
      </c>
      <c r="S2579">
        <v>5650</v>
      </c>
      <c r="T2579" t="s">
        <v>52</v>
      </c>
      <c r="U2579">
        <v>1</v>
      </c>
      <c r="V2579" t="s">
        <v>2563</v>
      </c>
      <c r="W2579" t="s">
        <v>54</v>
      </c>
      <c r="X2579" t="s">
        <v>76</v>
      </c>
      <c r="Y2579" t="s">
        <v>56</v>
      </c>
      <c r="Z2579">
        <v>1784</v>
      </c>
      <c r="AA2579">
        <v>45</v>
      </c>
      <c r="AB2579">
        <v>210</v>
      </c>
      <c r="AC2579" t="s">
        <v>2564</v>
      </c>
      <c r="AD2579" t="s">
        <v>2565</v>
      </c>
      <c r="AE2579" t="s">
        <v>2566</v>
      </c>
      <c r="AF2579" t="s">
        <v>2567</v>
      </c>
      <c r="AG2579" t="s">
        <v>2568</v>
      </c>
      <c r="AH2579" t="s">
        <v>2569</v>
      </c>
      <c r="AI2579" t="s">
        <v>6132</v>
      </c>
      <c r="AJ2579" s="2">
        <v>45837.79587962963</v>
      </c>
      <c r="AK2579" t="s">
        <v>568</v>
      </c>
      <c r="AL2579" t="s">
        <v>65</v>
      </c>
      <c r="AM2579" s="4">
        <v>0.39583333333333331</v>
      </c>
      <c r="AN2579" t="s">
        <v>66</v>
      </c>
      <c r="AO2579" t="s">
        <v>67</v>
      </c>
    </row>
    <row r="2580" spans="1:41" x14ac:dyDescent="0.2">
      <c r="A2580">
        <v>367426</v>
      </c>
      <c r="B2580" t="s">
        <v>16181</v>
      </c>
      <c r="C2580" t="s">
        <v>118</v>
      </c>
      <c r="D2580" t="s">
        <v>1579</v>
      </c>
      <c r="E2580" t="s">
        <v>16182</v>
      </c>
      <c r="F2580">
        <v>21501</v>
      </c>
      <c r="G2580" s="1">
        <v>32478</v>
      </c>
      <c r="H2580" s="1">
        <v>45673</v>
      </c>
      <c r="I2580" s="1">
        <v>46096</v>
      </c>
      <c r="J2580" t="s">
        <v>45</v>
      </c>
      <c r="K2580" t="s">
        <v>45</v>
      </c>
      <c r="L2580" t="s">
        <v>429</v>
      </c>
      <c r="M2580" s="1">
        <v>43521</v>
      </c>
      <c r="N2580" t="s">
        <v>47</v>
      </c>
      <c r="O2580" t="s">
        <v>48</v>
      </c>
      <c r="P2580" t="s">
        <v>49</v>
      </c>
      <c r="Q2580" t="s">
        <v>16183</v>
      </c>
      <c r="R2580" t="s">
        <v>16184</v>
      </c>
      <c r="S2580">
        <v>2500</v>
      </c>
      <c r="T2580" t="s">
        <v>365</v>
      </c>
      <c r="U2580" t="s">
        <v>815</v>
      </c>
      <c r="V2580" t="s">
        <v>8067</v>
      </c>
      <c r="W2580" t="s">
        <v>367</v>
      </c>
      <c r="X2580" t="s">
        <v>55</v>
      </c>
      <c r="Y2580" t="s">
        <v>434</v>
      </c>
      <c r="Z2580">
        <v>66</v>
      </c>
      <c r="AA2580">
        <v>57</v>
      </c>
      <c r="AB2580">
        <v>166</v>
      </c>
      <c r="AC2580" t="s">
        <v>8068</v>
      </c>
      <c r="AD2580" t="s">
        <v>8069</v>
      </c>
      <c r="AE2580" t="s">
        <v>8070</v>
      </c>
      <c r="AF2580" t="s">
        <v>8071</v>
      </c>
      <c r="AG2580" t="s">
        <v>8072</v>
      </c>
      <c r="AH2580" t="s">
        <v>8073</v>
      </c>
      <c r="AI2580" t="s">
        <v>179</v>
      </c>
      <c r="AJ2580" s="2">
        <v>45674.612962962965</v>
      </c>
      <c r="AK2580" t="s">
        <v>568</v>
      </c>
      <c r="AL2580" t="s">
        <v>65</v>
      </c>
      <c r="AM2580" s="3">
        <v>2.2104166666666667</v>
      </c>
      <c r="AN2580" t="s">
        <v>66</v>
      </c>
      <c r="AO2580" t="s">
        <v>67</v>
      </c>
    </row>
    <row r="2581" spans="1:41" x14ac:dyDescent="0.2">
      <c r="A2581">
        <v>368923</v>
      </c>
      <c r="B2581" t="s">
        <v>16185</v>
      </c>
      <c r="C2581" t="s">
        <v>182</v>
      </c>
      <c r="D2581" t="s">
        <v>4083</v>
      </c>
      <c r="E2581" t="s">
        <v>16186</v>
      </c>
      <c r="F2581">
        <v>44115</v>
      </c>
      <c r="G2581" s="1">
        <v>41040</v>
      </c>
      <c r="H2581" s="1">
        <v>45532</v>
      </c>
      <c r="I2581" s="1">
        <v>46157</v>
      </c>
      <c r="J2581" t="s">
        <v>45</v>
      </c>
      <c r="K2581" t="s">
        <v>45</v>
      </c>
      <c r="L2581" t="s">
        <v>46</v>
      </c>
      <c r="M2581" s="1">
        <v>43858</v>
      </c>
      <c r="N2581" t="s">
        <v>47</v>
      </c>
      <c r="O2581" t="s">
        <v>48</v>
      </c>
      <c r="P2581" t="s">
        <v>49</v>
      </c>
      <c r="Q2581" t="s">
        <v>16187</v>
      </c>
      <c r="R2581" t="s">
        <v>16188</v>
      </c>
      <c r="S2581">
        <v>3871</v>
      </c>
      <c r="T2581" t="s">
        <v>52</v>
      </c>
      <c r="U2581">
        <v>5</v>
      </c>
      <c r="V2581" t="s">
        <v>5607</v>
      </c>
      <c r="W2581" t="s">
        <v>54</v>
      </c>
      <c r="X2581" t="s">
        <v>493</v>
      </c>
      <c r="Y2581" t="s">
        <v>434</v>
      </c>
      <c r="Z2581">
        <v>5666</v>
      </c>
      <c r="AA2581">
        <v>31</v>
      </c>
      <c r="AB2581">
        <v>28</v>
      </c>
      <c r="AC2581" t="s">
        <v>5608</v>
      </c>
      <c r="AD2581" t="s">
        <v>5609</v>
      </c>
      <c r="AE2581" t="s">
        <v>5610</v>
      </c>
      <c r="AF2581" t="s">
        <v>5611</v>
      </c>
      <c r="AG2581" t="s">
        <v>5612</v>
      </c>
      <c r="AH2581" t="s">
        <v>13993</v>
      </c>
      <c r="AI2581" t="s">
        <v>16189</v>
      </c>
      <c r="AJ2581" s="2">
        <v>45722.912615740737</v>
      </c>
      <c r="AK2581" t="s">
        <v>1472</v>
      </c>
      <c r="AL2581" t="s">
        <v>65</v>
      </c>
      <c r="AM2581" s="4">
        <v>0.6875</v>
      </c>
      <c r="AN2581" t="s">
        <v>66</v>
      </c>
      <c r="AO2581" t="s">
        <v>67</v>
      </c>
    </row>
    <row r="2582" spans="1:41" x14ac:dyDescent="0.2">
      <c r="A2582">
        <v>370024</v>
      </c>
      <c r="B2582" t="s">
        <v>16190</v>
      </c>
      <c r="C2582" t="s">
        <v>763</v>
      </c>
      <c r="D2582" t="s">
        <v>16191</v>
      </c>
      <c r="E2582" t="s">
        <v>16192</v>
      </c>
      <c r="F2582">
        <v>470902</v>
      </c>
      <c r="G2582" s="1">
        <v>40275</v>
      </c>
      <c r="H2582" s="1">
        <v>45755</v>
      </c>
      <c r="I2582" s="1">
        <v>46127</v>
      </c>
      <c r="J2582" t="s">
        <v>45</v>
      </c>
      <c r="K2582" t="s">
        <v>45</v>
      </c>
      <c r="L2582" t="s">
        <v>545</v>
      </c>
      <c r="M2582" s="1">
        <v>44995</v>
      </c>
      <c r="N2582" t="s">
        <v>47</v>
      </c>
      <c r="O2582" t="s">
        <v>48</v>
      </c>
      <c r="P2582" t="s">
        <v>49</v>
      </c>
      <c r="Q2582" t="s">
        <v>16193</v>
      </c>
      <c r="R2582" t="s">
        <v>16194</v>
      </c>
      <c r="S2582">
        <v>1595</v>
      </c>
      <c r="T2582" t="s">
        <v>52</v>
      </c>
      <c r="U2582">
        <v>9</v>
      </c>
      <c r="V2582" t="s">
        <v>5182</v>
      </c>
      <c r="W2582" t="s">
        <v>54</v>
      </c>
      <c r="X2582" t="s">
        <v>76</v>
      </c>
      <c r="Y2582" t="s">
        <v>56</v>
      </c>
      <c r="Z2582">
        <v>3083</v>
      </c>
      <c r="AA2582">
        <v>32</v>
      </c>
      <c r="AB2582">
        <v>97</v>
      </c>
      <c r="AC2582" t="s">
        <v>5183</v>
      </c>
      <c r="AD2582" t="s">
        <v>5184</v>
      </c>
      <c r="AE2582" t="s">
        <v>5185</v>
      </c>
      <c r="AF2582" t="s">
        <v>5186</v>
      </c>
      <c r="AG2582" t="s">
        <v>5187</v>
      </c>
      <c r="AH2582" t="s">
        <v>5188</v>
      </c>
      <c r="AJ2582" s="2">
        <v>45761.826585648145</v>
      </c>
      <c r="AK2582" t="s">
        <v>540</v>
      </c>
      <c r="AL2582" t="s">
        <v>65</v>
      </c>
      <c r="AM2582" s="3">
        <v>1.3020833333333333</v>
      </c>
      <c r="AN2582" t="s">
        <v>66</v>
      </c>
      <c r="AO2582" t="s">
        <v>101</v>
      </c>
    </row>
    <row r="2583" spans="1:41" x14ac:dyDescent="0.2">
      <c r="A2583">
        <v>370494</v>
      </c>
      <c r="B2583" t="s">
        <v>16195</v>
      </c>
      <c r="C2583" t="s">
        <v>182</v>
      </c>
      <c r="D2583" t="s">
        <v>4261</v>
      </c>
      <c r="E2583" t="s">
        <v>16196</v>
      </c>
      <c r="G2583" s="1">
        <v>44216</v>
      </c>
      <c r="H2583" s="1">
        <v>45775</v>
      </c>
      <c r="J2583" t="s">
        <v>45</v>
      </c>
      <c r="K2583" t="s">
        <v>45</v>
      </c>
      <c r="L2583" t="s">
        <v>72</v>
      </c>
      <c r="N2583" t="s">
        <v>47</v>
      </c>
      <c r="O2583" t="s">
        <v>48</v>
      </c>
      <c r="P2583" t="s">
        <v>49</v>
      </c>
      <c r="Q2583" t="s">
        <v>16197</v>
      </c>
      <c r="R2583" t="s">
        <v>16198</v>
      </c>
      <c r="S2583">
        <v>40</v>
      </c>
      <c r="T2583" t="s">
        <v>449</v>
      </c>
      <c r="U2583" t="s">
        <v>187</v>
      </c>
      <c r="V2583" t="s">
        <v>6945</v>
      </c>
      <c r="W2583" t="s">
        <v>6946</v>
      </c>
      <c r="X2583" t="s">
        <v>449</v>
      </c>
      <c r="Y2583" t="s">
        <v>96</v>
      </c>
      <c r="Z2583">
        <v>11428</v>
      </c>
      <c r="AA2583">
        <v>9</v>
      </c>
      <c r="AB2583">
        <v>210</v>
      </c>
      <c r="AC2583" t="s">
        <v>16199</v>
      </c>
      <c r="AD2583" t="s">
        <v>16200</v>
      </c>
      <c r="AE2583" t="s">
        <v>16201</v>
      </c>
      <c r="AJ2583" s="2">
        <v>45776.762280092589</v>
      </c>
      <c r="AK2583" t="s">
        <v>456</v>
      </c>
      <c r="AL2583" t="s">
        <v>65</v>
      </c>
      <c r="AM2583" s="4">
        <v>0.29166666666666669</v>
      </c>
      <c r="AN2583" t="s">
        <v>66</v>
      </c>
      <c r="AO2583" t="s">
        <v>67</v>
      </c>
    </row>
    <row r="2584" spans="1:41" x14ac:dyDescent="0.2">
      <c r="A2584">
        <v>354800</v>
      </c>
      <c r="B2584" t="s">
        <v>16202</v>
      </c>
      <c r="C2584" t="s">
        <v>735</v>
      </c>
      <c r="D2584" t="s">
        <v>2939</v>
      </c>
      <c r="E2584" t="s">
        <v>16203</v>
      </c>
      <c r="G2584" s="1">
        <v>44389</v>
      </c>
      <c r="J2584" t="s">
        <v>326</v>
      </c>
      <c r="K2584" t="s">
        <v>45</v>
      </c>
      <c r="L2584" t="s">
        <v>72</v>
      </c>
      <c r="N2584" t="s">
        <v>89</v>
      </c>
      <c r="O2584" t="s">
        <v>642</v>
      </c>
      <c r="P2584" t="s">
        <v>848</v>
      </c>
      <c r="Q2584" t="s">
        <v>16204</v>
      </c>
      <c r="R2584" t="s">
        <v>16205</v>
      </c>
      <c r="S2584">
        <v>2710</v>
      </c>
      <c r="T2584" t="s">
        <v>52</v>
      </c>
      <c r="U2584">
        <v>1</v>
      </c>
      <c r="V2584" t="s">
        <v>2926</v>
      </c>
      <c r="W2584" t="s">
        <v>16206</v>
      </c>
      <c r="X2584" t="s">
        <v>52</v>
      </c>
      <c r="Y2584" t="s">
        <v>854</v>
      </c>
      <c r="Z2584">
        <v>8026</v>
      </c>
      <c r="AA2584">
        <v>11</v>
      </c>
      <c r="AB2584">
        <v>78</v>
      </c>
      <c r="AC2584" t="s">
        <v>16207</v>
      </c>
      <c r="AD2584" t="s">
        <v>16208</v>
      </c>
      <c r="AE2584" t="s">
        <v>16209</v>
      </c>
      <c r="AF2584" t="s">
        <v>16210</v>
      </c>
      <c r="AG2584" t="s">
        <v>11262</v>
      </c>
      <c r="AH2584" t="s">
        <v>16211</v>
      </c>
      <c r="AI2584" t="s">
        <v>16212</v>
      </c>
      <c r="AJ2584" s="2">
        <v>45230.875613425924</v>
      </c>
      <c r="AK2584" t="s">
        <v>100</v>
      </c>
      <c r="AL2584" t="s">
        <v>862</v>
      </c>
      <c r="AM2584" s="4">
        <v>0.68055555555555558</v>
      </c>
      <c r="AN2584" t="s">
        <v>66</v>
      </c>
      <c r="AO2584" t="s">
        <v>67</v>
      </c>
    </row>
    <row r="2585" spans="1:41" x14ac:dyDescent="0.2">
      <c r="A2585">
        <v>318037</v>
      </c>
      <c r="B2585" t="s">
        <v>16213</v>
      </c>
      <c r="C2585" t="s">
        <v>735</v>
      </c>
      <c r="D2585" t="s">
        <v>2922</v>
      </c>
      <c r="E2585" t="s">
        <v>16214</v>
      </c>
      <c r="G2585" s="1">
        <v>43705</v>
      </c>
      <c r="J2585" t="s">
        <v>326</v>
      </c>
      <c r="K2585" t="s">
        <v>45</v>
      </c>
      <c r="L2585" t="s">
        <v>72</v>
      </c>
      <c r="N2585" t="s">
        <v>89</v>
      </c>
      <c r="O2585" t="s">
        <v>642</v>
      </c>
      <c r="P2585" t="s">
        <v>848</v>
      </c>
      <c r="Q2585" t="s">
        <v>16215</v>
      </c>
      <c r="R2585" t="s">
        <v>16216</v>
      </c>
      <c r="S2585">
        <v>2720</v>
      </c>
      <c r="T2585" t="s">
        <v>52</v>
      </c>
      <c r="U2585">
        <v>1</v>
      </c>
      <c r="V2585" t="s">
        <v>2926</v>
      </c>
      <c r="W2585" t="s">
        <v>16206</v>
      </c>
      <c r="X2585" t="s">
        <v>52</v>
      </c>
      <c r="Y2585" t="s">
        <v>854</v>
      </c>
      <c r="Z2585">
        <v>8027</v>
      </c>
      <c r="AA2585">
        <v>6</v>
      </c>
      <c r="AB2585">
        <v>78</v>
      </c>
      <c r="AC2585" t="s">
        <v>16207</v>
      </c>
      <c r="AD2585" t="s">
        <v>16208</v>
      </c>
      <c r="AE2585" t="s">
        <v>16209</v>
      </c>
      <c r="AF2585" t="s">
        <v>16217</v>
      </c>
      <c r="AG2585" t="s">
        <v>16218</v>
      </c>
      <c r="AH2585" t="s">
        <v>16219</v>
      </c>
      <c r="AI2585" t="s">
        <v>16220</v>
      </c>
      <c r="AJ2585" s="2">
        <v>44321.711388888885</v>
      </c>
      <c r="AK2585" t="s">
        <v>9908</v>
      </c>
      <c r="AL2585" t="s">
        <v>862</v>
      </c>
      <c r="AM2585" s="4">
        <v>0.6875</v>
      </c>
      <c r="AN2585" t="s">
        <v>66</v>
      </c>
      <c r="AO2585" t="s">
        <v>67</v>
      </c>
    </row>
    <row r="2586" spans="1:41" x14ac:dyDescent="0.2">
      <c r="A2586">
        <v>372512</v>
      </c>
      <c r="B2586" t="s">
        <v>16221</v>
      </c>
      <c r="C2586" t="s">
        <v>735</v>
      </c>
      <c r="E2586" t="s">
        <v>16222</v>
      </c>
      <c r="G2586" s="1">
        <v>40556</v>
      </c>
      <c r="H2586" s="1">
        <v>39357</v>
      </c>
      <c r="J2586" t="s">
        <v>326</v>
      </c>
      <c r="K2586" t="s">
        <v>72</v>
      </c>
      <c r="L2586" t="s">
        <v>72</v>
      </c>
      <c r="N2586" t="s">
        <v>89</v>
      </c>
      <c r="O2586" t="s">
        <v>642</v>
      </c>
      <c r="P2586" t="s">
        <v>848</v>
      </c>
      <c r="Q2586" t="s">
        <v>16223</v>
      </c>
      <c r="R2586" t="s">
        <v>16224</v>
      </c>
      <c r="S2586">
        <v>5992</v>
      </c>
      <c r="T2586" t="s">
        <v>52</v>
      </c>
      <c r="U2586" t="s">
        <v>16225</v>
      </c>
      <c r="V2586" t="s">
        <v>16226</v>
      </c>
      <c r="W2586" t="s">
        <v>16206</v>
      </c>
      <c r="X2586" t="s">
        <v>52</v>
      </c>
      <c r="Y2586" t="s">
        <v>854</v>
      </c>
      <c r="Z2586">
        <v>2059</v>
      </c>
      <c r="AA2586">
        <v>29</v>
      </c>
      <c r="AB2586">
        <v>144</v>
      </c>
      <c r="AC2586" t="s">
        <v>16227</v>
      </c>
      <c r="AD2586" t="s">
        <v>16228</v>
      </c>
      <c r="AE2586" t="s">
        <v>16229</v>
      </c>
      <c r="AF2586" t="s">
        <v>16227</v>
      </c>
      <c r="AG2586" t="s">
        <v>16228</v>
      </c>
      <c r="AH2586" t="s">
        <v>16229</v>
      </c>
      <c r="AJ2586" s="2">
        <v>45841.653171296297</v>
      </c>
      <c r="AK2586" t="s">
        <v>100</v>
      </c>
      <c r="AL2586" t="s">
        <v>862</v>
      </c>
      <c r="AM2586" s="3">
        <v>1.9444444444444444</v>
      </c>
      <c r="AN2586" t="s">
        <v>16230</v>
      </c>
      <c r="AO2586" t="s">
        <v>67</v>
      </c>
    </row>
    <row r="2587" spans="1:41" x14ac:dyDescent="0.2">
      <c r="A2587">
        <v>339172</v>
      </c>
      <c r="B2587" t="s">
        <v>16231</v>
      </c>
      <c r="C2587" t="s">
        <v>558</v>
      </c>
      <c r="D2587" t="s">
        <v>1743</v>
      </c>
      <c r="E2587" t="s">
        <v>16232</v>
      </c>
      <c r="G2587" s="1">
        <v>43615</v>
      </c>
      <c r="H2587" s="1">
        <v>43819</v>
      </c>
      <c r="J2587" t="s">
        <v>72</v>
      </c>
      <c r="K2587" t="s">
        <v>45</v>
      </c>
      <c r="L2587" t="s">
        <v>72</v>
      </c>
      <c r="N2587" t="s">
        <v>89</v>
      </c>
      <c r="O2587" t="s">
        <v>642</v>
      </c>
      <c r="P2587" t="s">
        <v>848</v>
      </c>
      <c r="Q2587" t="s">
        <v>16233</v>
      </c>
      <c r="R2587" t="s">
        <v>16234</v>
      </c>
      <c r="S2587">
        <v>4295</v>
      </c>
      <c r="T2587" t="s">
        <v>365</v>
      </c>
      <c r="U2587" t="s">
        <v>562</v>
      </c>
      <c r="V2587" t="s">
        <v>2987</v>
      </c>
      <c r="W2587" t="s">
        <v>409</v>
      </c>
      <c r="X2587" t="s">
        <v>76</v>
      </c>
      <c r="Y2587" t="s">
        <v>854</v>
      </c>
      <c r="Z2587">
        <v>9566</v>
      </c>
      <c r="AA2587">
        <v>10</v>
      </c>
      <c r="AB2587">
        <v>28</v>
      </c>
      <c r="AC2587" t="s">
        <v>16235</v>
      </c>
      <c r="AD2587" t="s">
        <v>16236</v>
      </c>
      <c r="AE2587" t="s">
        <v>16237</v>
      </c>
      <c r="AI2587" t="s">
        <v>4396</v>
      </c>
      <c r="AJ2587" s="2">
        <v>44684.879317129627</v>
      </c>
      <c r="AK2587" t="s">
        <v>149</v>
      </c>
      <c r="AL2587" t="s">
        <v>862</v>
      </c>
      <c r="AM2587" s="3">
        <v>2.1875</v>
      </c>
      <c r="AN2587" t="s">
        <v>16230</v>
      </c>
      <c r="AO2587" t="s">
        <v>67</v>
      </c>
    </row>
    <row r="2588" spans="1:41" x14ac:dyDescent="0.2">
      <c r="A2588">
        <v>339173</v>
      </c>
      <c r="B2588" t="s">
        <v>16238</v>
      </c>
      <c r="C2588" t="s">
        <v>558</v>
      </c>
      <c r="D2588" t="s">
        <v>468</v>
      </c>
      <c r="E2588" t="s">
        <v>16239</v>
      </c>
      <c r="G2588" s="1">
        <v>43615</v>
      </c>
      <c r="H2588" s="1">
        <v>43819</v>
      </c>
      <c r="J2588" t="s">
        <v>326</v>
      </c>
      <c r="K2588" t="s">
        <v>45</v>
      </c>
      <c r="L2588" t="s">
        <v>72</v>
      </c>
      <c r="N2588" t="s">
        <v>89</v>
      </c>
      <c r="O2588" t="s">
        <v>642</v>
      </c>
      <c r="P2588" t="s">
        <v>848</v>
      </c>
      <c r="Q2588" t="s">
        <v>16233</v>
      </c>
      <c r="R2588" t="s">
        <v>16240</v>
      </c>
      <c r="S2588">
        <v>4295</v>
      </c>
      <c r="T2588" t="s">
        <v>365</v>
      </c>
      <c r="U2588" t="s">
        <v>562</v>
      </c>
      <c r="V2588" t="s">
        <v>2987</v>
      </c>
      <c r="W2588" t="s">
        <v>409</v>
      </c>
      <c r="X2588" t="s">
        <v>76</v>
      </c>
      <c r="Y2588" t="s">
        <v>854</v>
      </c>
      <c r="Z2588">
        <v>9567</v>
      </c>
      <c r="AA2588">
        <v>8</v>
      </c>
      <c r="AB2588">
        <v>30</v>
      </c>
      <c r="AC2588" t="s">
        <v>16241</v>
      </c>
      <c r="AD2588" t="s">
        <v>16236</v>
      </c>
      <c r="AE2588" t="s">
        <v>16237</v>
      </c>
      <c r="AI2588" t="s">
        <v>4396</v>
      </c>
      <c r="AJ2588" s="2">
        <v>44684.879618055558</v>
      </c>
      <c r="AK2588" t="s">
        <v>149</v>
      </c>
      <c r="AL2588" t="s">
        <v>862</v>
      </c>
      <c r="AM2588" s="3">
        <v>1.0486111111111112</v>
      </c>
      <c r="AN2588" t="s">
        <v>16230</v>
      </c>
      <c r="AO2588" t="s">
        <v>67</v>
      </c>
    </row>
    <row r="2589" spans="1:41" x14ac:dyDescent="0.2">
      <c r="A2589">
        <v>318046</v>
      </c>
      <c r="B2589" t="s">
        <v>16242</v>
      </c>
      <c r="C2589" t="s">
        <v>735</v>
      </c>
      <c r="D2589" t="s">
        <v>2922</v>
      </c>
      <c r="E2589" t="s">
        <v>16243</v>
      </c>
      <c r="G2589" s="1">
        <v>40998</v>
      </c>
      <c r="J2589" t="s">
        <v>326</v>
      </c>
      <c r="K2589" t="s">
        <v>72</v>
      </c>
      <c r="L2589" t="s">
        <v>72</v>
      </c>
      <c r="N2589" t="s">
        <v>89</v>
      </c>
      <c r="O2589" t="s">
        <v>642</v>
      </c>
      <c r="P2589" t="s">
        <v>848</v>
      </c>
      <c r="Q2589" t="s">
        <v>16244</v>
      </c>
      <c r="R2589" t="s">
        <v>16245</v>
      </c>
      <c r="S2589">
        <v>3231</v>
      </c>
      <c r="T2589" t="s">
        <v>52</v>
      </c>
      <c r="U2589" t="s">
        <v>16225</v>
      </c>
      <c r="V2589" t="s">
        <v>16226</v>
      </c>
      <c r="W2589" t="s">
        <v>16206</v>
      </c>
      <c r="X2589" t="s">
        <v>52</v>
      </c>
      <c r="Y2589" t="s">
        <v>854</v>
      </c>
      <c r="Z2589">
        <v>5506</v>
      </c>
      <c r="AA2589">
        <v>9</v>
      </c>
      <c r="AB2589">
        <v>34</v>
      </c>
      <c r="AC2589" t="s">
        <v>16246</v>
      </c>
      <c r="AD2589" t="s">
        <v>16247</v>
      </c>
      <c r="AE2589" t="s">
        <v>16248</v>
      </c>
      <c r="AJ2589" s="2">
        <v>44321.717314814814</v>
      </c>
      <c r="AK2589" t="s">
        <v>9908</v>
      </c>
      <c r="AL2589" t="s">
        <v>862</v>
      </c>
      <c r="AM2589" s="3">
        <v>1.1527777777777777</v>
      </c>
      <c r="AN2589" t="s">
        <v>16230</v>
      </c>
      <c r="AO2589" t="s">
        <v>67</v>
      </c>
    </row>
    <row r="2590" spans="1:41" x14ac:dyDescent="0.2">
      <c r="A2590">
        <v>318047</v>
      </c>
      <c r="B2590" t="s">
        <v>16249</v>
      </c>
      <c r="C2590" t="s">
        <v>735</v>
      </c>
      <c r="D2590" t="s">
        <v>2922</v>
      </c>
      <c r="E2590" t="s">
        <v>16250</v>
      </c>
      <c r="J2590" t="s">
        <v>326</v>
      </c>
      <c r="K2590" t="s">
        <v>72</v>
      </c>
      <c r="L2590" t="s">
        <v>72</v>
      </c>
      <c r="N2590" t="s">
        <v>89</v>
      </c>
      <c r="O2590" t="s">
        <v>642</v>
      </c>
      <c r="P2590" t="s">
        <v>848</v>
      </c>
      <c r="Q2590" t="s">
        <v>16251</v>
      </c>
      <c r="R2590" t="s">
        <v>16252</v>
      </c>
      <c r="S2590">
        <v>3201</v>
      </c>
      <c r="T2590" t="s">
        <v>52</v>
      </c>
      <c r="U2590" t="s">
        <v>16225</v>
      </c>
      <c r="W2590" t="s">
        <v>16206</v>
      </c>
      <c r="X2590" t="s">
        <v>52</v>
      </c>
      <c r="Y2590" t="s">
        <v>854</v>
      </c>
      <c r="Z2590">
        <v>6247</v>
      </c>
      <c r="AA2590">
        <v>3</v>
      </c>
      <c r="AB2590">
        <v>78</v>
      </c>
      <c r="AC2590" t="s">
        <v>16253</v>
      </c>
      <c r="AD2590" t="s">
        <v>16247</v>
      </c>
      <c r="AE2590" t="s">
        <v>16248</v>
      </c>
      <c r="AI2590" t="s">
        <v>16247</v>
      </c>
      <c r="AJ2590" s="2">
        <v>44321.718136574076</v>
      </c>
      <c r="AK2590" t="s">
        <v>9908</v>
      </c>
      <c r="AL2590" t="s">
        <v>862</v>
      </c>
      <c r="AM2590" s="4">
        <v>0.43055555555555558</v>
      </c>
      <c r="AN2590" t="s">
        <v>66</v>
      </c>
      <c r="AO2590" t="s">
        <v>67</v>
      </c>
    </row>
    <row r="2591" spans="1:41" x14ac:dyDescent="0.2">
      <c r="A2591">
        <v>318117</v>
      </c>
      <c r="B2591" t="s">
        <v>16254</v>
      </c>
      <c r="C2591" t="s">
        <v>345</v>
      </c>
      <c r="D2591" t="s">
        <v>1050</v>
      </c>
      <c r="E2591" t="s">
        <v>16255</v>
      </c>
      <c r="J2591" t="s">
        <v>326</v>
      </c>
      <c r="K2591" t="s">
        <v>45</v>
      </c>
      <c r="L2591" t="s">
        <v>72</v>
      </c>
      <c r="N2591" t="s">
        <v>89</v>
      </c>
      <c r="O2591" t="s">
        <v>642</v>
      </c>
      <c r="P2591" t="s">
        <v>848</v>
      </c>
      <c r="T2591" t="s">
        <v>52</v>
      </c>
      <c r="U2591">
        <v>2</v>
      </c>
      <c r="V2591" t="s">
        <v>124</v>
      </c>
      <c r="W2591" t="s">
        <v>16206</v>
      </c>
      <c r="X2591" t="s">
        <v>52</v>
      </c>
      <c r="Y2591" t="s">
        <v>854</v>
      </c>
      <c r="Z2591">
        <v>9069</v>
      </c>
      <c r="AA2591">
        <v>2</v>
      </c>
      <c r="AB2591">
        <v>28</v>
      </c>
      <c r="AC2591" t="s">
        <v>16256</v>
      </c>
      <c r="AD2591" t="s">
        <v>16257</v>
      </c>
      <c r="AE2591" t="s">
        <v>16258</v>
      </c>
      <c r="AJ2591" s="2">
        <v>44321.884756944448</v>
      </c>
      <c r="AK2591" t="s">
        <v>100</v>
      </c>
      <c r="AL2591" t="s">
        <v>862</v>
      </c>
      <c r="AM2591" s="4">
        <v>0.55555555555555558</v>
      </c>
      <c r="AN2591" t="s">
        <v>66</v>
      </c>
      <c r="AO2591" t="s">
        <v>67</v>
      </c>
    </row>
    <row r="2592" spans="1:41" x14ac:dyDescent="0.2">
      <c r="A2592">
        <v>356250</v>
      </c>
      <c r="B2592" t="s">
        <v>16259</v>
      </c>
      <c r="E2592" t="s">
        <v>16260</v>
      </c>
      <c r="G2592" s="1">
        <v>41073</v>
      </c>
      <c r="J2592" t="s">
        <v>326</v>
      </c>
      <c r="K2592" t="s">
        <v>72</v>
      </c>
      <c r="L2592" t="s">
        <v>72</v>
      </c>
      <c r="N2592" t="s">
        <v>89</v>
      </c>
      <c r="O2592" t="s">
        <v>642</v>
      </c>
      <c r="P2592" t="s">
        <v>848</v>
      </c>
      <c r="Q2592" t="s">
        <v>16261</v>
      </c>
      <c r="R2592" t="s">
        <v>16262</v>
      </c>
      <c r="T2592" t="s">
        <v>156</v>
      </c>
      <c r="U2592" t="s">
        <v>1018</v>
      </c>
      <c r="W2592" t="s">
        <v>159</v>
      </c>
      <c r="Y2592" t="s">
        <v>854</v>
      </c>
      <c r="Z2592">
        <v>4126</v>
      </c>
      <c r="AA2592">
        <v>10</v>
      </c>
      <c r="AB2592">
        <v>28</v>
      </c>
      <c r="AC2592" t="s">
        <v>16263</v>
      </c>
      <c r="AD2592" t="s">
        <v>16264</v>
      </c>
      <c r="AE2592" t="s">
        <v>16265</v>
      </c>
      <c r="AJ2592" s="2">
        <v>45302.021874999999</v>
      </c>
      <c r="AK2592" t="s">
        <v>16263</v>
      </c>
      <c r="AL2592" t="s">
        <v>862</v>
      </c>
      <c r="AM2592" s="4">
        <v>0.10416666666666667</v>
      </c>
      <c r="AN2592" t="s">
        <v>16230</v>
      </c>
      <c r="AO2592" t="s">
        <v>67</v>
      </c>
    </row>
    <row r="2593" spans="1:41" x14ac:dyDescent="0.2">
      <c r="A2593">
        <v>340460</v>
      </c>
      <c r="B2593" t="s">
        <v>16266</v>
      </c>
      <c r="C2593" t="s">
        <v>167</v>
      </c>
      <c r="D2593" t="s">
        <v>168</v>
      </c>
      <c r="E2593" t="s">
        <v>16267</v>
      </c>
      <c r="G2593" s="1">
        <v>42324</v>
      </c>
      <c r="H2593" s="1">
        <v>42312</v>
      </c>
      <c r="J2593" t="s">
        <v>326</v>
      </c>
      <c r="K2593" t="s">
        <v>45</v>
      </c>
      <c r="L2593" t="s">
        <v>72</v>
      </c>
      <c r="N2593" t="s">
        <v>89</v>
      </c>
      <c r="O2593" t="s">
        <v>642</v>
      </c>
      <c r="P2593" t="s">
        <v>848</v>
      </c>
      <c r="Q2593" t="s">
        <v>16268</v>
      </c>
      <c r="R2593" t="s">
        <v>16269</v>
      </c>
      <c r="T2593" t="s">
        <v>52</v>
      </c>
      <c r="U2593">
        <v>6</v>
      </c>
      <c r="V2593" t="s">
        <v>172</v>
      </c>
      <c r="W2593" t="s">
        <v>16206</v>
      </c>
      <c r="X2593" t="s">
        <v>52</v>
      </c>
      <c r="Y2593" t="s">
        <v>854</v>
      </c>
      <c r="Z2593">
        <v>8068</v>
      </c>
      <c r="AA2593">
        <v>7</v>
      </c>
      <c r="AB2593">
        <v>78</v>
      </c>
      <c r="AC2593" t="s">
        <v>16270</v>
      </c>
      <c r="AD2593" t="s">
        <v>16271</v>
      </c>
      <c r="AE2593" t="s">
        <v>16079</v>
      </c>
      <c r="AF2593" t="s">
        <v>16272</v>
      </c>
      <c r="AG2593" t="s">
        <v>16273</v>
      </c>
      <c r="AH2593" t="s">
        <v>16274</v>
      </c>
      <c r="AJ2593" s="2">
        <v>44720.602719907409</v>
      </c>
      <c r="AK2593" t="s">
        <v>132</v>
      </c>
      <c r="AL2593" t="s">
        <v>862</v>
      </c>
      <c r="AM2593" s="4">
        <v>0.72222222222222221</v>
      </c>
      <c r="AN2593" t="s">
        <v>66</v>
      </c>
      <c r="AO2593" t="s">
        <v>67</v>
      </c>
    </row>
    <row r="2594" spans="1:41" x14ac:dyDescent="0.2">
      <c r="A2594">
        <v>346903</v>
      </c>
      <c r="B2594" t="s">
        <v>16275</v>
      </c>
      <c r="C2594" t="s">
        <v>182</v>
      </c>
      <c r="D2594" t="s">
        <v>4083</v>
      </c>
      <c r="E2594" t="s">
        <v>16276</v>
      </c>
      <c r="J2594" t="s">
        <v>326</v>
      </c>
      <c r="K2594" t="s">
        <v>72</v>
      </c>
      <c r="L2594" t="s">
        <v>72</v>
      </c>
      <c r="N2594" t="s">
        <v>89</v>
      </c>
      <c r="O2594" t="s">
        <v>642</v>
      </c>
      <c r="P2594" t="s">
        <v>848</v>
      </c>
      <c r="T2594" t="s">
        <v>257</v>
      </c>
      <c r="U2594" t="s">
        <v>640</v>
      </c>
      <c r="V2594" t="s">
        <v>5789</v>
      </c>
      <c r="W2594" t="s">
        <v>260</v>
      </c>
      <c r="X2594" t="s">
        <v>3098</v>
      </c>
      <c r="Y2594" t="s">
        <v>854</v>
      </c>
      <c r="Z2594">
        <v>7066</v>
      </c>
      <c r="AA2594">
        <v>1</v>
      </c>
      <c r="AB2594">
        <v>20</v>
      </c>
      <c r="AC2594" t="s">
        <v>16277</v>
      </c>
      <c r="AD2594" t="s">
        <v>16278</v>
      </c>
      <c r="AE2594" t="s">
        <v>16279</v>
      </c>
      <c r="AF2594" t="s">
        <v>16280</v>
      </c>
      <c r="AG2594" t="s">
        <v>16281</v>
      </c>
      <c r="AH2594" t="s">
        <v>16282</v>
      </c>
      <c r="AJ2594" s="2">
        <v>44993.858449074076</v>
      </c>
      <c r="AK2594" t="s">
        <v>100</v>
      </c>
      <c r="AL2594" t="s">
        <v>862</v>
      </c>
      <c r="AM2594" s="4">
        <v>0.95833333333333337</v>
      </c>
      <c r="AN2594" t="s">
        <v>16230</v>
      </c>
      <c r="AO2594" t="s">
        <v>67</v>
      </c>
    </row>
    <row r="2595" spans="1:41" x14ac:dyDescent="0.2">
      <c r="A2595">
        <v>354803</v>
      </c>
      <c r="B2595" t="s">
        <v>16283</v>
      </c>
      <c r="C2595" t="s">
        <v>103</v>
      </c>
      <c r="E2595" t="s">
        <v>16284</v>
      </c>
      <c r="G2595" s="1">
        <v>42688</v>
      </c>
      <c r="J2595" t="s">
        <v>326</v>
      </c>
      <c r="K2595" t="s">
        <v>45</v>
      </c>
      <c r="L2595" t="s">
        <v>72</v>
      </c>
      <c r="N2595" t="s">
        <v>89</v>
      </c>
      <c r="O2595" t="s">
        <v>642</v>
      </c>
      <c r="P2595" t="s">
        <v>848</v>
      </c>
      <c r="Q2595" t="s">
        <v>16285</v>
      </c>
      <c r="R2595" t="s">
        <v>16286</v>
      </c>
      <c r="S2595">
        <v>1777</v>
      </c>
      <c r="T2595" t="s">
        <v>52</v>
      </c>
      <c r="U2595">
        <v>8</v>
      </c>
      <c r="W2595" t="s">
        <v>16206</v>
      </c>
      <c r="Y2595" t="s">
        <v>854</v>
      </c>
      <c r="Z2595">
        <v>7986</v>
      </c>
      <c r="AA2595">
        <v>7</v>
      </c>
      <c r="AB2595">
        <v>78</v>
      </c>
      <c r="AC2595" t="s">
        <v>16287</v>
      </c>
      <c r="AD2595" t="s">
        <v>16288</v>
      </c>
      <c r="AE2595" t="s">
        <v>16289</v>
      </c>
      <c r="AI2595" t="s">
        <v>16288</v>
      </c>
      <c r="AJ2595" s="2">
        <v>45230.877430555556</v>
      </c>
      <c r="AK2595" t="s">
        <v>100</v>
      </c>
      <c r="AL2595" t="s">
        <v>862</v>
      </c>
      <c r="AM2595" s="4">
        <v>0.63888888888888884</v>
      </c>
      <c r="AN2595" t="s">
        <v>66</v>
      </c>
      <c r="AO2595" t="s">
        <v>67</v>
      </c>
    </row>
    <row r="2596" spans="1:41" x14ac:dyDescent="0.2">
      <c r="A2596">
        <v>367225</v>
      </c>
      <c r="B2596" t="s">
        <v>16290</v>
      </c>
      <c r="C2596" t="s">
        <v>345</v>
      </c>
      <c r="D2596" t="s">
        <v>1050</v>
      </c>
      <c r="E2596" t="s">
        <v>16291</v>
      </c>
      <c r="G2596" s="1">
        <v>45665</v>
      </c>
      <c r="J2596" t="s">
        <v>45</v>
      </c>
      <c r="K2596" t="s">
        <v>45</v>
      </c>
      <c r="L2596" t="s">
        <v>72</v>
      </c>
      <c r="N2596" t="s">
        <v>89</v>
      </c>
      <c r="O2596" t="s">
        <v>642</v>
      </c>
      <c r="P2596" t="s">
        <v>848</v>
      </c>
      <c r="Q2596" t="s">
        <v>16292</v>
      </c>
      <c r="R2596" t="s">
        <v>16293</v>
      </c>
      <c r="S2596">
        <v>5680</v>
      </c>
      <c r="T2596" t="s">
        <v>52</v>
      </c>
      <c r="U2596">
        <v>2</v>
      </c>
      <c r="V2596" t="s">
        <v>124</v>
      </c>
      <c r="W2596" t="s">
        <v>16206</v>
      </c>
      <c r="X2596" t="s">
        <v>52</v>
      </c>
      <c r="Y2596" t="s">
        <v>96</v>
      </c>
      <c r="Z2596">
        <v>12105</v>
      </c>
      <c r="AA2596">
        <v>11</v>
      </c>
      <c r="AB2596">
        <v>210</v>
      </c>
      <c r="AC2596" t="s">
        <v>16263</v>
      </c>
      <c r="AD2596" t="s">
        <v>16264</v>
      </c>
      <c r="AE2596" t="s">
        <v>16265</v>
      </c>
      <c r="AF2596" t="s">
        <v>16294</v>
      </c>
      <c r="AG2596" t="s">
        <v>16295</v>
      </c>
      <c r="AH2596" t="s">
        <v>16296</v>
      </c>
      <c r="AI2596" t="s">
        <v>16264</v>
      </c>
      <c r="AJ2596" s="2">
        <v>45665.983854166669</v>
      </c>
      <c r="AK2596" t="s">
        <v>16263</v>
      </c>
      <c r="AL2596" t="s">
        <v>65</v>
      </c>
      <c r="AM2596" s="4">
        <v>0.59027777777777779</v>
      </c>
      <c r="AN2596" t="s">
        <v>66</v>
      </c>
      <c r="AO2596" t="s">
        <v>67</v>
      </c>
    </row>
    <row r="2597" spans="1:41" x14ac:dyDescent="0.2">
      <c r="A2597">
        <v>359992</v>
      </c>
      <c r="B2597" t="s">
        <v>16297</v>
      </c>
      <c r="C2597" t="s">
        <v>345</v>
      </c>
      <c r="D2597" t="s">
        <v>1050</v>
      </c>
      <c r="E2597" t="s">
        <v>16298</v>
      </c>
      <c r="J2597" t="s">
        <v>72</v>
      </c>
      <c r="K2597" t="s">
        <v>45</v>
      </c>
      <c r="L2597" t="s">
        <v>72</v>
      </c>
      <c r="N2597" t="s">
        <v>89</v>
      </c>
      <c r="O2597" t="s">
        <v>642</v>
      </c>
      <c r="P2597" t="s">
        <v>848</v>
      </c>
      <c r="Q2597" t="s">
        <v>16292</v>
      </c>
      <c r="R2597" t="s">
        <v>16293</v>
      </c>
      <c r="S2597">
        <v>5680</v>
      </c>
      <c r="T2597" t="s">
        <v>52</v>
      </c>
      <c r="U2597">
        <v>2</v>
      </c>
      <c r="V2597" t="s">
        <v>124</v>
      </c>
      <c r="W2597" t="s">
        <v>16206</v>
      </c>
      <c r="X2597" t="s">
        <v>52</v>
      </c>
      <c r="Y2597" t="s">
        <v>96</v>
      </c>
      <c r="Z2597">
        <v>12104</v>
      </c>
      <c r="AA2597">
        <v>9</v>
      </c>
      <c r="AB2597">
        <v>210</v>
      </c>
      <c r="AC2597" t="s">
        <v>16263</v>
      </c>
      <c r="AD2597" t="s">
        <v>16264</v>
      </c>
      <c r="AE2597" t="s">
        <v>16265</v>
      </c>
      <c r="AF2597" t="s">
        <v>16299</v>
      </c>
      <c r="AG2597" t="s">
        <v>16295</v>
      </c>
      <c r="AH2597" t="s">
        <v>16296</v>
      </c>
      <c r="AI2597" t="s">
        <v>16264</v>
      </c>
      <c r="AJ2597" s="2">
        <v>45406.711273148147</v>
      </c>
      <c r="AK2597" t="s">
        <v>16300</v>
      </c>
      <c r="AL2597" t="s">
        <v>65</v>
      </c>
      <c r="AM2597" s="4">
        <v>0.58333333333333337</v>
      </c>
      <c r="AN2597" t="s">
        <v>66</v>
      </c>
      <c r="AO2597" t="s">
        <v>67</v>
      </c>
    </row>
    <row r="2598" spans="1:41" x14ac:dyDescent="0.2">
      <c r="A2598">
        <v>360901</v>
      </c>
      <c r="B2598" t="s">
        <v>16301</v>
      </c>
      <c r="C2598" t="s">
        <v>345</v>
      </c>
      <c r="D2598" t="s">
        <v>1050</v>
      </c>
      <c r="E2598" t="s">
        <v>16302</v>
      </c>
      <c r="J2598" t="s">
        <v>326</v>
      </c>
      <c r="K2598" t="s">
        <v>45</v>
      </c>
      <c r="L2598" t="s">
        <v>72</v>
      </c>
      <c r="N2598" t="s">
        <v>89</v>
      </c>
      <c r="O2598" t="s">
        <v>642</v>
      </c>
      <c r="P2598" t="s">
        <v>848</v>
      </c>
      <c r="T2598" t="s">
        <v>52</v>
      </c>
      <c r="U2598">
        <v>2</v>
      </c>
      <c r="V2598" t="s">
        <v>124</v>
      </c>
      <c r="W2598" t="s">
        <v>16206</v>
      </c>
      <c r="X2598" t="s">
        <v>52</v>
      </c>
      <c r="Y2598" t="s">
        <v>854</v>
      </c>
      <c r="Z2598">
        <v>9066</v>
      </c>
      <c r="AA2598">
        <v>5</v>
      </c>
      <c r="AB2598">
        <v>28</v>
      </c>
      <c r="AC2598" t="s">
        <v>16263</v>
      </c>
      <c r="AD2598" t="s">
        <v>16264</v>
      </c>
      <c r="AE2598" t="s">
        <v>16265</v>
      </c>
      <c r="AF2598" t="s">
        <v>16299</v>
      </c>
      <c r="AG2598" t="s">
        <v>16303</v>
      </c>
      <c r="AH2598" t="s">
        <v>16296</v>
      </c>
      <c r="AI2598" t="s">
        <v>16264</v>
      </c>
      <c r="AJ2598" s="2">
        <v>45437.170023148145</v>
      </c>
      <c r="AK2598" t="s">
        <v>16263</v>
      </c>
      <c r="AL2598" t="s">
        <v>862</v>
      </c>
      <c r="AM2598" s="4">
        <v>0.53472222222222221</v>
      </c>
      <c r="AN2598" t="s">
        <v>66</v>
      </c>
      <c r="AO2598" t="s">
        <v>67</v>
      </c>
    </row>
    <row r="2599" spans="1:41" x14ac:dyDescent="0.2">
      <c r="A2599">
        <v>359991</v>
      </c>
      <c r="B2599" t="s">
        <v>16304</v>
      </c>
      <c r="C2599" t="s">
        <v>345</v>
      </c>
      <c r="D2599" t="s">
        <v>1050</v>
      </c>
      <c r="E2599" t="s">
        <v>16305</v>
      </c>
      <c r="J2599" t="s">
        <v>72</v>
      </c>
      <c r="K2599" t="s">
        <v>45</v>
      </c>
      <c r="L2599" t="s">
        <v>72</v>
      </c>
      <c r="N2599" t="s">
        <v>89</v>
      </c>
      <c r="O2599" t="s">
        <v>642</v>
      </c>
      <c r="P2599" t="s">
        <v>848</v>
      </c>
      <c r="Q2599" t="s">
        <v>16292</v>
      </c>
      <c r="R2599" t="s">
        <v>16293</v>
      </c>
      <c r="S2599">
        <v>5680</v>
      </c>
      <c r="T2599" t="s">
        <v>52</v>
      </c>
      <c r="U2599">
        <v>2</v>
      </c>
      <c r="V2599" t="s">
        <v>124</v>
      </c>
      <c r="W2599" t="s">
        <v>16206</v>
      </c>
      <c r="X2599" t="s">
        <v>52</v>
      </c>
      <c r="Y2599" t="s">
        <v>96</v>
      </c>
      <c r="Z2599">
        <v>12103</v>
      </c>
      <c r="AA2599">
        <v>5</v>
      </c>
      <c r="AB2599">
        <v>210</v>
      </c>
      <c r="AC2599" t="s">
        <v>16263</v>
      </c>
      <c r="AD2599" t="s">
        <v>16264</v>
      </c>
      <c r="AE2599" t="s">
        <v>16265</v>
      </c>
      <c r="AF2599" t="s">
        <v>16299</v>
      </c>
      <c r="AG2599" t="s">
        <v>16295</v>
      </c>
      <c r="AH2599" t="s">
        <v>16296</v>
      </c>
      <c r="AI2599" t="s">
        <v>16264</v>
      </c>
      <c r="AJ2599" s="2">
        <v>45406.710821759261</v>
      </c>
      <c r="AK2599" t="s">
        <v>16300</v>
      </c>
      <c r="AL2599" t="s">
        <v>65</v>
      </c>
      <c r="AM2599" s="4">
        <v>0.57638888888888884</v>
      </c>
      <c r="AN2599" t="s">
        <v>66</v>
      </c>
      <c r="AO2599" t="s">
        <v>67</v>
      </c>
    </row>
    <row r="2600" spans="1:41" x14ac:dyDescent="0.2">
      <c r="A2600">
        <v>359990</v>
      </c>
      <c r="B2600" t="s">
        <v>16306</v>
      </c>
      <c r="C2600" t="s">
        <v>345</v>
      </c>
      <c r="D2600" t="s">
        <v>1050</v>
      </c>
      <c r="E2600" t="s">
        <v>16307</v>
      </c>
      <c r="J2600" t="s">
        <v>72</v>
      </c>
      <c r="K2600" t="s">
        <v>45</v>
      </c>
      <c r="L2600" t="s">
        <v>72</v>
      </c>
      <c r="N2600" t="s">
        <v>89</v>
      </c>
      <c r="O2600" t="s">
        <v>642</v>
      </c>
      <c r="P2600" t="s">
        <v>848</v>
      </c>
      <c r="Q2600" t="s">
        <v>16292</v>
      </c>
      <c r="R2600" t="s">
        <v>16293</v>
      </c>
      <c r="S2600">
        <v>5680</v>
      </c>
      <c r="T2600" t="s">
        <v>52</v>
      </c>
      <c r="U2600">
        <v>2</v>
      </c>
      <c r="V2600" t="s">
        <v>124</v>
      </c>
      <c r="W2600" t="s">
        <v>16206</v>
      </c>
      <c r="X2600" t="s">
        <v>52</v>
      </c>
      <c r="Y2600" t="s">
        <v>96</v>
      </c>
      <c r="Z2600">
        <v>12102</v>
      </c>
      <c r="AA2600">
        <v>8</v>
      </c>
      <c r="AB2600">
        <v>210</v>
      </c>
      <c r="AC2600" t="s">
        <v>16263</v>
      </c>
      <c r="AD2600" t="s">
        <v>16264</v>
      </c>
      <c r="AE2600" t="s">
        <v>16265</v>
      </c>
      <c r="AF2600" t="s">
        <v>16299</v>
      </c>
      <c r="AG2600" t="s">
        <v>16295</v>
      </c>
      <c r="AH2600" t="s">
        <v>16296</v>
      </c>
      <c r="AI2600" t="s">
        <v>16264</v>
      </c>
      <c r="AJ2600" s="2">
        <v>45406.710324074076</v>
      </c>
      <c r="AK2600" t="s">
        <v>16300</v>
      </c>
      <c r="AL2600" t="s">
        <v>65</v>
      </c>
      <c r="AM2600" s="4">
        <v>0.56944444444444442</v>
      </c>
      <c r="AN2600" t="s">
        <v>66</v>
      </c>
      <c r="AO2600" t="s">
        <v>67</v>
      </c>
    </row>
    <row r="2601" spans="1:41" x14ac:dyDescent="0.2">
      <c r="A2601">
        <v>359989</v>
      </c>
      <c r="B2601" t="s">
        <v>16308</v>
      </c>
      <c r="C2601" t="s">
        <v>345</v>
      </c>
      <c r="D2601" t="s">
        <v>1050</v>
      </c>
      <c r="E2601" t="s">
        <v>16309</v>
      </c>
      <c r="H2601" s="1">
        <v>41513</v>
      </c>
      <c r="J2601" t="s">
        <v>326</v>
      </c>
      <c r="K2601" t="s">
        <v>72</v>
      </c>
      <c r="L2601" t="s">
        <v>72</v>
      </c>
      <c r="N2601" t="s">
        <v>89</v>
      </c>
      <c r="O2601" t="s">
        <v>642</v>
      </c>
      <c r="P2601" t="s">
        <v>848</v>
      </c>
      <c r="Q2601" t="s">
        <v>16292</v>
      </c>
      <c r="R2601" t="s">
        <v>16293</v>
      </c>
      <c r="S2601">
        <v>5680</v>
      </c>
      <c r="T2601" t="s">
        <v>52</v>
      </c>
      <c r="U2601">
        <v>2</v>
      </c>
      <c r="V2601" t="s">
        <v>124</v>
      </c>
      <c r="W2601" t="s">
        <v>16206</v>
      </c>
      <c r="X2601" t="s">
        <v>52</v>
      </c>
      <c r="Y2601" t="s">
        <v>854</v>
      </c>
      <c r="Z2601">
        <v>3666</v>
      </c>
      <c r="AA2601">
        <v>51</v>
      </c>
      <c r="AB2601">
        <v>30</v>
      </c>
      <c r="AC2601" t="s">
        <v>16263</v>
      </c>
      <c r="AD2601" t="s">
        <v>16264</v>
      </c>
      <c r="AE2601" t="s">
        <v>16265</v>
      </c>
      <c r="AF2601" t="s">
        <v>16299</v>
      </c>
      <c r="AG2601" t="s">
        <v>16295</v>
      </c>
      <c r="AH2601" t="s">
        <v>16296</v>
      </c>
      <c r="AI2601" t="s">
        <v>16264</v>
      </c>
      <c r="AJ2601" s="2">
        <v>45406.709780092591</v>
      </c>
      <c r="AK2601" t="s">
        <v>16300</v>
      </c>
      <c r="AL2601" t="s">
        <v>862</v>
      </c>
      <c r="AM2601" s="4">
        <v>0.27083333333333331</v>
      </c>
      <c r="AN2601" t="s">
        <v>66</v>
      </c>
      <c r="AO2601" t="s">
        <v>67</v>
      </c>
    </row>
    <row r="2602" spans="1:41" x14ac:dyDescent="0.2">
      <c r="A2602">
        <v>359988</v>
      </c>
      <c r="B2602" t="s">
        <v>16310</v>
      </c>
      <c r="C2602" t="s">
        <v>345</v>
      </c>
      <c r="D2602" t="s">
        <v>168</v>
      </c>
      <c r="E2602" t="s">
        <v>16311</v>
      </c>
      <c r="J2602" t="s">
        <v>326</v>
      </c>
      <c r="K2602" t="s">
        <v>72</v>
      </c>
      <c r="L2602" t="s">
        <v>72</v>
      </c>
      <c r="N2602" t="s">
        <v>89</v>
      </c>
      <c r="O2602" t="s">
        <v>642</v>
      </c>
      <c r="P2602" t="s">
        <v>848</v>
      </c>
      <c r="Q2602" t="s">
        <v>16292</v>
      </c>
      <c r="R2602" t="s">
        <v>16293</v>
      </c>
      <c r="S2602">
        <v>5680</v>
      </c>
      <c r="T2602" t="s">
        <v>52</v>
      </c>
      <c r="U2602">
        <v>2</v>
      </c>
      <c r="V2602" t="s">
        <v>124</v>
      </c>
      <c r="W2602" t="s">
        <v>16206</v>
      </c>
      <c r="X2602" t="s">
        <v>52</v>
      </c>
      <c r="Y2602" t="s">
        <v>854</v>
      </c>
      <c r="Z2602">
        <v>3907</v>
      </c>
      <c r="AA2602">
        <v>46</v>
      </c>
      <c r="AB2602">
        <v>30</v>
      </c>
      <c r="AC2602" t="s">
        <v>16263</v>
      </c>
      <c r="AD2602" t="s">
        <v>16264</v>
      </c>
      <c r="AE2602" t="s">
        <v>16265</v>
      </c>
      <c r="AF2602" t="s">
        <v>16299</v>
      </c>
      <c r="AG2602" t="s">
        <v>16295</v>
      </c>
      <c r="AH2602" t="s">
        <v>16296</v>
      </c>
      <c r="AI2602" t="s">
        <v>16264</v>
      </c>
      <c r="AJ2602" s="2">
        <v>45406.709247685183</v>
      </c>
      <c r="AK2602" t="s">
        <v>16300</v>
      </c>
      <c r="AL2602" t="s">
        <v>65</v>
      </c>
      <c r="AM2602" s="4">
        <v>0.27777777777777779</v>
      </c>
      <c r="AN2602" t="s">
        <v>66</v>
      </c>
      <c r="AO2602" t="s">
        <v>67</v>
      </c>
    </row>
    <row r="2603" spans="1:41" x14ac:dyDescent="0.2">
      <c r="A2603">
        <v>359987</v>
      </c>
      <c r="B2603" t="s">
        <v>16312</v>
      </c>
      <c r="C2603" t="s">
        <v>345</v>
      </c>
      <c r="D2603" t="s">
        <v>1050</v>
      </c>
      <c r="E2603" t="s">
        <v>16313</v>
      </c>
      <c r="H2603" s="1">
        <v>41481</v>
      </c>
      <c r="J2603" t="s">
        <v>326</v>
      </c>
      <c r="K2603" t="s">
        <v>72</v>
      </c>
      <c r="L2603" t="s">
        <v>72</v>
      </c>
      <c r="N2603" t="s">
        <v>89</v>
      </c>
      <c r="O2603" t="s">
        <v>642</v>
      </c>
      <c r="P2603" t="s">
        <v>848</v>
      </c>
      <c r="Q2603" t="s">
        <v>16292</v>
      </c>
      <c r="R2603" t="s">
        <v>16293</v>
      </c>
      <c r="S2603">
        <v>5680</v>
      </c>
      <c r="T2603" t="s">
        <v>52</v>
      </c>
      <c r="U2603">
        <v>2</v>
      </c>
      <c r="V2603" t="s">
        <v>124</v>
      </c>
      <c r="W2603" t="s">
        <v>16206</v>
      </c>
      <c r="X2603" t="s">
        <v>52</v>
      </c>
      <c r="Y2603" t="s">
        <v>854</v>
      </c>
      <c r="Z2603">
        <v>5326</v>
      </c>
      <c r="AA2603">
        <v>53</v>
      </c>
      <c r="AB2603">
        <v>34</v>
      </c>
      <c r="AC2603" t="s">
        <v>16263</v>
      </c>
      <c r="AD2603" t="s">
        <v>16264</v>
      </c>
      <c r="AE2603" t="s">
        <v>16265</v>
      </c>
      <c r="AF2603" t="s">
        <v>16299</v>
      </c>
      <c r="AG2603" t="s">
        <v>16314</v>
      </c>
      <c r="AH2603" t="s">
        <v>16296</v>
      </c>
      <c r="AI2603" t="s">
        <v>16264</v>
      </c>
      <c r="AJ2603" s="2">
        <v>45406.708553240744</v>
      </c>
      <c r="AK2603" t="s">
        <v>16300</v>
      </c>
      <c r="AL2603" t="s">
        <v>862</v>
      </c>
      <c r="AM2603" s="4">
        <v>0.89583333333333337</v>
      </c>
      <c r="AN2603" t="s">
        <v>66</v>
      </c>
      <c r="AO2603" t="s">
        <v>67</v>
      </c>
    </row>
    <row r="2604" spans="1:41" x14ac:dyDescent="0.2">
      <c r="A2604">
        <v>359986</v>
      </c>
      <c r="B2604" t="s">
        <v>16315</v>
      </c>
      <c r="C2604" t="s">
        <v>345</v>
      </c>
      <c r="D2604" t="s">
        <v>1050</v>
      </c>
      <c r="E2604" t="s">
        <v>16316</v>
      </c>
      <c r="G2604" s="1">
        <v>41310</v>
      </c>
      <c r="H2604" s="1">
        <v>41513</v>
      </c>
      <c r="J2604" t="s">
        <v>326</v>
      </c>
      <c r="K2604" t="s">
        <v>72</v>
      </c>
      <c r="L2604" t="s">
        <v>72</v>
      </c>
      <c r="N2604" t="s">
        <v>89</v>
      </c>
      <c r="O2604" t="s">
        <v>642</v>
      </c>
      <c r="P2604" t="s">
        <v>848</v>
      </c>
      <c r="Q2604" t="s">
        <v>16292</v>
      </c>
      <c r="R2604" t="s">
        <v>16293</v>
      </c>
      <c r="S2604">
        <v>5680</v>
      </c>
      <c r="T2604" t="s">
        <v>52</v>
      </c>
      <c r="U2604">
        <v>2</v>
      </c>
      <c r="V2604" t="s">
        <v>124</v>
      </c>
      <c r="W2604" t="s">
        <v>16206</v>
      </c>
      <c r="X2604" t="s">
        <v>52</v>
      </c>
      <c r="Y2604" t="s">
        <v>854</v>
      </c>
      <c r="Z2604">
        <v>5327</v>
      </c>
      <c r="AA2604">
        <v>42</v>
      </c>
      <c r="AB2604">
        <v>34</v>
      </c>
      <c r="AC2604" t="s">
        <v>16263</v>
      </c>
      <c r="AD2604" t="s">
        <v>16317</v>
      </c>
      <c r="AE2604" t="s">
        <v>16265</v>
      </c>
      <c r="AF2604" t="s">
        <v>16299</v>
      </c>
      <c r="AG2604" t="s">
        <v>16318</v>
      </c>
      <c r="AH2604" t="s">
        <v>16296</v>
      </c>
      <c r="AI2604" t="s">
        <v>16264</v>
      </c>
      <c r="AJ2604" s="2">
        <v>45406.707870370374</v>
      </c>
      <c r="AK2604" t="s">
        <v>16300</v>
      </c>
      <c r="AL2604" t="s">
        <v>65</v>
      </c>
      <c r="AM2604" s="4">
        <v>0.90277777777777779</v>
      </c>
      <c r="AN2604" t="s">
        <v>66</v>
      </c>
      <c r="AO2604" t="s">
        <v>67</v>
      </c>
    </row>
    <row r="2605" spans="1:41" x14ac:dyDescent="0.2">
      <c r="A2605">
        <v>359985</v>
      </c>
      <c r="B2605" t="s">
        <v>16319</v>
      </c>
      <c r="C2605" t="s">
        <v>345</v>
      </c>
      <c r="D2605" t="s">
        <v>1050</v>
      </c>
      <c r="E2605" t="s">
        <v>16320</v>
      </c>
      <c r="J2605" t="s">
        <v>326</v>
      </c>
      <c r="K2605" t="s">
        <v>72</v>
      </c>
      <c r="L2605" t="s">
        <v>72</v>
      </c>
      <c r="N2605" t="s">
        <v>89</v>
      </c>
      <c r="O2605" t="s">
        <v>642</v>
      </c>
      <c r="P2605" t="s">
        <v>848</v>
      </c>
      <c r="Q2605" t="s">
        <v>16292</v>
      </c>
      <c r="R2605" t="s">
        <v>16293</v>
      </c>
      <c r="S2605">
        <v>5680</v>
      </c>
      <c r="T2605" t="s">
        <v>52</v>
      </c>
      <c r="U2605">
        <v>2</v>
      </c>
      <c r="V2605" t="s">
        <v>124</v>
      </c>
      <c r="W2605" t="s">
        <v>16206</v>
      </c>
      <c r="X2605" t="s">
        <v>52</v>
      </c>
      <c r="Y2605" t="s">
        <v>854</v>
      </c>
      <c r="Z2605">
        <v>9926</v>
      </c>
      <c r="AA2605">
        <v>4</v>
      </c>
      <c r="AB2605">
        <v>78</v>
      </c>
      <c r="AC2605" t="s">
        <v>16263</v>
      </c>
      <c r="AD2605" t="s">
        <v>16264</v>
      </c>
      <c r="AE2605" t="s">
        <v>16265</v>
      </c>
      <c r="AF2605" t="s">
        <v>16321</v>
      </c>
      <c r="AG2605" t="s">
        <v>16295</v>
      </c>
      <c r="AH2605" t="s">
        <v>16296</v>
      </c>
      <c r="AI2605" t="s">
        <v>16264</v>
      </c>
      <c r="AJ2605" s="2">
        <v>45406.705196759256</v>
      </c>
      <c r="AK2605" t="s">
        <v>16300</v>
      </c>
      <c r="AL2605" t="s">
        <v>862</v>
      </c>
      <c r="AM2605" s="4">
        <v>0.31944444444444442</v>
      </c>
      <c r="AN2605" t="s">
        <v>16230</v>
      </c>
      <c r="AO2605" t="s">
        <v>67</v>
      </c>
    </row>
    <row r="2606" spans="1:41" x14ac:dyDescent="0.2">
      <c r="A2606">
        <v>359984</v>
      </c>
      <c r="B2606" t="s">
        <v>16322</v>
      </c>
      <c r="C2606" t="s">
        <v>345</v>
      </c>
      <c r="D2606" t="s">
        <v>1050</v>
      </c>
      <c r="E2606" t="s">
        <v>16323</v>
      </c>
      <c r="J2606" t="s">
        <v>326</v>
      </c>
      <c r="K2606" t="s">
        <v>72</v>
      </c>
      <c r="L2606" t="s">
        <v>72</v>
      </c>
      <c r="N2606" t="s">
        <v>89</v>
      </c>
      <c r="O2606" t="s">
        <v>642</v>
      </c>
      <c r="P2606" t="s">
        <v>848</v>
      </c>
      <c r="Q2606" t="s">
        <v>16292</v>
      </c>
      <c r="R2606" t="s">
        <v>16293</v>
      </c>
      <c r="S2606">
        <v>5680</v>
      </c>
      <c r="T2606" t="s">
        <v>52</v>
      </c>
      <c r="U2606">
        <v>2</v>
      </c>
      <c r="V2606" t="s">
        <v>124</v>
      </c>
      <c r="W2606" t="s">
        <v>16206</v>
      </c>
      <c r="X2606" t="s">
        <v>52</v>
      </c>
      <c r="Y2606" t="s">
        <v>854</v>
      </c>
      <c r="Z2606">
        <v>6106</v>
      </c>
      <c r="AA2606">
        <v>9</v>
      </c>
      <c r="AB2606">
        <v>28</v>
      </c>
      <c r="AC2606" t="s">
        <v>16263</v>
      </c>
      <c r="AD2606" t="s">
        <v>16324</v>
      </c>
      <c r="AE2606" t="s">
        <v>16265</v>
      </c>
      <c r="AF2606" t="s">
        <v>16299</v>
      </c>
      <c r="AG2606" t="s">
        <v>16325</v>
      </c>
      <c r="AH2606" t="s">
        <v>16296</v>
      </c>
      <c r="AI2606" t="s">
        <v>16264</v>
      </c>
      <c r="AJ2606" s="2">
        <v>45406.704409722224</v>
      </c>
      <c r="AK2606" t="s">
        <v>16300</v>
      </c>
      <c r="AL2606" t="s">
        <v>862</v>
      </c>
      <c r="AM2606" s="4">
        <v>0.34027777777777779</v>
      </c>
      <c r="AN2606" t="s">
        <v>66</v>
      </c>
      <c r="AO2606" t="s">
        <v>67</v>
      </c>
    </row>
    <row r="2607" spans="1:41" x14ac:dyDescent="0.2">
      <c r="A2607">
        <v>370817</v>
      </c>
      <c r="B2607" t="s">
        <v>16326</v>
      </c>
      <c r="C2607" t="s">
        <v>345</v>
      </c>
      <c r="D2607" t="s">
        <v>1050</v>
      </c>
      <c r="E2607" t="s">
        <v>16327</v>
      </c>
      <c r="J2607" t="s">
        <v>326</v>
      </c>
      <c r="K2607" t="s">
        <v>45</v>
      </c>
      <c r="L2607" t="s">
        <v>72</v>
      </c>
      <c r="N2607" t="s">
        <v>89</v>
      </c>
      <c r="O2607" t="s">
        <v>642</v>
      </c>
      <c r="P2607" t="s">
        <v>848</v>
      </c>
      <c r="Q2607" t="s">
        <v>16328</v>
      </c>
      <c r="R2607" t="s">
        <v>16293</v>
      </c>
      <c r="S2607">
        <v>5680</v>
      </c>
      <c r="T2607" t="s">
        <v>52</v>
      </c>
      <c r="U2607">
        <v>2</v>
      </c>
      <c r="V2607" t="s">
        <v>124</v>
      </c>
      <c r="W2607" t="s">
        <v>16206</v>
      </c>
      <c r="X2607" t="s">
        <v>52</v>
      </c>
      <c r="Y2607" t="s">
        <v>854</v>
      </c>
      <c r="Z2607">
        <v>6788</v>
      </c>
      <c r="AA2607">
        <v>6</v>
      </c>
      <c r="AB2607">
        <v>78</v>
      </c>
      <c r="AC2607" t="s">
        <v>16263</v>
      </c>
      <c r="AD2607" t="s">
        <v>16264</v>
      </c>
      <c r="AE2607" t="s">
        <v>16265</v>
      </c>
      <c r="AF2607" t="s">
        <v>16299</v>
      </c>
      <c r="AG2607" t="s">
        <v>16295</v>
      </c>
      <c r="AH2607" t="s">
        <v>16296</v>
      </c>
      <c r="AI2607" t="s">
        <v>16264</v>
      </c>
      <c r="AJ2607" s="2">
        <v>45784.946412037039</v>
      </c>
      <c r="AK2607" t="s">
        <v>2068</v>
      </c>
      <c r="AL2607" t="s">
        <v>862</v>
      </c>
      <c r="AM2607" s="4">
        <v>0.2013888888888889</v>
      </c>
      <c r="AN2607" t="s">
        <v>66</v>
      </c>
      <c r="AO2607" t="s">
        <v>67</v>
      </c>
    </row>
    <row r="2608" spans="1:41" x14ac:dyDescent="0.2">
      <c r="A2608">
        <v>360002</v>
      </c>
      <c r="B2608" t="s">
        <v>16329</v>
      </c>
      <c r="C2608" t="s">
        <v>345</v>
      </c>
      <c r="D2608" t="s">
        <v>1050</v>
      </c>
      <c r="E2608" t="s">
        <v>16330</v>
      </c>
      <c r="J2608" t="s">
        <v>326</v>
      </c>
      <c r="K2608" t="s">
        <v>72</v>
      </c>
      <c r="L2608" t="s">
        <v>72</v>
      </c>
      <c r="N2608" t="s">
        <v>89</v>
      </c>
      <c r="O2608" t="s">
        <v>642</v>
      </c>
      <c r="P2608" t="s">
        <v>848</v>
      </c>
      <c r="Q2608" t="s">
        <v>16328</v>
      </c>
      <c r="R2608" t="s">
        <v>16293</v>
      </c>
      <c r="S2608">
        <v>5680</v>
      </c>
      <c r="T2608" t="s">
        <v>52</v>
      </c>
      <c r="U2608">
        <v>2</v>
      </c>
      <c r="V2608" t="s">
        <v>124</v>
      </c>
      <c r="W2608" t="s">
        <v>16206</v>
      </c>
      <c r="X2608" t="s">
        <v>52</v>
      </c>
      <c r="Y2608" t="s">
        <v>854</v>
      </c>
      <c r="Z2608">
        <v>10151</v>
      </c>
      <c r="AA2608">
        <v>5</v>
      </c>
      <c r="AB2608">
        <v>78</v>
      </c>
      <c r="AC2608" t="s">
        <v>16263</v>
      </c>
      <c r="AD2608" t="s">
        <v>16264</v>
      </c>
      <c r="AE2608" t="s">
        <v>16265</v>
      </c>
      <c r="AF2608" t="s">
        <v>16299</v>
      </c>
      <c r="AG2608" t="s">
        <v>16295</v>
      </c>
      <c r="AH2608" t="s">
        <v>16296</v>
      </c>
      <c r="AI2608" t="s">
        <v>16264</v>
      </c>
      <c r="AJ2608" s="2">
        <v>45406.717928240738</v>
      </c>
      <c r="AK2608" t="s">
        <v>16300</v>
      </c>
      <c r="AL2608" t="s">
        <v>862</v>
      </c>
      <c r="AM2608" s="3">
        <v>1.8402777777777777</v>
      </c>
      <c r="AN2608" t="s">
        <v>66</v>
      </c>
      <c r="AO2608" t="s">
        <v>67</v>
      </c>
    </row>
    <row r="2609" spans="1:41" x14ac:dyDescent="0.2">
      <c r="A2609">
        <v>360001</v>
      </c>
      <c r="B2609" t="s">
        <v>16331</v>
      </c>
      <c r="C2609" t="s">
        <v>345</v>
      </c>
      <c r="D2609" t="s">
        <v>1050</v>
      </c>
      <c r="E2609" t="s">
        <v>16332</v>
      </c>
      <c r="H2609" s="1">
        <v>41471</v>
      </c>
      <c r="J2609" t="s">
        <v>326</v>
      </c>
      <c r="K2609" t="s">
        <v>45</v>
      </c>
      <c r="L2609" t="s">
        <v>72</v>
      </c>
      <c r="N2609" t="s">
        <v>89</v>
      </c>
      <c r="O2609" t="s">
        <v>642</v>
      </c>
      <c r="P2609" t="s">
        <v>848</v>
      </c>
      <c r="Q2609" t="s">
        <v>16328</v>
      </c>
      <c r="R2609" t="s">
        <v>16293</v>
      </c>
      <c r="S2609">
        <v>5680</v>
      </c>
      <c r="T2609" t="s">
        <v>52</v>
      </c>
      <c r="U2609">
        <v>2</v>
      </c>
      <c r="V2609" t="s">
        <v>124</v>
      </c>
      <c r="W2609" t="s">
        <v>16206</v>
      </c>
      <c r="X2609" t="s">
        <v>52</v>
      </c>
      <c r="Y2609" t="s">
        <v>854</v>
      </c>
      <c r="Z2609">
        <v>3886</v>
      </c>
      <c r="AA2609">
        <v>65</v>
      </c>
      <c r="AB2609">
        <v>30</v>
      </c>
      <c r="AC2609" t="s">
        <v>16263</v>
      </c>
      <c r="AD2609" t="s">
        <v>16264</v>
      </c>
      <c r="AE2609" t="s">
        <v>16265</v>
      </c>
      <c r="AF2609" t="s">
        <v>16299</v>
      </c>
      <c r="AG2609" t="s">
        <v>16295</v>
      </c>
      <c r="AH2609" t="s">
        <v>16296</v>
      </c>
      <c r="AI2609" t="s">
        <v>16264</v>
      </c>
      <c r="AJ2609" s="2">
        <v>45406.71670138889</v>
      </c>
      <c r="AK2609" t="s">
        <v>16300</v>
      </c>
      <c r="AL2609" t="s">
        <v>862</v>
      </c>
      <c r="AM2609" s="4">
        <v>0.25694444444444442</v>
      </c>
      <c r="AN2609" t="s">
        <v>66</v>
      </c>
      <c r="AO2609" t="s">
        <v>67</v>
      </c>
    </row>
    <row r="2610" spans="1:41" x14ac:dyDescent="0.2">
      <c r="A2610">
        <v>360000</v>
      </c>
      <c r="B2610" t="s">
        <v>16333</v>
      </c>
      <c r="C2610" t="s">
        <v>345</v>
      </c>
      <c r="D2610" t="s">
        <v>1050</v>
      </c>
      <c r="E2610" t="s">
        <v>16334</v>
      </c>
      <c r="H2610" s="1">
        <v>41527</v>
      </c>
      <c r="J2610" t="s">
        <v>326</v>
      </c>
      <c r="K2610" t="s">
        <v>72</v>
      </c>
      <c r="L2610" t="s">
        <v>72</v>
      </c>
      <c r="N2610" t="s">
        <v>89</v>
      </c>
      <c r="O2610" t="s">
        <v>642</v>
      </c>
      <c r="P2610" t="s">
        <v>848</v>
      </c>
      <c r="Q2610" t="s">
        <v>16328</v>
      </c>
      <c r="R2610" t="s">
        <v>16293</v>
      </c>
      <c r="S2610">
        <v>5680</v>
      </c>
      <c r="T2610" t="s">
        <v>52</v>
      </c>
      <c r="U2610">
        <v>2</v>
      </c>
      <c r="V2610" t="s">
        <v>124</v>
      </c>
      <c r="W2610" t="s">
        <v>16206</v>
      </c>
      <c r="X2610" t="s">
        <v>52</v>
      </c>
      <c r="Y2610" t="s">
        <v>854</v>
      </c>
      <c r="Z2610">
        <v>3906</v>
      </c>
      <c r="AA2610">
        <v>42</v>
      </c>
      <c r="AB2610">
        <v>30</v>
      </c>
      <c r="AC2610" t="s">
        <v>16263</v>
      </c>
      <c r="AD2610" t="s">
        <v>16264</v>
      </c>
      <c r="AE2610" t="s">
        <v>16265</v>
      </c>
      <c r="AF2610" t="s">
        <v>16299</v>
      </c>
      <c r="AG2610" t="s">
        <v>16295</v>
      </c>
      <c r="AH2610" t="s">
        <v>16296</v>
      </c>
      <c r="AI2610" t="s">
        <v>16264</v>
      </c>
      <c r="AJ2610" s="2">
        <v>45406.716006944444</v>
      </c>
      <c r="AK2610" t="s">
        <v>16300</v>
      </c>
      <c r="AL2610" t="s">
        <v>862</v>
      </c>
      <c r="AM2610" s="4">
        <v>0.29166666666666669</v>
      </c>
      <c r="AN2610" t="s">
        <v>66</v>
      </c>
      <c r="AO2610" t="s">
        <v>67</v>
      </c>
    </row>
    <row r="2611" spans="1:41" x14ac:dyDescent="0.2">
      <c r="A2611">
        <v>359999</v>
      </c>
      <c r="B2611" t="s">
        <v>16335</v>
      </c>
      <c r="C2611" t="s">
        <v>345</v>
      </c>
      <c r="D2611" t="s">
        <v>1050</v>
      </c>
      <c r="E2611" t="s">
        <v>16336</v>
      </c>
      <c r="H2611" s="1">
        <v>41527</v>
      </c>
      <c r="J2611" t="s">
        <v>72</v>
      </c>
      <c r="K2611" t="s">
        <v>72</v>
      </c>
      <c r="L2611" t="s">
        <v>72</v>
      </c>
      <c r="N2611" t="s">
        <v>89</v>
      </c>
      <c r="O2611" t="s">
        <v>642</v>
      </c>
      <c r="P2611" t="s">
        <v>848</v>
      </c>
      <c r="Q2611" t="s">
        <v>16328</v>
      </c>
      <c r="R2611" t="s">
        <v>16293</v>
      </c>
      <c r="S2611">
        <v>5680</v>
      </c>
      <c r="T2611" t="s">
        <v>52</v>
      </c>
      <c r="U2611">
        <v>2</v>
      </c>
      <c r="V2611" t="s">
        <v>124</v>
      </c>
      <c r="W2611" t="s">
        <v>16206</v>
      </c>
      <c r="X2611" t="s">
        <v>52</v>
      </c>
      <c r="Y2611" t="s">
        <v>854</v>
      </c>
      <c r="Z2611">
        <v>3866</v>
      </c>
      <c r="AA2611">
        <v>49</v>
      </c>
      <c r="AB2611">
        <v>30</v>
      </c>
      <c r="AC2611" t="s">
        <v>16263</v>
      </c>
      <c r="AD2611" t="s">
        <v>16264</v>
      </c>
      <c r="AE2611" t="s">
        <v>16265</v>
      </c>
      <c r="AF2611" t="s">
        <v>16299</v>
      </c>
      <c r="AG2611" t="s">
        <v>16295</v>
      </c>
      <c r="AH2611" t="s">
        <v>16296</v>
      </c>
      <c r="AI2611" t="s">
        <v>16264</v>
      </c>
      <c r="AJ2611" s="2">
        <v>45406.715567129628</v>
      </c>
      <c r="AK2611" t="s">
        <v>16300</v>
      </c>
      <c r="AL2611" t="s">
        <v>862</v>
      </c>
      <c r="AM2611" s="4">
        <v>0.28472222222222221</v>
      </c>
      <c r="AN2611" t="s">
        <v>16230</v>
      </c>
      <c r="AO2611" t="s">
        <v>101</v>
      </c>
    </row>
    <row r="2612" spans="1:41" x14ac:dyDescent="0.2">
      <c r="A2612">
        <v>359998</v>
      </c>
      <c r="B2612" t="s">
        <v>16337</v>
      </c>
      <c r="C2612" t="s">
        <v>345</v>
      </c>
      <c r="D2612" t="s">
        <v>1050</v>
      </c>
      <c r="E2612" t="s">
        <v>16338</v>
      </c>
      <c r="H2612" s="1">
        <v>41515</v>
      </c>
      <c r="J2612" t="s">
        <v>326</v>
      </c>
      <c r="K2612" t="s">
        <v>72</v>
      </c>
      <c r="L2612" t="s">
        <v>72</v>
      </c>
      <c r="N2612" t="s">
        <v>89</v>
      </c>
      <c r="O2612" t="s">
        <v>642</v>
      </c>
      <c r="P2612" t="s">
        <v>848</v>
      </c>
      <c r="Q2612" t="s">
        <v>16328</v>
      </c>
      <c r="R2612" t="s">
        <v>16293</v>
      </c>
      <c r="S2612">
        <v>5680</v>
      </c>
      <c r="T2612" t="s">
        <v>52</v>
      </c>
      <c r="U2612">
        <v>2</v>
      </c>
      <c r="V2612" t="s">
        <v>124</v>
      </c>
      <c r="W2612" t="s">
        <v>16206</v>
      </c>
      <c r="X2612" t="s">
        <v>52</v>
      </c>
      <c r="Y2612" t="s">
        <v>854</v>
      </c>
      <c r="Z2612">
        <v>4288</v>
      </c>
      <c r="AA2612">
        <v>54</v>
      </c>
      <c r="AB2612">
        <v>160</v>
      </c>
      <c r="AC2612" t="s">
        <v>16263</v>
      </c>
      <c r="AD2612" t="s">
        <v>16264</v>
      </c>
      <c r="AE2612" t="s">
        <v>16265</v>
      </c>
      <c r="AF2612" t="s">
        <v>16299</v>
      </c>
      <c r="AG2612" t="s">
        <v>16295</v>
      </c>
      <c r="AH2612" t="s">
        <v>16296</v>
      </c>
      <c r="AI2612" t="s">
        <v>16264</v>
      </c>
      <c r="AJ2612" s="2">
        <v>45406.714918981481</v>
      </c>
      <c r="AK2612" t="s">
        <v>16300</v>
      </c>
      <c r="AL2612" t="s">
        <v>862</v>
      </c>
      <c r="AM2612" s="3">
        <v>2.1597222222222223</v>
      </c>
      <c r="AN2612" t="s">
        <v>16230</v>
      </c>
      <c r="AO2612" t="s">
        <v>67</v>
      </c>
    </row>
    <row r="2613" spans="1:41" x14ac:dyDescent="0.2">
      <c r="A2613">
        <v>359997</v>
      </c>
      <c r="B2613" t="s">
        <v>16339</v>
      </c>
      <c r="C2613" t="s">
        <v>345</v>
      </c>
      <c r="D2613" t="s">
        <v>1050</v>
      </c>
      <c r="E2613" t="s">
        <v>16340</v>
      </c>
      <c r="H2613" s="1">
        <v>41549</v>
      </c>
      <c r="J2613" t="s">
        <v>326</v>
      </c>
      <c r="K2613" t="s">
        <v>72</v>
      </c>
      <c r="L2613" t="s">
        <v>72</v>
      </c>
      <c r="N2613" t="s">
        <v>89</v>
      </c>
      <c r="O2613" t="s">
        <v>642</v>
      </c>
      <c r="P2613" t="s">
        <v>848</v>
      </c>
      <c r="Q2613" t="s">
        <v>16328</v>
      </c>
      <c r="R2613" t="s">
        <v>16293</v>
      </c>
      <c r="S2613">
        <v>5680</v>
      </c>
      <c r="T2613" t="s">
        <v>52</v>
      </c>
      <c r="U2613">
        <v>2</v>
      </c>
      <c r="V2613" t="s">
        <v>124</v>
      </c>
      <c r="W2613" t="s">
        <v>16206</v>
      </c>
      <c r="X2613" t="s">
        <v>52</v>
      </c>
      <c r="Y2613" t="s">
        <v>854</v>
      </c>
      <c r="Z2613">
        <v>4289</v>
      </c>
      <c r="AA2613">
        <v>49</v>
      </c>
      <c r="AB2613">
        <v>144</v>
      </c>
      <c r="AC2613" t="s">
        <v>16263</v>
      </c>
      <c r="AD2613" t="s">
        <v>16264</v>
      </c>
      <c r="AE2613" t="s">
        <v>16265</v>
      </c>
      <c r="AF2613" t="s">
        <v>16299</v>
      </c>
      <c r="AG2613" t="s">
        <v>16295</v>
      </c>
      <c r="AH2613" t="s">
        <v>16296</v>
      </c>
      <c r="AI2613" t="s">
        <v>16264</v>
      </c>
      <c r="AJ2613" s="2">
        <v>45406.714409722219</v>
      </c>
      <c r="AK2613" t="s">
        <v>16300</v>
      </c>
      <c r="AL2613" t="s">
        <v>862</v>
      </c>
      <c r="AM2613" s="4">
        <v>0.59722222222222221</v>
      </c>
      <c r="AN2613" t="s">
        <v>6191</v>
      </c>
      <c r="AO2613" t="s">
        <v>67</v>
      </c>
    </row>
    <row r="2614" spans="1:41" x14ac:dyDescent="0.2">
      <c r="A2614">
        <v>359996</v>
      </c>
      <c r="B2614" t="s">
        <v>16341</v>
      </c>
      <c r="C2614" t="s">
        <v>345</v>
      </c>
      <c r="D2614" t="s">
        <v>1050</v>
      </c>
      <c r="E2614" t="s">
        <v>16342</v>
      </c>
      <c r="H2614" s="1">
        <v>41481</v>
      </c>
      <c r="J2614" t="s">
        <v>326</v>
      </c>
      <c r="K2614" t="s">
        <v>72</v>
      </c>
      <c r="L2614" t="s">
        <v>72</v>
      </c>
      <c r="N2614" t="s">
        <v>89</v>
      </c>
      <c r="O2614" t="s">
        <v>642</v>
      </c>
      <c r="P2614" t="s">
        <v>848</v>
      </c>
      <c r="Q2614" t="s">
        <v>16328</v>
      </c>
      <c r="R2614" t="s">
        <v>16293</v>
      </c>
      <c r="S2614">
        <v>5680</v>
      </c>
      <c r="T2614" t="s">
        <v>52</v>
      </c>
      <c r="U2614">
        <v>2</v>
      </c>
      <c r="V2614" t="s">
        <v>124</v>
      </c>
      <c r="W2614" t="s">
        <v>16206</v>
      </c>
      <c r="X2614" t="s">
        <v>52</v>
      </c>
      <c r="Y2614" t="s">
        <v>854</v>
      </c>
      <c r="Z2614">
        <v>1940</v>
      </c>
      <c r="AA2614">
        <v>71</v>
      </c>
      <c r="AB2614">
        <v>144</v>
      </c>
      <c r="AC2614" t="s">
        <v>16263</v>
      </c>
      <c r="AD2614" t="s">
        <v>16264</v>
      </c>
      <c r="AE2614" t="s">
        <v>16265</v>
      </c>
      <c r="AF2614" t="s">
        <v>16299</v>
      </c>
      <c r="AG2614" t="s">
        <v>16295</v>
      </c>
      <c r="AH2614" t="s">
        <v>16296</v>
      </c>
      <c r="AI2614" t="s">
        <v>16264</v>
      </c>
      <c r="AJ2614" s="2">
        <v>45406.713958333334</v>
      </c>
      <c r="AK2614" t="s">
        <v>16300</v>
      </c>
      <c r="AL2614" t="s">
        <v>862</v>
      </c>
      <c r="AM2614" s="3">
        <v>1.9513888888888888</v>
      </c>
      <c r="AN2614" t="s">
        <v>66</v>
      </c>
      <c r="AO2614" t="s">
        <v>67</v>
      </c>
    </row>
    <row r="2615" spans="1:41" x14ac:dyDescent="0.2">
      <c r="A2615">
        <v>359995</v>
      </c>
      <c r="B2615" t="s">
        <v>16343</v>
      </c>
      <c r="C2615" t="s">
        <v>345</v>
      </c>
      <c r="D2615" t="s">
        <v>1050</v>
      </c>
      <c r="E2615" t="s">
        <v>16344</v>
      </c>
      <c r="H2615" s="1">
        <v>41527</v>
      </c>
      <c r="J2615" t="s">
        <v>326</v>
      </c>
      <c r="K2615" t="s">
        <v>72</v>
      </c>
      <c r="L2615" t="s">
        <v>72</v>
      </c>
      <c r="N2615" t="s">
        <v>89</v>
      </c>
      <c r="O2615" t="s">
        <v>642</v>
      </c>
      <c r="P2615" t="s">
        <v>848</v>
      </c>
      <c r="Q2615" t="s">
        <v>16328</v>
      </c>
      <c r="R2615" t="s">
        <v>16293</v>
      </c>
      <c r="S2615">
        <v>5680</v>
      </c>
      <c r="T2615" t="s">
        <v>52</v>
      </c>
      <c r="U2615">
        <v>2</v>
      </c>
      <c r="V2615" t="s">
        <v>124</v>
      </c>
      <c r="W2615" t="s">
        <v>16206</v>
      </c>
      <c r="X2615" t="s">
        <v>52</v>
      </c>
      <c r="Y2615" t="s">
        <v>854</v>
      </c>
      <c r="Z2615">
        <v>4268</v>
      </c>
      <c r="AA2615">
        <v>45</v>
      </c>
      <c r="AB2615">
        <v>142</v>
      </c>
      <c r="AC2615" t="s">
        <v>16263</v>
      </c>
      <c r="AD2615" t="s">
        <v>16264</v>
      </c>
      <c r="AE2615" t="s">
        <v>16265</v>
      </c>
      <c r="AF2615" t="s">
        <v>16299</v>
      </c>
      <c r="AG2615" t="s">
        <v>16295</v>
      </c>
      <c r="AH2615" t="s">
        <v>16296</v>
      </c>
      <c r="AI2615" t="s">
        <v>16264</v>
      </c>
      <c r="AJ2615" s="2">
        <v>45406.713414351849</v>
      </c>
      <c r="AK2615" t="s">
        <v>16300</v>
      </c>
      <c r="AL2615" t="s">
        <v>862</v>
      </c>
      <c r="AM2615" s="3">
        <v>1.7638888888888888</v>
      </c>
      <c r="AN2615" t="s">
        <v>66</v>
      </c>
      <c r="AO2615" t="s">
        <v>67</v>
      </c>
    </row>
    <row r="2616" spans="1:41" x14ac:dyDescent="0.2">
      <c r="A2616">
        <v>359994</v>
      </c>
      <c r="B2616" t="s">
        <v>16345</v>
      </c>
      <c r="C2616" t="s">
        <v>345</v>
      </c>
      <c r="D2616" t="s">
        <v>1050</v>
      </c>
      <c r="E2616" t="s">
        <v>16346</v>
      </c>
      <c r="H2616" s="1">
        <v>41481</v>
      </c>
      <c r="J2616" t="s">
        <v>326</v>
      </c>
      <c r="K2616" t="s">
        <v>72</v>
      </c>
      <c r="L2616" t="s">
        <v>72</v>
      </c>
      <c r="N2616" t="s">
        <v>89</v>
      </c>
      <c r="O2616" t="s">
        <v>642</v>
      </c>
      <c r="P2616" t="s">
        <v>848</v>
      </c>
      <c r="Q2616" t="s">
        <v>16328</v>
      </c>
      <c r="R2616" t="s">
        <v>16293</v>
      </c>
      <c r="S2616">
        <v>5680</v>
      </c>
      <c r="T2616" t="s">
        <v>52</v>
      </c>
      <c r="U2616">
        <v>2</v>
      </c>
      <c r="V2616" t="s">
        <v>124</v>
      </c>
      <c r="W2616" t="s">
        <v>16206</v>
      </c>
      <c r="X2616" t="s">
        <v>52</v>
      </c>
      <c r="Y2616" t="s">
        <v>854</v>
      </c>
      <c r="Z2616">
        <v>4286</v>
      </c>
      <c r="AA2616">
        <v>41</v>
      </c>
      <c r="AB2616">
        <v>142</v>
      </c>
      <c r="AC2616" t="s">
        <v>16263</v>
      </c>
      <c r="AD2616" t="s">
        <v>16264</v>
      </c>
      <c r="AE2616" t="s">
        <v>16265</v>
      </c>
      <c r="AF2616" t="s">
        <v>16299</v>
      </c>
      <c r="AG2616" t="s">
        <v>16295</v>
      </c>
      <c r="AH2616" t="s">
        <v>16296</v>
      </c>
      <c r="AI2616" t="s">
        <v>16264</v>
      </c>
      <c r="AJ2616" s="2">
        <v>45406.712962962964</v>
      </c>
      <c r="AK2616" t="s">
        <v>16300</v>
      </c>
      <c r="AL2616" t="s">
        <v>862</v>
      </c>
      <c r="AM2616" s="3">
        <v>1.7708333333333333</v>
      </c>
      <c r="AN2616" t="s">
        <v>66</v>
      </c>
      <c r="AO2616" t="s">
        <v>67</v>
      </c>
    </row>
    <row r="2617" spans="1:41" x14ac:dyDescent="0.2">
      <c r="A2617">
        <v>360014</v>
      </c>
      <c r="B2617" t="s">
        <v>16347</v>
      </c>
      <c r="C2617" t="s">
        <v>345</v>
      </c>
      <c r="D2617" t="s">
        <v>1050</v>
      </c>
      <c r="E2617" t="s">
        <v>16348</v>
      </c>
      <c r="J2617" t="s">
        <v>326</v>
      </c>
      <c r="K2617" t="s">
        <v>72</v>
      </c>
      <c r="L2617" t="s">
        <v>72</v>
      </c>
      <c r="N2617" t="s">
        <v>89</v>
      </c>
      <c r="O2617" t="s">
        <v>642</v>
      </c>
      <c r="P2617" t="s">
        <v>848</v>
      </c>
      <c r="Q2617" t="s">
        <v>16349</v>
      </c>
      <c r="R2617" t="s">
        <v>16293</v>
      </c>
      <c r="S2617">
        <v>5680</v>
      </c>
      <c r="T2617" t="s">
        <v>52</v>
      </c>
      <c r="U2617">
        <v>2</v>
      </c>
      <c r="V2617" t="s">
        <v>124</v>
      </c>
      <c r="W2617" t="s">
        <v>16206</v>
      </c>
      <c r="X2617" t="s">
        <v>52</v>
      </c>
      <c r="Y2617" t="s">
        <v>854</v>
      </c>
      <c r="Z2617">
        <v>6108</v>
      </c>
      <c r="AA2617">
        <v>5</v>
      </c>
      <c r="AB2617">
        <v>28</v>
      </c>
      <c r="AC2617" t="s">
        <v>16263</v>
      </c>
      <c r="AD2617" t="s">
        <v>16264</v>
      </c>
      <c r="AE2617" t="s">
        <v>16265</v>
      </c>
      <c r="AF2617" t="s">
        <v>16299</v>
      </c>
      <c r="AG2617" t="s">
        <v>16295</v>
      </c>
      <c r="AH2617" t="s">
        <v>16296</v>
      </c>
      <c r="AI2617" t="s">
        <v>16264</v>
      </c>
      <c r="AJ2617" s="2">
        <v>45406.725416666668</v>
      </c>
      <c r="AK2617" t="s">
        <v>16300</v>
      </c>
      <c r="AL2617" t="s">
        <v>862</v>
      </c>
      <c r="AM2617" s="4">
        <v>0.3263888888888889</v>
      </c>
      <c r="AN2617" t="s">
        <v>66</v>
      </c>
      <c r="AO2617" t="s">
        <v>67</v>
      </c>
    </row>
    <row r="2618" spans="1:41" x14ac:dyDescent="0.2">
      <c r="A2618">
        <v>360012</v>
      </c>
      <c r="B2618" t="s">
        <v>16350</v>
      </c>
      <c r="C2618" t="s">
        <v>345</v>
      </c>
      <c r="D2618" t="s">
        <v>1050</v>
      </c>
      <c r="E2618" t="s">
        <v>16351</v>
      </c>
      <c r="H2618" s="1">
        <v>41481</v>
      </c>
      <c r="J2618" t="s">
        <v>326</v>
      </c>
      <c r="K2618" t="s">
        <v>72</v>
      </c>
      <c r="L2618" t="s">
        <v>72</v>
      </c>
      <c r="N2618" t="s">
        <v>89</v>
      </c>
      <c r="O2618" t="s">
        <v>642</v>
      </c>
      <c r="P2618" t="s">
        <v>848</v>
      </c>
      <c r="Q2618" t="s">
        <v>16349</v>
      </c>
      <c r="R2618" t="s">
        <v>16293</v>
      </c>
      <c r="S2618">
        <v>5680</v>
      </c>
      <c r="T2618" t="s">
        <v>52</v>
      </c>
      <c r="U2618">
        <v>2</v>
      </c>
      <c r="V2618" t="s">
        <v>124</v>
      </c>
      <c r="W2618" t="s">
        <v>16206</v>
      </c>
      <c r="X2618" t="s">
        <v>52</v>
      </c>
      <c r="Y2618" t="s">
        <v>854</v>
      </c>
      <c r="Z2618">
        <v>5328</v>
      </c>
      <c r="AA2618">
        <v>47</v>
      </c>
      <c r="AB2618">
        <v>34</v>
      </c>
      <c r="AC2618" t="s">
        <v>16263</v>
      </c>
      <c r="AD2618" t="s">
        <v>16264</v>
      </c>
      <c r="AE2618" t="s">
        <v>16265</v>
      </c>
      <c r="AF2618" t="s">
        <v>16299</v>
      </c>
      <c r="AG2618" t="s">
        <v>16295</v>
      </c>
      <c r="AH2618" t="s">
        <v>16296</v>
      </c>
      <c r="AI2618" t="s">
        <v>16264</v>
      </c>
      <c r="AJ2618" s="2">
        <v>45406.723912037036</v>
      </c>
      <c r="AK2618" t="s">
        <v>16300</v>
      </c>
      <c r="AL2618" t="s">
        <v>862</v>
      </c>
      <c r="AM2618" s="4">
        <v>0.90972222222222221</v>
      </c>
      <c r="AN2618" t="s">
        <v>66</v>
      </c>
      <c r="AO2618" t="s">
        <v>67</v>
      </c>
    </row>
    <row r="2619" spans="1:41" x14ac:dyDescent="0.2">
      <c r="A2619">
        <v>360011</v>
      </c>
      <c r="B2619" t="s">
        <v>16352</v>
      </c>
      <c r="C2619" t="s">
        <v>345</v>
      </c>
      <c r="D2619" t="s">
        <v>1050</v>
      </c>
      <c r="E2619" t="s">
        <v>16353</v>
      </c>
      <c r="G2619" s="1">
        <v>41310</v>
      </c>
      <c r="H2619" s="1">
        <v>41484</v>
      </c>
      <c r="J2619" t="s">
        <v>326</v>
      </c>
      <c r="K2619" t="s">
        <v>72</v>
      </c>
      <c r="L2619" t="s">
        <v>72</v>
      </c>
      <c r="N2619" t="s">
        <v>89</v>
      </c>
      <c r="O2619" t="s">
        <v>642</v>
      </c>
      <c r="P2619" t="s">
        <v>848</v>
      </c>
      <c r="Q2619" t="s">
        <v>16349</v>
      </c>
      <c r="R2619" t="s">
        <v>16293</v>
      </c>
      <c r="S2619">
        <v>5680</v>
      </c>
      <c r="T2619" t="s">
        <v>52</v>
      </c>
      <c r="U2619">
        <v>2</v>
      </c>
      <c r="V2619" t="s">
        <v>124</v>
      </c>
      <c r="W2619" t="s">
        <v>16206</v>
      </c>
      <c r="X2619" t="s">
        <v>449</v>
      </c>
      <c r="Y2619" t="s">
        <v>854</v>
      </c>
      <c r="Z2619">
        <v>5329</v>
      </c>
      <c r="AA2619">
        <v>37</v>
      </c>
      <c r="AB2619">
        <v>34</v>
      </c>
      <c r="AC2619" t="s">
        <v>16263</v>
      </c>
      <c r="AD2619" t="s">
        <v>16264</v>
      </c>
      <c r="AE2619" t="s">
        <v>16265</v>
      </c>
      <c r="AF2619" t="s">
        <v>16299</v>
      </c>
      <c r="AG2619" t="s">
        <v>16295</v>
      </c>
      <c r="AH2619" t="s">
        <v>16296</v>
      </c>
      <c r="AI2619" t="s">
        <v>16264</v>
      </c>
      <c r="AJ2619" s="2">
        <v>45406.723356481481</v>
      </c>
      <c r="AK2619" t="s">
        <v>16300</v>
      </c>
      <c r="AL2619" t="s">
        <v>862</v>
      </c>
      <c r="AM2619" s="4">
        <v>0.91666666666666663</v>
      </c>
      <c r="AN2619" t="s">
        <v>16230</v>
      </c>
      <c r="AO2619" t="s">
        <v>67</v>
      </c>
    </row>
    <row r="2620" spans="1:41" x14ac:dyDescent="0.2">
      <c r="A2620">
        <v>360010</v>
      </c>
      <c r="B2620" t="s">
        <v>16354</v>
      </c>
      <c r="C2620" t="s">
        <v>345</v>
      </c>
      <c r="D2620" t="s">
        <v>1050</v>
      </c>
      <c r="E2620" t="s">
        <v>16355</v>
      </c>
      <c r="H2620" s="1">
        <v>44193</v>
      </c>
      <c r="J2620" t="s">
        <v>326</v>
      </c>
      <c r="K2620" t="s">
        <v>72</v>
      </c>
      <c r="L2620" t="s">
        <v>72</v>
      </c>
      <c r="N2620" t="s">
        <v>89</v>
      </c>
      <c r="O2620" t="s">
        <v>642</v>
      </c>
      <c r="P2620" t="s">
        <v>848</v>
      </c>
      <c r="Q2620" t="s">
        <v>16349</v>
      </c>
      <c r="R2620" t="s">
        <v>16293</v>
      </c>
      <c r="S2620">
        <v>5680</v>
      </c>
      <c r="T2620" t="s">
        <v>52</v>
      </c>
      <c r="U2620">
        <v>2</v>
      </c>
      <c r="V2620" t="s">
        <v>124</v>
      </c>
      <c r="W2620" t="s">
        <v>16206</v>
      </c>
      <c r="X2620" t="s">
        <v>52</v>
      </c>
      <c r="Y2620" t="s">
        <v>854</v>
      </c>
      <c r="Z2620">
        <v>10147</v>
      </c>
      <c r="AA2620">
        <v>7</v>
      </c>
      <c r="AB2620">
        <v>78</v>
      </c>
      <c r="AC2620" t="s">
        <v>16263</v>
      </c>
      <c r="AD2620" t="s">
        <v>16264</v>
      </c>
      <c r="AE2620" t="s">
        <v>16265</v>
      </c>
      <c r="AF2620" t="s">
        <v>16299</v>
      </c>
      <c r="AG2620" t="s">
        <v>16295</v>
      </c>
      <c r="AH2620" t="s">
        <v>16296</v>
      </c>
      <c r="AI2620" t="s">
        <v>16264</v>
      </c>
      <c r="AJ2620" s="2">
        <v>45406.722800925927</v>
      </c>
      <c r="AK2620" t="s">
        <v>16300</v>
      </c>
      <c r="AL2620" t="s">
        <v>862</v>
      </c>
      <c r="AM2620" s="3">
        <v>1.8680555555555556</v>
      </c>
      <c r="AN2620" t="s">
        <v>6191</v>
      </c>
      <c r="AO2620" t="s">
        <v>67</v>
      </c>
    </row>
    <row r="2621" spans="1:41" x14ac:dyDescent="0.2">
      <c r="A2621">
        <v>360009</v>
      </c>
      <c r="B2621" t="s">
        <v>16356</v>
      </c>
      <c r="C2621" t="s">
        <v>345</v>
      </c>
      <c r="D2621" t="s">
        <v>1050</v>
      </c>
      <c r="E2621" t="s">
        <v>16357</v>
      </c>
      <c r="H2621" s="1">
        <v>44404</v>
      </c>
      <c r="J2621" t="s">
        <v>326</v>
      </c>
      <c r="K2621" t="s">
        <v>72</v>
      </c>
      <c r="L2621" t="s">
        <v>72</v>
      </c>
      <c r="N2621" t="s">
        <v>89</v>
      </c>
      <c r="O2621" t="s">
        <v>642</v>
      </c>
      <c r="P2621" t="s">
        <v>848</v>
      </c>
      <c r="Q2621" t="s">
        <v>16349</v>
      </c>
      <c r="R2621" t="s">
        <v>16293</v>
      </c>
      <c r="S2621">
        <v>5680</v>
      </c>
      <c r="T2621" t="s">
        <v>52</v>
      </c>
      <c r="U2621">
        <v>2</v>
      </c>
      <c r="V2621" t="s">
        <v>124</v>
      </c>
      <c r="W2621" t="s">
        <v>16206</v>
      </c>
      <c r="X2621" t="s">
        <v>52</v>
      </c>
      <c r="Y2621" t="s">
        <v>854</v>
      </c>
      <c r="Z2621">
        <v>10150</v>
      </c>
      <c r="AA2621">
        <v>8</v>
      </c>
      <c r="AB2621">
        <v>78</v>
      </c>
      <c r="AC2621" t="s">
        <v>16263</v>
      </c>
      <c r="AD2621" t="s">
        <v>16264</v>
      </c>
      <c r="AE2621" t="s">
        <v>16265</v>
      </c>
      <c r="AF2621" t="s">
        <v>16299</v>
      </c>
      <c r="AG2621" t="s">
        <v>16295</v>
      </c>
      <c r="AH2621" t="s">
        <v>16296</v>
      </c>
      <c r="AI2621" t="s">
        <v>16264</v>
      </c>
      <c r="AJ2621" s="2">
        <v>45406.722268518519</v>
      </c>
      <c r="AK2621" t="s">
        <v>16300</v>
      </c>
      <c r="AL2621" t="s">
        <v>862</v>
      </c>
      <c r="AM2621" s="3">
        <v>1.8472222222222223</v>
      </c>
      <c r="AN2621" t="s">
        <v>66</v>
      </c>
      <c r="AO2621" t="s">
        <v>67</v>
      </c>
    </row>
    <row r="2622" spans="1:41" x14ac:dyDescent="0.2">
      <c r="A2622">
        <v>361019</v>
      </c>
      <c r="B2622" t="s">
        <v>16358</v>
      </c>
      <c r="C2622" t="s">
        <v>345</v>
      </c>
      <c r="D2622" t="s">
        <v>1050</v>
      </c>
      <c r="E2622" t="s">
        <v>16359</v>
      </c>
      <c r="J2622" t="s">
        <v>326</v>
      </c>
      <c r="K2622" t="s">
        <v>45</v>
      </c>
      <c r="L2622" t="s">
        <v>72</v>
      </c>
      <c r="N2622" t="s">
        <v>89</v>
      </c>
      <c r="O2622" t="s">
        <v>642</v>
      </c>
      <c r="P2622" t="s">
        <v>848</v>
      </c>
      <c r="Q2622" t="s">
        <v>16349</v>
      </c>
      <c r="R2622" t="s">
        <v>16293</v>
      </c>
      <c r="S2622">
        <v>5680</v>
      </c>
      <c r="T2622" t="s">
        <v>52</v>
      </c>
      <c r="U2622">
        <v>2</v>
      </c>
      <c r="V2622" t="s">
        <v>124</v>
      </c>
      <c r="W2622" t="s">
        <v>16206</v>
      </c>
      <c r="X2622" t="s">
        <v>52</v>
      </c>
      <c r="Y2622" t="s">
        <v>854</v>
      </c>
      <c r="Z2622">
        <v>6787</v>
      </c>
      <c r="AA2622">
        <v>5</v>
      </c>
      <c r="AB2622">
        <v>78</v>
      </c>
      <c r="AC2622" t="s">
        <v>16263</v>
      </c>
      <c r="AD2622" t="s">
        <v>16264</v>
      </c>
      <c r="AE2622" t="s">
        <v>16265</v>
      </c>
      <c r="AF2622" t="s">
        <v>16299</v>
      </c>
      <c r="AG2622" t="s">
        <v>16295</v>
      </c>
      <c r="AH2622" t="s">
        <v>16296</v>
      </c>
      <c r="AI2622" t="s">
        <v>16264</v>
      </c>
      <c r="AJ2622" s="2">
        <v>45443.673761574071</v>
      </c>
      <c r="AK2622" t="s">
        <v>660</v>
      </c>
      <c r="AL2622" t="s">
        <v>862</v>
      </c>
      <c r="AM2622" s="4">
        <v>0.20833333333333334</v>
      </c>
      <c r="AN2622" t="s">
        <v>66</v>
      </c>
      <c r="AO2622" t="s">
        <v>67</v>
      </c>
    </row>
    <row r="2623" spans="1:41" x14ac:dyDescent="0.2">
      <c r="A2623">
        <v>360007</v>
      </c>
      <c r="B2623" t="s">
        <v>16360</v>
      </c>
      <c r="C2623" t="s">
        <v>345</v>
      </c>
      <c r="D2623" t="s">
        <v>1050</v>
      </c>
      <c r="E2623" t="s">
        <v>16361</v>
      </c>
      <c r="J2623" t="s">
        <v>326</v>
      </c>
      <c r="K2623" t="s">
        <v>45</v>
      </c>
      <c r="L2623" t="s">
        <v>72</v>
      </c>
      <c r="N2623" t="s">
        <v>89</v>
      </c>
      <c r="O2623" t="s">
        <v>642</v>
      </c>
      <c r="P2623" t="s">
        <v>848</v>
      </c>
      <c r="Q2623" t="s">
        <v>16349</v>
      </c>
      <c r="R2623" t="s">
        <v>16293</v>
      </c>
      <c r="S2623">
        <v>5680</v>
      </c>
      <c r="T2623" t="s">
        <v>52</v>
      </c>
      <c r="U2623">
        <v>2</v>
      </c>
      <c r="V2623" t="s">
        <v>124</v>
      </c>
      <c r="W2623" t="s">
        <v>16206</v>
      </c>
      <c r="X2623" t="s">
        <v>52</v>
      </c>
      <c r="Y2623" t="s">
        <v>854</v>
      </c>
      <c r="Z2623">
        <v>6786</v>
      </c>
      <c r="AA2623">
        <v>7</v>
      </c>
      <c r="AB2623">
        <v>78</v>
      </c>
      <c r="AC2623" t="s">
        <v>16263</v>
      </c>
      <c r="AD2623" t="s">
        <v>16264</v>
      </c>
      <c r="AE2623" t="s">
        <v>16265</v>
      </c>
      <c r="AF2623" t="s">
        <v>16299</v>
      </c>
      <c r="AG2623" t="s">
        <v>16362</v>
      </c>
      <c r="AH2623" t="s">
        <v>16296</v>
      </c>
      <c r="AI2623" t="s">
        <v>16264</v>
      </c>
      <c r="AJ2623" s="2">
        <v>45406.721250000002</v>
      </c>
      <c r="AK2623" t="s">
        <v>16300</v>
      </c>
      <c r="AL2623" t="s">
        <v>862</v>
      </c>
      <c r="AM2623" s="4">
        <v>0.21527777777777779</v>
      </c>
      <c r="AN2623" t="s">
        <v>66</v>
      </c>
      <c r="AO2623" t="s">
        <v>67</v>
      </c>
    </row>
    <row r="2624" spans="1:41" x14ac:dyDescent="0.2">
      <c r="A2624">
        <v>360006</v>
      </c>
      <c r="B2624" t="s">
        <v>16363</v>
      </c>
      <c r="C2624" t="s">
        <v>345</v>
      </c>
      <c r="D2624" t="s">
        <v>1050</v>
      </c>
      <c r="E2624" t="s">
        <v>16364</v>
      </c>
      <c r="G2624" s="1">
        <v>44957</v>
      </c>
      <c r="J2624" t="s">
        <v>326</v>
      </c>
      <c r="K2624" t="s">
        <v>72</v>
      </c>
      <c r="L2624" t="s">
        <v>72</v>
      </c>
      <c r="N2624" t="s">
        <v>89</v>
      </c>
      <c r="O2624" t="s">
        <v>642</v>
      </c>
      <c r="P2624" t="s">
        <v>848</v>
      </c>
      <c r="Q2624" t="s">
        <v>16349</v>
      </c>
      <c r="R2624" t="s">
        <v>16293</v>
      </c>
      <c r="S2624">
        <v>5680</v>
      </c>
      <c r="T2624" t="s">
        <v>52</v>
      </c>
      <c r="U2624">
        <v>2</v>
      </c>
      <c r="V2624" t="s">
        <v>124</v>
      </c>
      <c r="W2624" t="s">
        <v>16206</v>
      </c>
      <c r="X2624" t="s">
        <v>52</v>
      </c>
      <c r="Y2624" t="s">
        <v>854</v>
      </c>
      <c r="Z2624">
        <v>10149</v>
      </c>
      <c r="AA2624">
        <v>7</v>
      </c>
      <c r="AB2624">
        <v>78</v>
      </c>
      <c r="AC2624" t="s">
        <v>16263</v>
      </c>
      <c r="AD2624" t="s">
        <v>16264</v>
      </c>
      <c r="AE2624" t="s">
        <v>16265</v>
      </c>
      <c r="AF2624" t="s">
        <v>16299</v>
      </c>
      <c r="AG2624" t="s">
        <v>16295</v>
      </c>
      <c r="AH2624" t="s">
        <v>16296</v>
      </c>
      <c r="AI2624" t="s">
        <v>16264</v>
      </c>
      <c r="AJ2624" s="2">
        <v>45406.720729166664</v>
      </c>
      <c r="AK2624" t="s">
        <v>16300</v>
      </c>
      <c r="AL2624" t="s">
        <v>862</v>
      </c>
      <c r="AM2624" s="3">
        <v>1.8541666666666667</v>
      </c>
      <c r="AN2624" t="s">
        <v>16230</v>
      </c>
      <c r="AO2624" t="s">
        <v>67</v>
      </c>
    </row>
    <row r="2625" spans="1:41" x14ac:dyDescent="0.2">
      <c r="A2625">
        <v>360005</v>
      </c>
      <c r="B2625" t="s">
        <v>16365</v>
      </c>
      <c r="C2625" t="s">
        <v>345</v>
      </c>
      <c r="D2625" t="s">
        <v>1050</v>
      </c>
      <c r="E2625" t="s">
        <v>16366</v>
      </c>
      <c r="J2625" t="s">
        <v>326</v>
      </c>
      <c r="K2625" t="s">
        <v>72</v>
      </c>
      <c r="L2625" t="s">
        <v>72</v>
      </c>
      <c r="N2625" t="s">
        <v>89</v>
      </c>
      <c r="O2625" t="s">
        <v>642</v>
      </c>
      <c r="P2625" t="s">
        <v>848</v>
      </c>
      <c r="Q2625" t="s">
        <v>16349</v>
      </c>
      <c r="R2625" t="s">
        <v>16293</v>
      </c>
      <c r="S2625">
        <v>5680</v>
      </c>
      <c r="T2625" t="s">
        <v>52</v>
      </c>
      <c r="U2625">
        <v>2</v>
      </c>
      <c r="V2625" t="s">
        <v>124</v>
      </c>
      <c r="W2625" t="s">
        <v>16206</v>
      </c>
      <c r="X2625" t="s">
        <v>52</v>
      </c>
      <c r="Y2625" t="s">
        <v>854</v>
      </c>
      <c r="Z2625">
        <v>10148</v>
      </c>
      <c r="AA2625">
        <v>8</v>
      </c>
      <c r="AB2625">
        <v>78</v>
      </c>
      <c r="AC2625" t="s">
        <v>16263</v>
      </c>
      <c r="AD2625" t="s">
        <v>16264</v>
      </c>
      <c r="AE2625" t="s">
        <v>16265</v>
      </c>
      <c r="AF2625" t="s">
        <v>16299</v>
      </c>
      <c r="AG2625" t="s">
        <v>16295</v>
      </c>
      <c r="AH2625" t="s">
        <v>16296</v>
      </c>
      <c r="AI2625" t="s">
        <v>16264</v>
      </c>
      <c r="AJ2625" s="2">
        <v>45406.720219907409</v>
      </c>
      <c r="AK2625" t="s">
        <v>16300</v>
      </c>
      <c r="AL2625" t="s">
        <v>862</v>
      </c>
      <c r="AM2625" s="3">
        <v>1.8611111111111112</v>
      </c>
      <c r="AN2625" t="s">
        <v>6191</v>
      </c>
      <c r="AO2625" t="s">
        <v>67</v>
      </c>
    </row>
    <row r="2626" spans="1:41" x14ac:dyDescent="0.2">
      <c r="A2626">
        <v>360004</v>
      </c>
      <c r="B2626" t="s">
        <v>16367</v>
      </c>
      <c r="C2626" t="s">
        <v>345</v>
      </c>
      <c r="D2626" t="s">
        <v>1050</v>
      </c>
      <c r="E2626" t="s">
        <v>16368</v>
      </c>
      <c r="G2626" s="1">
        <v>42174</v>
      </c>
      <c r="J2626" t="s">
        <v>326</v>
      </c>
      <c r="K2626" t="s">
        <v>45</v>
      </c>
      <c r="L2626" t="s">
        <v>72</v>
      </c>
      <c r="N2626" t="s">
        <v>89</v>
      </c>
      <c r="O2626" t="s">
        <v>642</v>
      </c>
      <c r="P2626" t="s">
        <v>848</v>
      </c>
      <c r="Q2626" t="s">
        <v>16349</v>
      </c>
      <c r="R2626" t="s">
        <v>16293</v>
      </c>
      <c r="S2626">
        <v>5680</v>
      </c>
      <c r="T2626" t="s">
        <v>52</v>
      </c>
      <c r="U2626">
        <v>2</v>
      </c>
      <c r="V2626" t="s">
        <v>124</v>
      </c>
      <c r="W2626" t="s">
        <v>16206</v>
      </c>
      <c r="X2626" t="s">
        <v>52</v>
      </c>
      <c r="Y2626" t="s">
        <v>854</v>
      </c>
      <c r="Z2626">
        <v>7608</v>
      </c>
      <c r="AA2626">
        <v>8</v>
      </c>
      <c r="AB2626">
        <v>78</v>
      </c>
      <c r="AC2626" t="s">
        <v>16263</v>
      </c>
      <c r="AD2626" t="s">
        <v>16264</v>
      </c>
      <c r="AE2626" t="s">
        <v>16265</v>
      </c>
      <c r="AF2626" t="s">
        <v>16299</v>
      </c>
      <c r="AG2626" t="s">
        <v>16295</v>
      </c>
      <c r="AH2626" t="s">
        <v>16296</v>
      </c>
      <c r="AI2626" t="s">
        <v>16264</v>
      </c>
      <c r="AJ2626" s="2">
        <v>45406.719652777778</v>
      </c>
      <c r="AK2626" t="s">
        <v>16300</v>
      </c>
      <c r="AL2626" t="s">
        <v>862</v>
      </c>
      <c r="AM2626" s="4">
        <v>0.54166666666666663</v>
      </c>
      <c r="AN2626" t="s">
        <v>66</v>
      </c>
      <c r="AO2626" t="s">
        <v>67</v>
      </c>
    </row>
    <row r="2627" spans="1:41" x14ac:dyDescent="0.2">
      <c r="A2627">
        <v>358588</v>
      </c>
      <c r="B2627" t="s">
        <v>16369</v>
      </c>
      <c r="C2627" t="s">
        <v>345</v>
      </c>
      <c r="D2627" t="s">
        <v>1050</v>
      </c>
      <c r="E2627" t="s">
        <v>16370</v>
      </c>
      <c r="G2627" s="1">
        <v>42174</v>
      </c>
      <c r="J2627" t="s">
        <v>326</v>
      </c>
      <c r="K2627" t="s">
        <v>45</v>
      </c>
      <c r="L2627" t="s">
        <v>72</v>
      </c>
      <c r="N2627" t="s">
        <v>89</v>
      </c>
      <c r="O2627" t="s">
        <v>642</v>
      </c>
      <c r="P2627" t="s">
        <v>848</v>
      </c>
      <c r="Q2627" t="s">
        <v>16371</v>
      </c>
      <c r="R2627" t="s">
        <v>16293</v>
      </c>
      <c r="S2627">
        <v>5680</v>
      </c>
      <c r="T2627" t="s">
        <v>52</v>
      </c>
      <c r="U2627">
        <v>2</v>
      </c>
      <c r="V2627" t="s">
        <v>124</v>
      </c>
      <c r="W2627" t="s">
        <v>16206</v>
      </c>
      <c r="X2627" t="s">
        <v>52</v>
      </c>
      <c r="Y2627" t="s">
        <v>854</v>
      </c>
      <c r="Z2627">
        <v>7607</v>
      </c>
      <c r="AA2627">
        <v>10</v>
      </c>
      <c r="AB2627">
        <v>78</v>
      </c>
      <c r="AC2627" t="s">
        <v>16263</v>
      </c>
      <c r="AD2627" t="s">
        <v>16264</v>
      </c>
      <c r="AE2627" t="s">
        <v>16265</v>
      </c>
      <c r="AF2627" t="s">
        <v>16299</v>
      </c>
      <c r="AG2627" t="s">
        <v>16295</v>
      </c>
      <c r="AH2627" t="s">
        <v>16296</v>
      </c>
      <c r="AI2627" t="s">
        <v>16264</v>
      </c>
      <c r="AJ2627" s="2">
        <v>45364.628981481481</v>
      </c>
      <c r="AK2627" t="s">
        <v>16300</v>
      </c>
      <c r="AL2627" t="s">
        <v>862</v>
      </c>
      <c r="AM2627" s="4">
        <v>0.54861111111111116</v>
      </c>
      <c r="AN2627" t="s">
        <v>66</v>
      </c>
      <c r="AO2627" t="s">
        <v>67</v>
      </c>
    </row>
    <row r="2628" spans="1:41" x14ac:dyDescent="0.2">
      <c r="A2628">
        <v>358589</v>
      </c>
      <c r="B2628" t="s">
        <v>16372</v>
      </c>
      <c r="C2628" t="s">
        <v>345</v>
      </c>
      <c r="D2628" t="s">
        <v>1050</v>
      </c>
      <c r="E2628" t="s">
        <v>16373</v>
      </c>
      <c r="G2628" s="1">
        <v>42174</v>
      </c>
      <c r="J2628" t="s">
        <v>326</v>
      </c>
      <c r="K2628" t="s">
        <v>45</v>
      </c>
      <c r="L2628" t="s">
        <v>72</v>
      </c>
      <c r="N2628" t="s">
        <v>89</v>
      </c>
      <c r="O2628" t="s">
        <v>642</v>
      </c>
      <c r="P2628" t="s">
        <v>848</v>
      </c>
      <c r="Q2628" t="s">
        <v>16371</v>
      </c>
      <c r="R2628" t="s">
        <v>16293</v>
      </c>
      <c r="S2628">
        <v>5680</v>
      </c>
      <c r="T2628" t="s">
        <v>52</v>
      </c>
      <c r="U2628">
        <v>2</v>
      </c>
      <c r="V2628" t="s">
        <v>124</v>
      </c>
      <c r="W2628" t="s">
        <v>16206</v>
      </c>
      <c r="X2628" t="s">
        <v>52</v>
      </c>
      <c r="Y2628" t="s">
        <v>854</v>
      </c>
      <c r="Z2628">
        <v>7606</v>
      </c>
      <c r="AA2628">
        <v>10</v>
      </c>
      <c r="AB2628">
        <v>108</v>
      </c>
      <c r="AC2628" t="s">
        <v>16263</v>
      </c>
      <c r="AD2628" t="s">
        <v>16264</v>
      </c>
      <c r="AE2628" t="s">
        <v>16265</v>
      </c>
      <c r="AF2628" t="s">
        <v>16299</v>
      </c>
      <c r="AG2628" t="s">
        <v>16295</v>
      </c>
      <c r="AH2628" t="s">
        <v>16296</v>
      </c>
      <c r="AI2628" t="s">
        <v>16264</v>
      </c>
      <c r="AJ2628" s="2">
        <v>45364.629421296297</v>
      </c>
      <c r="AK2628" t="s">
        <v>16300</v>
      </c>
      <c r="AL2628" t="s">
        <v>862</v>
      </c>
      <c r="AM2628" s="3">
        <v>1</v>
      </c>
      <c r="AN2628" t="s">
        <v>66</v>
      </c>
      <c r="AO2628" t="s">
        <v>67</v>
      </c>
    </row>
    <row r="2629" spans="1:41" x14ac:dyDescent="0.2">
      <c r="A2629">
        <v>360025</v>
      </c>
      <c r="B2629" t="s">
        <v>16374</v>
      </c>
      <c r="C2629" t="s">
        <v>345</v>
      </c>
      <c r="D2629" t="s">
        <v>1050</v>
      </c>
      <c r="E2629" t="s">
        <v>16375</v>
      </c>
      <c r="J2629" t="s">
        <v>72</v>
      </c>
      <c r="K2629" t="s">
        <v>45</v>
      </c>
      <c r="L2629" t="s">
        <v>72</v>
      </c>
      <c r="N2629" t="s">
        <v>89</v>
      </c>
      <c r="O2629" t="s">
        <v>642</v>
      </c>
      <c r="P2629" t="s">
        <v>848</v>
      </c>
      <c r="Q2629" t="s">
        <v>16376</v>
      </c>
      <c r="R2629" t="s">
        <v>16293</v>
      </c>
      <c r="S2629">
        <v>5680</v>
      </c>
      <c r="T2629" t="s">
        <v>52</v>
      </c>
      <c r="U2629">
        <v>2</v>
      </c>
      <c r="V2629" t="s">
        <v>124</v>
      </c>
      <c r="W2629" t="s">
        <v>16206</v>
      </c>
      <c r="X2629" t="s">
        <v>52</v>
      </c>
      <c r="Y2629" t="s">
        <v>96</v>
      </c>
      <c r="Z2629">
        <v>12106</v>
      </c>
      <c r="AA2629">
        <v>6</v>
      </c>
      <c r="AB2629">
        <v>210</v>
      </c>
      <c r="AC2629" t="s">
        <v>16263</v>
      </c>
      <c r="AD2629" t="s">
        <v>16264</v>
      </c>
      <c r="AE2629" t="s">
        <v>16265</v>
      </c>
      <c r="AF2629" t="s">
        <v>16299</v>
      </c>
      <c r="AG2629" t="s">
        <v>16295</v>
      </c>
      <c r="AH2629" t="s">
        <v>16296</v>
      </c>
      <c r="AI2629" t="s">
        <v>16264</v>
      </c>
      <c r="AJ2629" s="2">
        <v>45406.73232638889</v>
      </c>
      <c r="AK2629" t="s">
        <v>16300</v>
      </c>
      <c r="AL2629" t="s">
        <v>65</v>
      </c>
      <c r="AM2629" s="4">
        <v>8.6805555555555552E-2</v>
      </c>
      <c r="AN2629" t="s">
        <v>66</v>
      </c>
      <c r="AO2629" t="s">
        <v>67</v>
      </c>
    </row>
    <row r="2630" spans="1:41" x14ac:dyDescent="0.2">
      <c r="A2630">
        <v>360024</v>
      </c>
      <c r="B2630" t="s">
        <v>16377</v>
      </c>
      <c r="C2630" t="s">
        <v>345</v>
      </c>
      <c r="D2630" t="s">
        <v>1050</v>
      </c>
      <c r="E2630" t="s">
        <v>16378</v>
      </c>
      <c r="J2630" t="s">
        <v>72</v>
      </c>
      <c r="K2630" t="s">
        <v>45</v>
      </c>
      <c r="L2630" t="s">
        <v>72</v>
      </c>
      <c r="N2630" t="s">
        <v>89</v>
      </c>
      <c r="O2630" t="s">
        <v>642</v>
      </c>
      <c r="P2630" t="s">
        <v>848</v>
      </c>
      <c r="Q2630" t="s">
        <v>16376</v>
      </c>
      <c r="R2630" t="s">
        <v>16293</v>
      </c>
      <c r="S2630">
        <v>5680</v>
      </c>
      <c r="T2630" t="s">
        <v>52</v>
      </c>
      <c r="U2630">
        <v>2</v>
      </c>
      <c r="V2630" t="s">
        <v>124</v>
      </c>
      <c r="W2630" t="s">
        <v>16206</v>
      </c>
      <c r="X2630" t="s">
        <v>52</v>
      </c>
      <c r="Y2630" t="s">
        <v>96</v>
      </c>
      <c r="Z2630">
        <v>12107</v>
      </c>
      <c r="AA2630">
        <v>5</v>
      </c>
      <c r="AB2630">
        <v>210</v>
      </c>
      <c r="AC2630" t="s">
        <v>16263</v>
      </c>
      <c r="AD2630" t="s">
        <v>16264</v>
      </c>
      <c r="AE2630" t="s">
        <v>16265</v>
      </c>
      <c r="AF2630" t="s">
        <v>16299</v>
      </c>
      <c r="AG2630" t="s">
        <v>16295</v>
      </c>
      <c r="AH2630" t="s">
        <v>16296</v>
      </c>
      <c r="AI2630" t="s">
        <v>16264</v>
      </c>
      <c r="AJ2630" s="2">
        <v>45406.731805555559</v>
      </c>
      <c r="AK2630" t="s">
        <v>16300</v>
      </c>
      <c r="AL2630" t="s">
        <v>65</v>
      </c>
      <c r="AM2630" s="4">
        <v>9.375E-2</v>
      </c>
      <c r="AN2630" t="s">
        <v>66</v>
      </c>
      <c r="AO2630" t="s">
        <v>67</v>
      </c>
    </row>
    <row r="2631" spans="1:41" x14ac:dyDescent="0.2">
      <c r="A2631">
        <v>360023</v>
      </c>
      <c r="B2631" t="s">
        <v>16379</v>
      </c>
      <c r="C2631" t="s">
        <v>345</v>
      </c>
      <c r="D2631" t="s">
        <v>1050</v>
      </c>
      <c r="E2631" t="s">
        <v>16380</v>
      </c>
      <c r="J2631" t="s">
        <v>72</v>
      </c>
      <c r="K2631" t="s">
        <v>45</v>
      </c>
      <c r="L2631" t="s">
        <v>72</v>
      </c>
      <c r="N2631" t="s">
        <v>89</v>
      </c>
      <c r="O2631" t="s">
        <v>642</v>
      </c>
      <c r="P2631" t="s">
        <v>848</v>
      </c>
      <c r="Q2631" t="s">
        <v>16376</v>
      </c>
      <c r="R2631" t="s">
        <v>16293</v>
      </c>
      <c r="S2631">
        <v>5680</v>
      </c>
      <c r="T2631" t="s">
        <v>52</v>
      </c>
      <c r="U2631">
        <v>2</v>
      </c>
      <c r="V2631" t="s">
        <v>124</v>
      </c>
      <c r="W2631" t="s">
        <v>16206</v>
      </c>
      <c r="X2631" t="s">
        <v>52</v>
      </c>
      <c r="Y2631" t="s">
        <v>96</v>
      </c>
      <c r="Z2631">
        <v>12108</v>
      </c>
      <c r="AA2631">
        <v>5</v>
      </c>
      <c r="AB2631">
        <v>210</v>
      </c>
      <c r="AC2631" t="s">
        <v>16263</v>
      </c>
      <c r="AD2631" t="s">
        <v>16264</v>
      </c>
      <c r="AE2631" t="s">
        <v>16265</v>
      </c>
      <c r="AF2631" t="s">
        <v>16299</v>
      </c>
      <c r="AG2631" t="s">
        <v>16295</v>
      </c>
      <c r="AH2631" t="s">
        <v>16296</v>
      </c>
      <c r="AI2631" t="s">
        <v>16264</v>
      </c>
      <c r="AJ2631" s="2">
        <v>45406.731342592589</v>
      </c>
      <c r="AK2631" t="s">
        <v>16300</v>
      </c>
      <c r="AL2631" t="s">
        <v>65</v>
      </c>
      <c r="AM2631" s="4">
        <v>0.10069444444444445</v>
      </c>
      <c r="AN2631" t="s">
        <v>66</v>
      </c>
      <c r="AO2631" t="s">
        <v>67</v>
      </c>
    </row>
    <row r="2632" spans="1:41" x14ac:dyDescent="0.2">
      <c r="A2632">
        <v>360022</v>
      </c>
      <c r="B2632" t="s">
        <v>16381</v>
      </c>
      <c r="C2632" t="s">
        <v>345</v>
      </c>
      <c r="D2632" t="s">
        <v>1050</v>
      </c>
      <c r="E2632" t="s">
        <v>16382</v>
      </c>
      <c r="J2632" t="s">
        <v>72</v>
      </c>
      <c r="K2632" t="s">
        <v>45</v>
      </c>
      <c r="L2632" t="s">
        <v>72</v>
      </c>
      <c r="N2632" t="s">
        <v>89</v>
      </c>
      <c r="O2632" t="s">
        <v>642</v>
      </c>
      <c r="P2632" t="s">
        <v>848</v>
      </c>
      <c r="Q2632" t="s">
        <v>16376</v>
      </c>
      <c r="R2632" t="s">
        <v>16293</v>
      </c>
      <c r="S2632">
        <v>5680</v>
      </c>
      <c r="T2632" t="s">
        <v>52</v>
      </c>
      <c r="U2632">
        <v>2</v>
      </c>
      <c r="V2632" t="s">
        <v>124</v>
      </c>
      <c r="W2632" t="s">
        <v>16206</v>
      </c>
      <c r="X2632" t="s">
        <v>52</v>
      </c>
      <c r="Y2632" t="s">
        <v>96</v>
      </c>
      <c r="Z2632">
        <v>12109</v>
      </c>
      <c r="AA2632">
        <v>6</v>
      </c>
      <c r="AB2632">
        <v>210</v>
      </c>
      <c r="AC2632" t="s">
        <v>16263</v>
      </c>
      <c r="AD2632" t="s">
        <v>16264</v>
      </c>
      <c r="AE2632" t="s">
        <v>16265</v>
      </c>
      <c r="AF2632" t="s">
        <v>16299</v>
      </c>
      <c r="AG2632" t="s">
        <v>16295</v>
      </c>
      <c r="AH2632" t="s">
        <v>16296</v>
      </c>
      <c r="AI2632" t="s">
        <v>16264</v>
      </c>
      <c r="AJ2632" s="2">
        <v>45406.730856481481</v>
      </c>
      <c r="AK2632" t="s">
        <v>16300</v>
      </c>
      <c r="AL2632" t="s">
        <v>65</v>
      </c>
      <c r="AM2632" s="4">
        <v>0.1076388888888889</v>
      </c>
      <c r="AN2632" t="s">
        <v>66</v>
      </c>
      <c r="AO2632" t="s">
        <v>67</v>
      </c>
    </row>
    <row r="2633" spans="1:41" x14ac:dyDescent="0.2">
      <c r="A2633">
        <v>360021</v>
      </c>
      <c r="B2633" t="s">
        <v>16383</v>
      </c>
      <c r="C2633" t="s">
        <v>345</v>
      </c>
      <c r="D2633" t="s">
        <v>1050</v>
      </c>
      <c r="E2633" t="s">
        <v>16384</v>
      </c>
      <c r="J2633" t="s">
        <v>72</v>
      </c>
      <c r="K2633" t="s">
        <v>45</v>
      </c>
      <c r="L2633" t="s">
        <v>72</v>
      </c>
      <c r="N2633" t="s">
        <v>89</v>
      </c>
      <c r="O2633" t="s">
        <v>642</v>
      </c>
      <c r="P2633" t="s">
        <v>848</v>
      </c>
      <c r="Q2633" t="s">
        <v>16376</v>
      </c>
      <c r="R2633" t="s">
        <v>16293</v>
      </c>
      <c r="S2633">
        <v>5680</v>
      </c>
      <c r="T2633" t="s">
        <v>52</v>
      </c>
      <c r="U2633">
        <v>2</v>
      </c>
      <c r="V2633" t="s">
        <v>124</v>
      </c>
      <c r="W2633" t="s">
        <v>16206</v>
      </c>
      <c r="X2633" t="s">
        <v>52</v>
      </c>
      <c r="Y2633" t="s">
        <v>96</v>
      </c>
      <c r="Z2633">
        <v>12110</v>
      </c>
      <c r="AA2633">
        <v>5</v>
      </c>
      <c r="AB2633">
        <v>210</v>
      </c>
      <c r="AC2633" t="s">
        <v>16263</v>
      </c>
      <c r="AD2633" t="s">
        <v>16264</v>
      </c>
      <c r="AE2633" t="s">
        <v>16265</v>
      </c>
      <c r="AF2633" t="s">
        <v>16299</v>
      </c>
      <c r="AG2633" t="s">
        <v>16295</v>
      </c>
      <c r="AH2633" t="s">
        <v>16296</v>
      </c>
      <c r="AI2633" t="s">
        <v>16264</v>
      </c>
      <c r="AJ2633" s="2">
        <v>45406.730405092596</v>
      </c>
      <c r="AK2633" t="s">
        <v>16300</v>
      </c>
      <c r="AL2633" t="s">
        <v>65</v>
      </c>
      <c r="AM2633" s="4">
        <v>0.11458333333333333</v>
      </c>
      <c r="AN2633" t="s">
        <v>66</v>
      </c>
      <c r="AO2633" t="s">
        <v>67</v>
      </c>
    </row>
    <row r="2634" spans="1:41" x14ac:dyDescent="0.2">
      <c r="A2634">
        <v>360020</v>
      </c>
      <c r="B2634" t="s">
        <v>16385</v>
      </c>
      <c r="C2634" t="s">
        <v>345</v>
      </c>
      <c r="D2634" t="s">
        <v>1050</v>
      </c>
      <c r="E2634" t="s">
        <v>16386</v>
      </c>
      <c r="J2634" t="s">
        <v>72</v>
      </c>
      <c r="K2634" t="s">
        <v>45</v>
      </c>
      <c r="L2634" t="s">
        <v>72</v>
      </c>
      <c r="N2634" t="s">
        <v>89</v>
      </c>
      <c r="O2634" t="s">
        <v>642</v>
      </c>
      <c r="P2634" t="s">
        <v>848</v>
      </c>
      <c r="Q2634" t="s">
        <v>16376</v>
      </c>
      <c r="R2634" t="s">
        <v>16293</v>
      </c>
      <c r="S2634">
        <v>5680</v>
      </c>
      <c r="T2634" t="s">
        <v>52</v>
      </c>
      <c r="U2634">
        <v>2</v>
      </c>
      <c r="V2634" t="s">
        <v>124</v>
      </c>
      <c r="W2634" t="s">
        <v>16206</v>
      </c>
      <c r="X2634" t="s">
        <v>52</v>
      </c>
      <c r="Y2634" t="s">
        <v>96</v>
      </c>
      <c r="Z2634">
        <v>12111</v>
      </c>
      <c r="AA2634">
        <v>6</v>
      </c>
      <c r="AB2634">
        <v>210</v>
      </c>
      <c r="AC2634" t="s">
        <v>16263</v>
      </c>
      <c r="AD2634" t="s">
        <v>16264</v>
      </c>
      <c r="AE2634" t="s">
        <v>16265</v>
      </c>
      <c r="AF2634" t="s">
        <v>16299</v>
      </c>
      <c r="AG2634" t="s">
        <v>16295</v>
      </c>
      <c r="AH2634" t="s">
        <v>16296</v>
      </c>
      <c r="AI2634" t="s">
        <v>16264</v>
      </c>
      <c r="AJ2634" s="2">
        <v>45406.73</v>
      </c>
      <c r="AK2634" t="s">
        <v>16300</v>
      </c>
      <c r="AL2634" t="s">
        <v>65</v>
      </c>
      <c r="AM2634" s="4">
        <v>0.12152777777777778</v>
      </c>
      <c r="AN2634" t="s">
        <v>66</v>
      </c>
      <c r="AO2634" t="s">
        <v>67</v>
      </c>
    </row>
    <row r="2635" spans="1:41" x14ac:dyDescent="0.2">
      <c r="A2635">
        <v>360019</v>
      </c>
      <c r="B2635" t="s">
        <v>16387</v>
      </c>
      <c r="C2635" t="s">
        <v>345</v>
      </c>
      <c r="D2635" t="s">
        <v>1050</v>
      </c>
      <c r="E2635" t="s">
        <v>16388</v>
      </c>
      <c r="J2635" t="s">
        <v>72</v>
      </c>
      <c r="K2635" t="s">
        <v>45</v>
      </c>
      <c r="L2635" t="s">
        <v>72</v>
      </c>
      <c r="N2635" t="s">
        <v>89</v>
      </c>
      <c r="O2635" t="s">
        <v>642</v>
      </c>
      <c r="P2635" t="s">
        <v>848</v>
      </c>
      <c r="Q2635" t="s">
        <v>16376</v>
      </c>
      <c r="R2635" t="s">
        <v>16293</v>
      </c>
      <c r="S2635">
        <v>5680</v>
      </c>
      <c r="T2635" t="s">
        <v>52</v>
      </c>
      <c r="U2635">
        <v>2</v>
      </c>
      <c r="V2635" t="s">
        <v>124</v>
      </c>
      <c r="W2635" t="s">
        <v>16206</v>
      </c>
      <c r="X2635" t="s">
        <v>52</v>
      </c>
      <c r="Y2635" t="s">
        <v>96</v>
      </c>
      <c r="Z2635">
        <v>12112</v>
      </c>
      <c r="AA2635">
        <v>5</v>
      </c>
      <c r="AB2635">
        <v>210</v>
      </c>
      <c r="AC2635" t="s">
        <v>16263</v>
      </c>
      <c r="AD2635" t="s">
        <v>16264</v>
      </c>
      <c r="AE2635" t="s">
        <v>16265</v>
      </c>
      <c r="AF2635" t="s">
        <v>16299</v>
      </c>
      <c r="AG2635" t="s">
        <v>16295</v>
      </c>
      <c r="AH2635" t="s">
        <v>16296</v>
      </c>
      <c r="AI2635" t="s">
        <v>16264</v>
      </c>
      <c r="AJ2635" s="2">
        <v>45406.729571759257</v>
      </c>
      <c r="AK2635" t="s">
        <v>16300</v>
      </c>
      <c r="AL2635" t="s">
        <v>65</v>
      </c>
      <c r="AM2635" s="4">
        <v>0.12847222222222221</v>
      </c>
      <c r="AN2635" t="s">
        <v>66</v>
      </c>
      <c r="AO2635" t="s">
        <v>67</v>
      </c>
    </row>
    <row r="2636" spans="1:41" x14ac:dyDescent="0.2">
      <c r="A2636">
        <v>360018</v>
      </c>
      <c r="B2636" t="s">
        <v>16389</v>
      </c>
      <c r="C2636" t="s">
        <v>345</v>
      </c>
      <c r="D2636" t="s">
        <v>1050</v>
      </c>
      <c r="E2636" t="s">
        <v>16390</v>
      </c>
      <c r="J2636" t="s">
        <v>326</v>
      </c>
      <c r="K2636" t="s">
        <v>72</v>
      </c>
      <c r="L2636" t="s">
        <v>72</v>
      </c>
      <c r="N2636" t="s">
        <v>89</v>
      </c>
      <c r="O2636" t="s">
        <v>642</v>
      </c>
      <c r="P2636" t="s">
        <v>848</v>
      </c>
      <c r="Q2636" t="s">
        <v>16376</v>
      </c>
      <c r="R2636" t="s">
        <v>16293</v>
      </c>
      <c r="S2636">
        <v>5680</v>
      </c>
      <c r="T2636" t="s">
        <v>52</v>
      </c>
      <c r="U2636">
        <v>2</v>
      </c>
      <c r="V2636" t="s">
        <v>124</v>
      </c>
      <c r="W2636" t="s">
        <v>16206</v>
      </c>
      <c r="X2636" t="s">
        <v>52</v>
      </c>
      <c r="Y2636" t="s">
        <v>854</v>
      </c>
      <c r="Z2636">
        <v>7410</v>
      </c>
      <c r="AA2636">
        <v>3</v>
      </c>
      <c r="AB2636">
        <v>28</v>
      </c>
      <c r="AC2636" t="s">
        <v>16263</v>
      </c>
      <c r="AD2636" t="s">
        <v>16264</v>
      </c>
      <c r="AF2636" t="s">
        <v>16299</v>
      </c>
      <c r="AG2636" t="s">
        <v>16295</v>
      </c>
      <c r="AH2636" t="s">
        <v>16296</v>
      </c>
      <c r="AI2636" t="s">
        <v>16264</v>
      </c>
      <c r="AJ2636" s="2">
        <v>45406.729120370372</v>
      </c>
      <c r="AK2636" t="s">
        <v>16300</v>
      </c>
      <c r="AL2636" t="s">
        <v>862</v>
      </c>
      <c r="AM2636" s="3">
        <v>1.0972222222222223</v>
      </c>
      <c r="AN2636" t="s">
        <v>66</v>
      </c>
      <c r="AO2636" t="s">
        <v>67</v>
      </c>
    </row>
    <row r="2637" spans="1:41" x14ac:dyDescent="0.2">
      <c r="A2637">
        <v>360017</v>
      </c>
      <c r="B2637" t="s">
        <v>16391</v>
      </c>
      <c r="C2637" t="s">
        <v>345</v>
      </c>
      <c r="D2637" t="s">
        <v>1050</v>
      </c>
      <c r="E2637" t="s">
        <v>16392</v>
      </c>
      <c r="J2637" t="s">
        <v>72</v>
      </c>
      <c r="K2637" t="s">
        <v>45</v>
      </c>
      <c r="L2637" t="s">
        <v>72</v>
      </c>
      <c r="N2637" t="s">
        <v>89</v>
      </c>
      <c r="O2637" t="s">
        <v>642</v>
      </c>
      <c r="P2637" t="s">
        <v>848</v>
      </c>
      <c r="Q2637" t="s">
        <v>16376</v>
      </c>
      <c r="R2637" t="s">
        <v>16293</v>
      </c>
      <c r="S2637">
        <v>5680</v>
      </c>
      <c r="T2637" t="s">
        <v>52</v>
      </c>
      <c r="U2637">
        <v>2</v>
      </c>
      <c r="V2637" t="s">
        <v>124</v>
      </c>
      <c r="W2637" t="s">
        <v>16206</v>
      </c>
      <c r="X2637" t="s">
        <v>52</v>
      </c>
      <c r="Y2637" t="s">
        <v>854</v>
      </c>
      <c r="Z2637">
        <v>9070</v>
      </c>
      <c r="AA2637">
        <v>4</v>
      </c>
      <c r="AB2637">
        <v>28</v>
      </c>
      <c r="AC2637" t="s">
        <v>16263</v>
      </c>
      <c r="AD2637" t="s">
        <v>16264</v>
      </c>
      <c r="AE2637" t="s">
        <v>16265</v>
      </c>
      <c r="AF2637" t="s">
        <v>16299</v>
      </c>
      <c r="AG2637" t="s">
        <v>16295</v>
      </c>
      <c r="AH2637" t="s">
        <v>16296</v>
      </c>
      <c r="AI2637" t="s">
        <v>16264</v>
      </c>
      <c r="AJ2637" s="2">
        <v>45406.728576388887</v>
      </c>
      <c r="AK2637" t="s">
        <v>16300</v>
      </c>
      <c r="AL2637" t="s">
        <v>862</v>
      </c>
      <c r="AM2637" s="4">
        <v>0.5625</v>
      </c>
      <c r="AN2637" t="s">
        <v>66</v>
      </c>
      <c r="AO2637" t="s">
        <v>67</v>
      </c>
    </row>
    <row r="2638" spans="1:41" x14ac:dyDescent="0.2">
      <c r="A2638">
        <v>360016</v>
      </c>
      <c r="B2638" t="s">
        <v>16393</v>
      </c>
      <c r="C2638" t="s">
        <v>345</v>
      </c>
      <c r="D2638" t="s">
        <v>1050</v>
      </c>
      <c r="E2638" t="s">
        <v>16394</v>
      </c>
      <c r="J2638" t="s">
        <v>326</v>
      </c>
      <c r="K2638" t="s">
        <v>45</v>
      </c>
      <c r="L2638" t="s">
        <v>72</v>
      </c>
      <c r="N2638" t="s">
        <v>89</v>
      </c>
      <c r="O2638" t="s">
        <v>642</v>
      </c>
      <c r="P2638" t="s">
        <v>848</v>
      </c>
      <c r="Q2638" t="s">
        <v>16376</v>
      </c>
      <c r="R2638" t="s">
        <v>16293</v>
      </c>
      <c r="S2638">
        <v>5680</v>
      </c>
      <c r="T2638" t="s">
        <v>52</v>
      </c>
      <c r="U2638">
        <v>2</v>
      </c>
      <c r="V2638" t="s">
        <v>124</v>
      </c>
      <c r="W2638" t="s">
        <v>16206</v>
      </c>
      <c r="X2638" t="s">
        <v>52</v>
      </c>
      <c r="Y2638" t="s">
        <v>854</v>
      </c>
      <c r="Z2638">
        <v>9067</v>
      </c>
      <c r="AA2638">
        <v>4</v>
      </c>
      <c r="AB2638">
        <v>28</v>
      </c>
      <c r="AC2638" t="s">
        <v>16263</v>
      </c>
      <c r="AD2638" t="s">
        <v>16264</v>
      </c>
      <c r="AE2638" t="s">
        <v>16265</v>
      </c>
      <c r="AF2638" t="s">
        <v>16299</v>
      </c>
      <c r="AG2638" t="s">
        <v>16295</v>
      </c>
      <c r="AH2638" t="s">
        <v>16296</v>
      </c>
      <c r="AI2638" t="s">
        <v>16264</v>
      </c>
      <c r="AJ2638" s="2">
        <v>45406.728067129632</v>
      </c>
      <c r="AK2638" t="s">
        <v>16300</v>
      </c>
      <c r="AL2638" t="s">
        <v>862</v>
      </c>
      <c r="AM2638" s="4">
        <v>0.54166666666666663</v>
      </c>
      <c r="AN2638" t="s">
        <v>66</v>
      </c>
      <c r="AO2638" t="s">
        <v>67</v>
      </c>
    </row>
    <row r="2639" spans="1:41" x14ac:dyDescent="0.2">
      <c r="A2639">
        <v>360031</v>
      </c>
      <c r="B2639" t="s">
        <v>16395</v>
      </c>
      <c r="C2639" t="s">
        <v>345</v>
      </c>
      <c r="D2639" t="s">
        <v>1050</v>
      </c>
      <c r="E2639" t="s">
        <v>16396</v>
      </c>
      <c r="J2639" t="s">
        <v>326</v>
      </c>
      <c r="K2639" t="s">
        <v>72</v>
      </c>
      <c r="L2639" t="s">
        <v>72</v>
      </c>
      <c r="N2639" t="s">
        <v>89</v>
      </c>
      <c r="O2639" t="s">
        <v>642</v>
      </c>
      <c r="P2639" t="s">
        <v>848</v>
      </c>
      <c r="Q2639" t="s">
        <v>16397</v>
      </c>
      <c r="R2639" t="s">
        <v>16293</v>
      </c>
      <c r="S2639">
        <v>5680</v>
      </c>
      <c r="T2639" t="s">
        <v>52</v>
      </c>
      <c r="U2639">
        <v>2</v>
      </c>
      <c r="V2639" t="s">
        <v>124</v>
      </c>
      <c r="W2639" t="s">
        <v>16206</v>
      </c>
      <c r="X2639" t="s">
        <v>52</v>
      </c>
      <c r="Y2639" t="s">
        <v>854</v>
      </c>
      <c r="Z2639">
        <v>10146</v>
      </c>
      <c r="AA2639">
        <v>4</v>
      </c>
      <c r="AB2639">
        <v>78</v>
      </c>
      <c r="AC2639" t="s">
        <v>16263</v>
      </c>
      <c r="AD2639" t="s">
        <v>16264</v>
      </c>
      <c r="AE2639" t="s">
        <v>16265</v>
      </c>
      <c r="AF2639" t="s">
        <v>16299</v>
      </c>
      <c r="AG2639" t="s">
        <v>16295</v>
      </c>
      <c r="AH2639" t="s">
        <v>16296</v>
      </c>
      <c r="AI2639" t="s">
        <v>16264</v>
      </c>
      <c r="AJ2639" s="2">
        <v>45406.735115740739</v>
      </c>
      <c r="AK2639" t="s">
        <v>16300</v>
      </c>
      <c r="AL2639" t="s">
        <v>862</v>
      </c>
      <c r="AM2639" s="3">
        <v>1.875</v>
      </c>
      <c r="AN2639" t="s">
        <v>16230</v>
      </c>
      <c r="AO2639" t="s">
        <v>67</v>
      </c>
    </row>
    <row r="2640" spans="1:41" x14ac:dyDescent="0.2">
      <c r="A2640">
        <v>360030</v>
      </c>
      <c r="B2640" t="s">
        <v>16398</v>
      </c>
      <c r="C2640" t="s">
        <v>345</v>
      </c>
      <c r="D2640" t="s">
        <v>1050</v>
      </c>
      <c r="E2640" t="s">
        <v>16399</v>
      </c>
      <c r="J2640" t="s">
        <v>326</v>
      </c>
      <c r="K2640" t="s">
        <v>45</v>
      </c>
      <c r="L2640" t="s">
        <v>72</v>
      </c>
      <c r="N2640" t="s">
        <v>89</v>
      </c>
      <c r="O2640" t="s">
        <v>642</v>
      </c>
      <c r="P2640" t="s">
        <v>848</v>
      </c>
      <c r="Q2640" t="s">
        <v>16397</v>
      </c>
      <c r="R2640" t="s">
        <v>16293</v>
      </c>
      <c r="S2640">
        <v>5680</v>
      </c>
      <c r="T2640" t="s">
        <v>52</v>
      </c>
      <c r="U2640">
        <v>2</v>
      </c>
      <c r="V2640" t="s">
        <v>124</v>
      </c>
      <c r="W2640" t="s">
        <v>16206</v>
      </c>
      <c r="X2640" t="s">
        <v>52</v>
      </c>
      <c r="Y2640" t="s">
        <v>854</v>
      </c>
      <c r="Z2640">
        <v>10046</v>
      </c>
      <c r="AA2640">
        <v>5</v>
      </c>
      <c r="AB2640">
        <v>78</v>
      </c>
      <c r="AC2640" t="s">
        <v>16263</v>
      </c>
      <c r="AD2640" t="s">
        <v>16264</v>
      </c>
      <c r="AE2640" t="s">
        <v>16265</v>
      </c>
      <c r="AF2640" t="s">
        <v>16299</v>
      </c>
      <c r="AG2640" t="s">
        <v>16295</v>
      </c>
      <c r="AH2640" t="s">
        <v>16296</v>
      </c>
      <c r="AI2640" t="s">
        <v>16264</v>
      </c>
      <c r="AJ2640" s="2">
        <v>45406.734629629631</v>
      </c>
      <c r="AK2640" t="s">
        <v>16300</v>
      </c>
      <c r="AL2640" t="s">
        <v>862</v>
      </c>
      <c r="AM2640" s="3">
        <v>1.8125</v>
      </c>
      <c r="AN2640" t="s">
        <v>66</v>
      </c>
      <c r="AO2640" t="s">
        <v>67</v>
      </c>
    </row>
    <row r="2641" spans="1:41" x14ac:dyDescent="0.2">
      <c r="A2641">
        <v>360029</v>
      </c>
      <c r="B2641" t="s">
        <v>16400</v>
      </c>
      <c r="C2641" t="s">
        <v>345</v>
      </c>
      <c r="D2641" t="s">
        <v>1050</v>
      </c>
      <c r="E2641" t="s">
        <v>16401</v>
      </c>
      <c r="J2641" t="s">
        <v>326</v>
      </c>
      <c r="K2641" t="s">
        <v>72</v>
      </c>
      <c r="L2641" t="s">
        <v>72</v>
      </c>
      <c r="N2641" t="s">
        <v>89</v>
      </c>
      <c r="O2641" t="s">
        <v>642</v>
      </c>
      <c r="P2641" t="s">
        <v>848</v>
      </c>
      <c r="Q2641" t="s">
        <v>16397</v>
      </c>
      <c r="R2641" t="s">
        <v>16293</v>
      </c>
      <c r="S2641">
        <v>5680</v>
      </c>
      <c r="T2641" t="s">
        <v>52</v>
      </c>
      <c r="U2641">
        <v>2</v>
      </c>
      <c r="V2641" t="s">
        <v>124</v>
      </c>
      <c r="W2641" t="s">
        <v>16206</v>
      </c>
      <c r="X2641" t="s">
        <v>52</v>
      </c>
      <c r="Y2641" t="s">
        <v>854</v>
      </c>
      <c r="Z2641">
        <v>7409</v>
      </c>
      <c r="AA2641">
        <v>3</v>
      </c>
      <c r="AB2641">
        <v>28</v>
      </c>
      <c r="AC2641" t="s">
        <v>16263</v>
      </c>
      <c r="AD2641" t="s">
        <v>16264</v>
      </c>
      <c r="AE2641" t="s">
        <v>16265</v>
      </c>
      <c r="AF2641" t="s">
        <v>16299</v>
      </c>
      <c r="AG2641" t="s">
        <v>16295</v>
      </c>
      <c r="AH2641" t="s">
        <v>16296</v>
      </c>
      <c r="AI2641" t="s">
        <v>16264</v>
      </c>
      <c r="AJ2641" s="2">
        <v>45406.734178240738</v>
      </c>
      <c r="AK2641" t="s">
        <v>16300</v>
      </c>
      <c r="AL2641" t="s">
        <v>862</v>
      </c>
      <c r="AM2641" s="3">
        <v>1.1041666666666667</v>
      </c>
      <c r="AN2641" t="s">
        <v>66</v>
      </c>
      <c r="AO2641" t="s">
        <v>67</v>
      </c>
    </row>
    <row r="2642" spans="1:41" x14ac:dyDescent="0.2">
      <c r="A2642">
        <v>360028</v>
      </c>
      <c r="B2642" t="s">
        <v>16402</v>
      </c>
      <c r="C2642" t="s">
        <v>345</v>
      </c>
      <c r="D2642" t="s">
        <v>1050</v>
      </c>
      <c r="E2642" t="s">
        <v>16403</v>
      </c>
      <c r="J2642" t="s">
        <v>326</v>
      </c>
      <c r="K2642" t="s">
        <v>72</v>
      </c>
      <c r="L2642" t="s">
        <v>72</v>
      </c>
      <c r="N2642" t="s">
        <v>89</v>
      </c>
      <c r="O2642" t="s">
        <v>642</v>
      </c>
      <c r="P2642" t="s">
        <v>848</v>
      </c>
      <c r="Q2642" t="s">
        <v>16397</v>
      </c>
      <c r="R2642" t="s">
        <v>16293</v>
      </c>
      <c r="S2642">
        <v>5680</v>
      </c>
      <c r="T2642" t="s">
        <v>52</v>
      </c>
      <c r="U2642">
        <v>2</v>
      </c>
      <c r="V2642" t="s">
        <v>124</v>
      </c>
      <c r="W2642" t="s">
        <v>16206</v>
      </c>
      <c r="X2642" t="s">
        <v>52</v>
      </c>
      <c r="Y2642" t="s">
        <v>854</v>
      </c>
      <c r="Z2642">
        <v>7408</v>
      </c>
      <c r="AA2642">
        <v>3</v>
      </c>
      <c r="AB2642">
        <v>28</v>
      </c>
      <c r="AC2642" t="s">
        <v>16263</v>
      </c>
      <c r="AD2642" t="s">
        <v>16264</v>
      </c>
      <c r="AE2642" t="s">
        <v>16265</v>
      </c>
      <c r="AF2642" t="s">
        <v>16299</v>
      </c>
      <c r="AG2642" t="s">
        <v>16295</v>
      </c>
      <c r="AH2642" t="s">
        <v>16296</v>
      </c>
      <c r="AI2642" t="s">
        <v>16264</v>
      </c>
      <c r="AJ2642" s="2">
        <v>45406.733761574076</v>
      </c>
      <c r="AK2642" t="s">
        <v>16300</v>
      </c>
      <c r="AL2642" t="s">
        <v>862</v>
      </c>
      <c r="AM2642" s="3">
        <v>1.1111111111111112</v>
      </c>
      <c r="AN2642" t="s">
        <v>66</v>
      </c>
      <c r="AO2642" t="s">
        <v>67</v>
      </c>
    </row>
    <row r="2643" spans="1:41" x14ac:dyDescent="0.2">
      <c r="A2643">
        <v>360027</v>
      </c>
      <c r="B2643" t="s">
        <v>16404</v>
      </c>
      <c r="C2643" t="s">
        <v>345</v>
      </c>
      <c r="D2643" t="s">
        <v>1050</v>
      </c>
      <c r="E2643" t="s">
        <v>16405</v>
      </c>
      <c r="J2643" t="s">
        <v>326</v>
      </c>
      <c r="K2643" t="s">
        <v>45</v>
      </c>
      <c r="L2643" t="s">
        <v>72</v>
      </c>
      <c r="N2643" t="s">
        <v>89</v>
      </c>
      <c r="O2643" t="s">
        <v>642</v>
      </c>
      <c r="P2643" t="s">
        <v>848</v>
      </c>
      <c r="Q2643" t="s">
        <v>16397</v>
      </c>
      <c r="R2643" t="s">
        <v>16293</v>
      </c>
      <c r="S2643">
        <v>5680</v>
      </c>
      <c r="T2643" t="s">
        <v>52</v>
      </c>
      <c r="U2643">
        <v>2</v>
      </c>
      <c r="V2643" t="s">
        <v>124</v>
      </c>
      <c r="W2643" t="s">
        <v>16206</v>
      </c>
      <c r="X2643" t="s">
        <v>52</v>
      </c>
      <c r="Y2643" t="s">
        <v>854</v>
      </c>
      <c r="Z2643">
        <v>9068</v>
      </c>
      <c r="AA2643">
        <v>4</v>
      </c>
      <c r="AB2643">
        <v>28</v>
      </c>
      <c r="AC2643" t="s">
        <v>16263</v>
      </c>
      <c r="AD2643" t="s">
        <v>16264</v>
      </c>
      <c r="AE2643" t="s">
        <v>16265</v>
      </c>
      <c r="AF2643" t="s">
        <v>16299</v>
      </c>
      <c r="AG2643" t="s">
        <v>16295</v>
      </c>
      <c r="AH2643" t="s">
        <v>16296</v>
      </c>
      <c r="AI2643" t="s">
        <v>16264</v>
      </c>
      <c r="AJ2643" s="2">
        <v>45406.733275462961</v>
      </c>
      <c r="AK2643" t="s">
        <v>16300</v>
      </c>
      <c r="AL2643" t="s">
        <v>862</v>
      </c>
      <c r="AM2643" s="4">
        <v>0.54861111111111116</v>
      </c>
      <c r="AN2643" t="s">
        <v>66</v>
      </c>
      <c r="AO2643" t="s">
        <v>67</v>
      </c>
    </row>
    <row r="2644" spans="1:41" x14ac:dyDescent="0.2">
      <c r="A2644">
        <v>360026</v>
      </c>
      <c r="B2644" t="s">
        <v>16406</v>
      </c>
      <c r="C2644" t="s">
        <v>345</v>
      </c>
      <c r="D2644" t="s">
        <v>1050</v>
      </c>
      <c r="E2644" t="s">
        <v>16407</v>
      </c>
      <c r="J2644" t="s">
        <v>72</v>
      </c>
      <c r="K2644" t="s">
        <v>72</v>
      </c>
      <c r="L2644" t="s">
        <v>72</v>
      </c>
      <c r="N2644" t="s">
        <v>89</v>
      </c>
      <c r="O2644" t="s">
        <v>642</v>
      </c>
      <c r="P2644" t="s">
        <v>848</v>
      </c>
      <c r="Q2644" t="s">
        <v>16397</v>
      </c>
      <c r="R2644" t="s">
        <v>16293</v>
      </c>
      <c r="S2644">
        <v>5680</v>
      </c>
      <c r="T2644" t="s">
        <v>52</v>
      </c>
      <c r="U2644">
        <v>2</v>
      </c>
      <c r="V2644" t="s">
        <v>124</v>
      </c>
      <c r="W2644" t="s">
        <v>16206</v>
      </c>
      <c r="X2644" t="s">
        <v>52</v>
      </c>
      <c r="Y2644" t="s">
        <v>854</v>
      </c>
      <c r="Z2644">
        <v>7407</v>
      </c>
      <c r="AA2644">
        <v>3</v>
      </c>
      <c r="AB2644">
        <v>28</v>
      </c>
      <c r="AC2644" t="s">
        <v>16263</v>
      </c>
      <c r="AD2644" t="s">
        <v>16264</v>
      </c>
      <c r="AE2644" t="s">
        <v>16265</v>
      </c>
      <c r="AF2644" t="s">
        <v>16299</v>
      </c>
      <c r="AG2644" t="s">
        <v>16295</v>
      </c>
      <c r="AH2644" t="s">
        <v>16296</v>
      </c>
      <c r="AI2644" t="s">
        <v>16264</v>
      </c>
      <c r="AJ2644" s="2">
        <v>45406.732812499999</v>
      </c>
      <c r="AK2644" t="s">
        <v>16300</v>
      </c>
      <c r="AL2644" t="s">
        <v>862</v>
      </c>
      <c r="AM2644" s="3">
        <v>1.1180555555555556</v>
      </c>
      <c r="AN2644" t="s">
        <v>66</v>
      </c>
      <c r="AO2644" t="s">
        <v>67</v>
      </c>
    </row>
    <row r="2645" spans="1:41" x14ac:dyDescent="0.2">
      <c r="A2645">
        <v>318060</v>
      </c>
      <c r="B2645" t="s">
        <v>16408</v>
      </c>
      <c r="C2645" t="s">
        <v>735</v>
      </c>
      <c r="D2645" t="s">
        <v>2922</v>
      </c>
      <c r="E2645" t="s">
        <v>16409</v>
      </c>
      <c r="J2645" t="s">
        <v>326</v>
      </c>
      <c r="K2645" t="s">
        <v>45</v>
      </c>
      <c r="L2645" t="s">
        <v>72</v>
      </c>
      <c r="N2645" t="s">
        <v>89</v>
      </c>
      <c r="O2645" t="s">
        <v>642</v>
      </c>
      <c r="P2645" t="s">
        <v>848</v>
      </c>
      <c r="T2645" t="s">
        <v>52</v>
      </c>
      <c r="U2645" t="s">
        <v>16225</v>
      </c>
      <c r="V2645" t="s">
        <v>16226</v>
      </c>
      <c r="W2645" t="s">
        <v>16206</v>
      </c>
      <c r="X2645" t="s">
        <v>52</v>
      </c>
      <c r="Y2645" t="s">
        <v>854</v>
      </c>
      <c r="Z2645">
        <v>8126</v>
      </c>
      <c r="AA2645">
        <v>1</v>
      </c>
      <c r="AB2645">
        <v>78</v>
      </c>
      <c r="AC2645" t="s">
        <v>16410</v>
      </c>
      <c r="AD2645" t="s">
        <v>16411</v>
      </c>
      <c r="AE2645" t="s">
        <v>16412</v>
      </c>
      <c r="AJ2645" s="2">
        <v>44321.791724537034</v>
      </c>
      <c r="AK2645" t="s">
        <v>9908</v>
      </c>
      <c r="AL2645" t="s">
        <v>862</v>
      </c>
      <c r="AM2645" s="4">
        <v>0.75</v>
      </c>
      <c r="AN2645" t="s">
        <v>66</v>
      </c>
      <c r="AO2645" t="s">
        <v>67</v>
      </c>
    </row>
    <row r="2646" spans="1:41" x14ac:dyDescent="0.2">
      <c r="A2646">
        <v>318062</v>
      </c>
      <c r="B2646" t="s">
        <v>16413</v>
      </c>
      <c r="C2646" t="s">
        <v>735</v>
      </c>
      <c r="D2646" t="s">
        <v>2922</v>
      </c>
      <c r="E2646" t="s">
        <v>16414</v>
      </c>
      <c r="J2646" t="s">
        <v>326</v>
      </c>
      <c r="K2646" t="s">
        <v>45</v>
      </c>
      <c r="L2646" t="s">
        <v>72</v>
      </c>
      <c r="N2646" t="s">
        <v>89</v>
      </c>
      <c r="O2646" t="s">
        <v>642</v>
      </c>
      <c r="P2646" t="s">
        <v>848</v>
      </c>
      <c r="T2646" t="s">
        <v>52</v>
      </c>
      <c r="U2646" t="s">
        <v>16225</v>
      </c>
      <c r="V2646" t="s">
        <v>16226</v>
      </c>
      <c r="W2646" t="s">
        <v>16206</v>
      </c>
      <c r="X2646" t="s">
        <v>52</v>
      </c>
      <c r="Y2646" t="s">
        <v>854</v>
      </c>
      <c r="Z2646">
        <v>8127</v>
      </c>
      <c r="AA2646">
        <v>1</v>
      </c>
      <c r="AB2646">
        <v>78</v>
      </c>
      <c r="AC2646" t="s">
        <v>16410</v>
      </c>
      <c r="AD2646" t="s">
        <v>16411</v>
      </c>
      <c r="AE2646" t="s">
        <v>16412</v>
      </c>
      <c r="AJ2646" s="2">
        <v>44321.793553240743</v>
      </c>
      <c r="AK2646" t="s">
        <v>9908</v>
      </c>
      <c r="AL2646" t="s">
        <v>862</v>
      </c>
      <c r="AM2646" s="4">
        <v>0.76388888888888884</v>
      </c>
      <c r="AN2646" t="s">
        <v>66</v>
      </c>
      <c r="AO2646" t="s">
        <v>67</v>
      </c>
    </row>
    <row r="2647" spans="1:41" x14ac:dyDescent="0.2">
      <c r="A2647">
        <v>318063</v>
      </c>
      <c r="B2647" t="s">
        <v>16415</v>
      </c>
      <c r="C2647" t="s">
        <v>735</v>
      </c>
      <c r="D2647" t="s">
        <v>2922</v>
      </c>
      <c r="E2647" t="s">
        <v>16416</v>
      </c>
      <c r="J2647" t="s">
        <v>326</v>
      </c>
      <c r="K2647" t="s">
        <v>72</v>
      </c>
      <c r="L2647" t="s">
        <v>72</v>
      </c>
      <c r="N2647" t="s">
        <v>89</v>
      </c>
      <c r="O2647" t="s">
        <v>642</v>
      </c>
      <c r="P2647" t="s">
        <v>848</v>
      </c>
      <c r="Q2647" t="s">
        <v>16251</v>
      </c>
      <c r="R2647" t="s">
        <v>16252</v>
      </c>
      <c r="S2647">
        <v>3201</v>
      </c>
      <c r="T2647" t="s">
        <v>52</v>
      </c>
      <c r="U2647" t="s">
        <v>16225</v>
      </c>
      <c r="V2647" t="s">
        <v>16226</v>
      </c>
      <c r="W2647" t="s">
        <v>16206</v>
      </c>
      <c r="X2647" t="s">
        <v>52</v>
      </c>
      <c r="Y2647" t="s">
        <v>854</v>
      </c>
      <c r="Z2647">
        <v>5970</v>
      </c>
      <c r="AA2647">
        <v>4</v>
      </c>
      <c r="AB2647">
        <v>28</v>
      </c>
      <c r="AC2647" t="s">
        <v>16253</v>
      </c>
      <c r="AD2647" t="s">
        <v>16247</v>
      </c>
      <c r="AE2647" t="s">
        <v>16248</v>
      </c>
      <c r="AI2647" t="s">
        <v>16247</v>
      </c>
      <c r="AJ2647" s="2">
        <v>44321.794351851851</v>
      </c>
      <c r="AK2647" t="s">
        <v>9908</v>
      </c>
      <c r="AL2647" t="s">
        <v>862</v>
      </c>
      <c r="AM2647" s="3">
        <v>1.25</v>
      </c>
      <c r="AN2647" t="s">
        <v>16230</v>
      </c>
      <c r="AO2647" t="s">
        <v>67</v>
      </c>
    </row>
    <row r="2648" spans="1:41" x14ac:dyDescent="0.2">
      <c r="A2648">
        <v>318065</v>
      </c>
      <c r="B2648" t="s">
        <v>16417</v>
      </c>
      <c r="C2648" t="s">
        <v>735</v>
      </c>
      <c r="D2648" t="s">
        <v>2922</v>
      </c>
      <c r="E2648" t="s">
        <v>16418</v>
      </c>
      <c r="J2648" t="s">
        <v>72</v>
      </c>
      <c r="K2648" t="s">
        <v>45</v>
      </c>
      <c r="L2648" t="s">
        <v>72</v>
      </c>
      <c r="N2648" t="s">
        <v>89</v>
      </c>
      <c r="O2648" t="s">
        <v>642</v>
      </c>
      <c r="P2648" t="s">
        <v>848</v>
      </c>
      <c r="Q2648" t="s">
        <v>16419</v>
      </c>
      <c r="R2648" t="s">
        <v>16420</v>
      </c>
      <c r="S2648">
        <v>3230</v>
      </c>
      <c r="T2648" t="s">
        <v>52</v>
      </c>
      <c r="U2648">
        <v>1</v>
      </c>
      <c r="V2648" t="s">
        <v>2603</v>
      </c>
      <c r="W2648" t="s">
        <v>16206</v>
      </c>
      <c r="X2648" t="s">
        <v>52</v>
      </c>
      <c r="Y2648" t="s">
        <v>854</v>
      </c>
      <c r="Z2648">
        <v>7367</v>
      </c>
      <c r="AA2648">
        <v>2</v>
      </c>
      <c r="AB2648">
        <v>28</v>
      </c>
      <c r="AC2648" t="s">
        <v>16421</v>
      </c>
      <c r="AD2648" t="s">
        <v>16422</v>
      </c>
      <c r="AE2648" t="s">
        <v>16423</v>
      </c>
      <c r="AJ2648" s="2">
        <v>44321.79515046296</v>
      </c>
      <c r="AK2648" t="s">
        <v>9908</v>
      </c>
      <c r="AL2648" t="s">
        <v>862</v>
      </c>
      <c r="AM2648" s="3">
        <v>1.0833333333333333</v>
      </c>
      <c r="AN2648" t="s">
        <v>16230</v>
      </c>
      <c r="AO2648" t="s">
        <v>67</v>
      </c>
    </row>
    <row r="2649" spans="1:41" x14ac:dyDescent="0.2">
      <c r="A2649">
        <v>318066</v>
      </c>
      <c r="B2649" t="s">
        <v>16424</v>
      </c>
      <c r="C2649" t="s">
        <v>735</v>
      </c>
      <c r="D2649" t="s">
        <v>2922</v>
      </c>
      <c r="E2649" t="s">
        <v>16425</v>
      </c>
      <c r="J2649" t="s">
        <v>326</v>
      </c>
      <c r="K2649" t="s">
        <v>45</v>
      </c>
      <c r="L2649" t="s">
        <v>72</v>
      </c>
      <c r="N2649" t="s">
        <v>89</v>
      </c>
      <c r="O2649" t="s">
        <v>642</v>
      </c>
      <c r="P2649" t="s">
        <v>848</v>
      </c>
      <c r="Q2649" t="s">
        <v>16419</v>
      </c>
      <c r="R2649" t="s">
        <v>16420</v>
      </c>
      <c r="S2649">
        <v>3230</v>
      </c>
      <c r="T2649" t="s">
        <v>52</v>
      </c>
      <c r="U2649">
        <v>1</v>
      </c>
      <c r="V2649" t="s">
        <v>2603</v>
      </c>
      <c r="W2649" t="s">
        <v>16206</v>
      </c>
      <c r="X2649" t="s">
        <v>52</v>
      </c>
      <c r="Y2649" t="s">
        <v>854</v>
      </c>
      <c r="Z2649">
        <v>7366</v>
      </c>
      <c r="AA2649">
        <v>2</v>
      </c>
      <c r="AB2649">
        <v>28</v>
      </c>
      <c r="AC2649" t="s">
        <v>16421</v>
      </c>
      <c r="AD2649" t="s">
        <v>16422</v>
      </c>
      <c r="AE2649" t="s">
        <v>16423</v>
      </c>
      <c r="AJ2649" s="2">
        <v>44321.795902777776</v>
      </c>
      <c r="AK2649" t="s">
        <v>9908</v>
      </c>
      <c r="AL2649" t="s">
        <v>862</v>
      </c>
      <c r="AM2649" s="3">
        <v>1.0902777777777777</v>
      </c>
      <c r="AN2649" t="s">
        <v>16230</v>
      </c>
      <c r="AO2649" t="s">
        <v>67</v>
      </c>
    </row>
    <row r="2650" spans="1:41" x14ac:dyDescent="0.2">
      <c r="A2650">
        <v>351611</v>
      </c>
      <c r="B2650" t="s">
        <v>16426</v>
      </c>
      <c r="C2650" t="s">
        <v>735</v>
      </c>
      <c r="D2650" t="s">
        <v>2922</v>
      </c>
      <c r="E2650" t="s">
        <v>16427</v>
      </c>
      <c r="F2650">
        <v>40991</v>
      </c>
      <c r="J2650" t="s">
        <v>326</v>
      </c>
      <c r="K2650" t="s">
        <v>72</v>
      </c>
      <c r="L2650" t="s">
        <v>72</v>
      </c>
      <c r="N2650" t="s">
        <v>89</v>
      </c>
      <c r="O2650" t="s">
        <v>642</v>
      </c>
      <c r="P2650" t="s">
        <v>848</v>
      </c>
      <c r="Q2650" t="s">
        <v>16428</v>
      </c>
      <c r="R2650" t="s">
        <v>16429</v>
      </c>
      <c r="S2650">
        <v>3230</v>
      </c>
      <c r="T2650" t="s">
        <v>52</v>
      </c>
      <c r="U2650">
        <v>1</v>
      </c>
      <c r="V2650" t="s">
        <v>7427</v>
      </c>
      <c r="W2650" t="s">
        <v>16206</v>
      </c>
      <c r="X2650" t="s">
        <v>52</v>
      </c>
      <c r="Y2650" t="s">
        <v>854</v>
      </c>
      <c r="Z2650">
        <v>5966</v>
      </c>
      <c r="AA2650">
        <v>5</v>
      </c>
      <c r="AB2650">
        <v>28</v>
      </c>
      <c r="AC2650" t="s">
        <v>16430</v>
      </c>
      <c r="AD2650" t="s">
        <v>16431</v>
      </c>
      <c r="AE2650" t="s">
        <v>16423</v>
      </c>
      <c r="AI2650" t="s">
        <v>16431</v>
      </c>
      <c r="AJ2650" s="2">
        <v>45174.63689814815</v>
      </c>
      <c r="AK2650" t="s">
        <v>149</v>
      </c>
      <c r="AL2650" t="s">
        <v>862</v>
      </c>
      <c r="AM2650" s="3">
        <v>1.2222222222222223</v>
      </c>
      <c r="AN2650" t="s">
        <v>16230</v>
      </c>
      <c r="AO2650" t="s">
        <v>67</v>
      </c>
    </row>
    <row r="2651" spans="1:41" x14ac:dyDescent="0.2">
      <c r="A2651">
        <v>354799</v>
      </c>
      <c r="B2651" t="s">
        <v>16432</v>
      </c>
      <c r="C2651" t="s">
        <v>735</v>
      </c>
      <c r="D2651" t="s">
        <v>2922</v>
      </c>
      <c r="E2651" t="s">
        <v>16433</v>
      </c>
      <c r="G2651" s="1">
        <v>44390</v>
      </c>
      <c r="J2651" t="s">
        <v>326</v>
      </c>
      <c r="K2651" t="s">
        <v>72</v>
      </c>
      <c r="L2651" t="s">
        <v>72</v>
      </c>
      <c r="N2651" t="s">
        <v>89</v>
      </c>
      <c r="O2651" t="s">
        <v>642</v>
      </c>
      <c r="P2651" t="s">
        <v>848</v>
      </c>
      <c r="Q2651" t="s">
        <v>14070</v>
      </c>
      <c r="R2651" t="s">
        <v>14071</v>
      </c>
      <c r="S2651">
        <v>2481</v>
      </c>
      <c r="T2651" t="s">
        <v>52</v>
      </c>
      <c r="U2651">
        <v>1</v>
      </c>
      <c r="V2651" t="s">
        <v>7427</v>
      </c>
      <c r="W2651" t="s">
        <v>16206</v>
      </c>
      <c r="X2651" t="s">
        <v>52</v>
      </c>
      <c r="Y2651" t="s">
        <v>854</v>
      </c>
      <c r="Z2651">
        <v>5969</v>
      </c>
      <c r="AA2651">
        <v>6</v>
      </c>
      <c r="AB2651">
        <v>28</v>
      </c>
      <c r="AC2651" t="s">
        <v>16421</v>
      </c>
      <c r="AD2651" t="s">
        <v>16422</v>
      </c>
      <c r="AE2651" t="s">
        <v>16423</v>
      </c>
      <c r="AI2651" t="s">
        <v>16422</v>
      </c>
      <c r="AJ2651" s="2">
        <v>45230.872233796297</v>
      </c>
      <c r="AK2651" t="s">
        <v>100</v>
      </c>
      <c r="AL2651" t="s">
        <v>862</v>
      </c>
      <c r="AM2651" s="3">
        <v>1.2430555555555556</v>
      </c>
      <c r="AN2651" t="s">
        <v>16230</v>
      </c>
      <c r="AO2651" t="s">
        <v>67</v>
      </c>
    </row>
    <row r="2652" spans="1:41" x14ac:dyDescent="0.2">
      <c r="A2652">
        <v>318075</v>
      </c>
      <c r="B2652" t="s">
        <v>16434</v>
      </c>
      <c r="C2652" t="s">
        <v>735</v>
      </c>
      <c r="D2652" t="s">
        <v>2922</v>
      </c>
      <c r="E2652" t="s">
        <v>16435</v>
      </c>
      <c r="J2652" t="s">
        <v>326</v>
      </c>
      <c r="K2652" t="s">
        <v>72</v>
      </c>
      <c r="L2652" t="s">
        <v>72</v>
      </c>
      <c r="N2652" t="s">
        <v>89</v>
      </c>
      <c r="O2652" t="s">
        <v>642</v>
      </c>
      <c r="P2652" t="s">
        <v>848</v>
      </c>
      <c r="Q2652" t="s">
        <v>16419</v>
      </c>
      <c r="R2652" t="s">
        <v>16420</v>
      </c>
      <c r="S2652">
        <v>3230</v>
      </c>
      <c r="T2652" t="s">
        <v>52</v>
      </c>
      <c r="U2652">
        <v>1</v>
      </c>
      <c r="V2652" t="s">
        <v>7427</v>
      </c>
      <c r="W2652" t="s">
        <v>16206</v>
      </c>
      <c r="X2652" t="s">
        <v>52</v>
      </c>
      <c r="Y2652" t="s">
        <v>854</v>
      </c>
      <c r="Z2652">
        <v>5967</v>
      </c>
      <c r="AA2652">
        <v>3</v>
      </c>
      <c r="AB2652">
        <v>28</v>
      </c>
      <c r="AC2652" t="s">
        <v>16421</v>
      </c>
      <c r="AD2652" t="s">
        <v>16422</v>
      </c>
      <c r="AE2652" t="s">
        <v>16423</v>
      </c>
      <c r="AI2652" t="s">
        <v>16422</v>
      </c>
      <c r="AJ2652" s="2">
        <v>44321.800451388888</v>
      </c>
      <c r="AK2652" t="s">
        <v>9908</v>
      </c>
      <c r="AL2652" t="s">
        <v>862</v>
      </c>
      <c r="AM2652" s="3">
        <v>1.2291666666666667</v>
      </c>
      <c r="AN2652" t="s">
        <v>16230</v>
      </c>
      <c r="AO2652" t="s">
        <v>67</v>
      </c>
    </row>
    <row r="2653" spans="1:41" x14ac:dyDescent="0.2">
      <c r="A2653">
        <v>318118</v>
      </c>
      <c r="B2653" t="s">
        <v>16436</v>
      </c>
      <c r="C2653" t="s">
        <v>345</v>
      </c>
      <c r="D2653" t="s">
        <v>3579</v>
      </c>
      <c r="E2653" t="s">
        <v>16437</v>
      </c>
      <c r="J2653" t="s">
        <v>326</v>
      </c>
      <c r="K2653" t="s">
        <v>72</v>
      </c>
      <c r="L2653" t="s">
        <v>72</v>
      </c>
      <c r="N2653" t="s">
        <v>89</v>
      </c>
      <c r="O2653" t="s">
        <v>642</v>
      </c>
      <c r="P2653" t="s">
        <v>848</v>
      </c>
      <c r="T2653" t="s">
        <v>52</v>
      </c>
      <c r="U2653">
        <v>2</v>
      </c>
      <c r="V2653" t="s">
        <v>945</v>
      </c>
      <c r="W2653" t="s">
        <v>16206</v>
      </c>
      <c r="X2653" t="s">
        <v>52</v>
      </c>
      <c r="Y2653" t="s">
        <v>854</v>
      </c>
      <c r="Z2653">
        <v>7426</v>
      </c>
      <c r="AA2653">
        <v>1</v>
      </c>
      <c r="AB2653">
        <v>28</v>
      </c>
      <c r="AC2653" t="s">
        <v>16438</v>
      </c>
      <c r="AD2653" t="s">
        <v>16439</v>
      </c>
      <c r="AE2653" t="s">
        <v>16440</v>
      </c>
      <c r="AJ2653" s="2">
        <v>44321.885162037041</v>
      </c>
      <c r="AK2653" t="s">
        <v>100</v>
      </c>
      <c r="AL2653" t="s">
        <v>862</v>
      </c>
      <c r="AM2653" s="3">
        <v>1.125</v>
      </c>
      <c r="AN2653" t="s">
        <v>66</v>
      </c>
      <c r="AO2653" t="s">
        <v>67</v>
      </c>
    </row>
    <row r="2654" spans="1:41" x14ac:dyDescent="0.2">
      <c r="A2654">
        <v>318119</v>
      </c>
      <c r="B2654" t="s">
        <v>16441</v>
      </c>
      <c r="C2654" t="s">
        <v>345</v>
      </c>
      <c r="D2654" t="s">
        <v>3579</v>
      </c>
      <c r="E2654" t="s">
        <v>16442</v>
      </c>
      <c r="J2654" t="s">
        <v>326</v>
      </c>
      <c r="K2654" t="s">
        <v>72</v>
      </c>
      <c r="L2654" t="s">
        <v>72</v>
      </c>
      <c r="N2654" t="s">
        <v>89</v>
      </c>
      <c r="O2654" t="s">
        <v>642</v>
      </c>
      <c r="P2654" t="s">
        <v>848</v>
      </c>
      <c r="T2654" t="s">
        <v>52</v>
      </c>
      <c r="U2654">
        <v>2</v>
      </c>
      <c r="V2654" t="s">
        <v>945</v>
      </c>
      <c r="W2654" t="s">
        <v>16206</v>
      </c>
      <c r="X2654" t="s">
        <v>52</v>
      </c>
      <c r="Y2654" t="s">
        <v>854</v>
      </c>
      <c r="Z2654">
        <v>7427</v>
      </c>
      <c r="AA2654">
        <v>1</v>
      </c>
      <c r="AB2654">
        <v>28</v>
      </c>
      <c r="AC2654" t="s">
        <v>16438</v>
      </c>
      <c r="AD2654" t="s">
        <v>16439</v>
      </c>
      <c r="AE2654" t="s">
        <v>16440</v>
      </c>
      <c r="AJ2654" s="2">
        <v>44321.885648148149</v>
      </c>
      <c r="AK2654" t="s">
        <v>100</v>
      </c>
      <c r="AL2654" t="s">
        <v>862</v>
      </c>
      <c r="AM2654" s="3">
        <v>1.1319444444444444</v>
      </c>
      <c r="AN2654" t="s">
        <v>66</v>
      </c>
      <c r="AO2654" t="s">
        <v>67</v>
      </c>
    </row>
    <row r="2655" spans="1:41" x14ac:dyDescent="0.2">
      <c r="A2655">
        <v>354804</v>
      </c>
      <c r="B2655" t="s">
        <v>16443</v>
      </c>
      <c r="C2655" t="s">
        <v>345</v>
      </c>
      <c r="D2655" t="s">
        <v>3845</v>
      </c>
      <c r="E2655" t="s">
        <v>16444</v>
      </c>
      <c r="G2655" s="1">
        <v>41753</v>
      </c>
      <c r="H2655" s="1">
        <v>44742</v>
      </c>
      <c r="J2655" t="s">
        <v>326</v>
      </c>
      <c r="K2655" t="s">
        <v>45</v>
      </c>
      <c r="L2655" t="s">
        <v>72</v>
      </c>
      <c r="M2655" s="1">
        <v>42076</v>
      </c>
      <c r="N2655" t="s">
        <v>89</v>
      </c>
      <c r="O2655" t="s">
        <v>642</v>
      </c>
      <c r="P2655" t="s">
        <v>848</v>
      </c>
      <c r="Q2655" t="s">
        <v>16445</v>
      </c>
      <c r="R2655" t="s">
        <v>16446</v>
      </c>
      <c r="S2655">
        <v>8077</v>
      </c>
      <c r="T2655" t="s">
        <v>52</v>
      </c>
      <c r="U2655">
        <v>2</v>
      </c>
      <c r="V2655" t="s">
        <v>1522</v>
      </c>
      <c r="W2655" t="s">
        <v>16206</v>
      </c>
      <c r="X2655" t="s">
        <v>52</v>
      </c>
      <c r="Y2655" t="s">
        <v>854</v>
      </c>
      <c r="Z2655">
        <v>6126</v>
      </c>
      <c r="AA2655">
        <v>11</v>
      </c>
      <c r="AB2655">
        <v>28</v>
      </c>
      <c r="AC2655" t="s">
        <v>16447</v>
      </c>
      <c r="AD2655" t="s">
        <v>16448</v>
      </c>
      <c r="AE2655" t="s">
        <v>16449</v>
      </c>
      <c r="AF2655" t="s">
        <v>1526</v>
      </c>
      <c r="AG2655" t="s">
        <v>1527</v>
      </c>
      <c r="AH2655" t="s">
        <v>1528</v>
      </c>
      <c r="AI2655" t="s">
        <v>16450</v>
      </c>
      <c r="AJ2655" s="2">
        <v>45230.877662037034</v>
      </c>
      <c r="AK2655" t="s">
        <v>100</v>
      </c>
      <c r="AL2655" t="s">
        <v>862</v>
      </c>
      <c r="AM2655" s="4">
        <v>0.79861111111111116</v>
      </c>
      <c r="AN2655" t="s">
        <v>66</v>
      </c>
      <c r="AO2655" t="s">
        <v>67</v>
      </c>
    </row>
    <row r="2656" spans="1:41" x14ac:dyDescent="0.2">
      <c r="A2656">
        <v>345954</v>
      </c>
      <c r="B2656" t="s">
        <v>16451</v>
      </c>
      <c r="C2656" t="s">
        <v>345</v>
      </c>
      <c r="D2656" t="s">
        <v>1050</v>
      </c>
      <c r="E2656" t="s">
        <v>16452</v>
      </c>
      <c r="J2656" t="s">
        <v>326</v>
      </c>
      <c r="K2656" t="s">
        <v>72</v>
      </c>
      <c r="L2656" t="s">
        <v>72</v>
      </c>
      <c r="N2656" t="s">
        <v>89</v>
      </c>
      <c r="O2656" t="s">
        <v>642</v>
      </c>
      <c r="P2656" t="s">
        <v>848</v>
      </c>
      <c r="T2656" t="s">
        <v>52</v>
      </c>
      <c r="U2656">
        <v>2</v>
      </c>
      <c r="V2656" t="s">
        <v>124</v>
      </c>
      <c r="W2656" t="s">
        <v>16206</v>
      </c>
      <c r="X2656" t="s">
        <v>52</v>
      </c>
      <c r="Y2656" t="s">
        <v>854</v>
      </c>
      <c r="Z2656">
        <v>6107</v>
      </c>
      <c r="AA2656">
        <v>4</v>
      </c>
      <c r="AB2656">
        <v>28</v>
      </c>
      <c r="AC2656" t="s">
        <v>16453</v>
      </c>
      <c r="AD2656" t="s">
        <v>16454</v>
      </c>
      <c r="AE2656" t="s">
        <v>16455</v>
      </c>
      <c r="AJ2656" s="2">
        <v>44952.885601851849</v>
      </c>
      <c r="AK2656" t="s">
        <v>100</v>
      </c>
      <c r="AL2656" t="s">
        <v>862</v>
      </c>
      <c r="AM2656" s="4">
        <v>0.33333333333333331</v>
      </c>
      <c r="AN2656" t="s">
        <v>66</v>
      </c>
      <c r="AO2656" t="s">
        <v>67</v>
      </c>
    </row>
    <row r="2657" spans="1:41" x14ac:dyDescent="0.2">
      <c r="A2657">
        <v>318088</v>
      </c>
      <c r="B2657" t="s">
        <v>16456</v>
      </c>
      <c r="C2657" t="s">
        <v>42</v>
      </c>
      <c r="E2657" t="s">
        <v>16457</v>
      </c>
      <c r="J2657" t="s">
        <v>326</v>
      </c>
      <c r="K2657" t="s">
        <v>72</v>
      </c>
      <c r="L2657" t="s">
        <v>72</v>
      </c>
      <c r="N2657" t="s">
        <v>89</v>
      </c>
      <c r="O2657" t="s">
        <v>642</v>
      </c>
      <c r="P2657" t="s">
        <v>848</v>
      </c>
      <c r="T2657" t="s">
        <v>52</v>
      </c>
      <c r="U2657">
        <v>3</v>
      </c>
      <c r="V2657" t="s">
        <v>1759</v>
      </c>
      <c r="W2657" t="s">
        <v>16206</v>
      </c>
      <c r="Y2657" t="s">
        <v>854</v>
      </c>
      <c r="Z2657">
        <v>6088</v>
      </c>
      <c r="AA2657">
        <v>3</v>
      </c>
      <c r="AB2657">
        <v>28</v>
      </c>
      <c r="AC2657" t="s">
        <v>16299</v>
      </c>
      <c r="AD2657" t="s">
        <v>16458</v>
      </c>
      <c r="AE2657" t="s">
        <v>16459</v>
      </c>
      <c r="AI2657" t="s">
        <v>16458</v>
      </c>
      <c r="AJ2657" s="2">
        <v>44321.811886574076</v>
      </c>
      <c r="AK2657" t="s">
        <v>9908</v>
      </c>
      <c r="AL2657" t="s">
        <v>862</v>
      </c>
      <c r="AM2657" s="4">
        <v>0.30555555555555558</v>
      </c>
      <c r="AN2657" t="s">
        <v>66</v>
      </c>
      <c r="AO2657" t="s">
        <v>67</v>
      </c>
    </row>
    <row r="2658" spans="1:41" x14ac:dyDescent="0.2">
      <c r="A2658">
        <v>318089</v>
      </c>
      <c r="B2658" t="s">
        <v>16460</v>
      </c>
      <c r="C2658" t="s">
        <v>42</v>
      </c>
      <c r="D2658" t="s">
        <v>846</v>
      </c>
      <c r="E2658" t="s">
        <v>16461</v>
      </c>
      <c r="J2658" t="s">
        <v>326</v>
      </c>
      <c r="K2658" t="s">
        <v>72</v>
      </c>
      <c r="L2658" t="s">
        <v>72</v>
      </c>
      <c r="N2658" t="s">
        <v>89</v>
      </c>
      <c r="O2658" t="s">
        <v>642</v>
      </c>
      <c r="P2658" t="s">
        <v>848</v>
      </c>
      <c r="T2658" t="s">
        <v>52</v>
      </c>
      <c r="U2658">
        <v>3</v>
      </c>
      <c r="V2658" t="s">
        <v>1759</v>
      </c>
      <c r="W2658" t="s">
        <v>16206</v>
      </c>
      <c r="Y2658" t="s">
        <v>854</v>
      </c>
      <c r="Z2658">
        <v>6089</v>
      </c>
      <c r="AA2658">
        <v>2</v>
      </c>
      <c r="AB2658">
        <v>28</v>
      </c>
      <c r="AC2658" t="s">
        <v>16299</v>
      </c>
      <c r="AD2658" t="s">
        <v>16458</v>
      </c>
      <c r="AE2658" t="s">
        <v>16459</v>
      </c>
      <c r="AI2658" t="s">
        <v>16458</v>
      </c>
      <c r="AJ2658" s="2">
        <v>44321.813113425924</v>
      </c>
      <c r="AK2658" t="s">
        <v>9908</v>
      </c>
      <c r="AL2658" t="s">
        <v>862</v>
      </c>
      <c r="AM2658" s="4">
        <v>0.3125</v>
      </c>
      <c r="AN2658" t="s">
        <v>66</v>
      </c>
      <c r="AO2658" t="s">
        <v>67</v>
      </c>
    </row>
    <row r="2659" spans="1:41" x14ac:dyDescent="0.2">
      <c r="A2659">
        <v>317954</v>
      </c>
      <c r="B2659" t="s">
        <v>16462</v>
      </c>
      <c r="C2659" t="s">
        <v>182</v>
      </c>
      <c r="D2659" t="s">
        <v>443</v>
      </c>
      <c r="E2659" t="s">
        <v>16463</v>
      </c>
      <c r="J2659" t="s">
        <v>326</v>
      </c>
      <c r="K2659" t="s">
        <v>72</v>
      </c>
      <c r="L2659" t="s">
        <v>72</v>
      </c>
      <c r="N2659" t="s">
        <v>89</v>
      </c>
      <c r="O2659" t="s">
        <v>642</v>
      </c>
      <c r="P2659" t="s">
        <v>848</v>
      </c>
      <c r="Q2659" t="s">
        <v>16464</v>
      </c>
      <c r="R2659" t="s">
        <v>16465</v>
      </c>
      <c r="S2659">
        <v>1466</v>
      </c>
      <c r="T2659" t="s">
        <v>52</v>
      </c>
      <c r="U2659">
        <v>5</v>
      </c>
      <c r="W2659" t="s">
        <v>16206</v>
      </c>
      <c r="X2659" t="s">
        <v>52</v>
      </c>
      <c r="Y2659" t="s">
        <v>854</v>
      </c>
      <c r="Z2659">
        <v>6246</v>
      </c>
      <c r="AA2659">
        <v>2</v>
      </c>
      <c r="AB2659">
        <v>14</v>
      </c>
      <c r="AC2659" t="s">
        <v>16466</v>
      </c>
      <c r="AD2659" t="s">
        <v>16467</v>
      </c>
      <c r="AE2659" t="s">
        <v>16468</v>
      </c>
      <c r="AI2659" t="s">
        <v>16467</v>
      </c>
      <c r="AJ2659" s="2">
        <v>44320.839039351849</v>
      </c>
      <c r="AK2659" t="s">
        <v>100</v>
      </c>
      <c r="AL2659" t="s">
        <v>862</v>
      </c>
      <c r="AM2659" s="3">
        <v>1.2638888888888888</v>
      </c>
      <c r="AN2659" t="s">
        <v>66</v>
      </c>
      <c r="AO2659" t="s">
        <v>67</v>
      </c>
    </row>
    <row r="2660" spans="1:41" x14ac:dyDescent="0.2">
      <c r="A2660">
        <v>317956</v>
      </c>
      <c r="B2660" t="s">
        <v>16469</v>
      </c>
      <c r="C2660" t="s">
        <v>182</v>
      </c>
      <c r="D2660" t="s">
        <v>1086</v>
      </c>
      <c r="E2660" t="s">
        <v>16470</v>
      </c>
      <c r="J2660" t="s">
        <v>326</v>
      </c>
      <c r="K2660" t="s">
        <v>72</v>
      </c>
      <c r="L2660" t="s">
        <v>72</v>
      </c>
      <c r="N2660" t="s">
        <v>89</v>
      </c>
      <c r="O2660" t="s">
        <v>642</v>
      </c>
      <c r="P2660" t="s">
        <v>848</v>
      </c>
      <c r="Q2660" t="s">
        <v>16471</v>
      </c>
      <c r="R2660" t="s">
        <v>16472</v>
      </c>
      <c r="S2660">
        <v>6000</v>
      </c>
      <c r="T2660" t="s">
        <v>52</v>
      </c>
      <c r="U2660">
        <v>5</v>
      </c>
      <c r="W2660" t="s">
        <v>16206</v>
      </c>
      <c r="X2660" t="s">
        <v>52</v>
      </c>
      <c r="Y2660" t="s">
        <v>854</v>
      </c>
      <c r="Z2660">
        <v>6248</v>
      </c>
      <c r="AA2660">
        <v>2</v>
      </c>
      <c r="AB2660">
        <v>14</v>
      </c>
      <c r="AC2660" t="s">
        <v>16466</v>
      </c>
      <c r="AD2660" t="s">
        <v>16467</v>
      </c>
      <c r="AE2660" t="s">
        <v>16473</v>
      </c>
      <c r="AI2660" t="s">
        <v>16467</v>
      </c>
      <c r="AJ2660" s="2">
        <v>44320.84134259259</v>
      </c>
      <c r="AK2660" t="s">
        <v>100</v>
      </c>
      <c r="AL2660" t="s">
        <v>862</v>
      </c>
      <c r="AM2660" s="3">
        <v>1.2708333333333333</v>
      </c>
      <c r="AN2660" t="s">
        <v>66</v>
      </c>
      <c r="AO2660" t="s">
        <v>67</v>
      </c>
    </row>
    <row r="2661" spans="1:41" x14ac:dyDescent="0.2">
      <c r="A2661">
        <v>318077</v>
      </c>
      <c r="B2661" t="s">
        <v>16474</v>
      </c>
      <c r="C2661" t="s">
        <v>103</v>
      </c>
      <c r="D2661" t="s">
        <v>16475</v>
      </c>
      <c r="E2661" t="s">
        <v>16476</v>
      </c>
      <c r="G2661" s="1">
        <v>42675</v>
      </c>
      <c r="J2661" t="s">
        <v>326</v>
      </c>
      <c r="K2661" t="s">
        <v>45</v>
      </c>
      <c r="L2661" t="s">
        <v>72</v>
      </c>
      <c r="N2661" t="s">
        <v>89</v>
      </c>
      <c r="O2661" t="s">
        <v>642</v>
      </c>
      <c r="P2661" t="s">
        <v>848</v>
      </c>
      <c r="Q2661" t="s">
        <v>16477</v>
      </c>
      <c r="R2661" t="s">
        <v>16478</v>
      </c>
      <c r="S2661">
        <v>2114</v>
      </c>
      <c r="T2661" t="s">
        <v>52</v>
      </c>
      <c r="U2661">
        <v>8</v>
      </c>
      <c r="V2661" t="s">
        <v>3759</v>
      </c>
      <c r="W2661" t="s">
        <v>16206</v>
      </c>
      <c r="X2661" t="s">
        <v>52</v>
      </c>
      <c r="Y2661" t="s">
        <v>854</v>
      </c>
      <c r="Z2661">
        <v>8546</v>
      </c>
      <c r="AA2661">
        <v>10</v>
      </c>
      <c r="AB2661">
        <v>45</v>
      </c>
      <c r="AC2661" t="s">
        <v>16479</v>
      </c>
      <c r="AD2661" t="s">
        <v>16480</v>
      </c>
      <c r="AE2661" t="s">
        <v>16481</v>
      </c>
      <c r="AJ2661" s="2">
        <v>44321.802002314813</v>
      </c>
      <c r="AK2661" t="s">
        <v>9908</v>
      </c>
      <c r="AL2661" t="s">
        <v>862</v>
      </c>
      <c r="AM2661" s="3">
        <v>1.9791666666666667</v>
      </c>
      <c r="AN2661" t="s">
        <v>16230</v>
      </c>
      <c r="AO2661" t="s">
        <v>67</v>
      </c>
    </row>
    <row r="2662" spans="1:41" x14ac:dyDescent="0.2">
      <c r="A2662">
        <v>318078</v>
      </c>
      <c r="B2662" t="s">
        <v>16482</v>
      </c>
      <c r="C2662" t="s">
        <v>103</v>
      </c>
      <c r="D2662" t="s">
        <v>16475</v>
      </c>
      <c r="E2662" t="s">
        <v>16483</v>
      </c>
      <c r="J2662" t="s">
        <v>326</v>
      </c>
      <c r="K2662" t="s">
        <v>72</v>
      </c>
      <c r="L2662" t="s">
        <v>72</v>
      </c>
      <c r="N2662" t="s">
        <v>89</v>
      </c>
      <c r="O2662" t="s">
        <v>642</v>
      </c>
      <c r="P2662" t="s">
        <v>848</v>
      </c>
      <c r="Q2662" t="s">
        <v>16484</v>
      </c>
      <c r="R2662" t="s">
        <v>16485</v>
      </c>
      <c r="S2662">
        <v>2000</v>
      </c>
      <c r="T2662" t="s">
        <v>52</v>
      </c>
      <c r="U2662">
        <v>8</v>
      </c>
      <c r="V2662" t="s">
        <v>3759</v>
      </c>
      <c r="W2662" t="s">
        <v>16206</v>
      </c>
      <c r="X2662" t="s">
        <v>52</v>
      </c>
      <c r="Y2662" t="s">
        <v>854</v>
      </c>
      <c r="Z2662">
        <v>7406</v>
      </c>
      <c r="AA2662">
        <v>3</v>
      </c>
      <c r="AB2662">
        <v>45</v>
      </c>
      <c r="AC2662" t="s">
        <v>16479</v>
      </c>
      <c r="AD2662" t="s">
        <v>16480</v>
      </c>
      <c r="AE2662" t="s">
        <v>16481</v>
      </c>
      <c r="AJ2662" s="2">
        <v>44321.802997685183</v>
      </c>
      <c r="AK2662" t="s">
        <v>9908</v>
      </c>
      <c r="AL2662" t="s">
        <v>862</v>
      </c>
      <c r="AM2662" s="4">
        <v>0.29166666666666669</v>
      </c>
      <c r="AN2662" t="s">
        <v>16230</v>
      </c>
      <c r="AO2662" t="s">
        <v>101</v>
      </c>
    </row>
    <row r="2663" spans="1:41" x14ac:dyDescent="0.2">
      <c r="A2663">
        <v>318080</v>
      </c>
      <c r="B2663" t="s">
        <v>16486</v>
      </c>
      <c r="C2663" t="s">
        <v>103</v>
      </c>
      <c r="D2663" t="s">
        <v>16475</v>
      </c>
      <c r="E2663" t="s">
        <v>16487</v>
      </c>
      <c r="J2663" t="s">
        <v>326</v>
      </c>
      <c r="K2663" t="s">
        <v>45</v>
      </c>
      <c r="L2663" t="s">
        <v>72</v>
      </c>
      <c r="N2663" t="s">
        <v>89</v>
      </c>
      <c r="O2663" t="s">
        <v>642</v>
      </c>
      <c r="P2663" t="s">
        <v>848</v>
      </c>
      <c r="T2663" t="s">
        <v>52</v>
      </c>
      <c r="U2663">
        <v>8</v>
      </c>
      <c r="V2663" t="s">
        <v>3759</v>
      </c>
      <c r="W2663" t="s">
        <v>16206</v>
      </c>
      <c r="X2663" t="s">
        <v>52</v>
      </c>
      <c r="Y2663" t="s">
        <v>854</v>
      </c>
      <c r="Z2663">
        <v>8046</v>
      </c>
      <c r="AA2663">
        <v>3</v>
      </c>
      <c r="AB2663">
        <v>78</v>
      </c>
      <c r="AC2663" t="s">
        <v>16479</v>
      </c>
      <c r="AD2663" t="s">
        <v>16480</v>
      </c>
      <c r="AE2663" t="s">
        <v>16481</v>
      </c>
      <c r="AJ2663" s="2">
        <v>44321.803576388891</v>
      </c>
      <c r="AK2663" t="s">
        <v>9908</v>
      </c>
      <c r="AL2663" t="s">
        <v>862</v>
      </c>
      <c r="AM2663" s="4">
        <v>0.70138888888888884</v>
      </c>
      <c r="AN2663" t="s">
        <v>16230</v>
      </c>
      <c r="AO2663" t="s">
        <v>67</v>
      </c>
    </row>
    <row r="2664" spans="1:41" x14ac:dyDescent="0.2">
      <c r="A2664">
        <v>318085</v>
      </c>
      <c r="B2664" t="s">
        <v>16488</v>
      </c>
      <c r="C2664" t="s">
        <v>103</v>
      </c>
      <c r="D2664" t="s">
        <v>1216</v>
      </c>
      <c r="E2664" t="s">
        <v>16489</v>
      </c>
      <c r="G2664" s="1">
        <v>42688</v>
      </c>
      <c r="J2664" t="s">
        <v>326</v>
      </c>
      <c r="K2664" t="s">
        <v>72</v>
      </c>
      <c r="L2664" t="s">
        <v>72</v>
      </c>
      <c r="N2664" t="s">
        <v>89</v>
      </c>
      <c r="O2664" t="s">
        <v>642</v>
      </c>
      <c r="P2664" t="s">
        <v>848</v>
      </c>
      <c r="Q2664" t="s">
        <v>16490</v>
      </c>
      <c r="R2664" t="s">
        <v>16491</v>
      </c>
      <c r="S2664">
        <v>2275</v>
      </c>
      <c r="T2664" t="s">
        <v>52</v>
      </c>
      <c r="U2664">
        <v>8</v>
      </c>
      <c r="V2664" t="s">
        <v>1648</v>
      </c>
      <c r="W2664" t="s">
        <v>16206</v>
      </c>
      <c r="Y2664" t="s">
        <v>854</v>
      </c>
      <c r="Z2664">
        <v>7987</v>
      </c>
      <c r="AA2664">
        <v>10</v>
      </c>
      <c r="AB2664">
        <v>78</v>
      </c>
      <c r="AC2664" t="s">
        <v>16287</v>
      </c>
      <c r="AD2664" t="s">
        <v>16492</v>
      </c>
      <c r="AE2664" t="s">
        <v>16493</v>
      </c>
      <c r="AJ2664" s="2">
        <v>44321.809976851851</v>
      </c>
      <c r="AK2664" t="s">
        <v>9908</v>
      </c>
      <c r="AL2664" t="s">
        <v>862</v>
      </c>
      <c r="AM2664" s="4">
        <v>0.64583333333333337</v>
      </c>
      <c r="AN2664" t="s">
        <v>16230</v>
      </c>
      <c r="AO2664" t="s">
        <v>67</v>
      </c>
    </row>
    <row r="2665" spans="1:41" x14ac:dyDescent="0.2">
      <c r="A2665">
        <v>318086</v>
      </c>
      <c r="B2665" t="s">
        <v>16494</v>
      </c>
      <c r="C2665" t="s">
        <v>1911</v>
      </c>
      <c r="D2665" t="s">
        <v>16495</v>
      </c>
      <c r="E2665">
        <v>32795696</v>
      </c>
      <c r="G2665" s="1">
        <v>41338</v>
      </c>
      <c r="J2665" t="s">
        <v>326</v>
      </c>
      <c r="K2665" t="s">
        <v>72</v>
      </c>
      <c r="L2665" t="s">
        <v>72</v>
      </c>
      <c r="N2665" t="s">
        <v>89</v>
      </c>
      <c r="O2665" t="s">
        <v>642</v>
      </c>
      <c r="P2665" t="s">
        <v>848</v>
      </c>
      <c r="Q2665" t="s">
        <v>16496</v>
      </c>
      <c r="R2665" t="s">
        <v>16497</v>
      </c>
      <c r="S2665">
        <v>3112</v>
      </c>
      <c r="T2665" t="s">
        <v>52</v>
      </c>
      <c r="U2665">
        <v>9</v>
      </c>
      <c r="V2665" t="s">
        <v>16498</v>
      </c>
      <c r="W2665" t="s">
        <v>16206</v>
      </c>
      <c r="Y2665" t="s">
        <v>854</v>
      </c>
      <c r="Z2665">
        <v>6086</v>
      </c>
      <c r="AA2665">
        <v>4</v>
      </c>
      <c r="AB2665">
        <v>45</v>
      </c>
      <c r="AC2665" t="s">
        <v>16499</v>
      </c>
      <c r="AD2665" t="s">
        <v>16500</v>
      </c>
      <c r="AE2665" t="s">
        <v>16501</v>
      </c>
      <c r="AI2665" t="s">
        <v>16500</v>
      </c>
      <c r="AJ2665" s="2">
        <v>44321.810520833336</v>
      </c>
      <c r="AK2665" t="s">
        <v>9908</v>
      </c>
      <c r="AL2665" t="s">
        <v>862</v>
      </c>
      <c r="AM2665" s="4">
        <v>0.22222222222222221</v>
      </c>
      <c r="AN2665" t="s">
        <v>66</v>
      </c>
      <c r="AO2665" t="s">
        <v>101</v>
      </c>
    </row>
    <row r="2666" spans="1:41" x14ac:dyDescent="0.2">
      <c r="A2666">
        <v>318087</v>
      </c>
      <c r="B2666" t="s">
        <v>16502</v>
      </c>
      <c r="C2666" t="s">
        <v>1911</v>
      </c>
      <c r="D2666" t="s">
        <v>16495</v>
      </c>
      <c r="E2666" t="s">
        <v>16503</v>
      </c>
      <c r="G2666" s="1">
        <v>41338</v>
      </c>
      <c r="J2666" t="s">
        <v>326</v>
      </c>
      <c r="K2666" t="s">
        <v>72</v>
      </c>
      <c r="L2666" t="s">
        <v>72</v>
      </c>
      <c r="N2666" t="s">
        <v>89</v>
      </c>
      <c r="O2666" t="s">
        <v>642</v>
      </c>
      <c r="P2666" t="s">
        <v>848</v>
      </c>
      <c r="Q2666" t="s">
        <v>16496</v>
      </c>
      <c r="R2666" t="s">
        <v>16497</v>
      </c>
      <c r="S2666">
        <v>3112</v>
      </c>
      <c r="T2666" t="s">
        <v>52</v>
      </c>
      <c r="U2666">
        <v>9</v>
      </c>
      <c r="V2666" t="s">
        <v>16498</v>
      </c>
      <c r="W2666" t="s">
        <v>16206</v>
      </c>
      <c r="Y2666" t="s">
        <v>854</v>
      </c>
      <c r="Z2666">
        <v>6087</v>
      </c>
      <c r="AA2666">
        <v>4</v>
      </c>
      <c r="AB2666">
        <v>45</v>
      </c>
      <c r="AC2666" t="s">
        <v>16499</v>
      </c>
      <c r="AD2666" t="s">
        <v>16500</v>
      </c>
      <c r="AE2666" t="s">
        <v>16501</v>
      </c>
      <c r="AI2666" t="s">
        <v>16500</v>
      </c>
      <c r="AJ2666" s="2">
        <v>44321.811064814814</v>
      </c>
      <c r="AK2666" t="s">
        <v>9908</v>
      </c>
      <c r="AL2666" t="s">
        <v>862</v>
      </c>
      <c r="AM2666" s="4">
        <v>0.22916666666666666</v>
      </c>
      <c r="AN2666" t="s">
        <v>66</v>
      </c>
      <c r="AO2666" t="s">
        <v>101</v>
      </c>
    </row>
    <row r="2667" spans="1:41" x14ac:dyDescent="0.2">
      <c r="A2667">
        <v>354805</v>
      </c>
      <c r="B2667" t="s">
        <v>16504</v>
      </c>
      <c r="C2667" t="s">
        <v>236</v>
      </c>
      <c r="D2667" t="s">
        <v>7034</v>
      </c>
      <c r="E2667" t="s">
        <v>16505</v>
      </c>
      <c r="G2667" s="1">
        <v>41304</v>
      </c>
      <c r="J2667" t="s">
        <v>326</v>
      </c>
      <c r="K2667" t="s">
        <v>72</v>
      </c>
      <c r="L2667" t="s">
        <v>72</v>
      </c>
      <c r="N2667" t="s">
        <v>89</v>
      </c>
      <c r="O2667" t="s">
        <v>642</v>
      </c>
      <c r="P2667" t="s">
        <v>848</v>
      </c>
      <c r="Q2667" t="s">
        <v>16506</v>
      </c>
      <c r="R2667" t="s">
        <v>16507</v>
      </c>
      <c r="S2667">
        <v>1473</v>
      </c>
      <c r="T2667" t="s">
        <v>52</v>
      </c>
      <c r="U2667">
        <v>9</v>
      </c>
      <c r="V2667" t="s">
        <v>7038</v>
      </c>
      <c r="W2667" t="s">
        <v>16206</v>
      </c>
      <c r="X2667" t="s">
        <v>52</v>
      </c>
      <c r="Y2667" t="s">
        <v>854</v>
      </c>
      <c r="Z2667">
        <v>5968</v>
      </c>
      <c r="AA2667">
        <v>7</v>
      </c>
      <c r="AB2667">
        <v>28</v>
      </c>
      <c r="AC2667" t="s">
        <v>16508</v>
      </c>
      <c r="AD2667" t="s">
        <v>16509</v>
      </c>
      <c r="AE2667" t="s">
        <v>16510</v>
      </c>
      <c r="AI2667" t="s">
        <v>16509</v>
      </c>
      <c r="AJ2667" s="2">
        <v>45230.877905092595</v>
      </c>
      <c r="AK2667" t="s">
        <v>100</v>
      </c>
      <c r="AL2667" t="s">
        <v>862</v>
      </c>
      <c r="AM2667" s="3">
        <v>1.2361111111111112</v>
      </c>
      <c r="AN2667" t="s">
        <v>16230</v>
      </c>
      <c r="AO2667" t="s">
        <v>67</v>
      </c>
    </row>
    <row r="2668" spans="1:41" x14ac:dyDescent="0.2">
      <c r="A2668">
        <v>318034</v>
      </c>
      <c r="B2668" t="s">
        <v>16511</v>
      </c>
      <c r="C2668" t="s">
        <v>1107</v>
      </c>
      <c r="D2668" t="s">
        <v>16512</v>
      </c>
      <c r="E2668" t="s">
        <v>16513</v>
      </c>
      <c r="J2668" t="s">
        <v>326</v>
      </c>
      <c r="K2668" t="s">
        <v>45</v>
      </c>
      <c r="L2668" t="s">
        <v>72</v>
      </c>
      <c r="N2668" t="s">
        <v>89</v>
      </c>
      <c r="O2668" t="s">
        <v>642</v>
      </c>
      <c r="P2668" t="s">
        <v>848</v>
      </c>
      <c r="T2668" t="s">
        <v>52</v>
      </c>
      <c r="U2668">
        <v>9</v>
      </c>
      <c r="V2668" t="s">
        <v>1318</v>
      </c>
      <c r="W2668" t="s">
        <v>16206</v>
      </c>
      <c r="X2668" t="s">
        <v>52</v>
      </c>
      <c r="Y2668" t="s">
        <v>854</v>
      </c>
      <c r="Z2668">
        <v>8207</v>
      </c>
      <c r="AA2668">
        <v>2</v>
      </c>
      <c r="AB2668">
        <v>78</v>
      </c>
      <c r="AC2668" t="s">
        <v>1319</v>
      </c>
      <c r="AD2668" t="s">
        <v>1320</v>
      </c>
      <c r="AE2668" t="s">
        <v>1321</v>
      </c>
      <c r="AJ2668" s="2">
        <v>44321.707858796297</v>
      </c>
      <c r="AK2668" t="s">
        <v>9908</v>
      </c>
      <c r="AL2668" t="s">
        <v>862</v>
      </c>
      <c r="AM2668" s="4">
        <v>0.79166666666666663</v>
      </c>
      <c r="AN2668" t="s">
        <v>66</v>
      </c>
      <c r="AO2668" t="s">
        <v>67</v>
      </c>
    </row>
    <row r="2669" spans="1:41" x14ac:dyDescent="0.2">
      <c r="A2669">
        <v>318035</v>
      </c>
      <c r="B2669" t="s">
        <v>16514</v>
      </c>
      <c r="C2669" t="s">
        <v>1107</v>
      </c>
      <c r="D2669" t="s">
        <v>16512</v>
      </c>
      <c r="E2669" t="s">
        <v>16515</v>
      </c>
      <c r="J2669" t="s">
        <v>326</v>
      </c>
      <c r="K2669" t="s">
        <v>45</v>
      </c>
      <c r="L2669" t="s">
        <v>72</v>
      </c>
      <c r="N2669" t="s">
        <v>89</v>
      </c>
      <c r="O2669" t="s">
        <v>642</v>
      </c>
      <c r="P2669" t="s">
        <v>848</v>
      </c>
      <c r="T2669" t="s">
        <v>52</v>
      </c>
      <c r="U2669">
        <v>9</v>
      </c>
      <c r="V2669" t="s">
        <v>1318</v>
      </c>
      <c r="W2669" t="s">
        <v>16206</v>
      </c>
      <c r="X2669" t="s">
        <v>52</v>
      </c>
      <c r="Y2669" t="s">
        <v>854</v>
      </c>
      <c r="Z2669">
        <v>8208</v>
      </c>
      <c r="AA2669">
        <v>1</v>
      </c>
      <c r="AB2669">
        <v>78</v>
      </c>
      <c r="AC2669" t="s">
        <v>1319</v>
      </c>
      <c r="AD2669" t="s">
        <v>1320</v>
      </c>
      <c r="AE2669" t="s">
        <v>1321</v>
      </c>
      <c r="AJ2669" s="2">
        <v>44321.708773148152</v>
      </c>
      <c r="AK2669" t="s">
        <v>9908</v>
      </c>
      <c r="AL2669" t="s">
        <v>862</v>
      </c>
      <c r="AM2669" s="4">
        <v>0.79861111111111116</v>
      </c>
      <c r="AN2669" t="s">
        <v>66</v>
      </c>
      <c r="AO2669" t="s">
        <v>67</v>
      </c>
    </row>
    <row r="2670" spans="1:41" x14ac:dyDescent="0.2">
      <c r="A2670">
        <v>318033</v>
      </c>
      <c r="B2670" t="s">
        <v>16516</v>
      </c>
      <c r="C2670" t="s">
        <v>236</v>
      </c>
      <c r="D2670" t="s">
        <v>7034</v>
      </c>
      <c r="E2670" t="s">
        <v>16517</v>
      </c>
      <c r="J2670" t="s">
        <v>326</v>
      </c>
      <c r="K2670" t="s">
        <v>72</v>
      </c>
      <c r="L2670" t="s">
        <v>72</v>
      </c>
      <c r="N2670" t="s">
        <v>89</v>
      </c>
      <c r="O2670" t="s">
        <v>642</v>
      </c>
      <c r="P2670" t="s">
        <v>848</v>
      </c>
      <c r="Q2670" t="s">
        <v>16518</v>
      </c>
      <c r="R2670" t="s">
        <v>16519</v>
      </c>
      <c r="S2670">
        <v>1473</v>
      </c>
      <c r="T2670" t="s">
        <v>52</v>
      </c>
      <c r="U2670">
        <v>9</v>
      </c>
      <c r="V2670" t="s">
        <v>7038</v>
      </c>
      <c r="W2670" t="s">
        <v>16206</v>
      </c>
      <c r="X2670" t="s">
        <v>52</v>
      </c>
      <c r="Y2670" t="s">
        <v>854</v>
      </c>
      <c r="Z2670">
        <v>5971</v>
      </c>
      <c r="AA2670">
        <v>5</v>
      </c>
      <c r="AB2670">
        <v>28</v>
      </c>
      <c r="AC2670" t="s">
        <v>16508</v>
      </c>
      <c r="AD2670" t="s">
        <v>16509</v>
      </c>
      <c r="AE2670" t="s">
        <v>16510</v>
      </c>
      <c r="AI2670" t="s">
        <v>16509</v>
      </c>
      <c r="AJ2670" s="2">
        <v>44321.706712962965</v>
      </c>
      <c r="AK2670" t="s">
        <v>9908</v>
      </c>
      <c r="AL2670" t="s">
        <v>862</v>
      </c>
      <c r="AM2670" s="3">
        <v>1.2569444444444444</v>
      </c>
      <c r="AN2670" t="s">
        <v>16230</v>
      </c>
      <c r="AO2670" t="s">
        <v>67</v>
      </c>
    </row>
    <row r="2671" spans="1:41" x14ac:dyDescent="0.2">
      <c r="A2671">
        <v>370421</v>
      </c>
      <c r="B2671" t="s">
        <v>16520</v>
      </c>
      <c r="C2671" t="s">
        <v>42</v>
      </c>
      <c r="D2671" t="s">
        <v>1849</v>
      </c>
      <c r="E2671">
        <v>32340650</v>
      </c>
      <c r="F2671">
        <v>292203</v>
      </c>
      <c r="G2671" s="1">
        <v>35268</v>
      </c>
      <c r="H2671" s="1">
        <v>45769</v>
      </c>
      <c r="I2671" s="1">
        <v>46204</v>
      </c>
      <c r="J2671" t="s">
        <v>45</v>
      </c>
      <c r="K2671" t="s">
        <v>45</v>
      </c>
      <c r="L2671" t="s">
        <v>429</v>
      </c>
      <c r="M2671" s="1">
        <v>41084</v>
      </c>
      <c r="N2671" t="s">
        <v>47</v>
      </c>
      <c r="O2671" t="s">
        <v>48</v>
      </c>
      <c r="P2671" t="s">
        <v>49</v>
      </c>
      <c r="Q2671" t="s">
        <v>16521</v>
      </c>
      <c r="R2671" t="s">
        <v>16522</v>
      </c>
      <c r="S2671">
        <v>7090</v>
      </c>
      <c r="T2671" t="s">
        <v>52</v>
      </c>
      <c r="U2671">
        <v>3</v>
      </c>
      <c r="V2671" t="s">
        <v>5589</v>
      </c>
      <c r="W2671" t="s">
        <v>54</v>
      </c>
      <c r="X2671" t="s">
        <v>55</v>
      </c>
      <c r="Y2671" t="s">
        <v>56</v>
      </c>
      <c r="Z2671">
        <v>628</v>
      </c>
      <c r="AA2671">
        <v>58</v>
      </c>
      <c r="AB2671">
        <v>158</v>
      </c>
      <c r="AC2671" t="s">
        <v>5590</v>
      </c>
      <c r="AD2671" t="s">
        <v>5591</v>
      </c>
      <c r="AE2671" t="s">
        <v>5592</v>
      </c>
      <c r="AF2671" t="s">
        <v>16523</v>
      </c>
      <c r="AG2671" t="s">
        <v>16524</v>
      </c>
      <c r="AH2671" t="s">
        <v>16525</v>
      </c>
      <c r="AI2671" t="s">
        <v>1809</v>
      </c>
      <c r="AJ2671" s="2">
        <v>45775.733564814815</v>
      </c>
      <c r="AK2671" t="s">
        <v>64</v>
      </c>
      <c r="AL2671" t="s">
        <v>65</v>
      </c>
      <c r="AM2671" s="4">
        <v>0</v>
      </c>
      <c r="AN2671" t="s">
        <v>66</v>
      </c>
      <c r="AO2671" t="s">
        <v>67</v>
      </c>
    </row>
    <row r="2672" spans="1:41" x14ac:dyDescent="0.2">
      <c r="A2672">
        <v>356600</v>
      </c>
      <c r="B2672" t="s">
        <v>16526</v>
      </c>
      <c r="C2672" t="s">
        <v>12914</v>
      </c>
      <c r="E2672" t="s">
        <v>16527</v>
      </c>
      <c r="G2672" s="1">
        <v>38456</v>
      </c>
      <c r="H2672" s="1">
        <v>38968</v>
      </c>
      <c r="J2672" t="s">
        <v>326</v>
      </c>
      <c r="K2672" t="s">
        <v>72</v>
      </c>
      <c r="L2672" t="s">
        <v>72</v>
      </c>
      <c r="N2672" t="s">
        <v>89</v>
      </c>
      <c r="O2672" t="s">
        <v>48</v>
      </c>
      <c r="P2672" t="s">
        <v>49</v>
      </c>
      <c r="Q2672" t="s">
        <v>16528</v>
      </c>
      <c r="R2672" t="s">
        <v>16529</v>
      </c>
      <c r="S2672">
        <v>278</v>
      </c>
      <c r="T2672" t="s">
        <v>92</v>
      </c>
      <c r="U2672" t="s">
        <v>12810</v>
      </c>
      <c r="V2672" t="s">
        <v>16530</v>
      </c>
      <c r="W2672" t="s">
        <v>16531</v>
      </c>
      <c r="X2672" t="s">
        <v>52</v>
      </c>
      <c r="Y2672" t="s">
        <v>410</v>
      </c>
      <c r="Z2672">
        <v>2684</v>
      </c>
      <c r="AA2672">
        <v>13</v>
      </c>
      <c r="AB2672">
        <v>144</v>
      </c>
      <c r="AC2672" t="s">
        <v>16532</v>
      </c>
      <c r="AD2672" t="s">
        <v>16533</v>
      </c>
      <c r="AE2672" t="s">
        <v>16534</v>
      </c>
      <c r="AJ2672" s="2">
        <v>45313.659282407411</v>
      </c>
      <c r="AK2672" t="s">
        <v>149</v>
      </c>
      <c r="AL2672" t="s">
        <v>475</v>
      </c>
      <c r="AM2672" s="4">
        <v>0.67361111111111116</v>
      </c>
      <c r="AN2672" t="s">
        <v>66</v>
      </c>
      <c r="AO2672" t="s">
        <v>67</v>
      </c>
    </row>
    <row r="2673" spans="1:41" x14ac:dyDescent="0.2">
      <c r="A2673">
        <v>371924</v>
      </c>
      <c r="B2673" t="s">
        <v>16535</v>
      </c>
      <c r="C2673" t="s">
        <v>69</v>
      </c>
      <c r="D2673" t="s">
        <v>1039</v>
      </c>
      <c r="E2673" s="5" t="s">
        <v>16536</v>
      </c>
      <c r="F2673">
        <v>101109</v>
      </c>
      <c r="G2673" s="1">
        <v>34488</v>
      </c>
      <c r="H2673" s="1">
        <v>45821</v>
      </c>
      <c r="I2673" s="1">
        <v>46174</v>
      </c>
      <c r="J2673" t="s">
        <v>45</v>
      </c>
      <c r="K2673" t="s">
        <v>45</v>
      </c>
      <c r="L2673" t="s">
        <v>72</v>
      </c>
      <c r="M2673" s="1">
        <v>43773</v>
      </c>
      <c r="N2673" t="s">
        <v>47</v>
      </c>
      <c r="O2673" t="s">
        <v>48</v>
      </c>
      <c r="P2673" t="s">
        <v>49</v>
      </c>
      <c r="Q2673" t="s">
        <v>16537</v>
      </c>
      <c r="R2673" t="s">
        <v>16538</v>
      </c>
      <c r="S2673">
        <v>4376</v>
      </c>
      <c r="T2673" t="s">
        <v>52</v>
      </c>
      <c r="U2673">
        <v>4</v>
      </c>
      <c r="V2673" t="s">
        <v>10138</v>
      </c>
      <c r="W2673" t="s">
        <v>54</v>
      </c>
      <c r="X2673" t="s">
        <v>76</v>
      </c>
      <c r="Y2673" t="s">
        <v>110</v>
      </c>
      <c r="Z2673">
        <v>662</v>
      </c>
      <c r="AA2673">
        <v>60</v>
      </c>
      <c r="AB2673">
        <v>160</v>
      </c>
      <c r="AC2673" t="s">
        <v>11193</v>
      </c>
      <c r="AD2673" t="s">
        <v>10140</v>
      </c>
      <c r="AE2673" t="s">
        <v>10141</v>
      </c>
      <c r="AF2673" t="s">
        <v>10142</v>
      </c>
      <c r="AG2673" t="s">
        <v>10143</v>
      </c>
      <c r="AH2673" t="s">
        <v>16539</v>
      </c>
      <c r="AI2673" t="s">
        <v>10145</v>
      </c>
      <c r="AJ2673" s="2">
        <v>45824.869652777779</v>
      </c>
      <c r="AK2673" t="s">
        <v>11193</v>
      </c>
      <c r="AL2673" t="s">
        <v>65</v>
      </c>
      <c r="AM2673" s="3">
        <v>1.9236111111111112</v>
      </c>
      <c r="AN2673" t="s">
        <v>66</v>
      </c>
      <c r="AO2673" t="s">
        <v>67</v>
      </c>
    </row>
    <row r="2674" spans="1:41" x14ac:dyDescent="0.2">
      <c r="A2674">
        <v>371334</v>
      </c>
      <c r="B2674" t="s">
        <v>16540</v>
      </c>
      <c r="C2674" t="s">
        <v>182</v>
      </c>
      <c r="D2674" t="s">
        <v>443</v>
      </c>
      <c r="E2674" t="s">
        <v>16541</v>
      </c>
      <c r="G2674" s="1">
        <v>45645</v>
      </c>
      <c r="H2674" s="1">
        <v>45649</v>
      </c>
      <c r="I2674" s="1">
        <v>45992</v>
      </c>
      <c r="J2674" t="s">
        <v>45</v>
      </c>
      <c r="K2674" t="s">
        <v>45</v>
      </c>
      <c r="L2674" t="s">
        <v>72</v>
      </c>
      <c r="M2674" s="1">
        <v>44265</v>
      </c>
      <c r="N2674" t="s">
        <v>89</v>
      </c>
      <c r="O2674" t="s">
        <v>121</v>
      </c>
      <c r="P2674" t="s">
        <v>49</v>
      </c>
      <c r="Q2674" t="s">
        <v>16542</v>
      </c>
      <c r="R2674" t="s">
        <v>16543</v>
      </c>
      <c r="S2674">
        <v>7550</v>
      </c>
      <c r="T2674" t="s">
        <v>52</v>
      </c>
      <c r="U2674">
        <v>5</v>
      </c>
      <c r="V2674" t="s">
        <v>1817</v>
      </c>
      <c r="W2674" t="s">
        <v>54</v>
      </c>
      <c r="X2674" t="s">
        <v>76</v>
      </c>
      <c r="Y2674" t="s">
        <v>125</v>
      </c>
      <c r="Z2674">
        <v>1835</v>
      </c>
      <c r="AA2674">
        <v>108</v>
      </c>
      <c r="AB2674">
        <v>28</v>
      </c>
      <c r="AC2674" t="s">
        <v>16544</v>
      </c>
      <c r="AD2674" t="s">
        <v>6404</v>
      </c>
      <c r="AE2674" t="s">
        <v>16545</v>
      </c>
      <c r="AF2674" t="s">
        <v>1821</v>
      </c>
      <c r="AG2674" t="s">
        <v>1822</v>
      </c>
      <c r="AH2674" t="s">
        <v>1823</v>
      </c>
      <c r="AI2674" t="s">
        <v>4396</v>
      </c>
      <c r="AJ2674" s="2">
        <v>45805.667025462964</v>
      </c>
      <c r="AK2674" t="s">
        <v>800</v>
      </c>
      <c r="AL2674" t="s">
        <v>65</v>
      </c>
      <c r="AM2674" s="3">
        <v>1.1736111111111112</v>
      </c>
      <c r="AN2674" t="s">
        <v>66</v>
      </c>
      <c r="AO2674" t="s">
        <v>67</v>
      </c>
    </row>
    <row r="2675" spans="1:41" x14ac:dyDescent="0.2">
      <c r="A2675">
        <v>365981</v>
      </c>
      <c r="B2675" t="s">
        <v>16546</v>
      </c>
      <c r="C2675" t="s">
        <v>182</v>
      </c>
      <c r="D2675" t="s">
        <v>1813</v>
      </c>
      <c r="E2675" t="s">
        <v>16547</v>
      </c>
      <c r="G2675" s="1">
        <v>45597</v>
      </c>
      <c r="H2675" s="1">
        <v>45600</v>
      </c>
      <c r="I2675" s="1">
        <v>45945</v>
      </c>
      <c r="J2675" t="s">
        <v>45</v>
      </c>
      <c r="K2675" t="s">
        <v>45</v>
      </c>
      <c r="L2675" t="s">
        <v>72</v>
      </c>
      <c r="M2675" s="1">
        <v>44602</v>
      </c>
      <c r="N2675" t="s">
        <v>89</v>
      </c>
      <c r="O2675" t="s">
        <v>121</v>
      </c>
      <c r="P2675" t="s">
        <v>49</v>
      </c>
      <c r="Q2675" t="s">
        <v>16548</v>
      </c>
      <c r="R2675" t="s">
        <v>16549</v>
      </c>
      <c r="S2675">
        <v>6270</v>
      </c>
      <c r="T2675" t="s">
        <v>52</v>
      </c>
      <c r="U2675">
        <v>5</v>
      </c>
      <c r="V2675" t="s">
        <v>1817</v>
      </c>
      <c r="W2675" t="s">
        <v>54</v>
      </c>
      <c r="X2675" t="s">
        <v>52</v>
      </c>
      <c r="Y2675" t="s">
        <v>125</v>
      </c>
      <c r="Z2675">
        <v>11286</v>
      </c>
      <c r="AA2675">
        <v>30</v>
      </c>
      <c r="AB2675">
        <v>78</v>
      </c>
      <c r="AC2675" t="s">
        <v>1818</v>
      </c>
      <c r="AD2675" t="s">
        <v>1819</v>
      </c>
      <c r="AE2675" t="s">
        <v>1820</v>
      </c>
      <c r="AF2675" t="s">
        <v>1821</v>
      </c>
      <c r="AG2675" t="s">
        <v>1822</v>
      </c>
      <c r="AH2675" t="s">
        <v>1823</v>
      </c>
      <c r="AI2675" t="s">
        <v>4396</v>
      </c>
      <c r="AJ2675" s="2">
        <v>45600.508368055554</v>
      </c>
      <c r="AK2675" t="s">
        <v>132</v>
      </c>
      <c r="AL2675" t="s">
        <v>65</v>
      </c>
      <c r="AM2675" s="3">
        <v>2.1736111111111112</v>
      </c>
      <c r="AN2675" t="s">
        <v>66</v>
      </c>
      <c r="AO2675" t="s">
        <v>67</v>
      </c>
    </row>
    <row r="2676" spans="1:41" x14ac:dyDescent="0.2">
      <c r="A2676">
        <v>370445</v>
      </c>
      <c r="B2676" t="s">
        <v>16550</v>
      </c>
      <c r="C2676" t="s">
        <v>182</v>
      </c>
      <c r="D2676" t="s">
        <v>443</v>
      </c>
      <c r="E2676" t="s">
        <v>16551</v>
      </c>
      <c r="G2676" s="1">
        <v>45610</v>
      </c>
      <c r="H2676" s="1">
        <v>45600</v>
      </c>
      <c r="I2676" s="1">
        <v>45962</v>
      </c>
      <c r="J2676" t="s">
        <v>45</v>
      </c>
      <c r="K2676" t="s">
        <v>45</v>
      </c>
      <c r="L2676" t="s">
        <v>72</v>
      </c>
      <c r="M2676" s="1">
        <v>43313</v>
      </c>
      <c r="N2676" t="s">
        <v>89</v>
      </c>
      <c r="O2676" t="s">
        <v>121</v>
      </c>
      <c r="P2676" t="s">
        <v>49</v>
      </c>
      <c r="Q2676" t="s">
        <v>16552</v>
      </c>
      <c r="R2676" t="s">
        <v>16553</v>
      </c>
      <c r="S2676">
        <v>4550</v>
      </c>
      <c r="T2676" t="s">
        <v>52</v>
      </c>
      <c r="U2676">
        <v>5</v>
      </c>
      <c r="V2676" t="s">
        <v>1817</v>
      </c>
      <c r="W2676" t="s">
        <v>54</v>
      </c>
      <c r="X2676" t="s">
        <v>52</v>
      </c>
      <c r="Y2676" t="s">
        <v>125</v>
      </c>
      <c r="Z2676">
        <v>992</v>
      </c>
      <c r="AA2676">
        <v>113</v>
      </c>
      <c r="AB2676">
        <v>144</v>
      </c>
      <c r="AC2676" t="s">
        <v>1818</v>
      </c>
      <c r="AD2676" t="s">
        <v>1819</v>
      </c>
      <c r="AE2676" t="s">
        <v>1820</v>
      </c>
      <c r="AF2676" t="s">
        <v>1821</v>
      </c>
      <c r="AG2676" t="s">
        <v>1822</v>
      </c>
      <c r="AH2676" t="s">
        <v>1823</v>
      </c>
      <c r="AI2676" t="s">
        <v>4396</v>
      </c>
      <c r="AJ2676" s="2">
        <v>45775.833738425928</v>
      </c>
      <c r="AK2676" t="s">
        <v>650</v>
      </c>
      <c r="AL2676" t="s">
        <v>65</v>
      </c>
      <c r="AM2676" s="3">
        <v>1.9652777777777777</v>
      </c>
      <c r="AN2676" t="s">
        <v>66</v>
      </c>
      <c r="AO2676" t="s">
        <v>67</v>
      </c>
    </row>
    <row r="2677" spans="1:41" x14ac:dyDescent="0.2">
      <c r="A2677">
        <v>366239</v>
      </c>
      <c r="B2677" t="s">
        <v>16554</v>
      </c>
      <c r="C2677" t="s">
        <v>182</v>
      </c>
      <c r="D2677" t="s">
        <v>1813</v>
      </c>
      <c r="E2677">
        <v>32424038</v>
      </c>
      <c r="G2677" s="1">
        <v>45600</v>
      </c>
      <c r="H2677" s="1">
        <v>45610</v>
      </c>
      <c r="I2677" s="1">
        <v>45945</v>
      </c>
      <c r="J2677" t="s">
        <v>45</v>
      </c>
      <c r="K2677" t="s">
        <v>45</v>
      </c>
      <c r="L2677" t="s">
        <v>72</v>
      </c>
      <c r="M2677" s="1">
        <v>44621</v>
      </c>
      <c r="N2677" t="s">
        <v>89</v>
      </c>
      <c r="O2677" t="s">
        <v>121</v>
      </c>
      <c r="P2677" t="s">
        <v>49</v>
      </c>
      <c r="Q2677" t="s">
        <v>16555</v>
      </c>
      <c r="R2677" t="s">
        <v>16556</v>
      </c>
      <c r="S2677">
        <v>4560</v>
      </c>
      <c r="T2677" t="s">
        <v>52</v>
      </c>
      <c r="U2677">
        <v>5</v>
      </c>
      <c r="V2677" t="s">
        <v>1817</v>
      </c>
      <c r="W2677" t="s">
        <v>54</v>
      </c>
      <c r="X2677" t="s">
        <v>52</v>
      </c>
      <c r="Y2677" t="s">
        <v>125</v>
      </c>
      <c r="Z2677">
        <v>741</v>
      </c>
      <c r="AA2677">
        <v>138</v>
      </c>
      <c r="AB2677">
        <v>144</v>
      </c>
      <c r="AC2677" t="s">
        <v>1818</v>
      </c>
      <c r="AD2677" t="s">
        <v>1819</v>
      </c>
      <c r="AE2677" t="s">
        <v>1820</v>
      </c>
      <c r="AF2677" t="s">
        <v>1821</v>
      </c>
      <c r="AG2677" t="s">
        <v>1822</v>
      </c>
      <c r="AH2677" t="s">
        <v>1823</v>
      </c>
      <c r="AI2677" t="s">
        <v>4396</v>
      </c>
      <c r="AJ2677" s="2">
        <v>45610.527141203704</v>
      </c>
      <c r="AK2677" t="s">
        <v>132</v>
      </c>
      <c r="AL2677" t="s">
        <v>65</v>
      </c>
      <c r="AM2677" s="3">
        <v>1.875</v>
      </c>
      <c r="AN2677" t="s">
        <v>66</v>
      </c>
      <c r="AO2677" t="s">
        <v>67</v>
      </c>
    </row>
    <row r="2678" spans="1:41" x14ac:dyDescent="0.2">
      <c r="A2678">
        <v>371312</v>
      </c>
      <c r="B2678" t="s">
        <v>16557</v>
      </c>
      <c r="C2678" t="s">
        <v>182</v>
      </c>
      <c r="D2678" t="s">
        <v>443</v>
      </c>
      <c r="E2678" t="s">
        <v>16558</v>
      </c>
      <c r="G2678" s="1">
        <v>45694</v>
      </c>
      <c r="H2678" s="1">
        <v>45698</v>
      </c>
      <c r="I2678" s="1">
        <v>46054</v>
      </c>
      <c r="J2678" t="s">
        <v>45</v>
      </c>
      <c r="K2678" t="s">
        <v>45</v>
      </c>
      <c r="L2678" t="s">
        <v>72</v>
      </c>
      <c r="M2678" s="1">
        <v>42867</v>
      </c>
      <c r="N2678" t="s">
        <v>89</v>
      </c>
      <c r="O2678" t="s">
        <v>121</v>
      </c>
      <c r="P2678" t="s">
        <v>49</v>
      </c>
      <c r="Q2678" t="s">
        <v>16559</v>
      </c>
      <c r="R2678" t="s">
        <v>16560</v>
      </c>
      <c r="S2678">
        <v>7070</v>
      </c>
      <c r="T2678" t="s">
        <v>52</v>
      </c>
      <c r="U2678">
        <v>5</v>
      </c>
      <c r="V2678" t="s">
        <v>1817</v>
      </c>
      <c r="W2678" t="s">
        <v>54</v>
      </c>
      <c r="X2678" t="s">
        <v>76</v>
      </c>
      <c r="Y2678" t="s">
        <v>125</v>
      </c>
      <c r="Z2678">
        <v>2919</v>
      </c>
      <c r="AA2678">
        <v>109</v>
      </c>
      <c r="AB2678">
        <v>152</v>
      </c>
      <c r="AC2678" t="s">
        <v>6403</v>
      </c>
      <c r="AD2678" t="s">
        <v>6404</v>
      </c>
      <c r="AE2678" t="s">
        <v>16545</v>
      </c>
      <c r="AF2678" t="s">
        <v>1821</v>
      </c>
      <c r="AG2678" t="s">
        <v>1822</v>
      </c>
      <c r="AH2678" t="s">
        <v>1823</v>
      </c>
      <c r="AI2678" t="s">
        <v>4396</v>
      </c>
      <c r="AJ2678" s="2">
        <v>45804.766261574077</v>
      </c>
      <c r="AK2678" t="s">
        <v>375</v>
      </c>
      <c r="AL2678" t="s">
        <v>65</v>
      </c>
      <c r="AM2678" s="3">
        <v>2.2152777777777777</v>
      </c>
      <c r="AN2678" t="s">
        <v>66</v>
      </c>
      <c r="AO2678" t="s">
        <v>67</v>
      </c>
    </row>
    <row r="2679" spans="1:41" x14ac:dyDescent="0.2">
      <c r="A2679">
        <v>362803</v>
      </c>
      <c r="B2679" t="s">
        <v>16561</v>
      </c>
      <c r="C2679" t="s">
        <v>692</v>
      </c>
      <c r="D2679" t="s">
        <v>8520</v>
      </c>
      <c r="E2679" t="s">
        <v>16562</v>
      </c>
      <c r="F2679">
        <v>481306</v>
      </c>
      <c r="G2679" s="1">
        <v>35332</v>
      </c>
      <c r="H2679" s="1">
        <v>45489</v>
      </c>
      <c r="I2679" s="1">
        <v>46204</v>
      </c>
      <c r="J2679" t="s">
        <v>45</v>
      </c>
      <c r="K2679" t="s">
        <v>45</v>
      </c>
      <c r="L2679" t="s">
        <v>72</v>
      </c>
      <c r="M2679" s="1">
        <v>42525</v>
      </c>
      <c r="N2679" t="s">
        <v>47</v>
      </c>
      <c r="O2679" t="s">
        <v>48</v>
      </c>
      <c r="P2679" t="s">
        <v>49</v>
      </c>
      <c r="Q2679" t="s">
        <v>16563</v>
      </c>
      <c r="R2679" t="s">
        <v>16564</v>
      </c>
      <c r="S2679">
        <v>8200</v>
      </c>
      <c r="T2679" t="s">
        <v>52</v>
      </c>
      <c r="U2679">
        <v>4</v>
      </c>
      <c r="V2679" t="s">
        <v>1423</v>
      </c>
      <c r="W2679" t="s">
        <v>54</v>
      </c>
      <c r="X2679" t="s">
        <v>76</v>
      </c>
      <c r="Y2679" t="s">
        <v>56</v>
      </c>
      <c r="Z2679">
        <v>646</v>
      </c>
      <c r="AA2679">
        <v>50</v>
      </c>
      <c r="AB2679">
        <v>66</v>
      </c>
      <c r="AC2679" t="s">
        <v>3743</v>
      </c>
      <c r="AD2679" t="s">
        <v>1425</v>
      </c>
      <c r="AE2679" t="s">
        <v>1426</v>
      </c>
      <c r="AF2679" t="s">
        <v>3743</v>
      </c>
      <c r="AG2679" t="s">
        <v>1425</v>
      </c>
      <c r="AH2679" t="s">
        <v>1426</v>
      </c>
      <c r="AI2679" t="s">
        <v>8523</v>
      </c>
      <c r="AJ2679" s="2">
        <v>45496.835243055553</v>
      </c>
      <c r="AK2679" t="s">
        <v>704</v>
      </c>
      <c r="AL2679" t="s">
        <v>65</v>
      </c>
      <c r="AM2679" s="4">
        <v>0.40277777777777779</v>
      </c>
      <c r="AN2679" t="s">
        <v>66</v>
      </c>
      <c r="AO2679" t="s">
        <v>67</v>
      </c>
    </row>
    <row r="2680" spans="1:41" x14ac:dyDescent="0.2">
      <c r="A2680">
        <v>371692</v>
      </c>
      <c r="B2680" t="s">
        <v>16565</v>
      </c>
      <c r="C2680" t="s">
        <v>323</v>
      </c>
      <c r="E2680" t="s">
        <v>16566</v>
      </c>
      <c r="G2680" s="1">
        <v>39539</v>
      </c>
      <c r="H2680" s="1">
        <v>45817</v>
      </c>
      <c r="I2680" s="1">
        <v>46037</v>
      </c>
      <c r="J2680" t="s">
        <v>45</v>
      </c>
      <c r="K2680" t="s">
        <v>45</v>
      </c>
      <c r="L2680" t="s">
        <v>72</v>
      </c>
      <c r="M2680" s="1">
        <v>45071</v>
      </c>
      <c r="N2680" t="s">
        <v>47</v>
      </c>
      <c r="O2680" t="s">
        <v>48</v>
      </c>
      <c r="P2680" t="s">
        <v>1752</v>
      </c>
      <c r="Q2680" t="s">
        <v>16567</v>
      </c>
      <c r="R2680" t="s">
        <v>16568</v>
      </c>
      <c r="S2680">
        <v>2315</v>
      </c>
      <c r="T2680" t="s">
        <v>257</v>
      </c>
      <c r="U2680" t="s">
        <v>329</v>
      </c>
      <c r="V2680" t="s">
        <v>4990</v>
      </c>
      <c r="W2680" t="s">
        <v>260</v>
      </c>
      <c r="X2680" t="s">
        <v>257</v>
      </c>
      <c r="Y2680" t="s">
        <v>110</v>
      </c>
      <c r="Z2680">
        <v>2956</v>
      </c>
      <c r="AA2680">
        <v>43</v>
      </c>
      <c r="AB2680">
        <v>166</v>
      </c>
      <c r="AC2680" t="s">
        <v>4991</v>
      </c>
      <c r="AD2680" t="s">
        <v>4992</v>
      </c>
      <c r="AE2680" t="s">
        <v>4993</v>
      </c>
      <c r="AF2680" t="s">
        <v>4994</v>
      </c>
      <c r="AG2680" t="s">
        <v>4995</v>
      </c>
      <c r="AH2680" t="s">
        <v>5692</v>
      </c>
      <c r="AI2680" t="s">
        <v>4997</v>
      </c>
      <c r="AJ2680" s="2">
        <v>45818.15420138889</v>
      </c>
      <c r="AK2680" t="s">
        <v>331</v>
      </c>
      <c r="AL2680" t="s">
        <v>1168</v>
      </c>
      <c r="AM2680" s="4">
        <v>0.1875</v>
      </c>
      <c r="AN2680" t="s">
        <v>66</v>
      </c>
      <c r="AO2680" t="s">
        <v>67</v>
      </c>
    </row>
    <row r="2681" spans="1:41" x14ac:dyDescent="0.2">
      <c r="A2681">
        <v>365179</v>
      </c>
      <c r="B2681" t="s">
        <v>16569</v>
      </c>
      <c r="C2681" t="s">
        <v>692</v>
      </c>
      <c r="D2681" t="s">
        <v>693</v>
      </c>
      <c r="E2681">
        <v>32789172</v>
      </c>
      <c r="F2681">
        <v>481904</v>
      </c>
      <c r="G2681" s="1">
        <v>32366</v>
      </c>
      <c r="H2681" s="1">
        <v>45544</v>
      </c>
      <c r="I2681" s="1">
        <v>46296</v>
      </c>
      <c r="J2681" t="s">
        <v>45</v>
      </c>
      <c r="K2681" t="s">
        <v>45</v>
      </c>
      <c r="L2681" t="s">
        <v>72</v>
      </c>
      <c r="M2681" s="1">
        <v>42230</v>
      </c>
      <c r="N2681" t="s">
        <v>47</v>
      </c>
      <c r="O2681" t="s">
        <v>48</v>
      </c>
      <c r="P2681" t="s">
        <v>49</v>
      </c>
      <c r="Q2681" t="s">
        <v>16570</v>
      </c>
      <c r="R2681" t="s">
        <v>16571</v>
      </c>
      <c r="S2681">
        <v>7550</v>
      </c>
      <c r="T2681" t="s">
        <v>365</v>
      </c>
      <c r="U2681" t="s">
        <v>432</v>
      </c>
      <c r="V2681" t="s">
        <v>696</v>
      </c>
      <c r="W2681" t="s">
        <v>367</v>
      </c>
      <c r="X2681" t="s">
        <v>76</v>
      </c>
      <c r="Y2681" t="s">
        <v>434</v>
      </c>
      <c r="Z2681">
        <v>386</v>
      </c>
      <c r="AA2681">
        <v>51</v>
      </c>
      <c r="AB2681">
        <v>158</v>
      </c>
      <c r="AC2681" t="s">
        <v>697</v>
      </c>
      <c r="AD2681" t="s">
        <v>5711</v>
      </c>
      <c r="AE2681" t="s">
        <v>699</v>
      </c>
      <c r="AF2681" t="s">
        <v>700</v>
      </c>
      <c r="AG2681" t="s">
        <v>701</v>
      </c>
      <c r="AH2681" t="s">
        <v>702</v>
      </c>
      <c r="AI2681" t="s">
        <v>12671</v>
      </c>
      <c r="AJ2681" s="2">
        <v>45572.879131944443</v>
      </c>
      <c r="AK2681" t="s">
        <v>704</v>
      </c>
      <c r="AL2681" t="s">
        <v>65</v>
      </c>
      <c r="AM2681" s="3">
        <v>1.8333333333333333</v>
      </c>
      <c r="AN2681" t="s">
        <v>66</v>
      </c>
      <c r="AO2681" t="s">
        <v>67</v>
      </c>
    </row>
    <row r="2682" spans="1:41" x14ac:dyDescent="0.2">
      <c r="A2682">
        <v>351749</v>
      </c>
      <c r="B2682" t="s">
        <v>16572</v>
      </c>
      <c r="C2682" t="s">
        <v>42</v>
      </c>
      <c r="D2682" t="s">
        <v>3219</v>
      </c>
      <c r="E2682" t="s">
        <v>16573</v>
      </c>
      <c r="G2682" s="1">
        <v>45029</v>
      </c>
      <c r="H2682" s="1">
        <v>45027</v>
      </c>
      <c r="I2682" s="1">
        <v>46082</v>
      </c>
      <c r="J2682" t="s">
        <v>45</v>
      </c>
      <c r="K2682" t="s">
        <v>45</v>
      </c>
      <c r="L2682" t="s">
        <v>72</v>
      </c>
      <c r="N2682" t="s">
        <v>89</v>
      </c>
      <c r="O2682" t="s">
        <v>121</v>
      </c>
      <c r="P2682" t="s">
        <v>49</v>
      </c>
      <c r="Q2682" t="s">
        <v>16574</v>
      </c>
      <c r="R2682" t="s">
        <v>16575</v>
      </c>
      <c r="S2682">
        <v>9679</v>
      </c>
      <c r="T2682" t="s">
        <v>365</v>
      </c>
      <c r="U2682" t="s">
        <v>432</v>
      </c>
      <c r="V2682" t="s">
        <v>5111</v>
      </c>
      <c r="W2682" t="s">
        <v>367</v>
      </c>
      <c r="X2682" t="s">
        <v>76</v>
      </c>
      <c r="Y2682" t="s">
        <v>125</v>
      </c>
      <c r="Z2682">
        <v>2506</v>
      </c>
      <c r="AA2682">
        <v>84</v>
      </c>
      <c r="AB2682">
        <v>160</v>
      </c>
      <c r="AC2682" t="s">
        <v>16576</v>
      </c>
      <c r="AD2682" t="s">
        <v>5113</v>
      </c>
      <c r="AE2682" t="s">
        <v>16577</v>
      </c>
      <c r="AF2682" t="s">
        <v>16578</v>
      </c>
      <c r="AG2682" t="s">
        <v>16579</v>
      </c>
      <c r="AH2682" t="s">
        <v>16580</v>
      </c>
      <c r="AJ2682" s="2">
        <v>45176.488321759258</v>
      </c>
      <c r="AK2682" t="s">
        <v>132</v>
      </c>
      <c r="AL2682" t="s">
        <v>65</v>
      </c>
      <c r="AM2682" s="3">
        <v>1.7916666666666667</v>
      </c>
      <c r="AN2682" t="s">
        <v>66</v>
      </c>
      <c r="AO2682" t="s">
        <v>67</v>
      </c>
    </row>
    <row r="2683" spans="1:41" x14ac:dyDescent="0.2">
      <c r="A2683">
        <v>350894</v>
      </c>
      <c r="B2683" t="s">
        <v>16581</v>
      </c>
      <c r="C2683" t="s">
        <v>42</v>
      </c>
      <c r="D2683" t="s">
        <v>3219</v>
      </c>
      <c r="E2683">
        <v>32904636</v>
      </c>
      <c r="G2683" s="1">
        <v>45146</v>
      </c>
      <c r="H2683" s="1">
        <v>45147</v>
      </c>
      <c r="I2683" s="1">
        <v>46082</v>
      </c>
      <c r="J2683" t="s">
        <v>45</v>
      </c>
      <c r="K2683" t="s">
        <v>45</v>
      </c>
      <c r="L2683" t="s">
        <v>72</v>
      </c>
      <c r="M2683" s="1">
        <v>40465</v>
      </c>
      <c r="N2683" t="s">
        <v>89</v>
      </c>
      <c r="O2683" t="s">
        <v>121</v>
      </c>
      <c r="P2683" t="s">
        <v>49</v>
      </c>
      <c r="Q2683" t="s">
        <v>16582</v>
      </c>
      <c r="R2683" t="s">
        <v>16583</v>
      </c>
      <c r="S2683">
        <v>7021</v>
      </c>
      <c r="T2683" t="s">
        <v>365</v>
      </c>
      <c r="U2683" t="s">
        <v>432</v>
      </c>
      <c r="V2683" t="s">
        <v>5111</v>
      </c>
      <c r="W2683" t="s">
        <v>367</v>
      </c>
      <c r="X2683" t="s">
        <v>76</v>
      </c>
      <c r="Y2683" t="s">
        <v>125</v>
      </c>
      <c r="Z2683">
        <v>2949</v>
      </c>
      <c r="AA2683">
        <v>79</v>
      </c>
      <c r="AB2683">
        <v>66</v>
      </c>
      <c r="AC2683" t="s">
        <v>16576</v>
      </c>
      <c r="AD2683" t="s">
        <v>5113</v>
      </c>
      <c r="AE2683" t="s">
        <v>16577</v>
      </c>
      <c r="AF2683" t="s">
        <v>16578</v>
      </c>
      <c r="AG2683" t="s">
        <v>16584</v>
      </c>
      <c r="AH2683" t="s">
        <v>16580</v>
      </c>
      <c r="AJ2683" s="2">
        <v>45147.522245370368</v>
      </c>
      <c r="AK2683" t="s">
        <v>132</v>
      </c>
      <c r="AL2683" t="s">
        <v>65</v>
      </c>
      <c r="AM2683" s="3">
        <v>2.1736111111111112</v>
      </c>
      <c r="AN2683" t="s">
        <v>66</v>
      </c>
      <c r="AO2683" t="s">
        <v>67</v>
      </c>
    </row>
    <row r="2684" spans="1:41" x14ac:dyDescent="0.2">
      <c r="A2684">
        <v>372531</v>
      </c>
      <c r="B2684" t="s">
        <v>16585</v>
      </c>
      <c r="C2684" t="s">
        <v>692</v>
      </c>
      <c r="D2684" t="s">
        <v>3845</v>
      </c>
      <c r="E2684" t="s">
        <v>16586</v>
      </c>
      <c r="F2684">
        <v>480119</v>
      </c>
      <c r="G2684" s="1">
        <v>40127</v>
      </c>
      <c r="H2684" s="1">
        <v>45813</v>
      </c>
      <c r="I2684" s="1">
        <v>46188</v>
      </c>
      <c r="J2684" t="s">
        <v>45</v>
      </c>
      <c r="K2684" t="s">
        <v>45</v>
      </c>
      <c r="L2684" t="s">
        <v>72</v>
      </c>
      <c r="M2684" s="1">
        <v>43181</v>
      </c>
      <c r="N2684" t="s">
        <v>47</v>
      </c>
      <c r="O2684" t="s">
        <v>48</v>
      </c>
      <c r="P2684" t="s">
        <v>49</v>
      </c>
      <c r="Q2684" t="s">
        <v>16587</v>
      </c>
      <c r="R2684" t="s">
        <v>16588</v>
      </c>
      <c r="S2684">
        <v>8160</v>
      </c>
      <c r="T2684" t="s">
        <v>257</v>
      </c>
      <c r="U2684" t="s">
        <v>283</v>
      </c>
      <c r="V2684" t="s">
        <v>2084</v>
      </c>
      <c r="W2684" t="s">
        <v>260</v>
      </c>
      <c r="X2684" t="s">
        <v>257</v>
      </c>
      <c r="Y2684" t="s">
        <v>110</v>
      </c>
      <c r="Z2684">
        <v>3076</v>
      </c>
      <c r="AA2684">
        <v>35</v>
      </c>
      <c r="AB2684">
        <v>80</v>
      </c>
      <c r="AC2684" t="s">
        <v>2085</v>
      </c>
      <c r="AD2684" t="s">
        <v>2086</v>
      </c>
      <c r="AE2684" t="s">
        <v>2087</v>
      </c>
      <c r="AF2684" t="s">
        <v>2088</v>
      </c>
      <c r="AG2684" t="s">
        <v>2089</v>
      </c>
      <c r="AI2684" t="s">
        <v>2086</v>
      </c>
      <c r="AJ2684" s="2">
        <v>45841.956377314818</v>
      </c>
      <c r="AK2684" t="s">
        <v>2085</v>
      </c>
      <c r="AL2684" t="s">
        <v>65</v>
      </c>
      <c r="AM2684" s="4">
        <v>0.71527777777777779</v>
      </c>
      <c r="AN2684" t="s">
        <v>66</v>
      </c>
      <c r="AO2684" t="s">
        <v>67</v>
      </c>
    </row>
    <row r="2685" spans="1:41" x14ac:dyDescent="0.2">
      <c r="A2685">
        <v>371838</v>
      </c>
      <c r="B2685" t="s">
        <v>16589</v>
      </c>
      <c r="C2685" t="s">
        <v>182</v>
      </c>
      <c r="D2685" t="s">
        <v>1628</v>
      </c>
      <c r="E2685" t="s">
        <v>16590</v>
      </c>
      <c r="F2685">
        <v>41406</v>
      </c>
      <c r="G2685" s="1">
        <v>33739</v>
      </c>
      <c r="H2685" s="1">
        <v>45818</v>
      </c>
      <c r="I2685" s="1">
        <v>46204</v>
      </c>
      <c r="J2685" t="s">
        <v>45</v>
      </c>
      <c r="K2685" t="s">
        <v>45</v>
      </c>
      <c r="L2685" t="s">
        <v>429</v>
      </c>
      <c r="M2685" s="1">
        <v>41232</v>
      </c>
      <c r="N2685" t="s">
        <v>47</v>
      </c>
      <c r="O2685" t="s">
        <v>48</v>
      </c>
      <c r="P2685" t="s">
        <v>49</v>
      </c>
      <c r="Q2685" t="s">
        <v>16591</v>
      </c>
      <c r="R2685" t="s">
        <v>16592</v>
      </c>
      <c r="S2685">
        <v>1725</v>
      </c>
      <c r="T2685" t="s">
        <v>52</v>
      </c>
      <c r="U2685">
        <v>5</v>
      </c>
      <c r="V2685" t="s">
        <v>492</v>
      </c>
      <c r="W2685" t="s">
        <v>54</v>
      </c>
      <c r="X2685" t="s">
        <v>493</v>
      </c>
      <c r="Y2685" t="s">
        <v>434</v>
      </c>
      <c r="Z2685">
        <v>713</v>
      </c>
      <c r="AA2685">
        <v>51</v>
      </c>
      <c r="AB2685">
        <v>160</v>
      </c>
      <c r="AC2685" t="s">
        <v>6995</v>
      </c>
      <c r="AD2685" t="s">
        <v>6919</v>
      </c>
      <c r="AE2685" t="s">
        <v>6920</v>
      </c>
      <c r="AF2685" t="s">
        <v>6921</v>
      </c>
      <c r="AG2685" t="s">
        <v>6922</v>
      </c>
      <c r="AH2685" t="s">
        <v>6923</v>
      </c>
      <c r="AI2685" t="s">
        <v>6924</v>
      </c>
      <c r="AJ2685" s="2">
        <v>45820.665416666663</v>
      </c>
      <c r="AK2685" t="s">
        <v>501</v>
      </c>
      <c r="AL2685" t="s">
        <v>65</v>
      </c>
      <c r="AM2685" s="4">
        <v>0.90277777777777779</v>
      </c>
      <c r="AN2685" t="s">
        <v>66</v>
      </c>
      <c r="AO2685" t="s">
        <v>67</v>
      </c>
    </row>
    <row r="2686" spans="1:41" x14ac:dyDescent="0.2">
      <c r="A2686">
        <v>364751</v>
      </c>
      <c r="B2686" t="s">
        <v>16589</v>
      </c>
      <c r="C2686" t="s">
        <v>345</v>
      </c>
      <c r="E2686" t="s">
        <v>16593</v>
      </c>
      <c r="F2686">
        <v>51703</v>
      </c>
      <c r="G2686" s="1">
        <v>31671</v>
      </c>
      <c r="H2686" s="1">
        <v>45552</v>
      </c>
      <c r="I2686" s="1">
        <v>46143</v>
      </c>
      <c r="J2686" t="s">
        <v>45</v>
      </c>
      <c r="K2686" t="s">
        <v>45</v>
      </c>
      <c r="L2686" t="s">
        <v>72</v>
      </c>
      <c r="M2686" s="1">
        <v>42965</v>
      </c>
      <c r="N2686" t="s">
        <v>47</v>
      </c>
      <c r="O2686" t="s">
        <v>48</v>
      </c>
      <c r="P2686" t="s">
        <v>49</v>
      </c>
      <c r="Q2686" t="s">
        <v>16594</v>
      </c>
      <c r="R2686" t="s">
        <v>16595</v>
      </c>
      <c r="S2686">
        <v>9578</v>
      </c>
      <c r="T2686" t="s">
        <v>52</v>
      </c>
      <c r="U2686">
        <v>2</v>
      </c>
      <c r="V2686" t="s">
        <v>6064</v>
      </c>
      <c r="W2686" t="s">
        <v>54</v>
      </c>
      <c r="X2686" t="s">
        <v>55</v>
      </c>
      <c r="Y2686" t="s">
        <v>56</v>
      </c>
      <c r="Z2686">
        <v>601</v>
      </c>
      <c r="AA2686">
        <v>49</v>
      </c>
      <c r="AB2686">
        <v>160</v>
      </c>
      <c r="AC2686" t="s">
        <v>6163</v>
      </c>
      <c r="AD2686" t="s">
        <v>6066</v>
      </c>
      <c r="AE2686" t="s">
        <v>6067</v>
      </c>
      <c r="AF2686" t="s">
        <v>6068</v>
      </c>
      <c r="AG2686" t="s">
        <v>6069</v>
      </c>
      <c r="AH2686" t="s">
        <v>16596</v>
      </c>
      <c r="AI2686" t="s">
        <v>8559</v>
      </c>
      <c r="AJ2686" s="2">
        <v>45558.886435185188</v>
      </c>
      <c r="AK2686" t="s">
        <v>540</v>
      </c>
      <c r="AL2686" t="s">
        <v>65</v>
      </c>
      <c r="AM2686" s="3">
        <v>2.3472222222222223</v>
      </c>
      <c r="AN2686" t="s">
        <v>66</v>
      </c>
      <c r="AO2686" t="s">
        <v>67</v>
      </c>
    </row>
    <row r="2687" spans="1:41" x14ac:dyDescent="0.2">
      <c r="A2687">
        <v>365274</v>
      </c>
      <c r="B2687" t="s">
        <v>16597</v>
      </c>
      <c r="C2687" t="s">
        <v>735</v>
      </c>
      <c r="D2687" t="s">
        <v>2519</v>
      </c>
      <c r="E2687" t="s">
        <v>16598</v>
      </c>
      <c r="F2687">
        <v>245001</v>
      </c>
      <c r="G2687" s="1">
        <v>38650</v>
      </c>
      <c r="H2687" s="1">
        <v>45574</v>
      </c>
      <c r="I2687" s="1">
        <v>45931</v>
      </c>
      <c r="J2687" t="s">
        <v>45</v>
      </c>
      <c r="K2687" t="s">
        <v>45</v>
      </c>
      <c r="L2687" t="s">
        <v>72</v>
      </c>
      <c r="N2687" t="s">
        <v>47</v>
      </c>
      <c r="O2687" t="s">
        <v>48</v>
      </c>
      <c r="P2687" t="s">
        <v>49</v>
      </c>
      <c r="Q2687" t="s">
        <v>16599</v>
      </c>
      <c r="R2687" t="s">
        <v>16600</v>
      </c>
      <c r="S2687">
        <v>4020</v>
      </c>
      <c r="T2687" t="s">
        <v>296</v>
      </c>
      <c r="U2687" t="s">
        <v>1487</v>
      </c>
      <c r="V2687" t="s">
        <v>2510</v>
      </c>
      <c r="W2687" t="s">
        <v>299</v>
      </c>
      <c r="X2687" t="s">
        <v>76</v>
      </c>
      <c r="Y2687" t="s">
        <v>56</v>
      </c>
      <c r="Z2687">
        <v>2431</v>
      </c>
      <c r="AA2687">
        <v>35</v>
      </c>
      <c r="AB2687">
        <v>160</v>
      </c>
      <c r="AC2687" t="s">
        <v>2511</v>
      </c>
      <c r="AD2687" t="s">
        <v>2512</v>
      </c>
      <c r="AE2687" t="s">
        <v>2513</v>
      </c>
      <c r="AF2687" t="s">
        <v>2514</v>
      </c>
      <c r="AG2687" t="s">
        <v>11052</v>
      </c>
      <c r="AH2687" t="s">
        <v>2516</v>
      </c>
      <c r="AI2687" t="s">
        <v>1494</v>
      </c>
      <c r="AJ2687" s="2">
        <v>45575.081296296295</v>
      </c>
      <c r="AK2687" t="s">
        <v>704</v>
      </c>
      <c r="AL2687" t="s">
        <v>65</v>
      </c>
      <c r="AM2687" s="4">
        <v>0.88888888888888884</v>
      </c>
      <c r="AN2687" t="s">
        <v>66</v>
      </c>
      <c r="AO2687" t="s">
        <v>67</v>
      </c>
    </row>
    <row r="2688" spans="1:41" x14ac:dyDescent="0.2">
      <c r="A2688">
        <v>372446</v>
      </c>
      <c r="B2688" t="s">
        <v>16601</v>
      </c>
      <c r="C2688" t="s">
        <v>735</v>
      </c>
      <c r="D2688" t="s">
        <v>2559</v>
      </c>
      <c r="E2688" t="s">
        <v>16602</v>
      </c>
      <c r="F2688">
        <v>242916</v>
      </c>
      <c r="G2688" s="1">
        <v>44488</v>
      </c>
      <c r="H2688" s="1">
        <v>45834</v>
      </c>
      <c r="I2688" s="1">
        <v>46204</v>
      </c>
      <c r="J2688" t="s">
        <v>45</v>
      </c>
      <c r="K2688" t="s">
        <v>45</v>
      </c>
      <c r="L2688" t="s">
        <v>46</v>
      </c>
      <c r="M2688" s="1">
        <v>44764</v>
      </c>
      <c r="N2688" t="s">
        <v>47</v>
      </c>
      <c r="O2688" t="s">
        <v>48</v>
      </c>
      <c r="P2688" t="s">
        <v>49</v>
      </c>
      <c r="Q2688" t="s">
        <v>16603</v>
      </c>
      <c r="R2688" t="s">
        <v>16604</v>
      </c>
      <c r="S2688">
        <v>4091</v>
      </c>
      <c r="T2688" t="s">
        <v>52</v>
      </c>
      <c r="U2688">
        <v>1</v>
      </c>
      <c r="V2688" t="s">
        <v>2563</v>
      </c>
      <c r="W2688" t="s">
        <v>54</v>
      </c>
      <c r="X2688" t="s">
        <v>76</v>
      </c>
      <c r="Y2688" t="s">
        <v>56</v>
      </c>
      <c r="Z2688">
        <v>11966</v>
      </c>
      <c r="AA2688">
        <v>16</v>
      </c>
      <c r="AB2688">
        <v>210</v>
      </c>
      <c r="AC2688" t="s">
        <v>2581</v>
      </c>
      <c r="AD2688" t="s">
        <v>2565</v>
      </c>
      <c r="AE2688" t="s">
        <v>2566</v>
      </c>
      <c r="AF2688" t="s">
        <v>2567</v>
      </c>
      <c r="AG2688" t="s">
        <v>2568</v>
      </c>
      <c r="AH2688" t="s">
        <v>2569</v>
      </c>
      <c r="AI2688" t="s">
        <v>6132</v>
      </c>
      <c r="AJ2688" s="2">
        <v>45839.823009259257</v>
      </c>
      <c r="AK2688" t="s">
        <v>568</v>
      </c>
      <c r="AL2688" t="s">
        <v>65</v>
      </c>
      <c r="AM2688" s="4">
        <v>0.50694444444444442</v>
      </c>
      <c r="AN2688" t="s">
        <v>66</v>
      </c>
      <c r="AO2688" t="s">
        <v>67</v>
      </c>
    </row>
    <row r="2689" spans="1:41" x14ac:dyDescent="0.2">
      <c r="A2689">
        <v>371958</v>
      </c>
      <c r="B2689" t="s">
        <v>16605</v>
      </c>
      <c r="C2689" t="s">
        <v>182</v>
      </c>
      <c r="D2689" t="s">
        <v>894</v>
      </c>
      <c r="E2689" t="s">
        <v>16606</v>
      </c>
      <c r="F2689">
        <v>40630</v>
      </c>
      <c r="G2689" s="1">
        <v>32509</v>
      </c>
      <c r="H2689" s="1">
        <v>45821</v>
      </c>
      <c r="J2689" t="s">
        <v>45</v>
      </c>
      <c r="K2689" t="s">
        <v>72</v>
      </c>
      <c r="L2689" t="s">
        <v>72</v>
      </c>
      <c r="M2689" s="1">
        <v>37621</v>
      </c>
      <c r="N2689" t="s">
        <v>47</v>
      </c>
      <c r="O2689" t="s">
        <v>48</v>
      </c>
      <c r="P2689" t="s">
        <v>49</v>
      </c>
      <c r="Q2689" t="s">
        <v>16607</v>
      </c>
      <c r="R2689" t="s">
        <v>16608</v>
      </c>
      <c r="S2689">
        <v>3704</v>
      </c>
      <c r="T2689" t="s">
        <v>92</v>
      </c>
      <c r="U2689" t="s">
        <v>187</v>
      </c>
      <c r="V2689" t="s">
        <v>447</v>
      </c>
      <c r="W2689" t="s">
        <v>448</v>
      </c>
      <c r="X2689" t="s">
        <v>92</v>
      </c>
      <c r="Y2689" t="s">
        <v>450</v>
      </c>
      <c r="Z2689">
        <v>1275</v>
      </c>
      <c r="AA2689">
        <v>50</v>
      </c>
      <c r="AB2689">
        <v>38</v>
      </c>
      <c r="AC2689" t="s">
        <v>451</v>
      </c>
      <c r="AD2689" t="s">
        <v>4047</v>
      </c>
      <c r="AE2689" t="s">
        <v>453</v>
      </c>
      <c r="AF2689" t="s">
        <v>454</v>
      </c>
      <c r="AG2689" t="s">
        <v>473</v>
      </c>
      <c r="AH2689" t="s">
        <v>474</v>
      </c>
      <c r="AJ2689" s="2">
        <v>45825.710034722222</v>
      </c>
      <c r="AK2689" t="s">
        <v>456</v>
      </c>
      <c r="AL2689" t="s">
        <v>65</v>
      </c>
      <c r="AM2689" s="4">
        <v>0.57638888888888884</v>
      </c>
      <c r="AN2689" t="s">
        <v>66</v>
      </c>
      <c r="AO2689" t="s">
        <v>67</v>
      </c>
    </row>
    <row r="2690" spans="1:41" x14ac:dyDescent="0.2">
      <c r="A2690">
        <v>371415</v>
      </c>
      <c r="B2690" t="s">
        <v>16609</v>
      </c>
      <c r="C2690" t="s">
        <v>323</v>
      </c>
      <c r="D2690" t="s">
        <v>3429</v>
      </c>
      <c r="E2690" t="s">
        <v>16610</v>
      </c>
      <c r="F2690">
        <v>500927</v>
      </c>
      <c r="G2690" s="1">
        <v>41061</v>
      </c>
      <c r="H2690" s="1">
        <v>45809</v>
      </c>
      <c r="I2690" s="1">
        <v>46037</v>
      </c>
      <c r="J2690" t="s">
        <v>45</v>
      </c>
      <c r="K2690" t="s">
        <v>45</v>
      </c>
      <c r="L2690" t="s">
        <v>72</v>
      </c>
      <c r="M2690" s="1">
        <v>44327</v>
      </c>
      <c r="N2690" t="s">
        <v>47</v>
      </c>
      <c r="O2690" t="s">
        <v>48</v>
      </c>
      <c r="P2690" t="s">
        <v>49</v>
      </c>
      <c r="Q2690" t="s">
        <v>16611</v>
      </c>
      <c r="R2690" t="s">
        <v>16612</v>
      </c>
      <c r="S2690">
        <v>155</v>
      </c>
      <c r="T2690" t="s">
        <v>92</v>
      </c>
      <c r="U2690" t="s">
        <v>329</v>
      </c>
      <c r="V2690" t="s">
        <v>722</v>
      </c>
      <c r="W2690" t="s">
        <v>723</v>
      </c>
      <c r="X2690" t="s">
        <v>92</v>
      </c>
      <c r="Y2690" t="s">
        <v>110</v>
      </c>
      <c r="Z2690">
        <v>5487</v>
      </c>
      <c r="AA2690">
        <v>34</v>
      </c>
      <c r="AB2690">
        <v>34</v>
      </c>
      <c r="AC2690" t="s">
        <v>461</v>
      </c>
      <c r="AD2690" t="s">
        <v>5071</v>
      </c>
      <c r="AE2690" t="s">
        <v>462</v>
      </c>
      <c r="AJ2690" s="2">
        <v>45810.014328703706</v>
      </c>
      <c r="AK2690" t="s">
        <v>331</v>
      </c>
      <c r="AL2690" t="s">
        <v>65</v>
      </c>
      <c r="AM2690" s="3">
        <v>1.1319444444444444</v>
      </c>
      <c r="AN2690" t="s">
        <v>66</v>
      </c>
      <c r="AO2690" t="s">
        <v>67</v>
      </c>
    </row>
    <row r="2691" spans="1:41" x14ac:dyDescent="0.2">
      <c r="A2691">
        <v>366725</v>
      </c>
      <c r="B2691" t="s">
        <v>16613</v>
      </c>
      <c r="C2691" t="s">
        <v>583</v>
      </c>
      <c r="D2691" t="s">
        <v>5290</v>
      </c>
      <c r="E2691" t="s">
        <v>16614</v>
      </c>
      <c r="F2691">
        <v>157002</v>
      </c>
      <c r="G2691" s="1">
        <v>35362</v>
      </c>
      <c r="H2691" s="1">
        <v>45630</v>
      </c>
      <c r="I2691" s="1">
        <v>46266</v>
      </c>
      <c r="J2691" t="s">
        <v>45</v>
      </c>
      <c r="K2691" t="s">
        <v>45</v>
      </c>
      <c r="L2691" t="s">
        <v>545</v>
      </c>
      <c r="M2691" s="1">
        <v>43812</v>
      </c>
      <c r="N2691" t="s">
        <v>47</v>
      </c>
      <c r="O2691" t="s">
        <v>48</v>
      </c>
      <c r="P2691" t="s">
        <v>49</v>
      </c>
      <c r="Q2691" t="s">
        <v>16615</v>
      </c>
      <c r="R2691" t="s">
        <v>16616</v>
      </c>
      <c r="S2691">
        <v>921</v>
      </c>
      <c r="T2691" t="s">
        <v>52</v>
      </c>
      <c r="U2691">
        <v>8</v>
      </c>
      <c r="V2691" t="s">
        <v>10460</v>
      </c>
      <c r="W2691" t="s">
        <v>54</v>
      </c>
      <c r="X2691" t="s">
        <v>76</v>
      </c>
      <c r="Y2691" t="s">
        <v>56</v>
      </c>
      <c r="Z2691">
        <v>1174</v>
      </c>
      <c r="AA2691">
        <v>40</v>
      </c>
      <c r="AB2691">
        <v>160</v>
      </c>
      <c r="AC2691" t="s">
        <v>10461</v>
      </c>
      <c r="AD2691" t="s">
        <v>10462</v>
      </c>
      <c r="AE2691" t="s">
        <v>10463</v>
      </c>
      <c r="AF2691" t="s">
        <v>16617</v>
      </c>
      <c r="AG2691" t="s">
        <v>16618</v>
      </c>
      <c r="AH2691" t="s">
        <v>16619</v>
      </c>
      <c r="AI2691" t="s">
        <v>16620</v>
      </c>
      <c r="AJ2691" s="2">
        <v>45635.705428240741</v>
      </c>
      <c r="AK2691" t="s">
        <v>64</v>
      </c>
      <c r="AL2691" t="s">
        <v>65</v>
      </c>
      <c r="AM2691" s="4">
        <v>6.25E-2</v>
      </c>
      <c r="AN2691" t="s">
        <v>66</v>
      </c>
      <c r="AO2691" t="s">
        <v>67</v>
      </c>
    </row>
    <row r="2692" spans="1:41" x14ac:dyDescent="0.2">
      <c r="A2692">
        <v>369740</v>
      </c>
      <c r="B2692" t="s">
        <v>16621</v>
      </c>
      <c r="C2692" t="s">
        <v>182</v>
      </c>
      <c r="D2692" t="s">
        <v>1064</v>
      </c>
      <c r="E2692" t="s">
        <v>16622</v>
      </c>
      <c r="F2692">
        <v>40231</v>
      </c>
      <c r="G2692" s="1">
        <v>32269</v>
      </c>
      <c r="H2692" s="1">
        <v>45510</v>
      </c>
      <c r="I2692" s="1">
        <v>46113</v>
      </c>
      <c r="J2692" t="s">
        <v>45</v>
      </c>
      <c r="K2692" t="s">
        <v>45</v>
      </c>
      <c r="L2692" t="s">
        <v>429</v>
      </c>
      <c r="N2692" t="s">
        <v>47</v>
      </c>
      <c r="O2692" t="s">
        <v>48</v>
      </c>
      <c r="P2692" t="s">
        <v>49</v>
      </c>
      <c r="Q2692" t="s">
        <v>16623</v>
      </c>
      <c r="R2692" t="s">
        <v>16624</v>
      </c>
      <c r="S2692">
        <v>915</v>
      </c>
      <c r="T2692" t="s">
        <v>52</v>
      </c>
      <c r="U2692">
        <v>5</v>
      </c>
      <c r="V2692" t="s">
        <v>3513</v>
      </c>
      <c r="W2692" t="s">
        <v>54</v>
      </c>
      <c r="X2692" t="s">
        <v>493</v>
      </c>
      <c r="Y2692" t="s">
        <v>434</v>
      </c>
      <c r="Z2692">
        <v>695</v>
      </c>
      <c r="AA2692">
        <v>59</v>
      </c>
      <c r="AB2692">
        <v>80</v>
      </c>
      <c r="AC2692" t="s">
        <v>16144</v>
      </c>
      <c r="AD2692" t="s">
        <v>16625</v>
      </c>
      <c r="AE2692" t="s">
        <v>16146</v>
      </c>
      <c r="AF2692" t="s">
        <v>3517</v>
      </c>
      <c r="AG2692" t="s">
        <v>3518</v>
      </c>
      <c r="AH2692" t="s">
        <v>3519</v>
      </c>
      <c r="AI2692" t="s">
        <v>16626</v>
      </c>
      <c r="AJ2692" s="2">
        <v>45750.713368055556</v>
      </c>
      <c r="AK2692" t="s">
        <v>3521</v>
      </c>
      <c r="AL2692" t="s">
        <v>65</v>
      </c>
      <c r="AM2692" s="4">
        <v>0.6875</v>
      </c>
      <c r="AN2692" t="s">
        <v>66</v>
      </c>
      <c r="AO2692" t="s">
        <v>67</v>
      </c>
    </row>
    <row r="2693" spans="1:41" x14ac:dyDescent="0.2">
      <c r="A2693">
        <v>371577</v>
      </c>
      <c r="B2693" t="s">
        <v>16627</v>
      </c>
      <c r="C2693" t="s">
        <v>662</v>
      </c>
      <c r="D2693" t="s">
        <v>1277</v>
      </c>
      <c r="E2693" t="s">
        <v>16628</v>
      </c>
      <c r="F2693">
        <v>417905</v>
      </c>
      <c r="G2693" s="1">
        <v>41410</v>
      </c>
      <c r="H2693" s="1">
        <v>45673</v>
      </c>
      <c r="J2693" t="s">
        <v>45</v>
      </c>
      <c r="K2693" t="s">
        <v>45</v>
      </c>
      <c r="L2693" t="s">
        <v>72</v>
      </c>
      <c r="N2693" t="s">
        <v>47</v>
      </c>
      <c r="O2693" t="s">
        <v>48</v>
      </c>
      <c r="P2693" t="s">
        <v>49</v>
      </c>
      <c r="Q2693" t="s">
        <v>16629</v>
      </c>
      <c r="R2693" t="s">
        <v>16630</v>
      </c>
      <c r="S2693">
        <v>722</v>
      </c>
      <c r="T2693" t="s">
        <v>92</v>
      </c>
      <c r="U2693" t="s">
        <v>1197</v>
      </c>
      <c r="V2693" t="s">
        <v>1198</v>
      </c>
      <c r="W2693" t="s">
        <v>1199</v>
      </c>
      <c r="X2693" t="s">
        <v>92</v>
      </c>
      <c r="Y2693" t="s">
        <v>770</v>
      </c>
      <c r="Z2693">
        <v>6207</v>
      </c>
      <c r="AA2693">
        <v>19</v>
      </c>
      <c r="AB2693">
        <v>78</v>
      </c>
      <c r="AC2693" t="s">
        <v>6845</v>
      </c>
      <c r="AD2693" t="s">
        <v>1201</v>
      </c>
      <c r="AE2693" t="s">
        <v>1202</v>
      </c>
      <c r="AF2693" t="s">
        <v>6846</v>
      </c>
      <c r="AG2693" t="s">
        <v>6847</v>
      </c>
      <c r="AH2693" t="s">
        <v>6848</v>
      </c>
      <c r="AI2693" t="s">
        <v>2280</v>
      </c>
      <c r="AJ2693" s="2">
        <v>45816.870879629627</v>
      </c>
      <c r="AK2693" t="s">
        <v>132</v>
      </c>
      <c r="AL2693" t="s">
        <v>65</v>
      </c>
      <c r="AM2693" s="4">
        <v>0.78472222222222221</v>
      </c>
      <c r="AN2693" t="s">
        <v>66</v>
      </c>
      <c r="AO2693" t="s">
        <v>67</v>
      </c>
    </row>
    <row r="2694" spans="1:41" x14ac:dyDescent="0.2">
      <c r="A2694">
        <v>371760</v>
      </c>
      <c r="B2694" t="s">
        <v>16631</v>
      </c>
      <c r="C2694" t="s">
        <v>167</v>
      </c>
      <c r="D2694" t="s">
        <v>4707</v>
      </c>
      <c r="E2694" t="s">
        <v>16632</v>
      </c>
      <c r="F2694">
        <v>350216</v>
      </c>
      <c r="G2694" s="1">
        <v>38198</v>
      </c>
      <c r="H2694" s="1">
        <v>45812</v>
      </c>
      <c r="I2694" s="1">
        <v>46157</v>
      </c>
      <c r="J2694" t="s">
        <v>45</v>
      </c>
      <c r="K2694" t="s">
        <v>45</v>
      </c>
      <c r="L2694" t="s">
        <v>72</v>
      </c>
      <c r="M2694" s="1">
        <v>38845</v>
      </c>
      <c r="N2694" t="s">
        <v>47</v>
      </c>
      <c r="O2694" t="s">
        <v>48</v>
      </c>
      <c r="P2694" t="s">
        <v>49</v>
      </c>
      <c r="Q2694" t="s">
        <v>16633</v>
      </c>
      <c r="R2694" t="s">
        <v>16634</v>
      </c>
      <c r="S2694">
        <v>2286</v>
      </c>
      <c r="T2694" t="s">
        <v>92</v>
      </c>
      <c r="U2694" t="s">
        <v>3030</v>
      </c>
      <c r="V2694" t="s">
        <v>3031</v>
      </c>
      <c r="W2694" t="s">
        <v>3032</v>
      </c>
      <c r="X2694" t="s">
        <v>52</v>
      </c>
      <c r="Y2694" t="s">
        <v>110</v>
      </c>
      <c r="Z2694">
        <v>1556</v>
      </c>
      <c r="AA2694">
        <v>31</v>
      </c>
      <c r="AB2694">
        <v>176</v>
      </c>
      <c r="AC2694" t="s">
        <v>16635</v>
      </c>
      <c r="AD2694" t="s">
        <v>16636</v>
      </c>
      <c r="AE2694" t="s">
        <v>16637</v>
      </c>
      <c r="AF2694" t="s">
        <v>16635</v>
      </c>
      <c r="AH2694" t="s">
        <v>16637</v>
      </c>
      <c r="AI2694" t="s">
        <v>16636</v>
      </c>
      <c r="AJ2694" s="2">
        <v>45818.878020833334</v>
      </c>
      <c r="AK2694" t="s">
        <v>16635</v>
      </c>
      <c r="AL2694" t="s">
        <v>65</v>
      </c>
      <c r="AM2694" s="4">
        <v>0.52083333333333337</v>
      </c>
      <c r="AN2694" t="s">
        <v>66</v>
      </c>
      <c r="AO2694" t="s">
        <v>67</v>
      </c>
    </row>
    <row r="2695" spans="1:41" x14ac:dyDescent="0.2">
      <c r="A2695">
        <v>373036</v>
      </c>
      <c r="B2695" t="s">
        <v>16638</v>
      </c>
      <c r="C2695" t="s">
        <v>735</v>
      </c>
      <c r="D2695" t="s">
        <v>16639</v>
      </c>
      <c r="E2695" t="s">
        <v>16640</v>
      </c>
      <c r="F2695">
        <v>242102</v>
      </c>
      <c r="G2695" s="1">
        <v>39617</v>
      </c>
      <c r="H2695" s="1">
        <v>45524</v>
      </c>
      <c r="I2695" s="1">
        <v>46249</v>
      </c>
      <c r="J2695" t="s">
        <v>45</v>
      </c>
      <c r="K2695" t="s">
        <v>45</v>
      </c>
      <c r="L2695" t="s">
        <v>46</v>
      </c>
      <c r="M2695" s="1">
        <v>43593</v>
      </c>
      <c r="N2695" t="s">
        <v>47</v>
      </c>
      <c r="O2695" t="s">
        <v>48</v>
      </c>
      <c r="P2695" t="s">
        <v>49</v>
      </c>
      <c r="Q2695" t="s">
        <v>16641</v>
      </c>
      <c r="R2695" t="s">
        <v>16642</v>
      </c>
      <c r="S2695">
        <v>6300</v>
      </c>
      <c r="T2695" t="s">
        <v>52</v>
      </c>
      <c r="U2695">
        <v>1</v>
      </c>
      <c r="V2695" t="s">
        <v>2162</v>
      </c>
      <c r="W2695" t="s">
        <v>54</v>
      </c>
      <c r="X2695" t="s">
        <v>76</v>
      </c>
      <c r="Y2695" t="s">
        <v>56</v>
      </c>
      <c r="Z2695">
        <v>2936</v>
      </c>
      <c r="AA2695">
        <v>33</v>
      </c>
      <c r="AB2695">
        <v>66</v>
      </c>
      <c r="AC2695" t="s">
        <v>16643</v>
      </c>
      <c r="AD2695" t="s">
        <v>16644</v>
      </c>
      <c r="AE2695" t="s">
        <v>16645</v>
      </c>
      <c r="AF2695" t="s">
        <v>16646</v>
      </c>
      <c r="AG2695" t="s">
        <v>16647</v>
      </c>
      <c r="AH2695" t="s">
        <v>16648</v>
      </c>
      <c r="AI2695" t="s">
        <v>179</v>
      </c>
      <c r="AJ2695" s="2">
        <v>45856.044444444444</v>
      </c>
      <c r="AK2695" t="s">
        <v>556</v>
      </c>
      <c r="AL2695" t="s">
        <v>65</v>
      </c>
      <c r="AM2695" s="3">
        <v>2.2430555555555554</v>
      </c>
      <c r="AN2695" t="s">
        <v>66</v>
      </c>
      <c r="AO2695" t="s">
        <v>67</v>
      </c>
    </row>
    <row r="2696" spans="1:41" x14ac:dyDescent="0.2">
      <c r="A2696">
        <v>357432</v>
      </c>
      <c r="B2696" t="s">
        <v>16649</v>
      </c>
      <c r="C2696" t="s">
        <v>345</v>
      </c>
      <c r="D2696" t="s">
        <v>1579</v>
      </c>
      <c r="E2696" t="s">
        <v>16650</v>
      </c>
      <c r="F2696">
        <v>51301</v>
      </c>
      <c r="G2696" s="1">
        <v>43706</v>
      </c>
      <c r="H2696" s="1">
        <v>45215</v>
      </c>
      <c r="I2696" s="1">
        <v>45915</v>
      </c>
      <c r="J2696" t="s">
        <v>45</v>
      </c>
      <c r="K2696" t="s">
        <v>45</v>
      </c>
      <c r="L2696" t="s">
        <v>72</v>
      </c>
      <c r="N2696" t="s">
        <v>47</v>
      </c>
      <c r="O2696" t="s">
        <v>48</v>
      </c>
      <c r="P2696" t="s">
        <v>49</v>
      </c>
      <c r="Q2696" t="s">
        <v>16651</v>
      </c>
      <c r="R2696" t="s">
        <v>16652</v>
      </c>
      <c r="S2696">
        <v>3640</v>
      </c>
      <c r="T2696" t="s">
        <v>92</v>
      </c>
      <c r="U2696" t="s">
        <v>350</v>
      </c>
      <c r="V2696" t="s">
        <v>351</v>
      </c>
      <c r="W2696" t="s">
        <v>352</v>
      </c>
      <c r="Y2696" t="s">
        <v>110</v>
      </c>
      <c r="Z2696">
        <v>10169</v>
      </c>
      <c r="AA2696">
        <v>14</v>
      </c>
      <c r="AB2696">
        <v>78</v>
      </c>
      <c r="AC2696" t="s">
        <v>353</v>
      </c>
      <c r="AD2696" t="s">
        <v>354</v>
      </c>
      <c r="AE2696" t="s">
        <v>355</v>
      </c>
      <c r="AF2696" t="s">
        <v>356</v>
      </c>
      <c r="AG2696" t="s">
        <v>357</v>
      </c>
      <c r="AH2696" t="s">
        <v>358</v>
      </c>
      <c r="AJ2696" s="2">
        <v>45330.69458333333</v>
      </c>
      <c r="AK2696" t="s">
        <v>149</v>
      </c>
      <c r="AL2696" t="s">
        <v>65</v>
      </c>
      <c r="AM2696" s="3">
        <v>1.8958333333333333</v>
      </c>
      <c r="AN2696" t="s">
        <v>66</v>
      </c>
      <c r="AO2696" t="s">
        <v>67</v>
      </c>
    </row>
    <row r="2697" spans="1:41" x14ac:dyDescent="0.2">
      <c r="A2697">
        <v>371862</v>
      </c>
      <c r="B2697" t="s">
        <v>16653</v>
      </c>
      <c r="C2697" t="s">
        <v>735</v>
      </c>
      <c r="D2697" t="s">
        <v>279</v>
      </c>
      <c r="E2697" t="s">
        <v>16654</v>
      </c>
      <c r="F2697">
        <v>242403</v>
      </c>
      <c r="G2697" s="1">
        <v>29601</v>
      </c>
      <c r="H2697" s="1">
        <v>45812</v>
      </c>
      <c r="I2697" s="1">
        <v>46174</v>
      </c>
      <c r="J2697" t="s">
        <v>45</v>
      </c>
      <c r="K2697" t="s">
        <v>45</v>
      </c>
      <c r="L2697" t="s">
        <v>429</v>
      </c>
      <c r="M2697" s="1">
        <v>44637</v>
      </c>
      <c r="N2697" t="s">
        <v>47</v>
      </c>
      <c r="O2697" t="s">
        <v>48</v>
      </c>
      <c r="P2697" t="s">
        <v>49</v>
      </c>
      <c r="Q2697" t="s">
        <v>16655</v>
      </c>
      <c r="R2697" t="s">
        <v>16656</v>
      </c>
      <c r="S2697">
        <v>3290</v>
      </c>
      <c r="T2697" t="s">
        <v>365</v>
      </c>
      <c r="U2697" t="s">
        <v>969</v>
      </c>
      <c r="V2697" t="s">
        <v>2473</v>
      </c>
      <c r="W2697" t="s">
        <v>367</v>
      </c>
      <c r="X2697" t="s">
        <v>76</v>
      </c>
      <c r="Y2697" t="s">
        <v>434</v>
      </c>
      <c r="Z2697">
        <v>210</v>
      </c>
      <c r="AA2697">
        <v>50</v>
      </c>
      <c r="AB2697">
        <v>28</v>
      </c>
      <c r="AC2697" t="s">
        <v>2474</v>
      </c>
      <c r="AD2697" t="s">
        <v>2475</v>
      </c>
      <c r="AE2697" t="s">
        <v>2477</v>
      </c>
      <c r="AF2697" t="s">
        <v>2474</v>
      </c>
      <c r="AH2697" t="s">
        <v>2476</v>
      </c>
      <c r="AI2697" t="s">
        <v>179</v>
      </c>
      <c r="AJ2697" s="2">
        <v>45821.604328703703</v>
      </c>
      <c r="AK2697" t="s">
        <v>568</v>
      </c>
      <c r="AL2697" t="s">
        <v>65</v>
      </c>
      <c r="AM2697" s="4">
        <v>0.35416666666666669</v>
      </c>
      <c r="AN2697" t="s">
        <v>66</v>
      </c>
      <c r="AO2697" t="s">
        <v>67</v>
      </c>
    </row>
    <row r="2698" spans="1:41" x14ac:dyDescent="0.2">
      <c r="A2698">
        <v>371178</v>
      </c>
      <c r="B2698" t="s">
        <v>16657</v>
      </c>
      <c r="C2698" t="s">
        <v>831</v>
      </c>
      <c r="D2698" t="s">
        <v>16658</v>
      </c>
      <c r="E2698" t="s">
        <v>16659</v>
      </c>
      <c r="G2698" s="1">
        <v>45790</v>
      </c>
      <c r="H2698" s="1">
        <v>45629</v>
      </c>
      <c r="I2698" s="1">
        <v>46006</v>
      </c>
      <c r="J2698" t="s">
        <v>45</v>
      </c>
      <c r="K2698" t="s">
        <v>45</v>
      </c>
      <c r="L2698" t="s">
        <v>72</v>
      </c>
      <c r="N2698" t="s">
        <v>47</v>
      </c>
      <c r="O2698" t="s">
        <v>121</v>
      </c>
      <c r="P2698" t="s">
        <v>49</v>
      </c>
      <c r="Q2698" t="s">
        <v>16660</v>
      </c>
      <c r="R2698" t="s">
        <v>16661</v>
      </c>
      <c r="S2698">
        <v>2694</v>
      </c>
      <c r="T2698" t="s">
        <v>52</v>
      </c>
      <c r="U2698">
        <v>8</v>
      </c>
      <c r="V2698" t="s">
        <v>4806</v>
      </c>
      <c r="W2698" t="s">
        <v>54</v>
      </c>
      <c r="X2698" t="s">
        <v>52</v>
      </c>
      <c r="Y2698" t="s">
        <v>125</v>
      </c>
      <c r="Z2698">
        <v>8388</v>
      </c>
      <c r="AA2698">
        <v>54</v>
      </c>
      <c r="AB2698">
        <v>45</v>
      </c>
      <c r="AC2698" t="s">
        <v>7559</v>
      </c>
      <c r="AD2698" t="s">
        <v>7560</v>
      </c>
      <c r="AE2698" t="s">
        <v>7561</v>
      </c>
      <c r="AF2698" t="s">
        <v>5770</v>
      </c>
      <c r="AG2698" t="s">
        <v>5771</v>
      </c>
      <c r="AH2698" t="s">
        <v>13013</v>
      </c>
      <c r="AJ2698" s="2">
        <v>45797.893692129626</v>
      </c>
      <c r="AK2698" t="s">
        <v>660</v>
      </c>
      <c r="AL2698" t="s">
        <v>65</v>
      </c>
      <c r="AM2698" s="3">
        <v>2.4166666666666665</v>
      </c>
      <c r="AN2698" t="s">
        <v>66</v>
      </c>
      <c r="AO2698" t="s">
        <v>101</v>
      </c>
    </row>
    <row r="2699" spans="1:41" x14ac:dyDescent="0.2">
      <c r="A2699">
        <v>365674</v>
      </c>
      <c r="B2699" t="s">
        <v>16662</v>
      </c>
      <c r="C2699" t="s">
        <v>662</v>
      </c>
      <c r="E2699" t="s">
        <v>16663</v>
      </c>
      <c r="F2699">
        <v>416101</v>
      </c>
      <c r="G2699" s="1">
        <v>36901</v>
      </c>
      <c r="H2699" s="1">
        <v>45587</v>
      </c>
      <c r="I2699" s="1">
        <v>45931</v>
      </c>
      <c r="J2699" t="s">
        <v>45</v>
      </c>
      <c r="K2699" t="s">
        <v>45</v>
      </c>
      <c r="L2699" t="s">
        <v>72</v>
      </c>
      <c r="M2699" s="1">
        <v>44057</v>
      </c>
      <c r="N2699" t="s">
        <v>47</v>
      </c>
      <c r="O2699" t="s">
        <v>48</v>
      </c>
      <c r="P2699" t="s">
        <v>49</v>
      </c>
      <c r="Q2699" t="s">
        <v>16664</v>
      </c>
      <c r="R2699" t="s">
        <v>16665</v>
      </c>
      <c r="S2699">
        <v>100</v>
      </c>
      <c r="T2699" t="s">
        <v>257</v>
      </c>
      <c r="U2699" t="s">
        <v>283</v>
      </c>
      <c r="V2699" t="s">
        <v>13641</v>
      </c>
      <c r="W2699" t="s">
        <v>260</v>
      </c>
      <c r="X2699" t="s">
        <v>257</v>
      </c>
      <c r="Y2699" t="s">
        <v>110</v>
      </c>
      <c r="Z2699">
        <v>1343</v>
      </c>
      <c r="AA2699">
        <v>39</v>
      </c>
      <c r="AB2699">
        <v>80</v>
      </c>
      <c r="AC2699" t="s">
        <v>16666</v>
      </c>
      <c r="AD2699" t="s">
        <v>13643</v>
      </c>
      <c r="AE2699" t="s">
        <v>16667</v>
      </c>
      <c r="AF2699" t="s">
        <v>16668</v>
      </c>
      <c r="AG2699" t="s">
        <v>16669</v>
      </c>
      <c r="AH2699" t="s">
        <v>16670</v>
      </c>
      <c r="AI2699" t="s">
        <v>13643</v>
      </c>
      <c r="AJ2699" s="2">
        <v>45589.520312499997</v>
      </c>
      <c r="AK2699" t="s">
        <v>13642</v>
      </c>
      <c r="AL2699" t="s">
        <v>65</v>
      </c>
      <c r="AM2699" s="3">
        <v>1.5972222222222223</v>
      </c>
      <c r="AN2699" t="s">
        <v>66</v>
      </c>
      <c r="AO2699" t="s">
        <v>67</v>
      </c>
    </row>
    <row r="2700" spans="1:41" x14ac:dyDescent="0.2">
      <c r="A2700">
        <v>363638</v>
      </c>
      <c r="B2700" t="s">
        <v>16671</v>
      </c>
      <c r="C2700" t="s">
        <v>69</v>
      </c>
      <c r="D2700" t="s">
        <v>69</v>
      </c>
      <c r="E2700" t="s">
        <v>16672</v>
      </c>
      <c r="F2700">
        <v>101050</v>
      </c>
      <c r="G2700" s="1">
        <v>39247</v>
      </c>
      <c r="H2700" s="1">
        <v>45496</v>
      </c>
      <c r="I2700" s="1">
        <v>46204</v>
      </c>
      <c r="J2700" t="s">
        <v>45</v>
      </c>
      <c r="K2700" t="s">
        <v>45</v>
      </c>
      <c r="L2700" t="s">
        <v>429</v>
      </c>
      <c r="M2700" s="1">
        <v>41444</v>
      </c>
      <c r="N2700" t="s">
        <v>47</v>
      </c>
      <c r="O2700" t="s">
        <v>48</v>
      </c>
      <c r="P2700" t="s">
        <v>49</v>
      </c>
      <c r="Q2700" t="s">
        <v>16673</v>
      </c>
      <c r="R2700" t="s">
        <v>16674</v>
      </c>
      <c r="S2700">
        <v>4570</v>
      </c>
      <c r="T2700" t="s">
        <v>52</v>
      </c>
      <c r="U2700">
        <v>1</v>
      </c>
      <c r="V2700" t="s">
        <v>4698</v>
      </c>
      <c r="W2700" t="s">
        <v>54</v>
      </c>
      <c r="X2700" t="s">
        <v>76</v>
      </c>
      <c r="Y2700" t="s">
        <v>56</v>
      </c>
      <c r="Z2700">
        <v>2911</v>
      </c>
      <c r="AA2700">
        <v>33</v>
      </c>
      <c r="AB2700">
        <v>166</v>
      </c>
      <c r="AC2700" t="s">
        <v>11126</v>
      </c>
      <c r="AD2700" t="s">
        <v>11127</v>
      </c>
      <c r="AE2700" t="s">
        <v>11128</v>
      </c>
      <c r="AF2700" t="s">
        <v>4702</v>
      </c>
      <c r="AG2700" t="s">
        <v>4703</v>
      </c>
      <c r="AH2700" t="s">
        <v>6200</v>
      </c>
      <c r="AI2700" t="s">
        <v>6201</v>
      </c>
      <c r="AJ2700" s="2">
        <v>45518.692337962966</v>
      </c>
      <c r="AK2700" t="s">
        <v>10133</v>
      </c>
      <c r="AL2700" t="s">
        <v>65</v>
      </c>
      <c r="AM2700" s="4">
        <v>0.63194444444444442</v>
      </c>
      <c r="AN2700" t="s">
        <v>66</v>
      </c>
      <c r="AO2700" t="s">
        <v>67</v>
      </c>
    </row>
    <row r="2701" spans="1:41" x14ac:dyDescent="0.2">
      <c r="A2701">
        <v>367932</v>
      </c>
      <c r="B2701" t="s">
        <v>16675</v>
      </c>
      <c r="C2701" t="s">
        <v>662</v>
      </c>
      <c r="D2701" t="s">
        <v>5754</v>
      </c>
      <c r="E2701" t="s">
        <v>16676</v>
      </c>
      <c r="G2701" s="1">
        <v>45334</v>
      </c>
      <c r="H2701" s="1">
        <v>45688</v>
      </c>
      <c r="J2701" t="s">
        <v>45</v>
      </c>
      <c r="K2701" t="s">
        <v>45</v>
      </c>
      <c r="L2701" t="s">
        <v>72</v>
      </c>
      <c r="N2701" t="s">
        <v>47</v>
      </c>
      <c r="O2701" t="s">
        <v>48</v>
      </c>
      <c r="P2701" t="s">
        <v>49</v>
      </c>
      <c r="Q2701" t="s">
        <v>16677</v>
      </c>
      <c r="R2701" t="s">
        <v>16678</v>
      </c>
      <c r="S2701">
        <v>900</v>
      </c>
      <c r="T2701" t="s">
        <v>92</v>
      </c>
      <c r="U2701" t="s">
        <v>1197</v>
      </c>
      <c r="V2701" t="s">
        <v>8190</v>
      </c>
      <c r="W2701" t="s">
        <v>8191</v>
      </c>
      <c r="X2701" t="s">
        <v>92</v>
      </c>
      <c r="Y2701" t="s">
        <v>450</v>
      </c>
      <c r="Z2701">
        <v>12220</v>
      </c>
      <c r="AA2701">
        <v>5</v>
      </c>
      <c r="AB2701">
        <v>20</v>
      </c>
      <c r="AC2701" t="s">
        <v>8192</v>
      </c>
      <c r="AD2701" t="s">
        <v>8193</v>
      </c>
      <c r="AE2701" t="s">
        <v>8194</v>
      </c>
      <c r="AF2701" t="s">
        <v>8792</v>
      </c>
      <c r="AG2701" t="s">
        <v>8793</v>
      </c>
      <c r="AH2701" t="s">
        <v>14951</v>
      </c>
      <c r="AJ2701" s="2">
        <v>45693.839270833334</v>
      </c>
      <c r="AK2701" t="s">
        <v>526</v>
      </c>
      <c r="AL2701" t="s">
        <v>65</v>
      </c>
      <c r="AM2701" s="4">
        <v>0.72083333333333333</v>
      </c>
      <c r="AN2701" t="s">
        <v>66</v>
      </c>
      <c r="AO2701" t="s">
        <v>67</v>
      </c>
    </row>
    <row r="2702" spans="1:41" x14ac:dyDescent="0.2">
      <c r="A2702">
        <v>370999</v>
      </c>
      <c r="B2702" t="s">
        <v>16679</v>
      </c>
      <c r="C2702" t="s">
        <v>118</v>
      </c>
      <c r="D2702" t="s">
        <v>1410</v>
      </c>
      <c r="E2702" t="s">
        <v>16680</v>
      </c>
      <c r="G2702" s="1">
        <v>45790</v>
      </c>
      <c r="H2702" s="1">
        <v>45790</v>
      </c>
      <c r="I2702" s="1">
        <v>45945</v>
      </c>
      <c r="J2702" t="s">
        <v>45</v>
      </c>
      <c r="K2702" t="s">
        <v>45</v>
      </c>
      <c r="L2702" t="s">
        <v>46</v>
      </c>
      <c r="N2702" t="s">
        <v>47</v>
      </c>
      <c r="O2702" t="s">
        <v>48</v>
      </c>
      <c r="P2702" t="s">
        <v>49</v>
      </c>
      <c r="Q2702" t="s">
        <v>16681</v>
      </c>
      <c r="R2702" t="s">
        <v>16682</v>
      </c>
      <c r="S2702">
        <v>7038</v>
      </c>
      <c r="T2702" t="s">
        <v>52</v>
      </c>
      <c r="U2702">
        <v>3</v>
      </c>
      <c r="V2702" t="s">
        <v>6686</v>
      </c>
      <c r="W2702" t="s">
        <v>54</v>
      </c>
      <c r="X2702" t="s">
        <v>55</v>
      </c>
      <c r="Y2702" t="s">
        <v>56</v>
      </c>
      <c r="Z2702">
        <v>12246</v>
      </c>
      <c r="AA2702">
        <v>9</v>
      </c>
      <c r="AB2702">
        <v>44</v>
      </c>
      <c r="AC2702" t="s">
        <v>16683</v>
      </c>
      <c r="AD2702" t="s">
        <v>16684</v>
      </c>
      <c r="AE2702" t="s">
        <v>16685</v>
      </c>
      <c r="AF2702" t="s">
        <v>16686</v>
      </c>
      <c r="AG2702" t="s">
        <v>16687</v>
      </c>
      <c r="AH2702" t="s">
        <v>16688</v>
      </c>
      <c r="AI2702" t="s">
        <v>63</v>
      </c>
      <c r="AJ2702" s="2">
        <v>45792.716562499998</v>
      </c>
      <c r="AK2702" t="s">
        <v>307</v>
      </c>
      <c r="AL2702" t="s">
        <v>65</v>
      </c>
      <c r="AM2702" s="3">
        <v>1.6284722222222223</v>
      </c>
      <c r="AN2702" t="s">
        <v>66</v>
      </c>
      <c r="AO2702" t="s">
        <v>67</v>
      </c>
    </row>
    <row r="2703" spans="1:41" x14ac:dyDescent="0.2">
      <c r="A2703">
        <v>371266</v>
      </c>
      <c r="B2703" t="s">
        <v>16689</v>
      </c>
      <c r="C2703" t="s">
        <v>167</v>
      </c>
      <c r="D2703" t="s">
        <v>2871</v>
      </c>
      <c r="E2703" t="s">
        <v>16690</v>
      </c>
      <c r="F2703">
        <v>352418</v>
      </c>
      <c r="G2703" s="1">
        <v>31908</v>
      </c>
      <c r="H2703" s="1">
        <v>45802</v>
      </c>
      <c r="I2703" s="1">
        <v>46143</v>
      </c>
      <c r="J2703" t="s">
        <v>45</v>
      </c>
      <c r="K2703" t="s">
        <v>45</v>
      </c>
      <c r="L2703" t="s">
        <v>429</v>
      </c>
      <c r="M2703" s="1">
        <v>41730</v>
      </c>
      <c r="N2703" t="s">
        <v>47</v>
      </c>
      <c r="O2703" t="s">
        <v>48</v>
      </c>
      <c r="P2703" t="s">
        <v>49</v>
      </c>
      <c r="Q2703" t="s">
        <v>16691</v>
      </c>
      <c r="R2703" t="s">
        <v>16692</v>
      </c>
      <c r="S2703">
        <v>4265</v>
      </c>
      <c r="T2703" t="s">
        <v>52</v>
      </c>
      <c r="U2703">
        <v>6</v>
      </c>
      <c r="V2703" t="s">
        <v>2875</v>
      </c>
      <c r="W2703" t="s">
        <v>54</v>
      </c>
      <c r="X2703" t="s">
        <v>76</v>
      </c>
      <c r="Y2703" t="s">
        <v>56</v>
      </c>
      <c r="Z2703">
        <v>867</v>
      </c>
      <c r="AA2703">
        <v>78</v>
      </c>
      <c r="AB2703">
        <v>160</v>
      </c>
      <c r="AC2703" t="s">
        <v>2876</v>
      </c>
      <c r="AD2703" t="s">
        <v>2877</v>
      </c>
      <c r="AE2703" t="s">
        <v>2878</v>
      </c>
      <c r="AF2703" t="s">
        <v>2879</v>
      </c>
      <c r="AG2703" t="s">
        <v>2880</v>
      </c>
      <c r="AH2703" t="s">
        <v>2881</v>
      </c>
      <c r="AI2703" t="s">
        <v>2882</v>
      </c>
      <c r="AJ2703" s="2">
        <v>45804.608067129629</v>
      </c>
      <c r="AK2703" t="s">
        <v>568</v>
      </c>
      <c r="AL2703" t="s">
        <v>65</v>
      </c>
      <c r="AM2703" s="3">
        <v>2.3055555555555554</v>
      </c>
      <c r="AN2703" t="s">
        <v>66</v>
      </c>
      <c r="AO2703" t="s">
        <v>67</v>
      </c>
    </row>
    <row r="2704" spans="1:41" x14ac:dyDescent="0.2">
      <c r="A2704">
        <v>372292</v>
      </c>
      <c r="B2704" t="s">
        <v>16693</v>
      </c>
      <c r="C2704" t="s">
        <v>1565</v>
      </c>
      <c r="D2704" t="s">
        <v>1644</v>
      </c>
      <c r="E2704" t="s">
        <v>16694</v>
      </c>
      <c r="F2704">
        <v>392507</v>
      </c>
      <c r="G2704" s="1">
        <v>43693</v>
      </c>
      <c r="H2704" s="1">
        <v>45836</v>
      </c>
      <c r="I2704" s="1">
        <v>46174</v>
      </c>
      <c r="J2704" t="s">
        <v>45</v>
      </c>
      <c r="K2704" t="s">
        <v>45</v>
      </c>
      <c r="L2704" t="s">
        <v>72</v>
      </c>
      <c r="M2704" s="1">
        <v>45029</v>
      </c>
      <c r="N2704" t="s">
        <v>47</v>
      </c>
      <c r="O2704" t="s">
        <v>48</v>
      </c>
      <c r="P2704" t="s">
        <v>49</v>
      </c>
      <c r="Q2704" t="s">
        <v>16695</v>
      </c>
      <c r="R2704" t="s">
        <v>16696</v>
      </c>
      <c r="S2704">
        <v>3898</v>
      </c>
      <c r="T2704" t="s">
        <v>92</v>
      </c>
      <c r="U2704" t="s">
        <v>5946</v>
      </c>
      <c r="V2704" t="s">
        <v>5947</v>
      </c>
      <c r="W2704" t="s">
        <v>5948</v>
      </c>
      <c r="X2704" t="s">
        <v>92</v>
      </c>
      <c r="Y2704" t="s">
        <v>110</v>
      </c>
      <c r="Z2704">
        <v>10306</v>
      </c>
      <c r="AA2704">
        <v>16</v>
      </c>
      <c r="AB2704">
        <v>174</v>
      </c>
      <c r="AC2704" t="s">
        <v>5949</v>
      </c>
      <c r="AD2704" t="s">
        <v>5950</v>
      </c>
      <c r="AE2704" t="s">
        <v>5951</v>
      </c>
      <c r="AF2704" t="s">
        <v>5952</v>
      </c>
      <c r="AG2704" t="s">
        <v>5953</v>
      </c>
      <c r="AH2704" t="s">
        <v>5954</v>
      </c>
      <c r="AJ2704" s="2">
        <v>45837.665983796294</v>
      </c>
      <c r="AK2704" t="s">
        <v>5952</v>
      </c>
      <c r="AL2704" t="s">
        <v>65</v>
      </c>
      <c r="AM2704" s="4">
        <v>0.47916666666666669</v>
      </c>
      <c r="AN2704" t="s">
        <v>66</v>
      </c>
      <c r="AO2704" t="s">
        <v>67</v>
      </c>
    </row>
    <row r="2705" spans="1:41" x14ac:dyDescent="0.2">
      <c r="A2705">
        <v>372474</v>
      </c>
      <c r="B2705" t="s">
        <v>16697</v>
      </c>
      <c r="C2705" t="s">
        <v>134</v>
      </c>
      <c r="D2705" t="s">
        <v>214</v>
      </c>
      <c r="E2705" t="s">
        <v>16698</v>
      </c>
      <c r="F2705">
        <v>452043</v>
      </c>
      <c r="G2705" s="1">
        <v>43761</v>
      </c>
      <c r="H2705" s="1">
        <v>45834</v>
      </c>
      <c r="I2705" s="1">
        <v>46204</v>
      </c>
      <c r="J2705" t="s">
        <v>45</v>
      </c>
      <c r="K2705" t="s">
        <v>45</v>
      </c>
      <c r="L2705" t="s">
        <v>72</v>
      </c>
      <c r="M2705" s="1">
        <v>45521</v>
      </c>
      <c r="N2705" t="s">
        <v>47</v>
      </c>
      <c r="O2705" t="s">
        <v>48</v>
      </c>
      <c r="P2705" t="s">
        <v>49</v>
      </c>
      <c r="Q2705" t="s">
        <v>16699</v>
      </c>
      <c r="R2705" t="s">
        <v>16700</v>
      </c>
      <c r="S2705">
        <v>1825</v>
      </c>
      <c r="T2705" t="s">
        <v>92</v>
      </c>
      <c r="U2705" t="s">
        <v>139</v>
      </c>
      <c r="V2705" t="s">
        <v>140</v>
      </c>
      <c r="W2705" t="s">
        <v>141</v>
      </c>
      <c r="X2705" t="s">
        <v>92</v>
      </c>
      <c r="Y2705" t="s">
        <v>110</v>
      </c>
      <c r="Z2705">
        <v>10726</v>
      </c>
      <c r="AA2705">
        <v>16</v>
      </c>
      <c r="AB2705">
        <v>78</v>
      </c>
      <c r="AC2705" t="s">
        <v>217</v>
      </c>
      <c r="AD2705" t="s">
        <v>218</v>
      </c>
      <c r="AE2705" t="s">
        <v>219</v>
      </c>
      <c r="AF2705" t="s">
        <v>145</v>
      </c>
      <c r="AG2705" t="s">
        <v>146</v>
      </c>
      <c r="AH2705" t="s">
        <v>147</v>
      </c>
      <c r="AI2705" t="s">
        <v>148</v>
      </c>
      <c r="AJ2705" s="2">
        <v>45840.745462962965</v>
      </c>
      <c r="AK2705" t="s">
        <v>217</v>
      </c>
      <c r="AL2705" t="s">
        <v>65</v>
      </c>
      <c r="AM2705" s="3">
        <v>1.9583333333333333</v>
      </c>
      <c r="AN2705" t="s">
        <v>66</v>
      </c>
      <c r="AO2705" t="s">
        <v>67</v>
      </c>
    </row>
    <row r="2706" spans="1:41" x14ac:dyDescent="0.2">
      <c r="A2706">
        <v>364361</v>
      </c>
      <c r="B2706" t="s">
        <v>16701</v>
      </c>
      <c r="C2706" t="s">
        <v>86</v>
      </c>
      <c r="D2706" t="s">
        <v>16702</v>
      </c>
      <c r="E2706" t="s">
        <v>16703</v>
      </c>
      <c r="F2706">
        <v>201302</v>
      </c>
      <c r="G2706" s="1">
        <v>42864</v>
      </c>
      <c r="H2706" s="1">
        <v>45500</v>
      </c>
      <c r="I2706" s="1">
        <v>46235</v>
      </c>
      <c r="J2706" t="s">
        <v>45</v>
      </c>
      <c r="K2706" t="s">
        <v>45</v>
      </c>
      <c r="L2706" t="s">
        <v>72</v>
      </c>
      <c r="M2706" s="1">
        <v>43664</v>
      </c>
      <c r="N2706" t="s">
        <v>47</v>
      </c>
      <c r="O2706" t="s">
        <v>48</v>
      </c>
      <c r="P2706" t="s">
        <v>49</v>
      </c>
      <c r="Q2706" t="s">
        <v>16704</v>
      </c>
      <c r="R2706" t="s">
        <v>16705</v>
      </c>
      <c r="S2706">
        <v>273</v>
      </c>
      <c r="T2706" t="s">
        <v>92</v>
      </c>
      <c r="U2706" t="s">
        <v>93</v>
      </c>
      <c r="V2706" t="s">
        <v>506</v>
      </c>
      <c r="W2706" t="s">
        <v>507</v>
      </c>
      <c r="X2706" t="s">
        <v>92</v>
      </c>
      <c r="Y2706" t="s">
        <v>110</v>
      </c>
      <c r="Z2706">
        <v>2311</v>
      </c>
      <c r="AA2706">
        <v>44</v>
      </c>
      <c r="AB2706">
        <v>158</v>
      </c>
      <c r="AC2706" t="s">
        <v>508</v>
      </c>
      <c r="AD2706" t="s">
        <v>509</v>
      </c>
      <c r="AE2706" t="s">
        <v>510</v>
      </c>
      <c r="AI2706" t="s">
        <v>509</v>
      </c>
      <c r="AJ2706" s="2">
        <v>45543.655312499999</v>
      </c>
      <c r="AK2706" t="s">
        <v>508</v>
      </c>
      <c r="AL2706" t="s">
        <v>65</v>
      </c>
      <c r="AM2706" s="4">
        <v>7.6388888888888895E-2</v>
      </c>
      <c r="AN2706" t="s">
        <v>66</v>
      </c>
      <c r="AO2706" t="s">
        <v>67</v>
      </c>
    </row>
    <row r="2707" spans="1:41" x14ac:dyDescent="0.2">
      <c r="A2707">
        <v>365750</v>
      </c>
      <c r="B2707" t="s">
        <v>16706</v>
      </c>
      <c r="C2707" t="s">
        <v>692</v>
      </c>
      <c r="D2707" t="s">
        <v>10890</v>
      </c>
      <c r="E2707" t="s">
        <v>16707</v>
      </c>
      <c r="F2707">
        <v>480904</v>
      </c>
      <c r="G2707" s="1">
        <v>32371</v>
      </c>
      <c r="H2707" s="1">
        <v>45590</v>
      </c>
      <c r="I2707" s="1">
        <v>46296</v>
      </c>
      <c r="J2707" t="s">
        <v>45</v>
      </c>
      <c r="K2707" t="s">
        <v>45</v>
      </c>
      <c r="L2707" t="s">
        <v>72</v>
      </c>
      <c r="M2707" s="1">
        <v>44469</v>
      </c>
      <c r="N2707" t="s">
        <v>47</v>
      </c>
      <c r="O2707" t="s">
        <v>48</v>
      </c>
      <c r="P2707" t="s">
        <v>49</v>
      </c>
      <c r="Q2707" t="s">
        <v>16708</v>
      </c>
      <c r="R2707" t="s">
        <v>16709</v>
      </c>
      <c r="S2707">
        <v>6554</v>
      </c>
      <c r="T2707" t="s">
        <v>365</v>
      </c>
      <c r="U2707" t="s">
        <v>432</v>
      </c>
      <c r="V2707" t="s">
        <v>4190</v>
      </c>
      <c r="W2707" t="s">
        <v>367</v>
      </c>
      <c r="X2707" t="s">
        <v>76</v>
      </c>
      <c r="Y2707" t="s">
        <v>434</v>
      </c>
      <c r="Z2707">
        <v>389</v>
      </c>
      <c r="AA2707">
        <v>57</v>
      </c>
      <c r="AB2707">
        <v>166</v>
      </c>
      <c r="AC2707" t="s">
        <v>8231</v>
      </c>
      <c r="AD2707" t="s">
        <v>8232</v>
      </c>
      <c r="AE2707" t="s">
        <v>8233</v>
      </c>
      <c r="AF2707" t="s">
        <v>8234</v>
      </c>
      <c r="AG2707" t="s">
        <v>8235</v>
      </c>
      <c r="AH2707" t="s">
        <v>8236</v>
      </c>
      <c r="AI2707" t="s">
        <v>14056</v>
      </c>
      <c r="AJ2707" s="2">
        <v>45591.11959490741</v>
      </c>
      <c r="AK2707" t="s">
        <v>704</v>
      </c>
      <c r="AL2707" t="s">
        <v>65</v>
      </c>
      <c r="AM2707" s="3">
        <v>1.7013888888888888</v>
      </c>
      <c r="AN2707" t="s">
        <v>66</v>
      </c>
      <c r="AO2707" t="s">
        <v>67</v>
      </c>
    </row>
    <row r="2708" spans="1:41" x14ac:dyDescent="0.2">
      <c r="A2708">
        <v>357464</v>
      </c>
      <c r="B2708" t="s">
        <v>16710</v>
      </c>
      <c r="C2708" t="s">
        <v>167</v>
      </c>
      <c r="D2708" t="s">
        <v>2702</v>
      </c>
      <c r="E2708" t="s">
        <v>16711</v>
      </c>
      <c r="J2708" t="s">
        <v>45</v>
      </c>
      <c r="K2708" t="s">
        <v>45</v>
      </c>
      <c r="L2708" t="s">
        <v>72</v>
      </c>
      <c r="N2708" t="s">
        <v>89</v>
      </c>
      <c r="O2708" t="s">
        <v>48</v>
      </c>
      <c r="P2708" t="s">
        <v>49</v>
      </c>
      <c r="T2708" t="s">
        <v>449</v>
      </c>
      <c r="U2708" t="s">
        <v>3030</v>
      </c>
      <c r="V2708" t="s">
        <v>6945</v>
      </c>
      <c r="W2708" t="s">
        <v>6946</v>
      </c>
      <c r="X2708" t="s">
        <v>449</v>
      </c>
      <c r="Y2708" t="s">
        <v>96</v>
      </c>
      <c r="Z2708">
        <v>11431</v>
      </c>
      <c r="AA2708">
        <v>3</v>
      </c>
      <c r="AB2708">
        <v>210</v>
      </c>
      <c r="AC2708" t="s">
        <v>16712</v>
      </c>
      <c r="AD2708" t="s">
        <v>16713</v>
      </c>
      <c r="AE2708" t="s">
        <v>16714</v>
      </c>
      <c r="AJ2708" s="2">
        <v>45330.713784722226</v>
      </c>
      <c r="AK2708" t="s">
        <v>149</v>
      </c>
      <c r="AL2708" t="s">
        <v>65</v>
      </c>
      <c r="AM2708" s="4">
        <v>0.27083333333333331</v>
      </c>
      <c r="AN2708" t="s">
        <v>66</v>
      </c>
      <c r="AO2708" t="s">
        <v>67</v>
      </c>
    </row>
    <row r="2709" spans="1:41" x14ac:dyDescent="0.2">
      <c r="A2709">
        <v>366822</v>
      </c>
      <c r="B2709" t="s">
        <v>16715</v>
      </c>
      <c r="C2709" t="s">
        <v>134</v>
      </c>
      <c r="D2709" t="s">
        <v>1849</v>
      </c>
      <c r="E2709" t="s">
        <v>16716</v>
      </c>
      <c r="G2709" s="1">
        <v>45638</v>
      </c>
      <c r="H2709" s="1">
        <v>45639</v>
      </c>
      <c r="I2709" s="1">
        <v>45962</v>
      </c>
      <c r="J2709" t="s">
        <v>45</v>
      </c>
      <c r="K2709" t="s">
        <v>45</v>
      </c>
      <c r="L2709" t="s">
        <v>72</v>
      </c>
      <c r="N2709" t="s">
        <v>89</v>
      </c>
      <c r="O2709" t="s">
        <v>121</v>
      </c>
      <c r="P2709" t="s">
        <v>49</v>
      </c>
      <c r="Q2709" t="s">
        <v>16717</v>
      </c>
      <c r="R2709" t="s">
        <v>16718</v>
      </c>
      <c r="S2709">
        <v>2091</v>
      </c>
      <c r="T2709" t="s">
        <v>365</v>
      </c>
      <c r="U2709" t="s">
        <v>532</v>
      </c>
      <c r="V2709" t="s">
        <v>6560</v>
      </c>
      <c r="W2709" t="s">
        <v>367</v>
      </c>
      <c r="X2709" t="s">
        <v>76</v>
      </c>
      <c r="Y2709" t="s">
        <v>125</v>
      </c>
      <c r="Z2709">
        <v>3746</v>
      </c>
      <c r="AA2709">
        <v>79</v>
      </c>
      <c r="AB2709">
        <v>30</v>
      </c>
      <c r="AC2709" t="s">
        <v>16719</v>
      </c>
      <c r="AD2709" t="s">
        <v>16720</v>
      </c>
      <c r="AE2709" t="s">
        <v>16721</v>
      </c>
      <c r="AF2709" t="s">
        <v>16722</v>
      </c>
      <c r="AG2709" t="s">
        <v>6562</v>
      </c>
      <c r="AH2709" t="s">
        <v>16723</v>
      </c>
      <c r="AJ2709" s="2">
        <v>45639.50608796296</v>
      </c>
      <c r="AK2709" t="s">
        <v>132</v>
      </c>
      <c r="AL2709" t="s">
        <v>65</v>
      </c>
      <c r="AM2709" s="4">
        <v>0.38194444444444442</v>
      </c>
      <c r="AN2709" t="s">
        <v>66</v>
      </c>
      <c r="AO2709" t="s">
        <v>67</v>
      </c>
    </row>
    <row r="2710" spans="1:41" x14ac:dyDescent="0.2">
      <c r="A2710">
        <v>364138</v>
      </c>
      <c r="B2710" t="s">
        <v>16724</v>
      </c>
      <c r="C2710" t="s">
        <v>735</v>
      </c>
      <c r="D2710" t="s">
        <v>2790</v>
      </c>
      <c r="E2710" t="s">
        <v>16725</v>
      </c>
      <c r="F2710">
        <v>240213</v>
      </c>
      <c r="G2710" s="1">
        <v>45099</v>
      </c>
      <c r="H2710" s="1">
        <v>45523</v>
      </c>
      <c r="I2710" s="1">
        <v>46235</v>
      </c>
      <c r="J2710" t="s">
        <v>45</v>
      </c>
      <c r="K2710" t="s">
        <v>45</v>
      </c>
      <c r="L2710" t="s">
        <v>46</v>
      </c>
      <c r="N2710" t="s">
        <v>47</v>
      </c>
      <c r="O2710" t="s">
        <v>48</v>
      </c>
      <c r="P2710" t="s">
        <v>49</v>
      </c>
      <c r="Q2710" t="s">
        <v>16726</v>
      </c>
      <c r="R2710" t="s">
        <v>16727</v>
      </c>
      <c r="S2710">
        <v>7202</v>
      </c>
      <c r="T2710" t="s">
        <v>52</v>
      </c>
      <c r="U2710">
        <v>1</v>
      </c>
      <c r="V2710" t="s">
        <v>2443</v>
      </c>
      <c r="W2710" t="s">
        <v>54</v>
      </c>
      <c r="X2710" t="s">
        <v>76</v>
      </c>
      <c r="Y2710" t="s">
        <v>56</v>
      </c>
      <c r="Z2710">
        <v>12113</v>
      </c>
      <c r="AA2710">
        <v>15</v>
      </c>
      <c r="AB2710">
        <v>210</v>
      </c>
      <c r="AC2710" t="s">
        <v>2444</v>
      </c>
      <c r="AD2710" t="s">
        <v>2445</v>
      </c>
      <c r="AE2710" t="s">
        <v>2449</v>
      </c>
      <c r="AF2710" t="s">
        <v>2447</v>
      </c>
      <c r="AG2710" t="s">
        <v>16728</v>
      </c>
      <c r="AH2710" t="s">
        <v>16729</v>
      </c>
      <c r="AI2710" t="s">
        <v>16730</v>
      </c>
      <c r="AJ2710" s="2">
        <v>45533.790810185186</v>
      </c>
      <c r="AK2710" t="s">
        <v>568</v>
      </c>
      <c r="AL2710" t="s">
        <v>65</v>
      </c>
      <c r="AM2710" s="4">
        <v>0.44097222222222221</v>
      </c>
      <c r="AN2710" t="s">
        <v>66</v>
      </c>
      <c r="AO2710" t="s">
        <v>67</v>
      </c>
    </row>
    <row r="2711" spans="1:41" x14ac:dyDescent="0.2">
      <c r="A2711">
        <v>364143</v>
      </c>
      <c r="B2711" t="s">
        <v>16731</v>
      </c>
      <c r="C2711" t="s">
        <v>735</v>
      </c>
      <c r="D2711" t="s">
        <v>2790</v>
      </c>
      <c r="E2711" t="s">
        <v>16732</v>
      </c>
      <c r="F2711">
        <v>240214</v>
      </c>
      <c r="G2711" s="1">
        <v>41416</v>
      </c>
      <c r="H2711" s="1">
        <v>45521</v>
      </c>
      <c r="I2711" s="1">
        <v>46235</v>
      </c>
      <c r="J2711" t="s">
        <v>45</v>
      </c>
      <c r="K2711" t="s">
        <v>45</v>
      </c>
      <c r="L2711" t="s">
        <v>429</v>
      </c>
      <c r="M2711" s="1">
        <v>41598</v>
      </c>
      <c r="N2711" t="s">
        <v>47</v>
      </c>
      <c r="O2711" t="s">
        <v>48</v>
      </c>
      <c r="P2711" t="s">
        <v>49</v>
      </c>
      <c r="Q2711" t="s">
        <v>16733</v>
      </c>
      <c r="R2711" t="s">
        <v>16734</v>
      </c>
      <c r="S2711">
        <v>3725</v>
      </c>
      <c r="T2711" t="s">
        <v>52</v>
      </c>
      <c r="U2711">
        <v>1</v>
      </c>
      <c r="V2711" t="s">
        <v>2443</v>
      </c>
      <c r="W2711" t="s">
        <v>54</v>
      </c>
      <c r="X2711" t="s">
        <v>76</v>
      </c>
      <c r="Y2711" t="s">
        <v>56</v>
      </c>
      <c r="Z2711">
        <v>559</v>
      </c>
      <c r="AA2711">
        <v>67</v>
      </c>
      <c r="AB2711">
        <v>152</v>
      </c>
      <c r="AC2711" t="s">
        <v>2444</v>
      </c>
      <c r="AD2711" t="s">
        <v>2445</v>
      </c>
      <c r="AE2711" t="s">
        <v>2446</v>
      </c>
      <c r="AF2711" t="s">
        <v>2447</v>
      </c>
      <c r="AG2711" t="s">
        <v>2448</v>
      </c>
      <c r="AH2711" t="s">
        <v>2449</v>
      </c>
      <c r="AI2711" t="s">
        <v>16735</v>
      </c>
      <c r="AJ2711" s="2">
        <v>45533.802731481483</v>
      </c>
      <c r="AK2711" t="s">
        <v>568</v>
      </c>
      <c r="AL2711" t="s">
        <v>65</v>
      </c>
      <c r="AM2711" s="4">
        <v>0.3611111111111111</v>
      </c>
      <c r="AN2711" t="s">
        <v>66</v>
      </c>
      <c r="AO2711" t="s">
        <v>67</v>
      </c>
    </row>
    <row r="2712" spans="1:41" x14ac:dyDescent="0.2">
      <c r="A2712">
        <v>370209</v>
      </c>
      <c r="B2712" t="s">
        <v>16736</v>
      </c>
      <c r="C2712" t="s">
        <v>134</v>
      </c>
      <c r="E2712" t="s">
        <v>16737</v>
      </c>
      <c r="F2712">
        <v>453002</v>
      </c>
      <c r="G2712" s="1">
        <v>34424</v>
      </c>
      <c r="H2712" s="1">
        <v>45479</v>
      </c>
      <c r="I2712" s="1">
        <v>46249</v>
      </c>
      <c r="J2712" t="s">
        <v>45</v>
      </c>
      <c r="K2712" t="s">
        <v>45</v>
      </c>
      <c r="L2712" t="s">
        <v>72</v>
      </c>
      <c r="M2712" s="1">
        <v>44484</v>
      </c>
      <c r="N2712" t="s">
        <v>47</v>
      </c>
      <c r="O2712" t="s">
        <v>48</v>
      </c>
      <c r="P2712" t="s">
        <v>49</v>
      </c>
      <c r="Q2712" t="s">
        <v>16738</v>
      </c>
      <c r="R2712" t="s">
        <v>16739</v>
      </c>
      <c r="S2712">
        <v>1340</v>
      </c>
      <c r="T2712" t="s">
        <v>257</v>
      </c>
      <c r="U2712" t="s">
        <v>640</v>
      </c>
      <c r="V2712" t="s">
        <v>10195</v>
      </c>
      <c r="W2712" t="s">
        <v>260</v>
      </c>
      <c r="X2712" t="s">
        <v>257</v>
      </c>
      <c r="Y2712" t="s">
        <v>110</v>
      </c>
      <c r="Z2712">
        <v>526</v>
      </c>
      <c r="AA2712">
        <v>52</v>
      </c>
      <c r="AB2712">
        <v>158</v>
      </c>
      <c r="AC2712" t="s">
        <v>9127</v>
      </c>
      <c r="AD2712" t="s">
        <v>9128</v>
      </c>
      <c r="AE2712" t="s">
        <v>16740</v>
      </c>
      <c r="AI2712" t="s">
        <v>9128</v>
      </c>
      <c r="AJ2712" s="2">
        <v>45764.905752314815</v>
      </c>
      <c r="AK2712" t="s">
        <v>800</v>
      </c>
      <c r="AL2712" t="s">
        <v>65</v>
      </c>
      <c r="AM2712" s="3">
        <v>1.5555555555555556</v>
      </c>
      <c r="AN2712" t="s">
        <v>66</v>
      </c>
      <c r="AO2712" t="s">
        <v>67</v>
      </c>
    </row>
    <row r="2713" spans="1:41" x14ac:dyDescent="0.2">
      <c r="A2713">
        <v>372600</v>
      </c>
      <c r="B2713" t="s">
        <v>16741</v>
      </c>
      <c r="C2713" t="s">
        <v>558</v>
      </c>
      <c r="D2713" t="s">
        <v>746</v>
      </c>
      <c r="E2713" t="s">
        <v>16742</v>
      </c>
      <c r="F2713">
        <v>260308</v>
      </c>
      <c r="G2713" s="1">
        <v>33043</v>
      </c>
      <c r="H2713" s="1">
        <v>45846</v>
      </c>
      <c r="I2713" s="1">
        <v>46188</v>
      </c>
      <c r="J2713" t="s">
        <v>45</v>
      </c>
      <c r="K2713" t="s">
        <v>45</v>
      </c>
      <c r="L2713" t="s">
        <v>429</v>
      </c>
      <c r="M2713" s="1">
        <v>40487</v>
      </c>
      <c r="N2713" t="s">
        <v>47</v>
      </c>
      <c r="O2713" t="s">
        <v>48</v>
      </c>
      <c r="P2713" t="s">
        <v>49</v>
      </c>
      <c r="Q2713" t="s">
        <v>16743</v>
      </c>
      <c r="R2713" t="s">
        <v>16744</v>
      </c>
      <c r="S2713">
        <v>5470</v>
      </c>
      <c r="T2713" t="s">
        <v>365</v>
      </c>
      <c r="U2713" t="s">
        <v>562</v>
      </c>
      <c r="V2713" t="s">
        <v>749</v>
      </c>
      <c r="W2713" t="s">
        <v>367</v>
      </c>
      <c r="X2713" t="s">
        <v>76</v>
      </c>
      <c r="Y2713" t="s">
        <v>434</v>
      </c>
      <c r="Z2713">
        <v>253</v>
      </c>
      <c r="AA2713">
        <v>46</v>
      </c>
      <c r="AB2713">
        <v>166</v>
      </c>
      <c r="AC2713" t="s">
        <v>750</v>
      </c>
      <c r="AD2713" t="s">
        <v>751</v>
      </c>
      <c r="AE2713" t="s">
        <v>752</v>
      </c>
      <c r="AI2713" t="s">
        <v>500</v>
      </c>
      <c r="AJ2713" s="2">
        <v>45846.878368055557</v>
      </c>
      <c r="AK2713" t="s">
        <v>132</v>
      </c>
      <c r="AL2713" t="s">
        <v>65</v>
      </c>
      <c r="AM2713" s="3">
        <v>1.7152777777777777</v>
      </c>
      <c r="AN2713" t="s">
        <v>66</v>
      </c>
      <c r="AO2713" t="s">
        <v>67</v>
      </c>
    </row>
    <row r="2714" spans="1:41" x14ac:dyDescent="0.2">
      <c r="A2714">
        <v>359265</v>
      </c>
      <c r="B2714" t="s">
        <v>16745</v>
      </c>
      <c r="C2714" t="s">
        <v>182</v>
      </c>
      <c r="D2714" t="s">
        <v>3937</v>
      </c>
      <c r="E2714" t="s">
        <v>16746</v>
      </c>
      <c r="F2714">
        <v>43308</v>
      </c>
      <c r="G2714" s="1">
        <v>36074</v>
      </c>
      <c r="H2714" s="1">
        <v>44832</v>
      </c>
      <c r="J2714" t="s">
        <v>45</v>
      </c>
      <c r="K2714" t="s">
        <v>45</v>
      </c>
      <c r="L2714" t="s">
        <v>72</v>
      </c>
      <c r="N2714" t="s">
        <v>47</v>
      </c>
      <c r="O2714" t="s">
        <v>48</v>
      </c>
      <c r="P2714" t="s">
        <v>49</v>
      </c>
      <c r="Q2714" t="s">
        <v>16747</v>
      </c>
      <c r="R2714" t="s">
        <v>16748</v>
      </c>
      <c r="S2714">
        <v>1075</v>
      </c>
      <c r="T2714" t="s">
        <v>92</v>
      </c>
      <c r="U2714" t="s">
        <v>187</v>
      </c>
      <c r="V2714" t="s">
        <v>3997</v>
      </c>
      <c r="W2714" t="s">
        <v>448</v>
      </c>
      <c r="X2714" t="s">
        <v>449</v>
      </c>
      <c r="Y2714" t="s">
        <v>770</v>
      </c>
      <c r="Z2714">
        <v>1508</v>
      </c>
      <c r="AA2714">
        <v>20</v>
      </c>
      <c r="AB2714">
        <v>74</v>
      </c>
      <c r="AC2714" t="s">
        <v>3998</v>
      </c>
      <c r="AD2714" t="s">
        <v>3999</v>
      </c>
      <c r="AE2714" t="s">
        <v>4000</v>
      </c>
      <c r="AF2714" t="s">
        <v>4001</v>
      </c>
      <c r="AG2714" t="s">
        <v>4002</v>
      </c>
      <c r="AH2714" t="s">
        <v>4003</v>
      </c>
      <c r="AJ2714" s="2">
        <v>45386.804722222223</v>
      </c>
      <c r="AK2714" t="s">
        <v>149</v>
      </c>
      <c r="AL2714" t="s">
        <v>65</v>
      </c>
      <c r="AM2714" s="4">
        <v>0.77777777777777779</v>
      </c>
      <c r="AN2714" t="s">
        <v>66</v>
      </c>
      <c r="AO2714" t="s">
        <v>67</v>
      </c>
    </row>
    <row r="2715" spans="1:41" x14ac:dyDescent="0.2">
      <c r="A2715">
        <v>361795</v>
      </c>
      <c r="B2715" t="s">
        <v>16749</v>
      </c>
      <c r="C2715" t="s">
        <v>558</v>
      </c>
      <c r="D2715" t="s">
        <v>746</v>
      </c>
      <c r="E2715" t="s">
        <v>16750</v>
      </c>
      <c r="F2715">
        <v>260306</v>
      </c>
      <c r="G2715" s="1">
        <v>40380</v>
      </c>
      <c r="H2715" s="1">
        <v>45462</v>
      </c>
      <c r="I2715" s="1">
        <v>46188</v>
      </c>
      <c r="J2715" t="s">
        <v>45</v>
      </c>
      <c r="K2715" t="s">
        <v>45</v>
      </c>
      <c r="L2715" t="s">
        <v>429</v>
      </c>
      <c r="M2715" s="1">
        <v>40380</v>
      </c>
      <c r="N2715" t="s">
        <v>47</v>
      </c>
      <c r="O2715" t="s">
        <v>48</v>
      </c>
      <c r="P2715" t="s">
        <v>49</v>
      </c>
      <c r="Q2715" t="s">
        <v>16751</v>
      </c>
      <c r="R2715" t="s">
        <v>16752</v>
      </c>
      <c r="S2715">
        <v>6296</v>
      </c>
      <c r="T2715" t="s">
        <v>365</v>
      </c>
      <c r="U2715" t="s">
        <v>562</v>
      </c>
      <c r="V2715" t="s">
        <v>749</v>
      </c>
      <c r="W2715" t="s">
        <v>367</v>
      </c>
      <c r="X2715" t="s">
        <v>76</v>
      </c>
      <c r="Y2715" t="s">
        <v>434</v>
      </c>
      <c r="Z2715">
        <v>256</v>
      </c>
      <c r="AA2715">
        <v>48</v>
      </c>
      <c r="AB2715">
        <v>166</v>
      </c>
      <c r="AC2715" t="s">
        <v>750</v>
      </c>
      <c r="AD2715" t="s">
        <v>751</v>
      </c>
      <c r="AE2715" t="s">
        <v>752</v>
      </c>
      <c r="AI2715" t="s">
        <v>500</v>
      </c>
      <c r="AJ2715" s="2">
        <v>45467.141423611109</v>
      </c>
      <c r="AK2715" t="s">
        <v>717</v>
      </c>
      <c r="AL2715" t="s">
        <v>65</v>
      </c>
      <c r="AM2715" s="3">
        <v>1.7569444444444444</v>
      </c>
      <c r="AN2715" t="s">
        <v>66</v>
      </c>
      <c r="AO2715" t="s">
        <v>67</v>
      </c>
    </row>
    <row r="2716" spans="1:41" x14ac:dyDescent="0.2">
      <c r="A2716">
        <v>373057</v>
      </c>
      <c r="B2716" t="s">
        <v>16753</v>
      </c>
      <c r="C2716" t="s">
        <v>182</v>
      </c>
      <c r="D2716" t="s">
        <v>1086</v>
      </c>
      <c r="E2716" t="s">
        <v>16754</v>
      </c>
      <c r="F2716">
        <v>49909</v>
      </c>
      <c r="G2716" s="1">
        <v>45448</v>
      </c>
      <c r="H2716" s="1">
        <v>45706</v>
      </c>
      <c r="I2716" s="1">
        <v>46068</v>
      </c>
      <c r="J2716" t="s">
        <v>45</v>
      </c>
      <c r="K2716" t="s">
        <v>45</v>
      </c>
      <c r="L2716" t="s">
        <v>72</v>
      </c>
      <c r="M2716" s="1">
        <v>42879</v>
      </c>
      <c r="N2716" t="s">
        <v>89</v>
      </c>
      <c r="O2716" t="s">
        <v>121</v>
      </c>
      <c r="P2716" t="s">
        <v>49</v>
      </c>
      <c r="Q2716" t="s">
        <v>16755</v>
      </c>
      <c r="R2716" t="s">
        <v>16756</v>
      </c>
      <c r="S2716">
        <v>1053</v>
      </c>
      <c r="T2716" t="s">
        <v>52</v>
      </c>
      <c r="U2716">
        <v>5</v>
      </c>
      <c r="V2716" t="s">
        <v>2763</v>
      </c>
      <c r="W2716" t="s">
        <v>54</v>
      </c>
      <c r="X2716" t="s">
        <v>52</v>
      </c>
      <c r="Y2716" t="s">
        <v>125</v>
      </c>
      <c r="Z2716">
        <v>687</v>
      </c>
      <c r="AA2716">
        <v>62</v>
      </c>
      <c r="AB2716">
        <v>144</v>
      </c>
      <c r="AC2716" t="s">
        <v>16757</v>
      </c>
      <c r="AD2716" t="s">
        <v>9852</v>
      </c>
      <c r="AE2716" t="s">
        <v>16758</v>
      </c>
      <c r="AF2716" t="s">
        <v>9848</v>
      </c>
      <c r="AG2716" t="s">
        <v>9849</v>
      </c>
      <c r="AH2716" t="s">
        <v>16759</v>
      </c>
      <c r="AI2716" t="s">
        <v>4396</v>
      </c>
      <c r="AJ2716" s="2">
        <v>45856.495636574073</v>
      </c>
      <c r="AK2716" t="s">
        <v>800</v>
      </c>
      <c r="AL2716" t="s">
        <v>65</v>
      </c>
      <c r="AM2716" s="3">
        <v>2.0208333333333335</v>
      </c>
      <c r="AN2716" t="s">
        <v>66</v>
      </c>
      <c r="AO2716" t="s">
        <v>67</v>
      </c>
    </row>
    <row r="2717" spans="1:41" x14ac:dyDescent="0.2">
      <c r="A2717">
        <v>366951</v>
      </c>
      <c r="B2717" t="s">
        <v>16760</v>
      </c>
      <c r="C2717" t="s">
        <v>182</v>
      </c>
      <c r="D2717" t="s">
        <v>1086</v>
      </c>
      <c r="E2717" t="s">
        <v>16761</v>
      </c>
      <c r="G2717" s="1">
        <v>45631</v>
      </c>
      <c r="H2717" s="1">
        <v>45629</v>
      </c>
      <c r="I2717" s="1">
        <v>46023</v>
      </c>
      <c r="J2717" t="s">
        <v>45</v>
      </c>
      <c r="K2717" t="s">
        <v>45</v>
      </c>
      <c r="L2717" t="s">
        <v>72</v>
      </c>
      <c r="N2717" t="s">
        <v>89</v>
      </c>
      <c r="O2717" t="s">
        <v>121</v>
      </c>
      <c r="P2717" t="s">
        <v>49</v>
      </c>
      <c r="Q2717" t="s">
        <v>16762</v>
      </c>
      <c r="R2717" t="s">
        <v>16763</v>
      </c>
      <c r="S2717">
        <v>4970</v>
      </c>
      <c r="T2717" t="s">
        <v>52</v>
      </c>
      <c r="U2717">
        <v>5</v>
      </c>
      <c r="V2717" t="s">
        <v>2763</v>
      </c>
      <c r="W2717" t="s">
        <v>54</v>
      </c>
      <c r="X2717" t="s">
        <v>52</v>
      </c>
      <c r="Y2717" t="s">
        <v>125</v>
      </c>
      <c r="Z2717">
        <v>11507</v>
      </c>
      <c r="AA2717">
        <v>39</v>
      </c>
      <c r="AB2717">
        <v>210</v>
      </c>
      <c r="AC2717" t="s">
        <v>16764</v>
      </c>
      <c r="AD2717" t="s">
        <v>16765</v>
      </c>
      <c r="AE2717" t="s">
        <v>16766</v>
      </c>
      <c r="AF2717" t="s">
        <v>16767</v>
      </c>
      <c r="AG2717" t="s">
        <v>16768</v>
      </c>
      <c r="AH2717" t="s">
        <v>16769</v>
      </c>
      <c r="AI2717" t="s">
        <v>16770</v>
      </c>
      <c r="AJ2717" s="2">
        <v>45648.708402777775</v>
      </c>
      <c r="AK2717" t="s">
        <v>132</v>
      </c>
      <c r="AL2717" t="s">
        <v>65</v>
      </c>
      <c r="AM2717" s="4">
        <v>0.36805555555555558</v>
      </c>
      <c r="AN2717" t="s">
        <v>66</v>
      </c>
      <c r="AO2717" t="s">
        <v>67</v>
      </c>
    </row>
    <row r="2718" spans="1:41" x14ac:dyDescent="0.2">
      <c r="A2718">
        <v>366681</v>
      </c>
      <c r="B2718" t="s">
        <v>16771</v>
      </c>
      <c r="C2718" t="s">
        <v>182</v>
      </c>
      <c r="D2718" t="s">
        <v>1086</v>
      </c>
      <c r="E2718" t="s">
        <v>16772</v>
      </c>
      <c r="G2718" s="1">
        <v>45631</v>
      </c>
      <c r="H2718" s="1">
        <v>45632</v>
      </c>
      <c r="I2718" s="1">
        <v>46023</v>
      </c>
      <c r="J2718" t="s">
        <v>45</v>
      </c>
      <c r="K2718" t="s">
        <v>45</v>
      </c>
      <c r="L2718" t="s">
        <v>72</v>
      </c>
      <c r="N2718" t="s">
        <v>89</v>
      </c>
      <c r="O2718" t="s">
        <v>121</v>
      </c>
      <c r="P2718" t="s">
        <v>49</v>
      </c>
      <c r="Q2718" t="s">
        <v>16773</v>
      </c>
      <c r="R2718" t="s">
        <v>16774</v>
      </c>
      <c r="S2718">
        <v>4788</v>
      </c>
      <c r="T2718" t="s">
        <v>52</v>
      </c>
      <c r="U2718">
        <v>5</v>
      </c>
      <c r="V2718" t="s">
        <v>2763</v>
      </c>
      <c r="W2718" t="s">
        <v>54</v>
      </c>
      <c r="X2718" t="s">
        <v>52</v>
      </c>
      <c r="Y2718" t="s">
        <v>125</v>
      </c>
      <c r="Z2718">
        <v>11506</v>
      </c>
      <c r="AA2718">
        <v>39</v>
      </c>
      <c r="AB2718">
        <v>210</v>
      </c>
      <c r="AC2718" t="s">
        <v>16764</v>
      </c>
      <c r="AD2718" t="s">
        <v>16765</v>
      </c>
      <c r="AE2718" t="s">
        <v>16766</v>
      </c>
      <c r="AF2718" t="s">
        <v>16767</v>
      </c>
      <c r="AG2718" t="s">
        <v>16775</v>
      </c>
      <c r="AH2718" t="s">
        <v>16769</v>
      </c>
      <c r="AI2718" t="s">
        <v>16776</v>
      </c>
      <c r="AJ2718" s="2">
        <v>45632.499293981484</v>
      </c>
      <c r="AK2718" t="s">
        <v>132</v>
      </c>
      <c r="AL2718" t="s">
        <v>65</v>
      </c>
      <c r="AM2718" s="4">
        <v>0.3611111111111111</v>
      </c>
      <c r="AN2718" t="s">
        <v>66</v>
      </c>
      <c r="AO2718" t="s">
        <v>67</v>
      </c>
    </row>
    <row r="2719" spans="1:41" x14ac:dyDescent="0.2">
      <c r="A2719">
        <v>371157</v>
      </c>
      <c r="B2719" t="s">
        <v>16777</v>
      </c>
      <c r="C2719" t="s">
        <v>182</v>
      </c>
      <c r="D2719" t="s">
        <v>468</v>
      </c>
      <c r="E2719" t="s">
        <v>16778</v>
      </c>
      <c r="G2719" s="1">
        <v>45446</v>
      </c>
      <c r="H2719" s="1">
        <v>45797</v>
      </c>
      <c r="I2719" s="1">
        <v>46157</v>
      </c>
      <c r="J2719" t="s">
        <v>45</v>
      </c>
      <c r="K2719" t="s">
        <v>45</v>
      </c>
      <c r="L2719" t="s">
        <v>72</v>
      </c>
      <c r="N2719" t="s">
        <v>89</v>
      </c>
      <c r="O2719" t="s">
        <v>121</v>
      </c>
      <c r="P2719" t="s">
        <v>49</v>
      </c>
      <c r="Q2719" t="s">
        <v>16779</v>
      </c>
      <c r="R2719" t="s">
        <v>16780</v>
      </c>
      <c r="S2719">
        <v>2360</v>
      </c>
      <c r="T2719" t="s">
        <v>52</v>
      </c>
      <c r="U2719">
        <v>5</v>
      </c>
      <c r="V2719" t="s">
        <v>3513</v>
      </c>
      <c r="W2719" t="s">
        <v>54</v>
      </c>
      <c r="X2719" t="s">
        <v>76</v>
      </c>
      <c r="Y2719" t="s">
        <v>125</v>
      </c>
      <c r="Z2719">
        <v>10846</v>
      </c>
      <c r="AA2719">
        <v>19</v>
      </c>
      <c r="AB2719">
        <v>78</v>
      </c>
      <c r="AC2719" t="s">
        <v>16781</v>
      </c>
      <c r="AD2719" t="s">
        <v>16782</v>
      </c>
      <c r="AE2719" t="s">
        <v>16783</v>
      </c>
      <c r="AF2719" t="s">
        <v>3517</v>
      </c>
      <c r="AG2719" t="s">
        <v>3518</v>
      </c>
      <c r="AH2719" t="s">
        <v>3519</v>
      </c>
      <c r="AI2719" t="s">
        <v>4396</v>
      </c>
      <c r="AJ2719" s="2">
        <v>45797.768414351849</v>
      </c>
      <c r="AK2719" t="s">
        <v>800</v>
      </c>
      <c r="AL2719" t="s">
        <v>65</v>
      </c>
      <c r="AM2719" s="3">
        <v>2.1111111111111112</v>
      </c>
      <c r="AN2719" t="s">
        <v>66</v>
      </c>
      <c r="AO2719" t="s">
        <v>67</v>
      </c>
    </row>
    <row r="2720" spans="1:41" x14ac:dyDescent="0.2">
      <c r="A2720">
        <v>357741</v>
      </c>
      <c r="B2720" t="s">
        <v>16784</v>
      </c>
      <c r="C2720" t="s">
        <v>182</v>
      </c>
      <c r="D2720" t="s">
        <v>468</v>
      </c>
      <c r="E2720" t="s">
        <v>16785</v>
      </c>
      <c r="J2720" t="s">
        <v>45</v>
      </c>
      <c r="K2720" t="s">
        <v>45</v>
      </c>
      <c r="L2720" t="s">
        <v>72</v>
      </c>
      <c r="N2720" t="s">
        <v>89</v>
      </c>
      <c r="O2720" t="s">
        <v>121</v>
      </c>
      <c r="P2720" t="s">
        <v>49</v>
      </c>
      <c r="T2720" t="s">
        <v>52</v>
      </c>
      <c r="U2720">
        <v>5</v>
      </c>
      <c r="V2720" t="s">
        <v>3513</v>
      </c>
      <c r="W2720" t="s">
        <v>54</v>
      </c>
      <c r="X2720" t="s">
        <v>76</v>
      </c>
      <c r="Y2720" t="s">
        <v>125</v>
      </c>
      <c r="Z2720">
        <v>12228</v>
      </c>
      <c r="AA2720">
        <v>3</v>
      </c>
      <c r="AB2720">
        <v>78</v>
      </c>
      <c r="AC2720" t="s">
        <v>16781</v>
      </c>
      <c r="AD2720" t="s">
        <v>16782</v>
      </c>
      <c r="AE2720" t="s">
        <v>16783</v>
      </c>
      <c r="AF2720" t="s">
        <v>3517</v>
      </c>
      <c r="AG2720" t="s">
        <v>3518</v>
      </c>
      <c r="AH2720" t="s">
        <v>3519</v>
      </c>
      <c r="AI2720" t="s">
        <v>4396</v>
      </c>
      <c r="AJ2720" s="2">
        <v>45475.707766203705</v>
      </c>
      <c r="AK2720" t="s">
        <v>3517</v>
      </c>
      <c r="AL2720" t="s">
        <v>65</v>
      </c>
      <c r="AM2720" s="3">
        <v>2.1805555555555554</v>
      </c>
      <c r="AN2720" t="s">
        <v>66</v>
      </c>
      <c r="AO2720" t="s">
        <v>67</v>
      </c>
    </row>
    <row r="2721" spans="1:41" x14ac:dyDescent="0.2">
      <c r="A2721">
        <v>367122</v>
      </c>
      <c r="B2721" t="s">
        <v>16786</v>
      </c>
      <c r="C2721" t="s">
        <v>182</v>
      </c>
      <c r="D2721" t="s">
        <v>4261</v>
      </c>
      <c r="E2721" t="s">
        <v>16787</v>
      </c>
      <c r="G2721" s="1">
        <v>45660</v>
      </c>
      <c r="H2721" s="1">
        <v>45663</v>
      </c>
      <c r="I2721" s="1">
        <v>45915</v>
      </c>
      <c r="J2721" t="s">
        <v>45</v>
      </c>
      <c r="K2721" t="s">
        <v>45</v>
      </c>
      <c r="L2721" t="s">
        <v>72</v>
      </c>
      <c r="N2721" t="s">
        <v>89</v>
      </c>
      <c r="O2721" t="s">
        <v>121</v>
      </c>
      <c r="P2721" t="s">
        <v>49</v>
      </c>
      <c r="Q2721" t="s">
        <v>16788</v>
      </c>
      <c r="R2721" t="s">
        <v>16789</v>
      </c>
      <c r="S2721">
        <v>830</v>
      </c>
      <c r="T2721" t="s">
        <v>52</v>
      </c>
      <c r="U2721">
        <v>5</v>
      </c>
      <c r="V2721" t="s">
        <v>3513</v>
      </c>
      <c r="W2721" t="s">
        <v>54</v>
      </c>
      <c r="X2721" t="s">
        <v>52</v>
      </c>
      <c r="Y2721" t="s">
        <v>125</v>
      </c>
      <c r="Z2721">
        <v>11206</v>
      </c>
      <c r="AA2721">
        <v>23</v>
      </c>
      <c r="AB2721">
        <v>78</v>
      </c>
      <c r="AC2721" t="s">
        <v>16790</v>
      </c>
      <c r="AD2721" t="s">
        <v>16791</v>
      </c>
      <c r="AE2721" t="s">
        <v>16792</v>
      </c>
      <c r="AF2721" t="s">
        <v>3517</v>
      </c>
      <c r="AG2721" t="s">
        <v>3518</v>
      </c>
      <c r="AH2721" t="s">
        <v>3519</v>
      </c>
      <c r="AI2721" t="s">
        <v>16793</v>
      </c>
      <c r="AJ2721" s="2">
        <v>45663.524872685186</v>
      </c>
      <c r="AK2721" t="s">
        <v>132</v>
      </c>
      <c r="AL2721" t="s">
        <v>65</v>
      </c>
      <c r="AM2721" s="3">
        <v>2.1527777777777777</v>
      </c>
      <c r="AN2721" t="s">
        <v>66</v>
      </c>
      <c r="AO2721" t="s">
        <v>67</v>
      </c>
    </row>
    <row r="2722" spans="1:41" x14ac:dyDescent="0.2">
      <c r="A2722">
        <v>369732</v>
      </c>
      <c r="B2722" t="s">
        <v>16794</v>
      </c>
      <c r="C2722" t="s">
        <v>182</v>
      </c>
      <c r="D2722" t="s">
        <v>4261</v>
      </c>
      <c r="E2722" t="s">
        <v>16795</v>
      </c>
      <c r="G2722" s="1">
        <v>45603</v>
      </c>
      <c r="H2722" s="1">
        <v>45750</v>
      </c>
      <c r="I2722" s="1">
        <v>46096</v>
      </c>
      <c r="J2722" t="s">
        <v>45</v>
      </c>
      <c r="K2722" t="s">
        <v>45</v>
      </c>
      <c r="L2722" t="s">
        <v>72</v>
      </c>
      <c r="M2722" s="1">
        <v>44438</v>
      </c>
      <c r="N2722" t="s">
        <v>89</v>
      </c>
      <c r="O2722" t="s">
        <v>121</v>
      </c>
      <c r="P2722" t="s">
        <v>49</v>
      </c>
      <c r="Q2722" t="s">
        <v>16796</v>
      </c>
      <c r="R2722" t="s">
        <v>16797</v>
      </c>
      <c r="S2722">
        <v>1989</v>
      </c>
      <c r="T2722" t="s">
        <v>52</v>
      </c>
      <c r="U2722">
        <v>5</v>
      </c>
      <c r="V2722" t="s">
        <v>3513</v>
      </c>
      <c r="W2722" t="s">
        <v>54</v>
      </c>
      <c r="X2722" t="s">
        <v>52</v>
      </c>
      <c r="Y2722" t="s">
        <v>125</v>
      </c>
      <c r="Z2722">
        <v>3036</v>
      </c>
      <c r="AA2722">
        <v>55</v>
      </c>
      <c r="AB2722">
        <v>38</v>
      </c>
      <c r="AC2722" t="s">
        <v>4265</v>
      </c>
      <c r="AD2722" t="s">
        <v>4266</v>
      </c>
      <c r="AE2722" t="s">
        <v>4267</v>
      </c>
      <c r="AF2722" t="s">
        <v>3517</v>
      </c>
      <c r="AG2722" t="s">
        <v>3518</v>
      </c>
      <c r="AH2722" t="s">
        <v>3519</v>
      </c>
      <c r="AI2722" t="s">
        <v>16798</v>
      </c>
      <c r="AJ2722" s="2">
        <v>45750.649976851855</v>
      </c>
      <c r="AK2722" t="s">
        <v>800</v>
      </c>
      <c r="AL2722" t="s">
        <v>65</v>
      </c>
      <c r="AM2722" s="3">
        <v>1.1319444444444444</v>
      </c>
      <c r="AN2722" t="s">
        <v>66</v>
      </c>
      <c r="AO2722" t="s">
        <v>67</v>
      </c>
    </row>
    <row r="2723" spans="1:41" x14ac:dyDescent="0.2">
      <c r="A2723">
        <v>370230</v>
      </c>
      <c r="B2723" t="s">
        <v>16799</v>
      </c>
      <c r="C2723" t="s">
        <v>182</v>
      </c>
      <c r="D2723" t="s">
        <v>468</v>
      </c>
      <c r="E2723" t="s">
        <v>16800</v>
      </c>
      <c r="G2723" s="1">
        <v>45515</v>
      </c>
      <c r="H2723" s="1">
        <v>45763</v>
      </c>
      <c r="I2723" s="1">
        <v>46127</v>
      </c>
      <c r="J2723" t="s">
        <v>45</v>
      </c>
      <c r="K2723" t="s">
        <v>45</v>
      </c>
      <c r="L2723" t="s">
        <v>72</v>
      </c>
      <c r="M2723" s="1">
        <v>43891</v>
      </c>
      <c r="N2723" t="s">
        <v>89</v>
      </c>
      <c r="O2723" t="s">
        <v>121</v>
      </c>
      <c r="P2723" t="s">
        <v>49</v>
      </c>
      <c r="Q2723" t="s">
        <v>16801</v>
      </c>
      <c r="R2723" t="s">
        <v>16802</v>
      </c>
      <c r="S2723">
        <v>2520</v>
      </c>
      <c r="T2723" t="s">
        <v>52</v>
      </c>
      <c r="U2723">
        <v>5</v>
      </c>
      <c r="V2723" t="s">
        <v>3513</v>
      </c>
      <c r="W2723" t="s">
        <v>54</v>
      </c>
      <c r="X2723" t="s">
        <v>52</v>
      </c>
      <c r="Y2723" t="s">
        <v>125</v>
      </c>
      <c r="Z2723">
        <v>3012</v>
      </c>
      <c r="AA2723">
        <v>96</v>
      </c>
      <c r="AB2723">
        <v>66</v>
      </c>
      <c r="AC2723" t="s">
        <v>16144</v>
      </c>
      <c r="AD2723" t="s">
        <v>16145</v>
      </c>
      <c r="AE2723" t="s">
        <v>16146</v>
      </c>
      <c r="AF2723" t="s">
        <v>3517</v>
      </c>
      <c r="AG2723" t="s">
        <v>3518</v>
      </c>
      <c r="AH2723" t="s">
        <v>3519</v>
      </c>
      <c r="AI2723" t="s">
        <v>16803</v>
      </c>
      <c r="AJ2723" s="2">
        <v>45768.465717592589</v>
      </c>
      <c r="AK2723" t="s">
        <v>800</v>
      </c>
      <c r="AL2723" t="s">
        <v>65</v>
      </c>
      <c r="AM2723" s="4">
        <v>0.2013888888888889</v>
      </c>
      <c r="AN2723" t="s">
        <v>66</v>
      </c>
      <c r="AO2723" t="s">
        <v>67</v>
      </c>
    </row>
    <row r="2724" spans="1:41" x14ac:dyDescent="0.2">
      <c r="A2724">
        <v>372555</v>
      </c>
      <c r="B2724" t="s">
        <v>16804</v>
      </c>
      <c r="C2724" t="s">
        <v>182</v>
      </c>
      <c r="D2724" t="s">
        <v>468</v>
      </c>
      <c r="E2724" t="s">
        <v>16805</v>
      </c>
      <c r="G2724" s="1">
        <v>45614</v>
      </c>
      <c r="H2724" s="1">
        <v>45615</v>
      </c>
      <c r="I2724" s="1">
        <v>45962</v>
      </c>
      <c r="J2724" t="s">
        <v>45</v>
      </c>
      <c r="K2724" t="s">
        <v>45</v>
      </c>
      <c r="L2724" t="s">
        <v>72</v>
      </c>
      <c r="N2724" t="s">
        <v>47</v>
      </c>
      <c r="O2724" t="s">
        <v>121</v>
      </c>
      <c r="P2724" t="s">
        <v>49</v>
      </c>
      <c r="Q2724" t="s">
        <v>16806</v>
      </c>
      <c r="R2724" t="s">
        <v>16807</v>
      </c>
      <c r="S2724">
        <v>5830</v>
      </c>
      <c r="T2724" t="s">
        <v>52</v>
      </c>
      <c r="U2724">
        <v>5</v>
      </c>
      <c r="V2724" t="s">
        <v>3513</v>
      </c>
      <c r="W2724" t="s">
        <v>54</v>
      </c>
      <c r="X2724" t="s">
        <v>52</v>
      </c>
      <c r="Y2724" t="s">
        <v>125</v>
      </c>
      <c r="Z2724">
        <v>11806</v>
      </c>
      <c r="AA2724">
        <v>39</v>
      </c>
      <c r="AB2724">
        <v>210</v>
      </c>
      <c r="AC2724" t="s">
        <v>16808</v>
      </c>
      <c r="AD2724" t="s">
        <v>16809</v>
      </c>
      <c r="AE2724" t="s">
        <v>16810</v>
      </c>
      <c r="AF2724" t="s">
        <v>3517</v>
      </c>
      <c r="AG2724" t="s">
        <v>3518</v>
      </c>
      <c r="AH2724" t="s">
        <v>3519</v>
      </c>
      <c r="AI2724" t="s">
        <v>4396</v>
      </c>
      <c r="AJ2724" s="2">
        <v>45845.614652777775</v>
      </c>
      <c r="AK2724" t="s">
        <v>800</v>
      </c>
      <c r="AL2724" t="s">
        <v>65</v>
      </c>
      <c r="AM2724" s="4">
        <v>0.34722222222222221</v>
      </c>
      <c r="AN2724" t="s">
        <v>66</v>
      </c>
      <c r="AO2724" t="s">
        <v>67</v>
      </c>
    </row>
    <row r="2725" spans="1:41" x14ac:dyDescent="0.2">
      <c r="A2725">
        <v>370519</v>
      </c>
      <c r="B2725" t="s">
        <v>16811</v>
      </c>
      <c r="C2725" t="s">
        <v>182</v>
      </c>
      <c r="D2725" t="s">
        <v>1467</v>
      </c>
      <c r="E2725">
        <v>32428526</v>
      </c>
      <c r="F2725">
        <v>40498</v>
      </c>
      <c r="G2725" s="1">
        <v>45777</v>
      </c>
      <c r="H2725" s="1">
        <v>45719</v>
      </c>
      <c r="I2725" s="1">
        <v>46096</v>
      </c>
      <c r="J2725" t="s">
        <v>45</v>
      </c>
      <c r="K2725" t="s">
        <v>45</v>
      </c>
      <c r="L2725" t="s">
        <v>72</v>
      </c>
      <c r="M2725" s="1">
        <v>43921</v>
      </c>
      <c r="N2725" t="s">
        <v>47</v>
      </c>
      <c r="O2725" t="s">
        <v>121</v>
      </c>
      <c r="P2725" t="s">
        <v>49</v>
      </c>
      <c r="Q2725" t="s">
        <v>16812</v>
      </c>
      <c r="R2725" t="s">
        <v>16813</v>
      </c>
      <c r="S2725">
        <v>2340</v>
      </c>
      <c r="T2725" t="s">
        <v>52</v>
      </c>
      <c r="U2725">
        <v>5</v>
      </c>
      <c r="V2725" t="s">
        <v>3513</v>
      </c>
      <c r="W2725" t="s">
        <v>54</v>
      </c>
      <c r="X2725" t="s">
        <v>76</v>
      </c>
      <c r="Y2725" t="s">
        <v>125</v>
      </c>
      <c r="Z2725">
        <v>745</v>
      </c>
      <c r="AA2725">
        <v>143</v>
      </c>
      <c r="AB2725">
        <v>38</v>
      </c>
      <c r="AC2725" t="s">
        <v>3514</v>
      </c>
      <c r="AD2725" t="s">
        <v>16814</v>
      </c>
      <c r="AE2725" t="s">
        <v>3516</v>
      </c>
      <c r="AF2725" t="s">
        <v>3517</v>
      </c>
      <c r="AG2725" t="s">
        <v>3518</v>
      </c>
      <c r="AH2725" t="s">
        <v>3519</v>
      </c>
      <c r="AI2725" t="s">
        <v>16815</v>
      </c>
      <c r="AJ2725" s="2">
        <v>45777.635231481479</v>
      </c>
      <c r="AK2725" t="s">
        <v>132</v>
      </c>
      <c r="AL2725" t="s">
        <v>65</v>
      </c>
      <c r="AM2725" s="3">
        <v>1.9166666666666667</v>
      </c>
      <c r="AN2725" t="s">
        <v>66</v>
      </c>
      <c r="AO2725" t="s">
        <v>67</v>
      </c>
    </row>
    <row r="2726" spans="1:41" x14ac:dyDescent="0.2">
      <c r="A2726">
        <v>372103</v>
      </c>
      <c r="B2726" t="s">
        <v>16816</v>
      </c>
      <c r="C2726" t="s">
        <v>182</v>
      </c>
      <c r="D2726" t="s">
        <v>468</v>
      </c>
      <c r="E2726" t="s">
        <v>16817</v>
      </c>
      <c r="G2726" s="1">
        <v>45408</v>
      </c>
      <c r="H2726" s="1">
        <v>45831</v>
      </c>
      <c r="I2726" s="1">
        <v>46054</v>
      </c>
      <c r="J2726" t="s">
        <v>45</v>
      </c>
      <c r="K2726" t="s">
        <v>45</v>
      </c>
      <c r="L2726" t="s">
        <v>72</v>
      </c>
      <c r="N2726" t="s">
        <v>89</v>
      </c>
      <c r="O2726" t="s">
        <v>121</v>
      </c>
      <c r="P2726" t="s">
        <v>49</v>
      </c>
      <c r="Q2726" t="s">
        <v>16818</v>
      </c>
      <c r="R2726" t="s">
        <v>16819</v>
      </c>
      <c r="S2726">
        <v>2871</v>
      </c>
      <c r="T2726" t="s">
        <v>52</v>
      </c>
      <c r="U2726">
        <v>5</v>
      </c>
      <c r="V2726" t="s">
        <v>3513</v>
      </c>
      <c r="W2726" t="s">
        <v>54</v>
      </c>
      <c r="X2726" t="s">
        <v>76</v>
      </c>
      <c r="Y2726" t="s">
        <v>125</v>
      </c>
      <c r="Z2726">
        <v>10986</v>
      </c>
      <c r="AA2726">
        <v>19</v>
      </c>
      <c r="AB2726">
        <v>78</v>
      </c>
      <c r="AC2726" t="s">
        <v>16820</v>
      </c>
      <c r="AD2726" t="s">
        <v>16821</v>
      </c>
      <c r="AE2726" t="s">
        <v>11577</v>
      </c>
      <c r="AF2726" t="s">
        <v>3517</v>
      </c>
      <c r="AG2726" t="s">
        <v>3518</v>
      </c>
      <c r="AH2726" t="s">
        <v>3519</v>
      </c>
      <c r="AI2726" t="s">
        <v>16822</v>
      </c>
      <c r="AJ2726" s="2">
        <v>45831.478344907409</v>
      </c>
      <c r="AK2726" t="s">
        <v>800</v>
      </c>
      <c r="AL2726" t="s">
        <v>65</v>
      </c>
      <c r="AM2726" s="3">
        <v>2.0277777777777777</v>
      </c>
      <c r="AN2726" t="s">
        <v>66</v>
      </c>
      <c r="AO2726" t="s">
        <v>67</v>
      </c>
    </row>
    <row r="2727" spans="1:41" x14ac:dyDescent="0.2">
      <c r="A2727">
        <v>367901</v>
      </c>
      <c r="B2727" t="s">
        <v>16823</v>
      </c>
      <c r="C2727" t="s">
        <v>182</v>
      </c>
      <c r="D2727" t="s">
        <v>8640</v>
      </c>
      <c r="E2727" t="s">
        <v>16824</v>
      </c>
      <c r="G2727" s="1">
        <v>44816</v>
      </c>
      <c r="H2727" s="1">
        <v>45638</v>
      </c>
      <c r="J2727" t="s">
        <v>45</v>
      </c>
      <c r="K2727" t="s">
        <v>45</v>
      </c>
      <c r="L2727" t="s">
        <v>72</v>
      </c>
      <c r="N2727" t="s">
        <v>47</v>
      </c>
      <c r="O2727" t="s">
        <v>48</v>
      </c>
      <c r="P2727" t="s">
        <v>49</v>
      </c>
      <c r="Q2727" t="s">
        <v>16825</v>
      </c>
      <c r="R2727" t="s">
        <v>16826</v>
      </c>
      <c r="S2727">
        <v>420</v>
      </c>
      <c r="T2727" t="s">
        <v>92</v>
      </c>
      <c r="U2727" t="s">
        <v>187</v>
      </c>
      <c r="V2727" t="s">
        <v>16827</v>
      </c>
      <c r="W2727" t="s">
        <v>16828</v>
      </c>
      <c r="X2727" t="s">
        <v>92</v>
      </c>
      <c r="Y2727" t="s">
        <v>450</v>
      </c>
      <c r="Z2727">
        <v>12117</v>
      </c>
      <c r="AA2727">
        <v>8</v>
      </c>
      <c r="AB2727">
        <v>210</v>
      </c>
      <c r="AC2727" t="s">
        <v>16829</v>
      </c>
      <c r="AD2727" t="s">
        <v>16830</v>
      </c>
      <c r="AE2727" t="s">
        <v>16831</v>
      </c>
      <c r="AF2727" t="s">
        <v>16832</v>
      </c>
      <c r="AG2727" t="s">
        <v>16833</v>
      </c>
      <c r="AH2727" t="s">
        <v>16834</v>
      </c>
      <c r="AI2727" t="s">
        <v>16835</v>
      </c>
      <c r="AJ2727" s="2">
        <v>45693.789918981478</v>
      </c>
      <c r="AK2727" t="s">
        <v>526</v>
      </c>
      <c r="AL2727" t="s">
        <v>65</v>
      </c>
      <c r="AM2727" s="4">
        <v>0.62847222222222221</v>
      </c>
      <c r="AN2727" t="s">
        <v>66</v>
      </c>
      <c r="AO2727" t="s">
        <v>67</v>
      </c>
    </row>
    <row r="2728" spans="1:41" x14ac:dyDescent="0.2">
      <c r="A2728">
        <v>367902</v>
      </c>
      <c r="B2728" t="s">
        <v>16836</v>
      </c>
      <c r="C2728" t="s">
        <v>182</v>
      </c>
      <c r="D2728" t="s">
        <v>8640</v>
      </c>
      <c r="E2728" t="s">
        <v>16837</v>
      </c>
      <c r="G2728" s="1">
        <v>44810</v>
      </c>
      <c r="H2728" s="1">
        <v>45638</v>
      </c>
      <c r="J2728" t="s">
        <v>45</v>
      </c>
      <c r="K2728" t="s">
        <v>45</v>
      </c>
      <c r="L2728" t="s">
        <v>72</v>
      </c>
      <c r="N2728" t="s">
        <v>47</v>
      </c>
      <c r="O2728" t="s">
        <v>48</v>
      </c>
      <c r="P2728" t="s">
        <v>49</v>
      </c>
      <c r="Q2728" t="s">
        <v>16838</v>
      </c>
      <c r="R2728" t="s">
        <v>16839</v>
      </c>
      <c r="S2728">
        <v>95</v>
      </c>
      <c r="T2728" t="s">
        <v>92</v>
      </c>
      <c r="U2728" t="s">
        <v>187</v>
      </c>
      <c r="V2728" t="s">
        <v>16827</v>
      </c>
      <c r="W2728" t="s">
        <v>16828</v>
      </c>
      <c r="X2728" t="s">
        <v>92</v>
      </c>
      <c r="Y2728" t="s">
        <v>450</v>
      </c>
      <c r="Z2728">
        <v>12116</v>
      </c>
      <c r="AA2728">
        <v>11</v>
      </c>
      <c r="AB2728">
        <v>210</v>
      </c>
      <c r="AC2728" t="s">
        <v>16829</v>
      </c>
      <c r="AD2728" t="s">
        <v>16830</v>
      </c>
      <c r="AE2728" t="s">
        <v>16831</v>
      </c>
      <c r="AF2728" t="s">
        <v>16832</v>
      </c>
      <c r="AG2728" t="s">
        <v>16833</v>
      </c>
      <c r="AH2728" t="s">
        <v>16834</v>
      </c>
      <c r="AI2728" t="s">
        <v>16840</v>
      </c>
      <c r="AJ2728" s="2">
        <v>45693.790451388886</v>
      </c>
      <c r="AK2728" t="s">
        <v>526</v>
      </c>
      <c r="AL2728" t="s">
        <v>65</v>
      </c>
      <c r="AM2728" s="4">
        <v>0.62152777777777779</v>
      </c>
      <c r="AN2728" t="s">
        <v>66</v>
      </c>
      <c r="AO2728" t="s">
        <v>67</v>
      </c>
    </row>
    <row r="2729" spans="1:41" x14ac:dyDescent="0.2">
      <c r="A2729">
        <v>367903</v>
      </c>
      <c r="B2729" t="s">
        <v>16841</v>
      </c>
      <c r="C2729" t="s">
        <v>182</v>
      </c>
      <c r="D2729" t="s">
        <v>8640</v>
      </c>
      <c r="E2729" t="s">
        <v>16842</v>
      </c>
      <c r="G2729" s="1">
        <v>44824</v>
      </c>
      <c r="H2729" s="1">
        <v>45638</v>
      </c>
      <c r="J2729" t="s">
        <v>45</v>
      </c>
      <c r="K2729" t="s">
        <v>45</v>
      </c>
      <c r="L2729" t="s">
        <v>72</v>
      </c>
      <c r="N2729" t="s">
        <v>47</v>
      </c>
      <c r="O2729" t="s">
        <v>48</v>
      </c>
      <c r="P2729" t="s">
        <v>49</v>
      </c>
      <c r="Q2729" t="s">
        <v>16843</v>
      </c>
      <c r="R2729" t="s">
        <v>16844</v>
      </c>
      <c r="S2729">
        <v>708</v>
      </c>
      <c r="T2729" t="s">
        <v>92</v>
      </c>
      <c r="U2729" t="s">
        <v>187</v>
      </c>
      <c r="V2729" t="s">
        <v>16827</v>
      </c>
      <c r="W2729" t="s">
        <v>16828</v>
      </c>
      <c r="X2729" t="s">
        <v>92</v>
      </c>
      <c r="Y2729" t="s">
        <v>450</v>
      </c>
      <c r="Z2729">
        <v>12118</v>
      </c>
      <c r="AA2729">
        <v>8</v>
      </c>
      <c r="AB2729">
        <v>210</v>
      </c>
      <c r="AC2729" t="s">
        <v>16829</v>
      </c>
      <c r="AD2729" t="s">
        <v>16830</v>
      </c>
      <c r="AE2729" t="s">
        <v>16831</v>
      </c>
      <c r="AF2729" t="s">
        <v>16832</v>
      </c>
      <c r="AG2729" t="s">
        <v>16833</v>
      </c>
      <c r="AH2729" t="s">
        <v>16834</v>
      </c>
      <c r="AI2729" t="s">
        <v>16835</v>
      </c>
      <c r="AJ2729" s="2">
        <v>45693.79115740741</v>
      </c>
      <c r="AK2729" t="s">
        <v>526</v>
      </c>
      <c r="AL2729" t="s">
        <v>65</v>
      </c>
      <c r="AM2729" s="4">
        <v>0.69097222222222221</v>
      </c>
      <c r="AN2729" t="s">
        <v>66</v>
      </c>
      <c r="AO2729" t="s">
        <v>67</v>
      </c>
    </row>
    <row r="2730" spans="1:41" x14ac:dyDescent="0.2">
      <c r="A2730">
        <v>367904</v>
      </c>
      <c r="B2730" t="s">
        <v>16845</v>
      </c>
      <c r="C2730" t="s">
        <v>182</v>
      </c>
      <c r="D2730" t="s">
        <v>8640</v>
      </c>
      <c r="E2730" t="s">
        <v>16846</v>
      </c>
      <c r="G2730" s="1">
        <v>44816</v>
      </c>
      <c r="H2730" s="1">
        <v>45638</v>
      </c>
      <c r="J2730" t="s">
        <v>45</v>
      </c>
      <c r="K2730" t="s">
        <v>45</v>
      </c>
      <c r="L2730" t="s">
        <v>72</v>
      </c>
      <c r="N2730" t="s">
        <v>47</v>
      </c>
      <c r="O2730" t="s">
        <v>48</v>
      </c>
      <c r="P2730" t="s">
        <v>49</v>
      </c>
      <c r="Q2730" t="s">
        <v>16847</v>
      </c>
      <c r="R2730" t="s">
        <v>16848</v>
      </c>
      <c r="S2730">
        <v>870</v>
      </c>
      <c r="T2730" t="s">
        <v>92</v>
      </c>
      <c r="U2730" t="s">
        <v>187</v>
      </c>
      <c r="V2730" t="s">
        <v>16827</v>
      </c>
      <c r="W2730" t="s">
        <v>16828</v>
      </c>
      <c r="X2730" t="s">
        <v>92</v>
      </c>
      <c r="Y2730" t="s">
        <v>450</v>
      </c>
      <c r="Z2730">
        <v>12119</v>
      </c>
      <c r="AA2730">
        <v>7</v>
      </c>
      <c r="AB2730">
        <v>210</v>
      </c>
      <c r="AC2730" t="s">
        <v>16829</v>
      </c>
      <c r="AD2730" t="s">
        <v>16830</v>
      </c>
      <c r="AE2730" t="s">
        <v>16831</v>
      </c>
      <c r="AF2730" t="s">
        <v>16832</v>
      </c>
      <c r="AG2730" t="s">
        <v>16833</v>
      </c>
      <c r="AH2730" t="s">
        <v>16834</v>
      </c>
      <c r="AI2730" t="s">
        <v>16840</v>
      </c>
      <c r="AJ2730" s="2">
        <v>45693.791655092595</v>
      </c>
      <c r="AK2730" t="s">
        <v>526</v>
      </c>
      <c r="AL2730" t="s">
        <v>65</v>
      </c>
      <c r="AM2730" s="4">
        <v>0.69791666666666663</v>
      </c>
      <c r="AN2730" t="s">
        <v>66</v>
      </c>
      <c r="AO2730" t="s">
        <v>67</v>
      </c>
    </row>
    <row r="2731" spans="1:41" x14ac:dyDescent="0.2">
      <c r="A2731">
        <v>373058</v>
      </c>
      <c r="B2731" t="s">
        <v>16849</v>
      </c>
      <c r="C2731" t="s">
        <v>182</v>
      </c>
      <c r="D2731" t="s">
        <v>8640</v>
      </c>
      <c r="E2731" t="s">
        <v>16850</v>
      </c>
      <c r="G2731" s="1">
        <v>45838</v>
      </c>
      <c r="H2731" s="1">
        <v>45638</v>
      </c>
      <c r="J2731" t="s">
        <v>45</v>
      </c>
      <c r="K2731" t="s">
        <v>45</v>
      </c>
      <c r="L2731" t="s">
        <v>72</v>
      </c>
      <c r="N2731" t="s">
        <v>89</v>
      </c>
      <c r="O2731" t="s">
        <v>121</v>
      </c>
      <c r="P2731" t="s">
        <v>49</v>
      </c>
      <c r="Q2731" t="s">
        <v>16851</v>
      </c>
      <c r="R2731" t="s">
        <v>16852</v>
      </c>
      <c r="S2731">
        <v>419</v>
      </c>
      <c r="T2731" t="s">
        <v>92</v>
      </c>
      <c r="U2731" t="s">
        <v>187</v>
      </c>
      <c r="V2731" t="s">
        <v>16827</v>
      </c>
      <c r="W2731" t="s">
        <v>16828</v>
      </c>
      <c r="X2731" t="s">
        <v>92</v>
      </c>
      <c r="Y2731" t="s">
        <v>450</v>
      </c>
      <c r="Z2731">
        <v>12121</v>
      </c>
      <c r="AA2731">
        <v>11</v>
      </c>
      <c r="AB2731">
        <v>210</v>
      </c>
      <c r="AC2731" t="s">
        <v>16829</v>
      </c>
      <c r="AD2731" t="s">
        <v>16830</v>
      </c>
      <c r="AE2731" t="s">
        <v>16831</v>
      </c>
      <c r="AF2731" t="s">
        <v>16832</v>
      </c>
      <c r="AG2731" t="s">
        <v>16833</v>
      </c>
      <c r="AH2731" t="s">
        <v>16834</v>
      </c>
      <c r="AI2731" t="s">
        <v>16835</v>
      </c>
      <c r="AJ2731" s="2">
        <v>45856.545173611114</v>
      </c>
      <c r="AK2731" t="s">
        <v>132</v>
      </c>
      <c r="AL2731" t="s">
        <v>65</v>
      </c>
      <c r="AM2731" s="4">
        <v>0.13541666666666666</v>
      </c>
      <c r="AN2731" t="s">
        <v>66</v>
      </c>
      <c r="AO2731" t="s">
        <v>67</v>
      </c>
    </row>
    <row r="2732" spans="1:41" x14ac:dyDescent="0.2">
      <c r="A2732">
        <v>367906</v>
      </c>
      <c r="B2732" t="s">
        <v>16853</v>
      </c>
      <c r="C2732" t="s">
        <v>182</v>
      </c>
      <c r="D2732" t="s">
        <v>8640</v>
      </c>
      <c r="E2732" t="s">
        <v>16854</v>
      </c>
      <c r="G2732" s="1">
        <v>44816</v>
      </c>
      <c r="H2732" s="1">
        <v>45638</v>
      </c>
      <c r="J2732" t="s">
        <v>45</v>
      </c>
      <c r="K2732" t="s">
        <v>45</v>
      </c>
      <c r="L2732" t="s">
        <v>72</v>
      </c>
      <c r="N2732" t="s">
        <v>47</v>
      </c>
      <c r="O2732" t="s">
        <v>48</v>
      </c>
      <c r="P2732" t="s">
        <v>49</v>
      </c>
      <c r="Q2732" t="s">
        <v>16855</v>
      </c>
      <c r="R2732" t="s">
        <v>16856</v>
      </c>
      <c r="S2732">
        <v>180</v>
      </c>
      <c r="T2732" t="s">
        <v>92</v>
      </c>
      <c r="U2732" t="s">
        <v>187</v>
      </c>
      <c r="V2732" t="s">
        <v>16827</v>
      </c>
      <c r="W2732" t="s">
        <v>16828</v>
      </c>
      <c r="X2732" t="s">
        <v>92</v>
      </c>
      <c r="Y2732" t="s">
        <v>450</v>
      </c>
      <c r="Z2732">
        <v>12115</v>
      </c>
      <c r="AA2732">
        <v>9</v>
      </c>
      <c r="AB2732">
        <v>210</v>
      </c>
      <c r="AC2732" t="s">
        <v>16829</v>
      </c>
      <c r="AD2732" t="s">
        <v>16830</v>
      </c>
      <c r="AE2732" t="s">
        <v>16831</v>
      </c>
      <c r="AF2732" t="s">
        <v>16832</v>
      </c>
      <c r="AG2732" t="s">
        <v>16833</v>
      </c>
      <c r="AH2732" t="s">
        <v>16834</v>
      </c>
      <c r="AI2732" t="s">
        <v>16840</v>
      </c>
      <c r="AJ2732" s="2">
        <v>45693.79314814815</v>
      </c>
      <c r="AK2732" t="s">
        <v>526</v>
      </c>
      <c r="AL2732" t="s">
        <v>65</v>
      </c>
      <c r="AM2732" s="4">
        <v>0.52777777777777779</v>
      </c>
      <c r="AN2732" t="s">
        <v>66</v>
      </c>
      <c r="AO2732" t="s">
        <v>67</v>
      </c>
    </row>
    <row r="2733" spans="1:41" x14ac:dyDescent="0.2">
      <c r="A2733">
        <v>367907</v>
      </c>
      <c r="B2733" t="s">
        <v>16857</v>
      </c>
      <c r="C2733" t="s">
        <v>182</v>
      </c>
      <c r="D2733" t="s">
        <v>8640</v>
      </c>
      <c r="E2733" t="s">
        <v>16858</v>
      </c>
      <c r="G2733" s="1">
        <v>44824</v>
      </c>
      <c r="H2733" s="1">
        <v>45638</v>
      </c>
      <c r="J2733" t="s">
        <v>45</v>
      </c>
      <c r="K2733" t="s">
        <v>45</v>
      </c>
      <c r="L2733" t="s">
        <v>72</v>
      </c>
      <c r="N2733" t="s">
        <v>47</v>
      </c>
      <c r="O2733" t="s">
        <v>48</v>
      </c>
      <c r="P2733" t="s">
        <v>49</v>
      </c>
      <c r="Q2733" t="s">
        <v>16859</v>
      </c>
      <c r="R2733" t="s">
        <v>16860</v>
      </c>
      <c r="S2733">
        <v>1110</v>
      </c>
      <c r="T2733" t="s">
        <v>92</v>
      </c>
      <c r="U2733" t="s">
        <v>187</v>
      </c>
      <c r="V2733" t="s">
        <v>16827</v>
      </c>
      <c r="W2733" t="s">
        <v>16828</v>
      </c>
      <c r="X2733" t="s">
        <v>92</v>
      </c>
      <c r="Y2733" t="s">
        <v>450</v>
      </c>
      <c r="Z2733">
        <v>12120</v>
      </c>
      <c r="AA2733">
        <v>7</v>
      </c>
      <c r="AB2733">
        <v>210</v>
      </c>
      <c r="AC2733" t="s">
        <v>16829</v>
      </c>
      <c r="AD2733" t="s">
        <v>16830</v>
      </c>
      <c r="AE2733" t="s">
        <v>16831</v>
      </c>
      <c r="AF2733" t="s">
        <v>16832</v>
      </c>
      <c r="AG2733" t="s">
        <v>16833</v>
      </c>
      <c r="AH2733" t="s">
        <v>16834</v>
      </c>
      <c r="AI2733" t="s">
        <v>16840</v>
      </c>
      <c r="AJ2733" s="2">
        <v>45693.793611111112</v>
      </c>
      <c r="AK2733" t="s">
        <v>526</v>
      </c>
      <c r="AL2733" t="s">
        <v>65</v>
      </c>
      <c r="AM2733" s="4">
        <v>0.70486111111111116</v>
      </c>
      <c r="AN2733" t="s">
        <v>66</v>
      </c>
      <c r="AO2733" t="s">
        <v>67</v>
      </c>
    </row>
    <row r="2734" spans="1:41" x14ac:dyDescent="0.2">
      <c r="A2734">
        <v>356564</v>
      </c>
      <c r="B2734" t="s">
        <v>16861</v>
      </c>
      <c r="C2734" t="s">
        <v>221</v>
      </c>
      <c r="D2734" t="s">
        <v>6453</v>
      </c>
      <c r="E2734" t="s">
        <v>16862</v>
      </c>
      <c r="F2734">
        <v>16302</v>
      </c>
      <c r="G2734" s="1">
        <v>42415</v>
      </c>
      <c r="H2734" s="1">
        <v>42761</v>
      </c>
      <c r="J2734" t="s">
        <v>326</v>
      </c>
      <c r="K2734" t="s">
        <v>45</v>
      </c>
      <c r="L2734" t="s">
        <v>72</v>
      </c>
      <c r="M2734" s="1">
        <v>42761</v>
      </c>
      <c r="N2734" t="s">
        <v>89</v>
      </c>
      <c r="O2734" t="s">
        <v>48</v>
      </c>
      <c r="P2734" t="s">
        <v>406</v>
      </c>
      <c r="Q2734" t="s">
        <v>16863</v>
      </c>
      <c r="R2734" t="s">
        <v>16864</v>
      </c>
      <c r="S2734">
        <v>170</v>
      </c>
      <c r="T2734" t="s">
        <v>52</v>
      </c>
      <c r="U2734">
        <v>8</v>
      </c>
      <c r="V2734" t="s">
        <v>16865</v>
      </c>
      <c r="W2734" t="s">
        <v>54</v>
      </c>
      <c r="X2734" t="s">
        <v>52</v>
      </c>
      <c r="Y2734" t="s">
        <v>410</v>
      </c>
      <c r="Z2734">
        <v>7846</v>
      </c>
      <c r="AA2734">
        <v>8</v>
      </c>
      <c r="AB2734">
        <v>78</v>
      </c>
      <c r="AC2734" t="s">
        <v>16866</v>
      </c>
      <c r="AD2734" t="s">
        <v>16867</v>
      </c>
      <c r="AE2734" t="s">
        <v>16868</v>
      </c>
      <c r="AF2734" t="s">
        <v>16869</v>
      </c>
      <c r="AG2734" t="s">
        <v>16870</v>
      </c>
      <c r="AH2734" t="s">
        <v>16871</v>
      </c>
      <c r="AJ2734" s="2">
        <v>45313.63957175926</v>
      </c>
      <c r="AK2734" t="s">
        <v>149</v>
      </c>
      <c r="AL2734" t="s">
        <v>1168</v>
      </c>
      <c r="AM2734" s="4">
        <v>0.57638888888888884</v>
      </c>
      <c r="AN2734" t="s">
        <v>66</v>
      </c>
      <c r="AO2734" t="s">
        <v>67</v>
      </c>
    </row>
    <row r="2735" spans="1:41" x14ac:dyDescent="0.2">
      <c r="A2735">
        <v>366713</v>
      </c>
      <c r="B2735" t="s">
        <v>16872</v>
      </c>
      <c r="C2735" t="s">
        <v>5626</v>
      </c>
      <c r="D2735" t="s">
        <v>16873</v>
      </c>
      <c r="E2735" s="5" t="s">
        <v>16874</v>
      </c>
      <c r="G2735" s="1">
        <v>45242</v>
      </c>
      <c r="H2735" s="1">
        <v>45614</v>
      </c>
      <c r="I2735" s="1">
        <v>45962</v>
      </c>
      <c r="J2735" t="s">
        <v>45</v>
      </c>
      <c r="K2735" t="s">
        <v>45</v>
      </c>
      <c r="L2735" t="s">
        <v>72</v>
      </c>
      <c r="N2735" t="s">
        <v>47</v>
      </c>
      <c r="O2735" t="s">
        <v>48</v>
      </c>
      <c r="P2735" t="s">
        <v>49</v>
      </c>
      <c r="Q2735" t="s">
        <v>16875</v>
      </c>
      <c r="R2735" t="s">
        <v>16876</v>
      </c>
      <c r="S2735">
        <v>75</v>
      </c>
      <c r="T2735" t="s">
        <v>257</v>
      </c>
      <c r="U2735" t="s">
        <v>1691</v>
      </c>
      <c r="V2735" t="s">
        <v>16877</v>
      </c>
      <c r="W2735" t="s">
        <v>260</v>
      </c>
      <c r="X2735" t="s">
        <v>257</v>
      </c>
      <c r="Y2735" t="s">
        <v>110</v>
      </c>
      <c r="Z2735">
        <v>12191</v>
      </c>
      <c r="AA2735">
        <v>9</v>
      </c>
      <c r="AB2735">
        <v>37</v>
      </c>
      <c r="AC2735" t="s">
        <v>5634</v>
      </c>
      <c r="AD2735" t="s">
        <v>5635</v>
      </c>
      <c r="AE2735" t="s">
        <v>5636</v>
      </c>
      <c r="AJ2735" s="2">
        <v>45635.685636574075</v>
      </c>
      <c r="AK2735" t="s">
        <v>5634</v>
      </c>
      <c r="AL2735" t="s">
        <v>65</v>
      </c>
      <c r="AM2735" s="3">
        <v>1.2395833333333333</v>
      </c>
      <c r="AN2735" t="s">
        <v>66</v>
      </c>
      <c r="AO2735" t="s">
        <v>101</v>
      </c>
    </row>
    <row r="2736" spans="1:41" x14ac:dyDescent="0.2">
      <c r="A2736">
        <v>366784</v>
      </c>
      <c r="B2736" t="s">
        <v>5631</v>
      </c>
      <c r="C2736" t="s">
        <v>236</v>
      </c>
      <c r="D2736" t="s">
        <v>16878</v>
      </c>
      <c r="E2736" t="s">
        <v>16879</v>
      </c>
      <c r="F2736">
        <v>213403</v>
      </c>
      <c r="G2736" s="1">
        <v>41121</v>
      </c>
      <c r="H2736" s="1">
        <v>45602</v>
      </c>
      <c r="J2736" t="s">
        <v>45</v>
      </c>
      <c r="K2736" t="s">
        <v>45</v>
      </c>
      <c r="L2736" t="s">
        <v>72</v>
      </c>
      <c r="M2736" s="1">
        <v>43040</v>
      </c>
      <c r="N2736" t="s">
        <v>47</v>
      </c>
      <c r="O2736" t="s">
        <v>48</v>
      </c>
      <c r="P2736" t="s">
        <v>586</v>
      </c>
      <c r="Q2736" t="s">
        <v>16880</v>
      </c>
      <c r="R2736" t="s">
        <v>16881</v>
      </c>
      <c r="S2736">
        <v>920</v>
      </c>
      <c r="T2736" t="s">
        <v>92</v>
      </c>
      <c r="U2736" t="s">
        <v>1509</v>
      </c>
      <c r="V2736" t="s">
        <v>506</v>
      </c>
      <c r="W2736" t="s">
        <v>1510</v>
      </c>
      <c r="X2736" t="s">
        <v>92</v>
      </c>
      <c r="Y2736" t="s">
        <v>410</v>
      </c>
      <c r="Z2736">
        <v>5626</v>
      </c>
      <c r="AA2736">
        <v>22</v>
      </c>
      <c r="AB2736">
        <v>28</v>
      </c>
      <c r="AC2736" t="s">
        <v>1511</v>
      </c>
      <c r="AD2736" t="s">
        <v>1512</v>
      </c>
      <c r="AE2736" t="s">
        <v>1513</v>
      </c>
      <c r="AF2736" t="s">
        <v>12383</v>
      </c>
      <c r="AG2736" t="s">
        <v>12384</v>
      </c>
      <c r="AH2736" t="s">
        <v>16882</v>
      </c>
      <c r="AI2736" t="s">
        <v>16883</v>
      </c>
      <c r="AJ2736" s="2">
        <v>45791.806805555556</v>
      </c>
      <c r="AK2736" t="s">
        <v>100</v>
      </c>
      <c r="AL2736" t="s">
        <v>65</v>
      </c>
      <c r="AM2736" s="4">
        <v>0.65972222222222221</v>
      </c>
      <c r="AN2736" t="s">
        <v>66</v>
      </c>
      <c r="AO2736" t="s">
        <v>67</v>
      </c>
    </row>
    <row r="2737" spans="1:41" x14ac:dyDescent="0.2">
      <c r="A2737">
        <v>372774</v>
      </c>
      <c r="B2737" t="s">
        <v>16884</v>
      </c>
      <c r="C2737" t="s">
        <v>69</v>
      </c>
      <c r="D2737" t="s">
        <v>7458</v>
      </c>
      <c r="E2737" t="s">
        <v>16885</v>
      </c>
      <c r="G2737" s="1">
        <v>45853</v>
      </c>
      <c r="H2737" s="1">
        <v>45572</v>
      </c>
      <c r="I2737" s="1">
        <v>45976</v>
      </c>
      <c r="J2737" t="s">
        <v>45</v>
      </c>
      <c r="K2737" t="s">
        <v>45</v>
      </c>
      <c r="L2737" t="s">
        <v>72</v>
      </c>
      <c r="N2737" t="s">
        <v>47</v>
      </c>
      <c r="O2737" t="s">
        <v>121</v>
      </c>
      <c r="P2737" t="s">
        <v>49</v>
      </c>
      <c r="Q2737" t="s">
        <v>16886</v>
      </c>
      <c r="R2737" t="s">
        <v>16887</v>
      </c>
      <c r="S2737">
        <v>60053</v>
      </c>
      <c r="T2737" t="s">
        <v>52</v>
      </c>
      <c r="U2737">
        <v>1</v>
      </c>
      <c r="V2737" t="s">
        <v>3148</v>
      </c>
      <c r="W2737" t="s">
        <v>54</v>
      </c>
      <c r="X2737" t="s">
        <v>52</v>
      </c>
      <c r="Y2737" t="s">
        <v>125</v>
      </c>
      <c r="Z2737">
        <v>2707</v>
      </c>
      <c r="AA2737">
        <v>76</v>
      </c>
      <c r="AB2737">
        <v>158</v>
      </c>
      <c r="AC2737" t="s">
        <v>16888</v>
      </c>
      <c r="AD2737" t="s">
        <v>16889</v>
      </c>
      <c r="AE2737" t="s">
        <v>16890</v>
      </c>
      <c r="AF2737" t="s">
        <v>16891</v>
      </c>
      <c r="AG2737" t="s">
        <v>16892</v>
      </c>
      <c r="AH2737" t="s">
        <v>16893</v>
      </c>
      <c r="AJ2737" s="2">
        <v>45853.667916666665</v>
      </c>
      <c r="AK2737" t="s">
        <v>2068</v>
      </c>
      <c r="AL2737" t="s">
        <v>65</v>
      </c>
      <c r="AM2737" s="3">
        <v>2.4305555555555554</v>
      </c>
      <c r="AN2737" t="s">
        <v>66</v>
      </c>
      <c r="AO2737" t="s">
        <v>67</v>
      </c>
    </row>
    <row r="2738" spans="1:41" x14ac:dyDescent="0.2">
      <c r="A2738">
        <v>367914</v>
      </c>
      <c r="B2738" t="s">
        <v>16894</v>
      </c>
      <c r="C2738" t="s">
        <v>788</v>
      </c>
      <c r="E2738" t="s">
        <v>16895</v>
      </c>
      <c r="F2738">
        <v>82202</v>
      </c>
      <c r="G2738" s="1">
        <v>37601</v>
      </c>
      <c r="H2738" s="1">
        <v>45691</v>
      </c>
      <c r="J2738" t="s">
        <v>45</v>
      </c>
      <c r="K2738" t="s">
        <v>326</v>
      </c>
      <c r="L2738" t="s">
        <v>72</v>
      </c>
      <c r="M2738" s="1">
        <v>43433</v>
      </c>
      <c r="N2738" t="s">
        <v>47</v>
      </c>
      <c r="O2738" t="s">
        <v>48</v>
      </c>
      <c r="P2738" t="s">
        <v>49</v>
      </c>
      <c r="Q2738" t="s">
        <v>16896</v>
      </c>
      <c r="R2738" t="s">
        <v>16897</v>
      </c>
      <c r="S2738">
        <v>15</v>
      </c>
      <c r="T2738" t="s">
        <v>156</v>
      </c>
      <c r="U2738" t="s">
        <v>157</v>
      </c>
      <c r="V2738" t="s">
        <v>12586</v>
      </c>
      <c r="W2738" t="s">
        <v>159</v>
      </c>
      <c r="X2738" t="s">
        <v>156</v>
      </c>
      <c r="Y2738" t="s">
        <v>450</v>
      </c>
      <c r="Z2738">
        <v>2275</v>
      </c>
      <c r="AA2738">
        <v>35</v>
      </c>
      <c r="AB2738">
        <v>80</v>
      </c>
      <c r="AC2738" t="s">
        <v>7163</v>
      </c>
      <c r="AD2738" t="s">
        <v>7164</v>
      </c>
      <c r="AE2738" t="s">
        <v>16898</v>
      </c>
      <c r="AI2738" t="s">
        <v>7164</v>
      </c>
      <c r="AJ2738" s="2">
        <v>45693.805081018516</v>
      </c>
      <c r="AK2738" t="s">
        <v>526</v>
      </c>
      <c r="AL2738" t="s">
        <v>65</v>
      </c>
      <c r="AM2738" s="4">
        <v>0.61805555555555558</v>
      </c>
      <c r="AN2738" t="s">
        <v>66</v>
      </c>
      <c r="AO2738" t="s">
        <v>67</v>
      </c>
    </row>
    <row r="2739" spans="1:41" x14ac:dyDescent="0.2">
      <c r="A2739">
        <v>367916</v>
      </c>
      <c r="B2739" t="s">
        <v>16899</v>
      </c>
      <c r="C2739" t="s">
        <v>788</v>
      </c>
      <c r="E2739" t="s">
        <v>16900</v>
      </c>
      <c r="F2739">
        <v>82203</v>
      </c>
      <c r="G2739" s="1">
        <v>37963</v>
      </c>
      <c r="H2739" s="1">
        <v>45691</v>
      </c>
      <c r="J2739" t="s">
        <v>45</v>
      </c>
      <c r="K2739" t="s">
        <v>326</v>
      </c>
      <c r="L2739" t="s">
        <v>72</v>
      </c>
      <c r="M2739" s="1">
        <v>43433</v>
      </c>
      <c r="N2739" t="s">
        <v>47</v>
      </c>
      <c r="O2739" t="s">
        <v>48</v>
      </c>
      <c r="P2739" t="s">
        <v>49</v>
      </c>
      <c r="Q2739" t="s">
        <v>16901</v>
      </c>
      <c r="R2739" t="s">
        <v>16902</v>
      </c>
      <c r="S2739">
        <v>50</v>
      </c>
      <c r="T2739" t="s">
        <v>156</v>
      </c>
      <c r="U2739" t="s">
        <v>157</v>
      </c>
      <c r="V2739" t="s">
        <v>12586</v>
      </c>
      <c r="W2739" t="s">
        <v>159</v>
      </c>
      <c r="X2739" t="s">
        <v>156</v>
      </c>
      <c r="Y2739" t="s">
        <v>450</v>
      </c>
      <c r="Z2739">
        <v>2476</v>
      </c>
      <c r="AA2739">
        <v>26</v>
      </c>
      <c r="AB2739">
        <v>160</v>
      </c>
      <c r="AC2739" t="s">
        <v>7163</v>
      </c>
      <c r="AD2739" t="s">
        <v>16903</v>
      </c>
      <c r="AE2739" t="s">
        <v>16904</v>
      </c>
      <c r="AI2739" t="s">
        <v>7164</v>
      </c>
      <c r="AJ2739" s="2">
        <v>45693.80568287037</v>
      </c>
      <c r="AK2739" t="s">
        <v>526</v>
      </c>
      <c r="AL2739" t="s">
        <v>65</v>
      </c>
      <c r="AM2739" s="3">
        <v>1.9513888888888888</v>
      </c>
      <c r="AN2739" t="s">
        <v>66</v>
      </c>
      <c r="AO2739" t="s">
        <v>67</v>
      </c>
    </row>
    <row r="2740" spans="1:41" x14ac:dyDescent="0.2">
      <c r="A2740">
        <v>329756</v>
      </c>
      <c r="B2740" t="s">
        <v>16905</v>
      </c>
      <c r="C2740" t="s">
        <v>788</v>
      </c>
      <c r="J2740" t="s">
        <v>45</v>
      </c>
      <c r="K2740" t="s">
        <v>326</v>
      </c>
      <c r="L2740" t="s">
        <v>72</v>
      </c>
      <c r="N2740" t="s">
        <v>89</v>
      </c>
      <c r="O2740" t="s">
        <v>121</v>
      </c>
      <c r="P2740" t="s">
        <v>49</v>
      </c>
      <c r="T2740" t="s">
        <v>156</v>
      </c>
      <c r="U2740" t="s">
        <v>157</v>
      </c>
      <c r="V2740" t="s">
        <v>12586</v>
      </c>
      <c r="W2740" t="s">
        <v>159</v>
      </c>
      <c r="X2740" t="s">
        <v>156</v>
      </c>
      <c r="Z2740">
        <v>8246</v>
      </c>
      <c r="AA2740">
        <v>4</v>
      </c>
      <c r="AB2740">
        <v>2</v>
      </c>
      <c r="AC2740" t="s">
        <v>7163</v>
      </c>
      <c r="AD2740" t="s">
        <v>7164</v>
      </c>
      <c r="AE2740" t="s">
        <v>16898</v>
      </c>
      <c r="AJ2740" s="2">
        <v>44466.801574074074</v>
      </c>
      <c r="AK2740" t="s">
        <v>16906</v>
      </c>
      <c r="AL2740" t="s">
        <v>475</v>
      </c>
      <c r="AM2740" s="4">
        <v>0</v>
      </c>
      <c r="AN2740" t="s">
        <v>66</v>
      </c>
      <c r="AO2740" t="s">
        <v>67</v>
      </c>
    </row>
    <row r="2741" spans="1:41" x14ac:dyDescent="0.2">
      <c r="A2741">
        <v>364992</v>
      </c>
      <c r="B2741" t="s">
        <v>16907</v>
      </c>
      <c r="C2741" t="s">
        <v>735</v>
      </c>
      <c r="D2741" t="s">
        <v>3472</v>
      </c>
      <c r="E2741" t="s">
        <v>16908</v>
      </c>
      <c r="F2741">
        <v>240303</v>
      </c>
      <c r="G2741" s="1">
        <v>38643</v>
      </c>
      <c r="H2741" s="1">
        <v>45562</v>
      </c>
      <c r="I2741" s="1">
        <v>46249</v>
      </c>
      <c r="J2741" t="s">
        <v>45</v>
      </c>
      <c r="K2741" t="s">
        <v>45</v>
      </c>
      <c r="L2741" t="s">
        <v>429</v>
      </c>
      <c r="M2741" s="1">
        <v>38643</v>
      </c>
      <c r="N2741" t="s">
        <v>47</v>
      </c>
      <c r="O2741" t="s">
        <v>48</v>
      </c>
      <c r="P2741" t="s">
        <v>49</v>
      </c>
      <c r="Q2741" t="s">
        <v>16909</v>
      </c>
      <c r="R2741" t="s">
        <v>16910</v>
      </c>
      <c r="S2741">
        <v>4557</v>
      </c>
      <c r="T2741" t="s">
        <v>296</v>
      </c>
      <c r="U2741" t="s">
        <v>1487</v>
      </c>
      <c r="V2741" t="s">
        <v>3476</v>
      </c>
      <c r="W2741" t="s">
        <v>299</v>
      </c>
      <c r="X2741" t="s">
        <v>76</v>
      </c>
      <c r="Y2741" t="s">
        <v>56</v>
      </c>
      <c r="Z2741">
        <v>4</v>
      </c>
      <c r="AA2741">
        <v>53</v>
      </c>
      <c r="AB2741">
        <v>176</v>
      </c>
      <c r="AC2741" t="s">
        <v>3477</v>
      </c>
      <c r="AD2741" t="s">
        <v>3478</v>
      </c>
      <c r="AE2741" t="s">
        <v>3479</v>
      </c>
      <c r="AI2741" t="s">
        <v>1494</v>
      </c>
      <c r="AJ2741" s="2">
        <v>45566.638310185182</v>
      </c>
      <c r="AK2741" t="s">
        <v>717</v>
      </c>
      <c r="AL2741" t="s">
        <v>65</v>
      </c>
      <c r="AM2741" s="4">
        <v>0.46527777777777779</v>
      </c>
      <c r="AN2741" t="s">
        <v>809</v>
      </c>
      <c r="AO2741" t="s">
        <v>67</v>
      </c>
    </row>
    <row r="2742" spans="1:41" x14ac:dyDescent="0.2">
      <c r="A2742">
        <v>364119</v>
      </c>
      <c r="B2742" t="s">
        <v>16911</v>
      </c>
      <c r="C2742" t="s">
        <v>735</v>
      </c>
      <c r="D2742" t="s">
        <v>2939</v>
      </c>
      <c r="E2742" t="s">
        <v>16912</v>
      </c>
      <c r="F2742">
        <v>241302</v>
      </c>
      <c r="G2742" s="1">
        <v>34602</v>
      </c>
      <c r="H2742" s="1">
        <v>45528</v>
      </c>
      <c r="I2742" s="1">
        <v>46235</v>
      </c>
      <c r="J2742" t="s">
        <v>45</v>
      </c>
      <c r="K2742" t="s">
        <v>45</v>
      </c>
      <c r="L2742" t="s">
        <v>545</v>
      </c>
      <c r="M2742" s="1">
        <v>43689</v>
      </c>
      <c r="N2742" t="s">
        <v>47</v>
      </c>
      <c r="O2742" t="s">
        <v>48</v>
      </c>
      <c r="P2742" t="s">
        <v>49</v>
      </c>
      <c r="Q2742" t="s">
        <v>16913</v>
      </c>
      <c r="R2742" t="s">
        <v>16914</v>
      </c>
      <c r="S2742">
        <v>2678</v>
      </c>
      <c r="T2742" t="s">
        <v>52</v>
      </c>
      <c r="U2742">
        <v>1</v>
      </c>
      <c r="V2742" t="s">
        <v>2926</v>
      </c>
      <c r="W2742" t="s">
        <v>54</v>
      </c>
      <c r="X2742" t="s">
        <v>76</v>
      </c>
      <c r="Y2742" t="s">
        <v>56</v>
      </c>
      <c r="Z2742">
        <v>1008</v>
      </c>
      <c r="AA2742">
        <v>64</v>
      </c>
      <c r="AB2742">
        <v>146</v>
      </c>
      <c r="AC2742" t="s">
        <v>2927</v>
      </c>
      <c r="AD2742" t="s">
        <v>2928</v>
      </c>
      <c r="AE2742" t="s">
        <v>2929</v>
      </c>
      <c r="AF2742" t="s">
        <v>11261</v>
      </c>
      <c r="AG2742" t="s">
        <v>11256</v>
      </c>
      <c r="AH2742" t="s">
        <v>11254</v>
      </c>
      <c r="AI2742" t="s">
        <v>13740</v>
      </c>
      <c r="AJ2742" s="2">
        <v>45533.591041666667</v>
      </c>
      <c r="AK2742" t="s">
        <v>568</v>
      </c>
      <c r="AL2742" t="s">
        <v>65</v>
      </c>
      <c r="AM2742" s="4">
        <v>9.7222222222222224E-2</v>
      </c>
      <c r="AN2742" t="s">
        <v>66</v>
      </c>
      <c r="AO2742" t="s">
        <v>67</v>
      </c>
    </row>
    <row r="2743" spans="1:41" x14ac:dyDescent="0.2">
      <c r="A2743">
        <v>372794</v>
      </c>
      <c r="B2743" t="s">
        <v>16915</v>
      </c>
      <c r="C2743" t="s">
        <v>197</v>
      </c>
      <c r="E2743" t="s">
        <v>16916</v>
      </c>
      <c r="F2743">
        <v>99902</v>
      </c>
      <c r="G2743" s="1">
        <v>38462</v>
      </c>
      <c r="H2743" s="1">
        <v>45366</v>
      </c>
      <c r="I2743" s="1">
        <v>46127</v>
      </c>
      <c r="J2743" t="s">
        <v>45</v>
      </c>
      <c r="K2743" t="s">
        <v>45</v>
      </c>
      <c r="L2743" t="s">
        <v>72</v>
      </c>
      <c r="M2743" s="1">
        <v>45366</v>
      </c>
      <c r="N2743" t="s">
        <v>47</v>
      </c>
      <c r="O2743" t="s">
        <v>48</v>
      </c>
      <c r="P2743" t="s">
        <v>49</v>
      </c>
      <c r="Q2743" t="s">
        <v>16917</v>
      </c>
      <c r="R2743" t="s">
        <v>16918</v>
      </c>
      <c r="S2743">
        <v>25</v>
      </c>
      <c r="T2743" t="s">
        <v>257</v>
      </c>
      <c r="U2743" t="s">
        <v>1691</v>
      </c>
      <c r="V2743" t="s">
        <v>16919</v>
      </c>
      <c r="W2743" t="s">
        <v>260</v>
      </c>
      <c r="X2743" t="s">
        <v>257</v>
      </c>
      <c r="Y2743" t="s">
        <v>110</v>
      </c>
      <c r="Z2743">
        <v>2727</v>
      </c>
      <c r="AA2743">
        <v>34</v>
      </c>
      <c r="AB2743">
        <v>45</v>
      </c>
      <c r="AC2743" t="s">
        <v>16920</v>
      </c>
      <c r="AD2743" t="s">
        <v>16921</v>
      </c>
      <c r="AE2743" t="s">
        <v>16922</v>
      </c>
      <c r="AI2743" t="s">
        <v>16921</v>
      </c>
      <c r="AJ2743" s="2">
        <v>45853.842638888891</v>
      </c>
      <c r="AK2743" t="s">
        <v>16920</v>
      </c>
      <c r="AL2743" t="s">
        <v>65</v>
      </c>
      <c r="AM2743" s="4">
        <v>0.80555555555555558</v>
      </c>
      <c r="AN2743" t="s">
        <v>66</v>
      </c>
      <c r="AO2743" t="s">
        <v>101</v>
      </c>
    </row>
    <row r="2744" spans="1:41" x14ac:dyDescent="0.2">
      <c r="A2744">
        <v>369698</v>
      </c>
      <c r="B2744" t="s">
        <v>16915</v>
      </c>
      <c r="C2744" t="s">
        <v>5138</v>
      </c>
      <c r="D2744" t="s">
        <v>16923</v>
      </c>
      <c r="E2744" t="s">
        <v>16924</v>
      </c>
      <c r="F2744">
        <v>146501</v>
      </c>
      <c r="G2744" s="1">
        <v>37664</v>
      </c>
      <c r="H2744" s="1">
        <v>45553</v>
      </c>
      <c r="J2744" t="s">
        <v>45</v>
      </c>
      <c r="K2744" t="s">
        <v>45</v>
      </c>
      <c r="L2744" t="s">
        <v>72</v>
      </c>
      <c r="M2744" s="1">
        <v>39030</v>
      </c>
      <c r="N2744" t="s">
        <v>47</v>
      </c>
      <c r="O2744" t="s">
        <v>48</v>
      </c>
      <c r="P2744" t="s">
        <v>49</v>
      </c>
      <c r="Q2744" t="s">
        <v>16925</v>
      </c>
      <c r="R2744" t="s">
        <v>16926</v>
      </c>
      <c r="S2744">
        <v>1768</v>
      </c>
      <c r="T2744" t="s">
        <v>156</v>
      </c>
      <c r="U2744" t="s">
        <v>1018</v>
      </c>
      <c r="V2744" t="s">
        <v>10320</v>
      </c>
      <c r="W2744" t="s">
        <v>159</v>
      </c>
      <c r="X2744" t="s">
        <v>156</v>
      </c>
      <c r="Y2744" t="s">
        <v>450</v>
      </c>
      <c r="Z2744">
        <v>2223</v>
      </c>
      <c r="AA2744">
        <v>46</v>
      </c>
      <c r="AB2744">
        <v>52</v>
      </c>
      <c r="AC2744" t="s">
        <v>10321</v>
      </c>
      <c r="AD2744" t="s">
        <v>1043</v>
      </c>
      <c r="AE2744" t="s">
        <v>1044</v>
      </c>
      <c r="AF2744" t="s">
        <v>16927</v>
      </c>
      <c r="AG2744" t="s">
        <v>16928</v>
      </c>
      <c r="AH2744" t="s">
        <v>16929</v>
      </c>
      <c r="AI2744" t="s">
        <v>10325</v>
      </c>
      <c r="AJ2744" s="2">
        <v>45749.592499999999</v>
      </c>
      <c r="AK2744" t="s">
        <v>1024</v>
      </c>
      <c r="AL2744" t="s">
        <v>65</v>
      </c>
      <c r="AM2744" s="3">
        <v>2.4583333333333335</v>
      </c>
      <c r="AN2744" t="s">
        <v>66</v>
      </c>
      <c r="AO2744" t="s">
        <v>67</v>
      </c>
    </row>
    <row r="2745" spans="1:41" x14ac:dyDescent="0.2">
      <c r="A2745">
        <v>373088</v>
      </c>
      <c r="B2745" t="s">
        <v>16930</v>
      </c>
      <c r="C2745" t="s">
        <v>558</v>
      </c>
      <c r="D2745" t="s">
        <v>746</v>
      </c>
      <c r="E2745" t="s">
        <v>16931</v>
      </c>
      <c r="F2745">
        <v>260315</v>
      </c>
      <c r="G2745" s="1">
        <v>35538</v>
      </c>
      <c r="H2745" s="1">
        <v>45856</v>
      </c>
      <c r="I2745" s="1">
        <v>46188</v>
      </c>
      <c r="J2745" t="s">
        <v>45</v>
      </c>
      <c r="K2745" t="s">
        <v>45</v>
      </c>
      <c r="L2745" t="s">
        <v>429</v>
      </c>
      <c r="M2745" s="1">
        <v>41447</v>
      </c>
      <c r="N2745" t="s">
        <v>47</v>
      </c>
      <c r="O2745" t="s">
        <v>48</v>
      </c>
      <c r="P2745" t="s">
        <v>49</v>
      </c>
      <c r="Q2745" t="s">
        <v>16932</v>
      </c>
      <c r="R2745" t="s">
        <v>16933</v>
      </c>
      <c r="S2745">
        <v>6790</v>
      </c>
      <c r="T2745" t="s">
        <v>365</v>
      </c>
      <c r="U2745" t="s">
        <v>562</v>
      </c>
      <c r="V2745" t="s">
        <v>749</v>
      </c>
      <c r="W2745" t="s">
        <v>367</v>
      </c>
      <c r="X2745" t="s">
        <v>76</v>
      </c>
      <c r="Y2745" t="s">
        <v>434</v>
      </c>
      <c r="Z2745">
        <v>1297</v>
      </c>
      <c r="AA2745">
        <v>48</v>
      </c>
      <c r="AB2745">
        <v>138</v>
      </c>
      <c r="AC2745" t="s">
        <v>750</v>
      </c>
      <c r="AD2745" t="s">
        <v>751</v>
      </c>
      <c r="AE2745" t="s">
        <v>752</v>
      </c>
      <c r="AI2745" t="s">
        <v>500</v>
      </c>
      <c r="AJ2745" s="2">
        <v>45857.042800925927</v>
      </c>
      <c r="AK2745" t="s">
        <v>375</v>
      </c>
      <c r="AL2745" t="s">
        <v>65</v>
      </c>
      <c r="AM2745" s="3">
        <v>1.0972222222222223</v>
      </c>
      <c r="AN2745" t="s">
        <v>66</v>
      </c>
      <c r="AO2745" t="s">
        <v>67</v>
      </c>
    </row>
    <row r="2746" spans="1:41" x14ac:dyDescent="0.2">
      <c r="A2746">
        <v>372085</v>
      </c>
      <c r="B2746" t="s">
        <v>16934</v>
      </c>
      <c r="C2746" t="s">
        <v>323</v>
      </c>
      <c r="E2746" t="s">
        <v>16935</v>
      </c>
      <c r="G2746" s="1">
        <v>37740</v>
      </c>
      <c r="H2746" s="1">
        <v>45827</v>
      </c>
      <c r="J2746" t="s">
        <v>72</v>
      </c>
      <c r="K2746" t="s">
        <v>326</v>
      </c>
      <c r="L2746" t="s">
        <v>72</v>
      </c>
      <c r="N2746" t="s">
        <v>47</v>
      </c>
      <c r="O2746" t="s">
        <v>48</v>
      </c>
      <c r="P2746" t="s">
        <v>406</v>
      </c>
      <c r="Q2746" t="s">
        <v>16936</v>
      </c>
      <c r="R2746" t="s">
        <v>16937</v>
      </c>
      <c r="S2746">
        <v>1800</v>
      </c>
      <c r="T2746" t="s">
        <v>257</v>
      </c>
      <c r="U2746" t="s">
        <v>329</v>
      </c>
      <c r="V2746" t="s">
        <v>6178</v>
      </c>
      <c r="W2746" t="s">
        <v>3303</v>
      </c>
      <c r="X2746" t="s">
        <v>257</v>
      </c>
      <c r="Y2746" t="s">
        <v>642</v>
      </c>
      <c r="Z2746">
        <v>2615</v>
      </c>
      <c r="AA2746">
        <v>32</v>
      </c>
      <c r="AB2746">
        <v>172</v>
      </c>
      <c r="AC2746" t="s">
        <v>5079</v>
      </c>
      <c r="AD2746" t="s">
        <v>1165</v>
      </c>
      <c r="AE2746" t="s">
        <v>1166</v>
      </c>
      <c r="AF2746" t="s">
        <v>4983</v>
      </c>
      <c r="AG2746" t="s">
        <v>4984</v>
      </c>
      <c r="AH2746" t="s">
        <v>4985</v>
      </c>
      <c r="AJ2746" s="2">
        <v>45828.990659722222</v>
      </c>
      <c r="AK2746" t="s">
        <v>1164</v>
      </c>
      <c r="AL2746" t="s">
        <v>1168</v>
      </c>
      <c r="AM2746" s="3">
        <v>1.4236111111111112</v>
      </c>
      <c r="AN2746" t="s">
        <v>66</v>
      </c>
      <c r="AO2746" t="s">
        <v>67</v>
      </c>
    </row>
    <row r="2747" spans="1:41" x14ac:dyDescent="0.2">
      <c r="A2747">
        <v>371160</v>
      </c>
      <c r="B2747" t="s">
        <v>16934</v>
      </c>
      <c r="C2747" t="s">
        <v>182</v>
      </c>
      <c r="D2747" t="s">
        <v>6516</v>
      </c>
      <c r="E2747" t="s">
        <v>16938</v>
      </c>
      <c r="F2747">
        <v>41310</v>
      </c>
      <c r="G2747" s="1">
        <v>36480</v>
      </c>
      <c r="H2747" s="1">
        <v>45797</v>
      </c>
      <c r="I2747" s="1">
        <v>46218</v>
      </c>
      <c r="J2747" t="s">
        <v>45</v>
      </c>
      <c r="K2747" t="s">
        <v>45</v>
      </c>
      <c r="L2747" t="s">
        <v>429</v>
      </c>
      <c r="M2747" s="1">
        <v>41868</v>
      </c>
      <c r="N2747" t="s">
        <v>47</v>
      </c>
      <c r="O2747" t="s">
        <v>48</v>
      </c>
      <c r="P2747" t="s">
        <v>49</v>
      </c>
      <c r="Q2747" t="s">
        <v>16939</v>
      </c>
      <c r="R2747" t="s">
        <v>16940</v>
      </c>
      <c r="S2747">
        <v>6207</v>
      </c>
      <c r="T2747" t="s">
        <v>52</v>
      </c>
      <c r="U2747">
        <v>5</v>
      </c>
      <c r="V2747" t="s">
        <v>4389</v>
      </c>
      <c r="W2747" t="s">
        <v>54</v>
      </c>
      <c r="X2747" t="s">
        <v>493</v>
      </c>
      <c r="Y2747" t="s">
        <v>434</v>
      </c>
      <c r="Z2747">
        <v>746</v>
      </c>
      <c r="AA2747">
        <v>64</v>
      </c>
      <c r="AB2747">
        <v>34</v>
      </c>
      <c r="AC2747" t="s">
        <v>15273</v>
      </c>
      <c r="AD2747" t="s">
        <v>16941</v>
      </c>
      <c r="AE2747" t="s">
        <v>15275</v>
      </c>
      <c r="AF2747" t="s">
        <v>16942</v>
      </c>
      <c r="AG2747" t="s">
        <v>16943</v>
      </c>
      <c r="AH2747" t="s">
        <v>16944</v>
      </c>
      <c r="AI2747" t="s">
        <v>16945</v>
      </c>
      <c r="AJ2747" s="2">
        <v>45797.806562500002</v>
      </c>
      <c r="AK2747" t="s">
        <v>660</v>
      </c>
      <c r="AL2747" t="s">
        <v>65</v>
      </c>
      <c r="AM2747" s="3">
        <v>1.3888888888888888</v>
      </c>
      <c r="AN2747" t="s">
        <v>66</v>
      </c>
      <c r="AO2747" t="s">
        <v>67</v>
      </c>
    </row>
    <row r="2748" spans="1:41" x14ac:dyDescent="0.2">
      <c r="A2748">
        <v>371095</v>
      </c>
      <c r="B2748" t="s">
        <v>16946</v>
      </c>
      <c r="C2748" t="s">
        <v>86</v>
      </c>
      <c r="D2748" t="s">
        <v>15810</v>
      </c>
      <c r="E2748" t="s">
        <v>16947</v>
      </c>
      <c r="G2748" s="1">
        <v>45293</v>
      </c>
      <c r="H2748" s="1">
        <v>45794</v>
      </c>
      <c r="I2748" s="1">
        <v>46143</v>
      </c>
      <c r="J2748" t="s">
        <v>45</v>
      </c>
      <c r="K2748" t="s">
        <v>45</v>
      </c>
      <c r="L2748" t="s">
        <v>72</v>
      </c>
      <c r="N2748" t="s">
        <v>47</v>
      </c>
      <c r="O2748" t="s">
        <v>48</v>
      </c>
      <c r="P2748" t="s">
        <v>49</v>
      </c>
      <c r="Q2748" t="s">
        <v>16948</v>
      </c>
      <c r="R2748" t="s">
        <v>16949</v>
      </c>
      <c r="S2748">
        <v>880</v>
      </c>
      <c r="T2748" t="s">
        <v>92</v>
      </c>
      <c r="U2748" t="s">
        <v>93</v>
      </c>
      <c r="V2748" t="s">
        <v>506</v>
      </c>
      <c r="W2748" t="s">
        <v>507</v>
      </c>
      <c r="X2748" t="s">
        <v>92</v>
      </c>
      <c r="Y2748" t="s">
        <v>110</v>
      </c>
      <c r="Z2748">
        <v>12196</v>
      </c>
      <c r="AA2748">
        <v>10</v>
      </c>
      <c r="AB2748">
        <v>48</v>
      </c>
      <c r="AC2748" t="s">
        <v>508</v>
      </c>
      <c r="AD2748" t="s">
        <v>509</v>
      </c>
      <c r="AE2748" t="s">
        <v>2361</v>
      </c>
      <c r="AF2748" t="s">
        <v>16950</v>
      </c>
      <c r="AG2748" t="s">
        <v>16951</v>
      </c>
      <c r="AH2748" t="s">
        <v>16952</v>
      </c>
      <c r="AJ2748" s="2">
        <v>45796.457025462965</v>
      </c>
      <c r="AK2748" t="s">
        <v>508</v>
      </c>
      <c r="AL2748" t="s">
        <v>65</v>
      </c>
      <c r="AM2748" s="4">
        <v>0.55902777777777779</v>
      </c>
      <c r="AN2748" t="s">
        <v>66</v>
      </c>
      <c r="AO2748" t="s">
        <v>67</v>
      </c>
    </row>
    <row r="2749" spans="1:41" x14ac:dyDescent="0.2">
      <c r="A2749">
        <v>364297</v>
      </c>
      <c r="B2749" t="s">
        <v>16946</v>
      </c>
      <c r="C2749" t="s">
        <v>69</v>
      </c>
      <c r="D2749" t="s">
        <v>3131</v>
      </c>
      <c r="E2749">
        <v>32858376</v>
      </c>
      <c r="F2749">
        <v>101809</v>
      </c>
      <c r="G2749" s="1">
        <v>37473</v>
      </c>
      <c r="H2749" s="1">
        <v>45538</v>
      </c>
      <c r="I2749" s="1">
        <v>46249</v>
      </c>
      <c r="J2749" t="s">
        <v>45</v>
      </c>
      <c r="K2749" t="s">
        <v>45</v>
      </c>
      <c r="L2749" t="s">
        <v>72</v>
      </c>
      <c r="M2749" s="1">
        <v>41898</v>
      </c>
      <c r="N2749" t="s">
        <v>47</v>
      </c>
      <c r="O2749" t="s">
        <v>48</v>
      </c>
      <c r="P2749" t="s">
        <v>49</v>
      </c>
      <c r="Q2749" t="s">
        <v>16953</v>
      </c>
      <c r="R2749" t="s">
        <v>16954</v>
      </c>
      <c r="S2749">
        <v>6523</v>
      </c>
      <c r="T2749" t="s">
        <v>52</v>
      </c>
      <c r="U2749">
        <v>4</v>
      </c>
      <c r="V2749" t="s">
        <v>5619</v>
      </c>
      <c r="W2749" t="s">
        <v>54</v>
      </c>
      <c r="X2749" t="s">
        <v>76</v>
      </c>
      <c r="Y2749" t="s">
        <v>56</v>
      </c>
      <c r="Z2749">
        <v>2056</v>
      </c>
      <c r="AA2749">
        <v>54</v>
      </c>
      <c r="AB2749">
        <v>158</v>
      </c>
      <c r="AC2749" t="s">
        <v>5620</v>
      </c>
      <c r="AD2749" t="s">
        <v>5621</v>
      </c>
      <c r="AE2749" t="s">
        <v>5622</v>
      </c>
      <c r="AF2749" t="s">
        <v>3690</v>
      </c>
      <c r="AG2749" t="s">
        <v>3691</v>
      </c>
      <c r="AH2749" t="s">
        <v>3692</v>
      </c>
      <c r="AI2749" t="s">
        <v>7571</v>
      </c>
      <c r="AJ2749" s="2">
        <v>45539.986296296294</v>
      </c>
      <c r="AK2749" t="s">
        <v>704</v>
      </c>
      <c r="AL2749" t="s">
        <v>65</v>
      </c>
      <c r="AM2749" s="3">
        <v>1.6458333333333333</v>
      </c>
      <c r="AN2749" t="s">
        <v>66</v>
      </c>
      <c r="AO2749" t="s">
        <v>67</v>
      </c>
    </row>
    <row r="2750" spans="1:41" x14ac:dyDescent="0.2">
      <c r="A2750">
        <v>367607</v>
      </c>
      <c r="B2750" t="s">
        <v>16955</v>
      </c>
      <c r="C2750" t="s">
        <v>118</v>
      </c>
      <c r="D2750" t="s">
        <v>4931</v>
      </c>
      <c r="E2750" t="s">
        <v>16956</v>
      </c>
      <c r="F2750">
        <v>20509</v>
      </c>
      <c r="G2750" s="1">
        <v>30741</v>
      </c>
      <c r="H2750" s="1">
        <v>45681</v>
      </c>
      <c r="I2750" s="1">
        <v>46023</v>
      </c>
      <c r="J2750" t="s">
        <v>45</v>
      </c>
      <c r="K2750" t="s">
        <v>45</v>
      </c>
      <c r="L2750" t="s">
        <v>429</v>
      </c>
      <c r="M2750" s="1">
        <v>43147</v>
      </c>
      <c r="N2750" t="s">
        <v>47</v>
      </c>
      <c r="O2750" t="s">
        <v>48</v>
      </c>
      <c r="P2750" t="s">
        <v>49</v>
      </c>
      <c r="Q2750" t="s">
        <v>16957</v>
      </c>
      <c r="R2750" t="s">
        <v>16958</v>
      </c>
      <c r="S2750">
        <v>3600</v>
      </c>
      <c r="T2750" t="s">
        <v>365</v>
      </c>
      <c r="U2750" t="s">
        <v>815</v>
      </c>
      <c r="V2750" t="s">
        <v>2124</v>
      </c>
      <c r="W2750" t="s">
        <v>367</v>
      </c>
      <c r="X2750" t="s">
        <v>55</v>
      </c>
      <c r="Y2750" t="s">
        <v>434</v>
      </c>
      <c r="Z2750">
        <v>55</v>
      </c>
      <c r="AA2750">
        <v>53</v>
      </c>
      <c r="AB2750">
        <v>28</v>
      </c>
      <c r="AC2750" t="s">
        <v>2125</v>
      </c>
      <c r="AD2750" t="s">
        <v>9141</v>
      </c>
      <c r="AE2750" t="s">
        <v>2127</v>
      </c>
      <c r="AF2750" t="s">
        <v>2128</v>
      </c>
      <c r="AG2750" t="s">
        <v>2129</v>
      </c>
      <c r="AH2750" t="s">
        <v>2130</v>
      </c>
      <c r="AI2750" t="s">
        <v>179</v>
      </c>
      <c r="AJ2750" s="2">
        <v>45684.619768518518</v>
      </c>
      <c r="AK2750" t="s">
        <v>64</v>
      </c>
      <c r="AL2750" t="s">
        <v>65</v>
      </c>
      <c r="AM2750" s="4">
        <v>5.5555555555555552E-2</v>
      </c>
      <c r="AN2750" t="s">
        <v>66</v>
      </c>
      <c r="AO2750" t="s">
        <v>67</v>
      </c>
    </row>
    <row r="2751" spans="1:41" x14ac:dyDescent="0.2">
      <c r="A2751">
        <v>367980</v>
      </c>
      <c r="B2751" t="s">
        <v>16959</v>
      </c>
      <c r="C2751" t="s">
        <v>763</v>
      </c>
      <c r="D2751" t="s">
        <v>5627</v>
      </c>
      <c r="E2751" t="s">
        <v>16960</v>
      </c>
      <c r="F2751">
        <v>472201</v>
      </c>
      <c r="G2751" s="1">
        <v>43543</v>
      </c>
      <c r="H2751" s="1">
        <v>45406</v>
      </c>
      <c r="J2751" t="s">
        <v>45</v>
      </c>
      <c r="K2751" t="s">
        <v>45</v>
      </c>
      <c r="L2751" t="s">
        <v>72</v>
      </c>
      <c r="N2751" t="s">
        <v>47</v>
      </c>
      <c r="O2751" t="s">
        <v>48</v>
      </c>
      <c r="P2751" t="s">
        <v>49</v>
      </c>
      <c r="Q2751" t="s">
        <v>16961</v>
      </c>
      <c r="R2751" t="s">
        <v>16962</v>
      </c>
      <c r="S2751">
        <v>980</v>
      </c>
      <c r="T2751" t="s">
        <v>92</v>
      </c>
      <c r="U2751" t="s">
        <v>767</v>
      </c>
      <c r="V2751" t="s">
        <v>768</v>
      </c>
      <c r="W2751" t="s">
        <v>769</v>
      </c>
      <c r="X2751" t="s">
        <v>92</v>
      </c>
      <c r="Y2751" t="s">
        <v>770</v>
      </c>
      <c r="Z2751">
        <v>10189</v>
      </c>
      <c r="AA2751">
        <v>20</v>
      </c>
      <c r="AB2751">
        <v>76</v>
      </c>
      <c r="AC2751" t="s">
        <v>1263</v>
      </c>
      <c r="AD2751" t="s">
        <v>7844</v>
      </c>
      <c r="AE2751" t="s">
        <v>1265</v>
      </c>
      <c r="AF2751" t="s">
        <v>774</v>
      </c>
      <c r="AG2751" t="s">
        <v>775</v>
      </c>
      <c r="AH2751" t="s">
        <v>776</v>
      </c>
      <c r="AI2751" t="s">
        <v>10593</v>
      </c>
      <c r="AJ2751" s="2">
        <v>45695.583425925928</v>
      </c>
      <c r="AK2751" t="s">
        <v>1263</v>
      </c>
      <c r="AL2751" t="s">
        <v>65</v>
      </c>
      <c r="AM2751" s="4">
        <v>0.33333333333333331</v>
      </c>
      <c r="AN2751" t="s">
        <v>66</v>
      </c>
      <c r="AO2751" t="s">
        <v>67</v>
      </c>
    </row>
    <row r="2752" spans="1:41" x14ac:dyDescent="0.2">
      <c r="A2752">
        <v>357465</v>
      </c>
      <c r="B2752" t="s">
        <v>16963</v>
      </c>
      <c r="C2752" t="s">
        <v>167</v>
      </c>
      <c r="D2752" t="s">
        <v>168</v>
      </c>
      <c r="E2752" t="s">
        <v>16964</v>
      </c>
      <c r="J2752" t="s">
        <v>45</v>
      </c>
      <c r="K2752" t="s">
        <v>45</v>
      </c>
      <c r="L2752" t="s">
        <v>72</v>
      </c>
      <c r="N2752" t="s">
        <v>89</v>
      </c>
      <c r="O2752" t="s">
        <v>48</v>
      </c>
      <c r="P2752" t="s">
        <v>49</v>
      </c>
      <c r="Q2752" t="s">
        <v>16965</v>
      </c>
      <c r="R2752" t="s">
        <v>16966</v>
      </c>
      <c r="T2752" t="s">
        <v>449</v>
      </c>
      <c r="U2752" t="s">
        <v>3030</v>
      </c>
      <c r="V2752" t="s">
        <v>6945</v>
      </c>
      <c r="W2752" t="s">
        <v>6946</v>
      </c>
      <c r="X2752" t="s">
        <v>449</v>
      </c>
      <c r="Y2752" t="s">
        <v>96</v>
      </c>
      <c r="Z2752">
        <v>11346</v>
      </c>
      <c r="AA2752">
        <v>3</v>
      </c>
      <c r="AB2752">
        <v>210</v>
      </c>
      <c r="AC2752" t="s">
        <v>6947</v>
      </c>
      <c r="AD2752" t="s">
        <v>6948</v>
      </c>
      <c r="AE2752" t="s">
        <v>6949</v>
      </c>
      <c r="AF2752" t="s">
        <v>6950</v>
      </c>
      <c r="AG2752" t="s">
        <v>6951</v>
      </c>
      <c r="AH2752" t="s">
        <v>6952</v>
      </c>
      <c r="AJ2752" s="2">
        <v>45330.714097222219</v>
      </c>
      <c r="AK2752" t="s">
        <v>149</v>
      </c>
      <c r="AL2752" t="s">
        <v>65</v>
      </c>
      <c r="AM2752" s="4">
        <v>0.3263888888888889</v>
      </c>
      <c r="AN2752" t="s">
        <v>66</v>
      </c>
      <c r="AO2752" t="s">
        <v>67</v>
      </c>
    </row>
    <row r="2753" spans="1:41" x14ac:dyDescent="0.2">
      <c r="A2753">
        <v>369699</v>
      </c>
      <c r="B2753" t="s">
        <v>16967</v>
      </c>
      <c r="C2753" t="s">
        <v>5138</v>
      </c>
      <c r="D2753" t="s">
        <v>9866</v>
      </c>
      <c r="E2753" t="s">
        <v>16968</v>
      </c>
      <c r="F2753">
        <v>145801</v>
      </c>
      <c r="G2753" s="1">
        <v>39196</v>
      </c>
      <c r="H2753" s="1">
        <v>45552</v>
      </c>
      <c r="J2753" t="s">
        <v>45</v>
      </c>
      <c r="K2753" t="s">
        <v>45</v>
      </c>
      <c r="L2753" t="s">
        <v>72</v>
      </c>
      <c r="M2753" s="1">
        <v>40807</v>
      </c>
      <c r="N2753" t="s">
        <v>47</v>
      </c>
      <c r="O2753" t="s">
        <v>48</v>
      </c>
      <c r="P2753" t="s">
        <v>49</v>
      </c>
      <c r="Q2753" t="s">
        <v>16969</v>
      </c>
      <c r="R2753" t="s">
        <v>16970</v>
      </c>
      <c r="S2753">
        <v>797</v>
      </c>
      <c r="T2753" t="s">
        <v>156</v>
      </c>
      <c r="U2753" t="s">
        <v>1018</v>
      </c>
      <c r="V2753" t="s">
        <v>16971</v>
      </c>
      <c r="W2753" t="s">
        <v>159</v>
      </c>
      <c r="X2753" t="s">
        <v>156</v>
      </c>
      <c r="Y2753" t="s">
        <v>450</v>
      </c>
      <c r="Z2753">
        <v>2871</v>
      </c>
      <c r="AA2753">
        <v>38</v>
      </c>
      <c r="AB2753">
        <v>166</v>
      </c>
      <c r="AC2753" t="s">
        <v>10321</v>
      </c>
      <c r="AD2753" t="s">
        <v>1043</v>
      </c>
      <c r="AE2753" t="s">
        <v>1044</v>
      </c>
      <c r="AF2753" t="s">
        <v>16927</v>
      </c>
      <c r="AG2753" t="s">
        <v>16928</v>
      </c>
      <c r="AH2753" t="s">
        <v>16972</v>
      </c>
      <c r="AI2753" t="s">
        <v>16973</v>
      </c>
      <c r="AJ2753" s="2">
        <v>45749.593055555553</v>
      </c>
      <c r="AK2753" t="s">
        <v>1024</v>
      </c>
      <c r="AL2753" t="s">
        <v>65</v>
      </c>
      <c r="AM2753" s="3">
        <v>1.9652777777777777</v>
      </c>
      <c r="AN2753" t="s">
        <v>66</v>
      </c>
      <c r="AO2753" t="s">
        <v>67</v>
      </c>
    </row>
    <row r="2754" spans="1:41" x14ac:dyDescent="0.2">
      <c r="A2754">
        <v>364964</v>
      </c>
      <c r="B2754" t="s">
        <v>16974</v>
      </c>
      <c r="C2754" t="s">
        <v>735</v>
      </c>
      <c r="D2754" t="s">
        <v>2519</v>
      </c>
      <c r="E2754" t="s">
        <v>16975</v>
      </c>
      <c r="F2754">
        <v>245002</v>
      </c>
      <c r="G2754" s="1">
        <v>38909</v>
      </c>
      <c r="H2754" s="1">
        <v>45559</v>
      </c>
      <c r="I2754" s="1">
        <v>46280</v>
      </c>
      <c r="J2754" t="s">
        <v>45</v>
      </c>
      <c r="K2754" t="s">
        <v>45</v>
      </c>
      <c r="L2754" t="s">
        <v>429</v>
      </c>
      <c r="M2754" s="1">
        <v>41437</v>
      </c>
      <c r="N2754" t="s">
        <v>47</v>
      </c>
      <c r="O2754" t="s">
        <v>48</v>
      </c>
      <c r="P2754" t="s">
        <v>49</v>
      </c>
      <c r="Q2754" t="s">
        <v>16976</v>
      </c>
      <c r="R2754" t="s">
        <v>16977</v>
      </c>
      <c r="S2754">
        <v>3716</v>
      </c>
      <c r="T2754" t="s">
        <v>365</v>
      </c>
      <c r="U2754" t="s">
        <v>969</v>
      </c>
      <c r="V2754" t="s">
        <v>2523</v>
      </c>
      <c r="W2754" t="s">
        <v>367</v>
      </c>
      <c r="X2754" t="s">
        <v>76</v>
      </c>
      <c r="Y2754" t="s">
        <v>434</v>
      </c>
      <c r="Z2754">
        <v>2853</v>
      </c>
      <c r="AA2754">
        <v>40</v>
      </c>
      <c r="AB2754">
        <v>144</v>
      </c>
      <c r="AC2754" t="s">
        <v>2532</v>
      </c>
      <c r="AD2754" t="s">
        <v>2525</v>
      </c>
      <c r="AE2754" t="s">
        <v>2526</v>
      </c>
      <c r="AF2754" t="s">
        <v>7513</v>
      </c>
      <c r="AG2754" t="s">
        <v>16978</v>
      </c>
      <c r="AH2754" t="s">
        <v>7514</v>
      </c>
      <c r="AI2754" t="s">
        <v>179</v>
      </c>
      <c r="AJ2754" s="2">
        <v>45566.522187499999</v>
      </c>
      <c r="AK2754" t="s">
        <v>568</v>
      </c>
      <c r="AL2754" t="s">
        <v>65</v>
      </c>
      <c r="AM2754" s="3">
        <v>1.7395833333333333</v>
      </c>
      <c r="AN2754" t="s">
        <v>66</v>
      </c>
      <c r="AO2754" t="s">
        <v>67</v>
      </c>
    </row>
    <row r="2755" spans="1:41" x14ac:dyDescent="0.2">
      <c r="A2755">
        <v>365089</v>
      </c>
      <c r="B2755" t="s">
        <v>16979</v>
      </c>
      <c r="C2755" t="s">
        <v>735</v>
      </c>
      <c r="D2755" t="s">
        <v>736</v>
      </c>
      <c r="E2755" t="s">
        <v>16980</v>
      </c>
      <c r="F2755">
        <v>245417</v>
      </c>
      <c r="G2755" s="1">
        <v>40339</v>
      </c>
      <c r="H2755" s="1">
        <v>45567</v>
      </c>
      <c r="I2755" s="1">
        <v>46280</v>
      </c>
      <c r="J2755" t="s">
        <v>45</v>
      </c>
      <c r="K2755" t="s">
        <v>45</v>
      </c>
      <c r="L2755" t="s">
        <v>72</v>
      </c>
      <c r="M2755" s="1">
        <v>41787</v>
      </c>
      <c r="N2755" t="s">
        <v>47</v>
      </c>
      <c r="O2755" t="s">
        <v>48</v>
      </c>
      <c r="P2755" t="s">
        <v>49</v>
      </c>
      <c r="Q2755" t="s">
        <v>16981</v>
      </c>
      <c r="R2755" t="s">
        <v>16982</v>
      </c>
      <c r="S2755">
        <v>6405</v>
      </c>
      <c r="T2755" t="s">
        <v>52</v>
      </c>
      <c r="U2755">
        <v>1</v>
      </c>
      <c r="V2755" t="s">
        <v>740</v>
      </c>
      <c r="W2755" t="s">
        <v>54</v>
      </c>
      <c r="X2755" t="s">
        <v>76</v>
      </c>
      <c r="Y2755" t="s">
        <v>56</v>
      </c>
      <c r="Z2755">
        <v>2739</v>
      </c>
      <c r="AA2755">
        <v>43</v>
      </c>
      <c r="AB2755">
        <v>160</v>
      </c>
      <c r="AC2755" t="s">
        <v>16983</v>
      </c>
      <c r="AD2755" t="s">
        <v>16984</v>
      </c>
      <c r="AE2755" t="s">
        <v>16985</v>
      </c>
      <c r="AF2755" t="s">
        <v>16986</v>
      </c>
      <c r="AG2755" t="s">
        <v>742</v>
      </c>
      <c r="AH2755" t="s">
        <v>743</v>
      </c>
      <c r="AI2755" t="s">
        <v>16987</v>
      </c>
      <c r="AJ2755" s="2">
        <v>45568.192094907405</v>
      </c>
      <c r="AK2755" t="s">
        <v>704</v>
      </c>
      <c r="AL2755" t="s">
        <v>65</v>
      </c>
      <c r="AM2755" s="3">
        <v>2.2777777777777777</v>
      </c>
      <c r="AN2755" t="s">
        <v>66</v>
      </c>
      <c r="AO2755" t="s">
        <v>67</v>
      </c>
    </row>
    <row r="2756" spans="1:41" x14ac:dyDescent="0.2">
      <c r="A2756">
        <v>372428</v>
      </c>
      <c r="B2756" t="s">
        <v>16988</v>
      </c>
      <c r="C2756" t="s">
        <v>182</v>
      </c>
      <c r="D2756" t="s">
        <v>1616</v>
      </c>
      <c r="E2756" t="s">
        <v>16989</v>
      </c>
      <c r="F2756">
        <v>42615</v>
      </c>
      <c r="G2756" s="1">
        <v>37742</v>
      </c>
      <c r="H2756" s="1">
        <v>45805</v>
      </c>
      <c r="I2756" s="1">
        <v>46188</v>
      </c>
      <c r="J2756" t="s">
        <v>45</v>
      </c>
      <c r="K2756" t="s">
        <v>45</v>
      </c>
      <c r="L2756" t="s">
        <v>429</v>
      </c>
      <c r="M2756" s="1">
        <v>44623</v>
      </c>
      <c r="N2756" t="s">
        <v>47</v>
      </c>
      <c r="O2756" t="s">
        <v>48</v>
      </c>
      <c r="P2756" t="s">
        <v>49</v>
      </c>
      <c r="Q2756" t="s">
        <v>16990</v>
      </c>
      <c r="R2756" t="s">
        <v>16991</v>
      </c>
      <c r="S2756">
        <v>4010</v>
      </c>
      <c r="T2756" t="s">
        <v>52</v>
      </c>
      <c r="U2756">
        <v>5</v>
      </c>
      <c r="V2756" t="s">
        <v>1619</v>
      </c>
      <c r="W2756" t="s">
        <v>54</v>
      </c>
      <c r="X2756" t="s">
        <v>493</v>
      </c>
      <c r="Y2756" t="s">
        <v>434</v>
      </c>
      <c r="Z2756">
        <v>1681</v>
      </c>
      <c r="AA2756">
        <v>53</v>
      </c>
      <c r="AB2756">
        <v>28</v>
      </c>
      <c r="AC2756" t="s">
        <v>7079</v>
      </c>
      <c r="AD2756" t="s">
        <v>7080</v>
      </c>
      <c r="AE2756" t="s">
        <v>13595</v>
      </c>
      <c r="AF2756" t="s">
        <v>7079</v>
      </c>
      <c r="AG2756" t="s">
        <v>7080</v>
      </c>
      <c r="AH2756" t="s">
        <v>7081</v>
      </c>
      <c r="AI2756" t="s">
        <v>1626</v>
      </c>
      <c r="AJ2756" s="2">
        <v>45839.663657407407</v>
      </c>
      <c r="AK2756" t="s">
        <v>501</v>
      </c>
      <c r="AL2756" t="s">
        <v>65</v>
      </c>
      <c r="AM2756" s="4">
        <v>0.73611111111111116</v>
      </c>
      <c r="AN2756" t="s">
        <v>66</v>
      </c>
      <c r="AO2756" t="s">
        <v>67</v>
      </c>
    </row>
    <row r="2757" spans="1:41" x14ac:dyDescent="0.2">
      <c r="A2757">
        <v>372212</v>
      </c>
      <c r="B2757" t="s">
        <v>16992</v>
      </c>
      <c r="C2757" t="s">
        <v>134</v>
      </c>
      <c r="D2757" t="s">
        <v>4154</v>
      </c>
      <c r="E2757" t="s">
        <v>16993</v>
      </c>
      <c r="F2757">
        <v>452121</v>
      </c>
      <c r="G2757" s="1">
        <v>37742</v>
      </c>
      <c r="H2757" s="1">
        <v>45824</v>
      </c>
      <c r="I2757" s="1">
        <v>46127</v>
      </c>
      <c r="J2757" t="s">
        <v>45</v>
      </c>
      <c r="K2757" t="s">
        <v>45</v>
      </c>
      <c r="L2757" t="s">
        <v>72</v>
      </c>
      <c r="M2757" s="1">
        <v>45824</v>
      </c>
      <c r="N2757" t="s">
        <v>47</v>
      </c>
      <c r="O2757" t="s">
        <v>48</v>
      </c>
      <c r="P2757" t="s">
        <v>49</v>
      </c>
      <c r="Q2757" t="s">
        <v>16994</v>
      </c>
      <c r="R2757" t="s">
        <v>16995</v>
      </c>
      <c r="S2757">
        <v>1230</v>
      </c>
      <c r="T2757" t="s">
        <v>257</v>
      </c>
      <c r="U2757" t="s">
        <v>640</v>
      </c>
      <c r="V2757" t="s">
        <v>9126</v>
      </c>
      <c r="W2757" t="s">
        <v>260</v>
      </c>
      <c r="X2757" t="s">
        <v>257</v>
      </c>
      <c r="Y2757" t="s">
        <v>110</v>
      </c>
      <c r="Z2757">
        <v>1913</v>
      </c>
      <c r="AA2757">
        <v>35</v>
      </c>
      <c r="AB2757">
        <v>34</v>
      </c>
      <c r="AC2757" t="s">
        <v>9127</v>
      </c>
      <c r="AD2757" t="s">
        <v>9128</v>
      </c>
      <c r="AE2757" t="s">
        <v>9129</v>
      </c>
      <c r="AI2757" t="s">
        <v>9128</v>
      </c>
      <c r="AJ2757" s="2">
        <v>45833.856851851851</v>
      </c>
      <c r="AK2757" t="s">
        <v>9127</v>
      </c>
      <c r="AL2757" t="s">
        <v>65</v>
      </c>
      <c r="AM2757" s="4">
        <v>5.5555555555555552E-2</v>
      </c>
      <c r="AN2757" t="s">
        <v>66</v>
      </c>
      <c r="AO2757" t="s">
        <v>67</v>
      </c>
    </row>
    <row r="2758" spans="1:41" x14ac:dyDescent="0.2">
      <c r="A2758">
        <v>366155</v>
      </c>
      <c r="B2758" t="s">
        <v>16996</v>
      </c>
      <c r="C2758" t="s">
        <v>4770</v>
      </c>
      <c r="D2758" t="s">
        <v>16997</v>
      </c>
      <c r="E2758" t="s">
        <v>16998</v>
      </c>
      <c r="F2758">
        <v>138401</v>
      </c>
      <c r="G2758" s="1">
        <v>38639</v>
      </c>
      <c r="H2758" s="1">
        <v>45600</v>
      </c>
      <c r="I2758" s="1">
        <v>45976</v>
      </c>
      <c r="J2758" t="s">
        <v>45</v>
      </c>
      <c r="K2758" t="s">
        <v>45</v>
      </c>
      <c r="L2758" t="s">
        <v>72</v>
      </c>
      <c r="N2758" t="s">
        <v>47</v>
      </c>
      <c r="O2758" t="s">
        <v>48</v>
      </c>
      <c r="P2758" t="s">
        <v>49</v>
      </c>
      <c r="Q2758" t="s">
        <v>16999</v>
      </c>
      <c r="R2758" t="s">
        <v>17000</v>
      </c>
      <c r="S2758">
        <v>960</v>
      </c>
      <c r="T2758" t="s">
        <v>92</v>
      </c>
      <c r="U2758" t="s">
        <v>11203</v>
      </c>
      <c r="V2758" t="s">
        <v>768</v>
      </c>
      <c r="W2758" t="s">
        <v>11204</v>
      </c>
      <c r="X2758" t="s">
        <v>92</v>
      </c>
      <c r="Y2758" t="s">
        <v>110</v>
      </c>
      <c r="Z2758">
        <v>2767</v>
      </c>
      <c r="AA2758">
        <v>37</v>
      </c>
      <c r="AB2758">
        <v>146</v>
      </c>
      <c r="AC2758" t="s">
        <v>11212</v>
      </c>
      <c r="AD2758" t="s">
        <v>11213</v>
      </c>
      <c r="AE2758" t="s">
        <v>11214</v>
      </c>
      <c r="AF2758" t="s">
        <v>15996</v>
      </c>
      <c r="AH2758" t="s">
        <v>15997</v>
      </c>
      <c r="AJ2758" s="2">
        <v>45604.676342592589</v>
      </c>
      <c r="AK2758" t="s">
        <v>11212</v>
      </c>
      <c r="AL2758" t="s">
        <v>65</v>
      </c>
      <c r="AM2758" s="4">
        <v>0.30555555555555558</v>
      </c>
      <c r="AN2758" t="s">
        <v>66</v>
      </c>
      <c r="AO2758" t="s">
        <v>67</v>
      </c>
    </row>
    <row r="2759" spans="1:41" x14ac:dyDescent="0.2">
      <c r="A2759">
        <v>369859</v>
      </c>
      <c r="B2759" t="s">
        <v>17001</v>
      </c>
      <c r="C2759" t="s">
        <v>197</v>
      </c>
      <c r="D2759" t="s">
        <v>17002</v>
      </c>
      <c r="E2759" t="s">
        <v>17003</v>
      </c>
      <c r="F2759">
        <v>98801</v>
      </c>
      <c r="G2759" s="1">
        <v>45646</v>
      </c>
      <c r="H2759" s="1">
        <v>45575</v>
      </c>
      <c r="I2759" s="1">
        <v>45931</v>
      </c>
      <c r="J2759" t="s">
        <v>45</v>
      </c>
      <c r="K2759" t="s">
        <v>45</v>
      </c>
      <c r="L2759" t="s">
        <v>72</v>
      </c>
      <c r="N2759" t="s">
        <v>47</v>
      </c>
      <c r="O2759" t="s">
        <v>48</v>
      </c>
      <c r="P2759" t="s">
        <v>49</v>
      </c>
      <c r="Q2759" t="s">
        <v>17004</v>
      </c>
      <c r="R2759" t="s">
        <v>17005</v>
      </c>
      <c r="S2759">
        <v>13</v>
      </c>
      <c r="T2759" t="s">
        <v>92</v>
      </c>
      <c r="U2759" t="s">
        <v>202</v>
      </c>
      <c r="V2759" t="s">
        <v>203</v>
      </c>
      <c r="W2759" t="s">
        <v>204</v>
      </c>
      <c r="X2759" t="s">
        <v>52</v>
      </c>
      <c r="Y2759" t="s">
        <v>110</v>
      </c>
      <c r="Z2759">
        <v>2152</v>
      </c>
      <c r="AA2759">
        <v>41</v>
      </c>
      <c r="AB2759">
        <v>15</v>
      </c>
      <c r="AC2759" t="s">
        <v>205</v>
      </c>
      <c r="AD2759" t="s">
        <v>206</v>
      </c>
      <c r="AE2759" t="s">
        <v>207</v>
      </c>
      <c r="AF2759" t="s">
        <v>1548</v>
      </c>
      <c r="AG2759" t="s">
        <v>209</v>
      </c>
      <c r="AH2759" t="s">
        <v>210</v>
      </c>
      <c r="AI2759" t="s">
        <v>211</v>
      </c>
      <c r="AJ2759" s="2">
        <v>45755.880324074074</v>
      </c>
      <c r="AK2759" t="s">
        <v>212</v>
      </c>
      <c r="AL2759" t="s">
        <v>65</v>
      </c>
      <c r="AM2759" s="4">
        <v>0.79513888888888884</v>
      </c>
      <c r="AN2759" t="s">
        <v>66</v>
      </c>
      <c r="AO2759" t="s">
        <v>101</v>
      </c>
    </row>
    <row r="2760" spans="1:41" x14ac:dyDescent="0.2">
      <c r="A2760">
        <v>372302</v>
      </c>
      <c r="B2760" t="s">
        <v>17006</v>
      </c>
      <c r="C2760" t="s">
        <v>735</v>
      </c>
      <c r="D2760" t="s">
        <v>2559</v>
      </c>
      <c r="E2760">
        <v>32718458</v>
      </c>
      <c r="F2760">
        <v>242904</v>
      </c>
      <c r="G2760" s="1">
        <v>36817</v>
      </c>
      <c r="H2760" s="1">
        <v>45833</v>
      </c>
      <c r="I2760" s="1">
        <v>46204</v>
      </c>
      <c r="J2760" t="s">
        <v>45</v>
      </c>
      <c r="K2760" t="s">
        <v>45</v>
      </c>
      <c r="L2760" t="s">
        <v>429</v>
      </c>
      <c r="M2760" s="1">
        <v>41667</v>
      </c>
      <c r="N2760" t="s">
        <v>47</v>
      </c>
      <c r="O2760" t="s">
        <v>48</v>
      </c>
      <c r="P2760" t="s">
        <v>49</v>
      </c>
      <c r="Q2760" t="s">
        <v>17007</v>
      </c>
      <c r="R2760" t="s">
        <v>17008</v>
      </c>
      <c r="S2760">
        <v>3205</v>
      </c>
      <c r="T2760" t="s">
        <v>52</v>
      </c>
      <c r="U2760">
        <v>1</v>
      </c>
      <c r="V2760" t="s">
        <v>2563</v>
      </c>
      <c r="W2760" t="s">
        <v>54</v>
      </c>
      <c r="X2760" t="s">
        <v>76</v>
      </c>
      <c r="Y2760" t="s">
        <v>56</v>
      </c>
      <c r="Z2760">
        <v>1692</v>
      </c>
      <c r="AA2760">
        <v>44</v>
      </c>
      <c r="AB2760">
        <v>166</v>
      </c>
      <c r="AC2760" t="s">
        <v>2564</v>
      </c>
      <c r="AD2760" t="s">
        <v>2565</v>
      </c>
      <c r="AE2760" t="s">
        <v>2566</v>
      </c>
      <c r="AF2760" t="s">
        <v>2567</v>
      </c>
      <c r="AG2760" t="s">
        <v>2568</v>
      </c>
      <c r="AH2760" t="s">
        <v>2569</v>
      </c>
      <c r="AI2760" t="s">
        <v>6132</v>
      </c>
      <c r="AJ2760" s="2">
        <v>45837.808692129627</v>
      </c>
      <c r="AK2760" t="s">
        <v>568</v>
      </c>
      <c r="AL2760" t="s">
        <v>65</v>
      </c>
      <c r="AM2760" s="4">
        <v>0.59722222222222221</v>
      </c>
      <c r="AN2760" t="s">
        <v>66</v>
      </c>
      <c r="AO2760" t="s">
        <v>67</v>
      </c>
    </row>
    <row r="2761" spans="1:41" x14ac:dyDescent="0.2">
      <c r="A2761">
        <v>364460</v>
      </c>
      <c r="B2761" t="s">
        <v>17009</v>
      </c>
      <c r="C2761" t="s">
        <v>182</v>
      </c>
      <c r="D2761" t="s">
        <v>11755</v>
      </c>
      <c r="E2761" t="s">
        <v>17010</v>
      </c>
      <c r="G2761" s="1">
        <v>45546</v>
      </c>
      <c r="H2761" s="1">
        <v>45547</v>
      </c>
      <c r="I2761" s="1">
        <v>45915</v>
      </c>
      <c r="J2761" t="s">
        <v>45</v>
      </c>
      <c r="K2761" t="s">
        <v>45</v>
      </c>
      <c r="L2761" t="s">
        <v>72</v>
      </c>
      <c r="M2761" s="1">
        <v>42075</v>
      </c>
      <c r="N2761" t="s">
        <v>89</v>
      </c>
      <c r="O2761" t="s">
        <v>121</v>
      </c>
      <c r="P2761" t="s">
        <v>49</v>
      </c>
      <c r="Q2761" t="s">
        <v>17011</v>
      </c>
      <c r="R2761" t="s">
        <v>17012</v>
      </c>
      <c r="S2761">
        <v>4800</v>
      </c>
      <c r="T2761" t="s">
        <v>52</v>
      </c>
      <c r="U2761">
        <v>5</v>
      </c>
      <c r="V2761" t="s">
        <v>5607</v>
      </c>
      <c r="W2761" t="s">
        <v>54</v>
      </c>
      <c r="X2761" t="s">
        <v>52</v>
      </c>
      <c r="Y2761" t="s">
        <v>125</v>
      </c>
      <c r="Z2761">
        <v>7566</v>
      </c>
      <c r="AA2761">
        <v>70</v>
      </c>
      <c r="AB2761">
        <v>28</v>
      </c>
      <c r="AC2761" t="s">
        <v>5608</v>
      </c>
      <c r="AD2761" t="s">
        <v>5609</v>
      </c>
      <c r="AE2761" t="s">
        <v>5610</v>
      </c>
      <c r="AF2761" t="s">
        <v>5611</v>
      </c>
      <c r="AG2761" t="s">
        <v>5612</v>
      </c>
      <c r="AH2761" t="s">
        <v>13993</v>
      </c>
      <c r="AI2761" t="s">
        <v>4396</v>
      </c>
      <c r="AJ2761" s="2">
        <v>45547.477488425924</v>
      </c>
      <c r="AK2761" t="s">
        <v>132</v>
      </c>
      <c r="AL2761" t="s">
        <v>65</v>
      </c>
      <c r="AM2761" s="3">
        <v>1.1597222222222223</v>
      </c>
      <c r="AN2761" t="s">
        <v>66</v>
      </c>
      <c r="AO2761" t="s">
        <v>67</v>
      </c>
    </row>
    <row r="2762" spans="1:41" x14ac:dyDescent="0.2">
      <c r="A2762">
        <v>364459</v>
      </c>
      <c r="B2762" t="s">
        <v>17013</v>
      </c>
      <c r="C2762" t="s">
        <v>182</v>
      </c>
      <c r="D2762" t="s">
        <v>1656</v>
      </c>
      <c r="E2762">
        <v>33343268</v>
      </c>
      <c r="G2762" s="1">
        <v>45546</v>
      </c>
      <c r="H2762" s="1">
        <v>45547</v>
      </c>
      <c r="I2762" s="1">
        <v>45915</v>
      </c>
      <c r="J2762" t="s">
        <v>45</v>
      </c>
      <c r="K2762" t="s">
        <v>45</v>
      </c>
      <c r="L2762" t="s">
        <v>72</v>
      </c>
      <c r="M2762" s="1">
        <v>41374</v>
      </c>
      <c r="N2762" t="s">
        <v>89</v>
      </c>
      <c r="O2762" t="s">
        <v>121</v>
      </c>
      <c r="P2762" t="s">
        <v>49</v>
      </c>
      <c r="Q2762" t="s">
        <v>17014</v>
      </c>
      <c r="R2762" t="s">
        <v>17015</v>
      </c>
      <c r="S2762">
        <v>6596</v>
      </c>
      <c r="T2762" t="s">
        <v>52</v>
      </c>
      <c r="U2762">
        <v>5</v>
      </c>
      <c r="V2762" t="s">
        <v>5607</v>
      </c>
      <c r="W2762" t="s">
        <v>54</v>
      </c>
      <c r="X2762" t="s">
        <v>52</v>
      </c>
      <c r="Y2762" t="s">
        <v>125</v>
      </c>
      <c r="Z2762">
        <v>1716</v>
      </c>
      <c r="AA2762">
        <v>137</v>
      </c>
      <c r="AB2762">
        <v>28</v>
      </c>
      <c r="AC2762" t="s">
        <v>5608</v>
      </c>
      <c r="AD2762" t="s">
        <v>5609</v>
      </c>
      <c r="AE2762" t="s">
        <v>5610</v>
      </c>
      <c r="AF2762" t="s">
        <v>5611</v>
      </c>
      <c r="AG2762" t="s">
        <v>5612</v>
      </c>
      <c r="AH2762" t="s">
        <v>13993</v>
      </c>
      <c r="AI2762" t="s">
        <v>4396</v>
      </c>
      <c r="AJ2762" s="2">
        <v>45547.476875</v>
      </c>
      <c r="AK2762" t="s">
        <v>132</v>
      </c>
      <c r="AL2762" t="s">
        <v>65</v>
      </c>
      <c r="AM2762" s="3">
        <v>1.5347222222222223</v>
      </c>
      <c r="AN2762" t="s">
        <v>66</v>
      </c>
      <c r="AO2762" t="s">
        <v>67</v>
      </c>
    </row>
    <row r="2763" spans="1:41" x14ac:dyDescent="0.2">
      <c r="A2763">
        <v>372208</v>
      </c>
      <c r="B2763" t="s">
        <v>17016</v>
      </c>
      <c r="C2763" t="s">
        <v>182</v>
      </c>
      <c r="D2763" t="s">
        <v>3983</v>
      </c>
      <c r="E2763">
        <v>32684084</v>
      </c>
      <c r="G2763" s="1">
        <v>45401</v>
      </c>
      <c r="H2763" s="1">
        <v>45833</v>
      </c>
      <c r="I2763" s="1">
        <v>46068</v>
      </c>
      <c r="J2763" t="s">
        <v>45</v>
      </c>
      <c r="K2763" t="s">
        <v>45</v>
      </c>
      <c r="L2763" t="s">
        <v>72</v>
      </c>
      <c r="N2763" t="s">
        <v>89</v>
      </c>
      <c r="O2763" t="s">
        <v>121</v>
      </c>
      <c r="P2763" t="s">
        <v>49</v>
      </c>
      <c r="Q2763" t="s">
        <v>17017</v>
      </c>
      <c r="R2763" t="s">
        <v>17018</v>
      </c>
      <c r="S2763">
        <v>6207</v>
      </c>
      <c r="T2763" t="s">
        <v>52</v>
      </c>
      <c r="U2763">
        <v>5</v>
      </c>
      <c r="V2763" t="s">
        <v>5607</v>
      </c>
      <c r="W2763" t="s">
        <v>54</v>
      </c>
      <c r="X2763" t="s">
        <v>52</v>
      </c>
      <c r="Y2763" t="s">
        <v>125</v>
      </c>
      <c r="Z2763">
        <v>3078</v>
      </c>
      <c r="AA2763">
        <v>87</v>
      </c>
      <c r="AB2763">
        <v>38</v>
      </c>
      <c r="AC2763" t="s">
        <v>5608</v>
      </c>
      <c r="AD2763" t="s">
        <v>5609</v>
      </c>
      <c r="AE2763" t="s">
        <v>5610</v>
      </c>
      <c r="AF2763" t="s">
        <v>5611</v>
      </c>
      <c r="AG2763" t="s">
        <v>5612</v>
      </c>
      <c r="AH2763" t="s">
        <v>13993</v>
      </c>
      <c r="AI2763" t="s">
        <v>4396</v>
      </c>
      <c r="AJ2763" s="2">
        <v>45833.835798611108</v>
      </c>
      <c r="AK2763" t="s">
        <v>800</v>
      </c>
      <c r="AL2763" t="s">
        <v>65</v>
      </c>
      <c r="AM2763" s="3">
        <v>2.1527777777777777</v>
      </c>
      <c r="AN2763" t="s">
        <v>66</v>
      </c>
      <c r="AO2763" t="s">
        <v>67</v>
      </c>
    </row>
    <row r="2764" spans="1:41" x14ac:dyDescent="0.2">
      <c r="A2764">
        <v>372191</v>
      </c>
      <c r="B2764" t="s">
        <v>17019</v>
      </c>
      <c r="C2764" t="s">
        <v>182</v>
      </c>
      <c r="D2764" t="s">
        <v>3983</v>
      </c>
      <c r="E2764" t="s">
        <v>17020</v>
      </c>
      <c r="G2764" s="1">
        <v>45380</v>
      </c>
      <c r="H2764" s="1">
        <v>45832</v>
      </c>
      <c r="I2764" s="1">
        <v>46068</v>
      </c>
      <c r="J2764" t="s">
        <v>45</v>
      </c>
      <c r="K2764" t="s">
        <v>45</v>
      </c>
      <c r="L2764" t="s">
        <v>72</v>
      </c>
      <c r="M2764" s="1">
        <v>42858</v>
      </c>
      <c r="N2764" t="s">
        <v>89</v>
      </c>
      <c r="O2764" t="s">
        <v>121</v>
      </c>
      <c r="P2764" t="s">
        <v>49</v>
      </c>
      <c r="Q2764" t="s">
        <v>17021</v>
      </c>
      <c r="R2764" t="s">
        <v>17022</v>
      </c>
      <c r="S2764">
        <v>8850</v>
      </c>
      <c r="T2764" t="s">
        <v>52</v>
      </c>
      <c r="U2764">
        <v>5</v>
      </c>
      <c r="V2764" t="s">
        <v>5607</v>
      </c>
      <c r="W2764" t="s">
        <v>54</v>
      </c>
      <c r="X2764" t="s">
        <v>52</v>
      </c>
      <c r="Y2764" t="s">
        <v>125</v>
      </c>
      <c r="Z2764">
        <v>6266</v>
      </c>
      <c r="AA2764">
        <v>74</v>
      </c>
      <c r="AB2764">
        <v>78</v>
      </c>
      <c r="AC2764" t="s">
        <v>5608</v>
      </c>
      <c r="AD2764" t="s">
        <v>5609</v>
      </c>
      <c r="AE2764" t="s">
        <v>5610</v>
      </c>
      <c r="AF2764" t="s">
        <v>5611</v>
      </c>
      <c r="AG2764" t="s">
        <v>5612</v>
      </c>
      <c r="AH2764" t="s">
        <v>13993</v>
      </c>
      <c r="AI2764" t="s">
        <v>4396</v>
      </c>
      <c r="AJ2764" s="2">
        <v>45833.613287037035</v>
      </c>
      <c r="AK2764" t="s">
        <v>800</v>
      </c>
      <c r="AL2764" t="s">
        <v>65</v>
      </c>
      <c r="AM2764" s="3">
        <v>1.2361111111111112</v>
      </c>
      <c r="AN2764" t="s">
        <v>66</v>
      </c>
      <c r="AO2764" t="s">
        <v>67</v>
      </c>
    </row>
    <row r="2765" spans="1:41" x14ac:dyDescent="0.2">
      <c r="A2765">
        <v>367190</v>
      </c>
      <c r="B2765" t="s">
        <v>17023</v>
      </c>
      <c r="C2765" t="s">
        <v>735</v>
      </c>
      <c r="D2765" t="s">
        <v>2790</v>
      </c>
      <c r="E2765" t="s">
        <v>17024</v>
      </c>
      <c r="F2765">
        <v>240221</v>
      </c>
      <c r="G2765" s="1">
        <v>37432</v>
      </c>
      <c r="H2765" s="1">
        <v>45588</v>
      </c>
      <c r="I2765" s="1">
        <v>45945</v>
      </c>
      <c r="J2765" t="s">
        <v>45</v>
      </c>
      <c r="K2765" t="s">
        <v>45</v>
      </c>
      <c r="L2765" t="s">
        <v>72</v>
      </c>
      <c r="M2765" s="1">
        <v>43039</v>
      </c>
      <c r="N2765" t="s">
        <v>47</v>
      </c>
      <c r="O2765" t="s">
        <v>48</v>
      </c>
      <c r="P2765" t="s">
        <v>49</v>
      </c>
      <c r="Q2765" t="s">
        <v>11718</v>
      </c>
      <c r="R2765" t="s">
        <v>17025</v>
      </c>
      <c r="S2765">
        <v>3116</v>
      </c>
      <c r="T2765" t="s">
        <v>92</v>
      </c>
      <c r="U2765" t="s">
        <v>3192</v>
      </c>
      <c r="V2765" t="s">
        <v>3193</v>
      </c>
      <c r="W2765" t="s">
        <v>3194</v>
      </c>
      <c r="X2765" t="s">
        <v>52</v>
      </c>
      <c r="Y2765" t="s">
        <v>110</v>
      </c>
      <c r="Z2765">
        <v>2231</v>
      </c>
      <c r="AA2765">
        <v>44</v>
      </c>
      <c r="AB2765">
        <v>144</v>
      </c>
      <c r="AC2765" t="s">
        <v>3195</v>
      </c>
      <c r="AD2765" t="s">
        <v>3196</v>
      </c>
      <c r="AE2765" t="s">
        <v>3197</v>
      </c>
      <c r="AF2765" t="s">
        <v>3198</v>
      </c>
      <c r="AG2765" t="s">
        <v>3199</v>
      </c>
      <c r="AH2765" t="s">
        <v>3200</v>
      </c>
      <c r="AI2765" t="s">
        <v>3196</v>
      </c>
      <c r="AJ2765" s="2">
        <v>45664.736585648148</v>
      </c>
      <c r="AK2765" t="s">
        <v>3198</v>
      </c>
      <c r="AL2765" t="s">
        <v>65</v>
      </c>
      <c r="AM2765" s="4">
        <v>1.3888888888888888E-2</v>
      </c>
      <c r="AN2765" t="s">
        <v>66</v>
      </c>
      <c r="AO2765" t="s">
        <v>67</v>
      </c>
    </row>
    <row r="2766" spans="1:41" x14ac:dyDescent="0.2">
      <c r="A2766">
        <v>372959</v>
      </c>
      <c r="B2766" t="s">
        <v>17026</v>
      </c>
      <c r="C2766" t="s">
        <v>1000</v>
      </c>
      <c r="D2766" t="s">
        <v>7318</v>
      </c>
      <c r="E2766" t="s">
        <v>17027</v>
      </c>
      <c r="F2766">
        <v>400101</v>
      </c>
      <c r="G2766" s="1">
        <v>40304</v>
      </c>
      <c r="H2766" s="1">
        <v>45728</v>
      </c>
      <c r="I2766" s="1">
        <v>46096</v>
      </c>
      <c r="J2766" t="s">
        <v>45</v>
      </c>
      <c r="K2766" t="s">
        <v>45</v>
      </c>
      <c r="L2766" t="s">
        <v>46</v>
      </c>
      <c r="M2766" s="1">
        <v>45033</v>
      </c>
      <c r="N2766" t="s">
        <v>47</v>
      </c>
      <c r="O2766" t="s">
        <v>48</v>
      </c>
      <c r="P2766" t="s">
        <v>49</v>
      </c>
      <c r="Q2766" t="s">
        <v>17028</v>
      </c>
      <c r="R2766" t="s">
        <v>17029</v>
      </c>
      <c r="S2766">
        <v>580</v>
      </c>
      <c r="T2766" t="s">
        <v>52</v>
      </c>
      <c r="U2766">
        <v>8</v>
      </c>
      <c r="V2766" t="s">
        <v>10543</v>
      </c>
      <c r="W2766" t="s">
        <v>54</v>
      </c>
      <c r="X2766" t="s">
        <v>76</v>
      </c>
      <c r="Y2766" t="s">
        <v>56</v>
      </c>
      <c r="Z2766">
        <v>3446</v>
      </c>
      <c r="AA2766">
        <v>37</v>
      </c>
      <c r="AB2766">
        <v>15</v>
      </c>
      <c r="AC2766" t="s">
        <v>10544</v>
      </c>
      <c r="AD2766" t="s">
        <v>10545</v>
      </c>
      <c r="AE2766" t="s">
        <v>10546</v>
      </c>
      <c r="AF2766" t="s">
        <v>17030</v>
      </c>
      <c r="AG2766" t="s">
        <v>10548</v>
      </c>
      <c r="AH2766" t="s">
        <v>10549</v>
      </c>
      <c r="AJ2766" s="2">
        <v>45855.957349537035</v>
      </c>
      <c r="AK2766" t="s">
        <v>556</v>
      </c>
      <c r="AL2766" t="s">
        <v>65</v>
      </c>
      <c r="AM2766" s="4">
        <v>0.23958333333333334</v>
      </c>
      <c r="AN2766" t="s">
        <v>66</v>
      </c>
      <c r="AO2766" t="s">
        <v>101</v>
      </c>
    </row>
    <row r="2767" spans="1:41" x14ac:dyDescent="0.2">
      <c r="A2767">
        <v>364136</v>
      </c>
      <c r="B2767" t="s">
        <v>17031</v>
      </c>
      <c r="C2767" t="s">
        <v>735</v>
      </c>
      <c r="D2767" t="s">
        <v>2922</v>
      </c>
      <c r="E2767" t="s">
        <v>17032</v>
      </c>
      <c r="F2767">
        <v>241518</v>
      </c>
      <c r="G2767" s="1">
        <v>32049</v>
      </c>
      <c r="H2767" s="1">
        <v>45524</v>
      </c>
      <c r="I2767" s="1">
        <v>46235</v>
      </c>
      <c r="J2767" t="s">
        <v>45</v>
      </c>
      <c r="K2767" t="s">
        <v>326</v>
      </c>
      <c r="L2767" t="s">
        <v>429</v>
      </c>
      <c r="M2767" s="1">
        <v>38658</v>
      </c>
      <c r="N2767" t="s">
        <v>47</v>
      </c>
      <c r="O2767" t="s">
        <v>48</v>
      </c>
      <c r="P2767" t="s">
        <v>49</v>
      </c>
      <c r="Q2767" t="s">
        <v>17033</v>
      </c>
      <c r="R2767" t="s">
        <v>17034</v>
      </c>
      <c r="S2767">
        <v>5443</v>
      </c>
      <c r="T2767" t="s">
        <v>365</v>
      </c>
      <c r="U2767" t="s">
        <v>969</v>
      </c>
      <c r="V2767" t="s">
        <v>3767</v>
      </c>
      <c r="W2767" t="s">
        <v>367</v>
      </c>
      <c r="X2767" t="s">
        <v>76</v>
      </c>
      <c r="Y2767" t="s">
        <v>434</v>
      </c>
      <c r="Z2767">
        <v>196</v>
      </c>
      <c r="AA2767">
        <v>52</v>
      </c>
      <c r="AB2767">
        <v>152</v>
      </c>
      <c r="AC2767" t="s">
        <v>17035</v>
      </c>
      <c r="AD2767" t="s">
        <v>17036</v>
      </c>
      <c r="AE2767" t="s">
        <v>17037</v>
      </c>
      <c r="AF2767" t="s">
        <v>17038</v>
      </c>
      <c r="AH2767" t="s">
        <v>17039</v>
      </c>
      <c r="AI2767" t="s">
        <v>179</v>
      </c>
      <c r="AJ2767" s="2">
        <v>45533.784085648149</v>
      </c>
      <c r="AK2767" t="s">
        <v>568</v>
      </c>
      <c r="AL2767" t="s">
        <v>65</v>
      </c>
      <c r="AM2767" s="3">
        <v>2.375</v>
      </c>
      <c r="AN2767" t="s">
        <v>66</v>
      </c>
      <c r="AO2767" t="s">
        <v>67</v>
      </c>
    </row>
    <row r="2768" spans="1:41" x14ac:dyDescent="0.2">
      <c r="A2768">
        <v>371113</v>
      </c>
      <c r="B2768" t="s">
        <v>17040</v>
      </c>
      <c r="C2768" t="s">
        <v>42</v>
      </c>
      <c r="D2768" t="s">
        <v>2670</v>
      </c>
      <c r="E2768">
        <v>52139286</v>
      </c>
      <c r="F2768">
        <v>290201</v>
      </c>
      <c r="G2768" s="1">
        <v>38540</v>
      </c>
      <c r="H2768" s="1">
        <v>45791</v>
      </c>
      <c r="I2768" s="1">
        <v>46174</v>
      </c>
      <c r="J2768" t="s">
        <v>45</v>
      </c>
      <c r="K2768" t="s">
        <v>45</v>
      </c>
      <c r="L2768" t="s">
        <v>46</v>
      </c>
      <c r="N2768" t="s">
        <v>47</v>
      </c>
      <c r="O2768" t="s">
        <v>48</v>
      </c>
      <c r="P2768" t="s">
        <v>49</v>
      </c>
      <c r="Q2768" t="s">
        <v>17041</v>
      </c>
      <c r="R2768" t="s">
        <v>17042</v>
      </c>
      <c r="S2768">
        <v>7436</v>
      </c>
      <c r="T2768" t="s">
        <v>296</v>
      </c>
      <c r="U2768" t="s">
        <v>2674</v>
      </c>
      <c r="V2768" t="s">
        <v>6722</v>
      </c>
      <c r="W2768" t="s">
        <v>299</v>
      </c>
      <c r="X2768" t="s">
        <v>55</v>
      </c>
      <c r="Y2768" t="s">
        <v>56</v>
      </c>
      <c r="Z2768">
        <v>1742</v>
      </c>
      <c r="AA2768">
        <v>38</v>
      </c>
      <c r="AB2768">
        <v>160</v>
      </c>
      <c r="AC2768" t="s">
        <v>17043</v>
      </c>
      <c r="AD2768" t="s">
        <v>17044</v>
      </c>
      <c r="AE2768" t="s">
        <v>6725</v>
      </c>
      <c r="AF2768" t="s">
        <v>2679</v>
      </c>
      <c r="AG2768" t="s">
        <v>2680</v>
      </c>
      <c r="AH2768" t="s">
        <v>12039</v>
      </c>
      <c r="AI2768" t="s">
        <v>2682</v>
      </c>
      <c r="AJ2768" s="2">
        <v>45796.741122685184</v>
      </c>
      <c r="AK2768" t="s">
        <v>609</v>
      </c>
      <c r="AL2768" t="s">
        <v>65</v>
      </c>
      <c r="AM2768" s="3">
        <v>1.3958333333333333</v>
      </c>
      <c r="AN2768" t="s">
        <v>66</v>
      </c>
      <c r="AO2768" t="s">
        <v>67</v>
      </c>
    </row>
    <row r="2769" spans="1:41" x14ac:dyDescent="0.2">
      <c r="A2769">
        <v>371691</v>
      </c>
      <c r="B2769" t="s">
        <v>17045</v>
      </c>
      <c r="C2769" t="s">
        <v>323</v>
      </c>
      <c r="D2769" t="s">
        <v>10263</v>
      </c>
      <c r="E2769" t="s">
        <v>17046</v>
      </c>
      <c r="F2769">
        <v>500956</v>
      </c>
      <c r="G2769" s="1">
        <v>31569</v>
      </c>
      <c r="H2769" s="1">
        <v>45817</v>
      </c>
      <c r="I2769" s="1">
        <v>46037</v>
      </c>
      <c r="J2769" t="s">
        <v>45</v>
      </c>
      <c r="K2769" t="s">
        <v>45</v>
      </c>
      <c r="L2769" t="s">
        <v>72</v>
      </c>
      <c r="M2769" s="1">
        <v>44411</v>
      </c>
      <c r="N2769" t="s">
        <v>47</v>
      </c>
      <c r="O2769" t="s">
        <v>48</v>
      </c>
      <c r="P2769" t="s">
        <v>49</v>
      </c>
      <c r="Q2769" t="s">
        <v>17047</v>
      </c>
      <c r="R2769" t="s">
        <v>17048</v>
      </c>
      <c r="S2769">
        <v>1226</v>
      </c>
      <c r="T2769" t="s">
        <v>257</v>
      </c>
      <c r="U2769" t="s">
        <v>329</v>
      </c>
      <c r="V2769" t="s">
        <v>4990</v>
      </c>
      <c r="W2769" t="s">
        <v>260</v>
      </c>
      <c r="Y2769" t="s">
        <v>110</v>
      </c>
      <c r="Z2769">
        <v>493</v>
      </c>
      <c r="AA2769">
        <v>47</v>
      </c>
      <c r="AB2769">
        <v>158</v>
      </c>
      <c r="AC2769" t="s">
        <v>331</v>
      </c>
      <c r="AD2769" t="s">
        <v>332</v>
      </c>
      <c r="AE2769" t="s">
        <v>333</v>
      </c>
      <c r="AF2769" t="s">
        <v>334</v>
      </c>
      <c r="AG2769" t="s">
        <v>335</v>
      </c>
      <c r="AH2769" t="s">
        <v>336</v>
      </c>
      <c r="AI2769" t="s">
        <v>343</v>
      </c>
      <c r="AJ2769" s="2">
        <v>45818.15011574074</v>
      </c>
      <c r="AK2769" t="s">
        <v>331</v>
      </c>
      <c r="AL2769" t="s">
        <v>65</v>
      </c>
      <c r="AM2769" s="3">
        <v>2.0833333333333335</v>
      </c>
      <c r="AN2769" t="s">
        <v>66</v>
      </c>
      <c r="AO2769" t="s">
        <v>67</v>
      </c>
    </row>
    <row r="2770" spans="1:41" x14ac:dyDescent="0.2">
      <c r="A2770">
        <v>371815</v>
      </c>
      <c r="B2770" t="s">
        <v>17049</v>
      </c>
      <c r="C2770" t="s">
        <v>323</v>
      </c>
      <c r="D2770" t="s">
        <v>10263</v>
      </c>
      <c r="E2770">
        <v>33906178</v>
      </c>
      <c r="F2770">
        <v>500621</v>
      </c>
      <c r="G2770" s="1">
        <v>32509</v>
      </c>
      <c r="H2770" s="1">
        <v>45782</v>
      </c>
      <c r="I2770" s="1">
        <v>46037</v>
      </c>
      <c r="J2770" t="s">
        <v>45</v>
      </c>
      <c r="K2770" t="s">
        <v>45</v>
      </c>
      <c r="L2770" t="s">
        <v>72</v>
      </c>
      <c r="M2770" s="1">
        <v>45440</v>
      </c>
      <c r="N2770" t="s">
        <v>47</v>
      </c>
      <c r="O2770" t="s">
        <v>48</v>
      </c>
      <c r="P2770" t="s">
        <v>49</v>
      </c>
      <c r="Q2770" t="s">
        <v>17050</v>
      </c>
      <c r="R2770" t="s">
        <v>17051</v>
      </c>
      <c r="S2770">
        <v>265</v>
      </c>
      <c r="T2770" t="s">
        <v>92</v>
      </c>
      <c r="U2770" t="s">
        <v>329</v>
      </c>
      <c r="V2770" t="s">
        <v>722</v>
      </c>
      <c r="W2770" t="s">
        <v>723</v>
      </c>
      <c r="X2770" t="s">
        <v>76</v>
      </c>
      <c r="Y2770" t="s">
        <v>110</v>
      </c>
      <c r="Z2770">
        <v>538</v>
      </c>
      <c r="AA2770">
        <v>36</v>
      </c>
      <c r="AB2770">
        <v>152</v>
      </c>
      <c r="AC2770" t="s">
        <v>368</v>
      </c>
      <c r="AD2770" t="s">
        <v>369</v>
      </c>
      <c r="AE2770" t="s">
        <v>370</v>
      </c>
      <c r="AF2770" t="s">
        <v>4858</v>
      </c>
      <c r="AG2770" t="s">
        <v>4859</v>
      </c>
      <c r="AH2770" t="s">
        <v>726</v>
      </c>
      <c r="AJ2770" s="2">
        <v>45819.942025462966</v>
      </c>
      <c r="AK2770" t="s">
        <v>727</v>
      </c>
      <c r="AL2770" t="s">
        <v>65</v>
      </c>
      <c r="AM2770" s="3">
        <v>2.2430555555555554</v>
      </c>
      <c r="AN2770" t="s">
        <v>66</v>
      </c>
      <c r="AO2770" t="s">
        <v>67</v>
      </c>
    </row>
    <row r="2771" spans="1:41" x14ac:dyDescent="0.2">
      <c r="A2771">
        <v>372947</v>
      </c>
      <c r="B2771" t="s">
        <v>17052</v>
      </c>
      <c r="C2771" t="s">
        <v>86</v>
      </c>
      <c r="D2771" t="s">
        <v>8114</v>
      </c>
      <c r="E2771">
        <v>33324436</v>
      </c>
      <c r="F2771">
        <v>201102</v>
      </c>
      <c r="G2771" s="1">
        <v>37530</v>
      </c>
      <c r="H2771" s="1">
        <v>45777</v>
      </c>
      <c r="I2771" s="1">
        <v>46157</v>
      </c>
      <c r="J2771" t="s">
        <v>45</v>
      </c>
      <c r="K2771" t="s">
        <v>45</v>
      </c>
      <c r="L2771" t="s">
        <v>46</v>
      </c>
      <c r="M2771" s="1">
        <v>40315</v>
      </c>
      <c r="N2771" t="s">
        <v>47</v>
      </c>
      <c r="O2771" t="s">
        <v>48</v>
      </c>
      <c r="P2771" t="s">
        <v>49</v>
      </c>
      <c r="Q2771" t="s">
        <v>17053</v>
      </c>
      <c r="R2771" t="s">
        <v>17054</v>
      </c>
      <c r="S2771">
        <v>653</v>
      </c>
      <c r="T2771" t="s">
        <v>52</v>
      </c>
      <c r="U2771">
        <v>9</v>
      </c>
      <c r="V2771" t="s">
        <v>1678</v>
      </c>
      <c r="W2771" t="s">
        <v>54</v>
      </c>
      <c r="X2771" t="s">
        <v>76</v>
      </c>
      <c r="Y2771" t="s">
        <v>56</v>
      </c>
      <c r="Z2771">
        <v>2167</v>
      </c>
      <c r="AA2771">
        <v>44</v>
      </c>
      <c r="AB2771">
        <v>97</v>
      </c>
      <c r="AC2771" t="s">
        <v>6483</v>
      </c>
      <c r="AD2771" t="s">
        <v>8803</v>
      </c>
      <c r="AE2771" t="s">
        <v>6485</v>
      </c>
      <c r="AJ2771" s="2">
        <v>45855.941076388888</v>
      </c>
      <c r="AK2771" t="s">
        <v>556</v>
      </c>
      <c r="AL2771" t="s">
        <v>65</v>
      </c>
      <c r="AM2771" s="3">
        <v>1.3368055555555556</v>
      </c>
      <c r="AN2771" t="s">
        <v>66</v>
      </c>
      <c r="AO2771" t="s">
        <v>101</v>
      </c>
    </row>
    <row r="2772" spans="1:41" x14ac:dyDescent="0.2">
      <c r="A2772">
        <v>369092</v>
      </c>
      <c r="B2772" t="s">
        <v>17055</v>
      </c>
      <c r="C2772" t="s">
        <v>831</v>
      </c>
      <c r="D2772" t="s">
        <v>17056</v>
      </c>
      <c r="E2772" t="s">
        <v>17057</v>
      </c>
      <c r="F2772">
        <v>447502</v>
      </c>
      <c r="G2772" s="1">
        <v>39428</v>
      </c>
      <c r="H2772" s="1">
        <v>45720</v>
      </c>
      <c r="I2772" s="1">
        <v>46096</v>
      </c>
      <c r="J2772" t="s">
        <v>45</v>
      </c>
      <c r="K2772" t="s">
        <v>45</v>
      </c>
      <c r="L2772" t="s">
        <v>46</v>
      </c>
      <c r="M2772" s="1">
        <v>43384</v>
      </c>
      <c r="N2772" t="s">
        <v>47</v>
      </c>
      <c r="O2772" t="s">
        <v>48</v>
      </c>
      <c r="P2772" t="s">
        <v>49</v>
      </c>
      <c r="Q2772" t="s">
        <v>17058</v>
      </c>
      <c r="R2772" t="s">
        <v>17059</v>
      </c>
      <c r="S2772">
        <v>2540</v>
      </c>
      <c r="T2772" t="s">
        <v>52</v>
      </c>
      <c r="U2772">
        <v>8</v>
      </c>
      <c r="V2772" t="s">
        <v>4806</v>
      </c>
      <c r="W2772" t="s">
        <v>54</v>
      </c>
      <c r="X2772" t="s">
        <v>76</v>
      </c>
      <c r="Y2772" t="s">
        <v>56</v>
      </c>
      <c r="Z2772">
        <v>2976</v>
      </c>
      <c r="AA2772">
        <v>41</v>
      </c>
      <c r="AB2772">
        <v>37</v>
      </c>
      <c r="AC2772" t="s">
        <v>17060</v>
      </c>
      <c r="AD2772" t="s">
        <v>17061</v>
      </c>
      <c r="AE2772" t="s">
        <v>17062</v>
      </c>
      <c r="AF2772" t="s">
        <v>7559</v>
      </c>
      <c r="AG2772" t="s">
        <v>7560</v>
      </c>
      <c r="AH2772" t="s">
        <v>7561</v>
      </c>
      <c r="AJ2772" s="2">
        <v>45726.862256944441</v>
      </c>
      <c r="AK2772" t="s">
        <v>2517</v>
      </c>
      <c r="AL2772" t="s">
        <v>65</v>
      </c>
      <c r="AM2772" s="4">
        <v>0.70833333333333337</v>
      </c>
      <c r="AN2772" t="s">
        <v>66</v>
      </c>
      <c r="AO2772" t="s">
        <v>101</v>
      </c>
    </row>
    <row r="2773" spans="1:41" x14ac:dyDescent="0.2">
      <c r="A2773">
        <v>371837</v>
      </c>
      <c r="B2773" t="s">
        <v>17063</v>
      </c>
      <c r="C2773" t="s">
        <v>182</v>
      </c>
      <c r="D2773" t="s">
        <v>17064</v>
      </c>
      <c r="E2773" t="s">
        <v>17065</v>
      </c>
      <c r="F2773">
        <v>41503</v>
      </c>
      <c r="G2773" s="1">
        <v>34529</v>
      </c>
      <c r="H2773" s="1">
        <v>45818</v>
      </c>
      <c r="I2773" s="1">
        <v>46204</v>
      </c>
      <c r="J2773" t="s">
        <v>45</v>
      </c>
      <c r="K2773" t="s">
        <v>45</v>
      </c>
      <c r="L2773" t="s">
        <v>429</v>
      </c>
      <c r="M2773" s="1">
        <v>42607</v>
      </c>
      <c r="N2773" t="s">
        <v>47</v>
      </c>
      <c r="O2773" t="s">
        <v>48</v>
      </c>
      <c r="P2773" t="s">
        <v>49</v>
      </c>
      <c r="Q2773" t="s">
        <v>17066</v>
      </c>
      <c r="R2773" t="s">
        <v>17067</v>
      </c>
      <c r="S2773">
        <v>1540</v>
      </c>
      <c r="T2773" t="s">
        <v>52</v>
      </c>
      <c r="U2773">
        <v>5</v>
      </c>
      <c r="V2773" t="s">
        <v>492</v>
      </c>
      <c r="W2773" t="s">
        <v>54</v>
      </c>
      <c r="X2773" t="s">
        <v>493</v>
      </c>
      <c r="Y2773" t="s">
        <v>434</v>
      </c>
      <c r="Z2773">
        <v>907</v>
      </c>
      <c r="AA2773">
        <v>67</v>
      </c>
      <c r="AB2773">
        <v>34</v>
      </c>
      <c r="AC2773" t="s">
        <v>494</v>
      </c>
      <c r="AD2773" t="s">
        <v>495</v>
      </c>
      <c r="AE2773" t="s">
        <v>496</v>
      </c>
      <c r="AF2773" t="s">
        <v>497</v>
      </c>
      <c r="AG2773" t="s">
        <v>498</v>
      </c>
      <c r="AH2773" t="s">
        <v>499</v>
      </c>
      <c r="AI2773" t="s">
        <v>500</v>
      </c>
      <c r="AJ2773" s="2">
        <v>45820.661504629628</v>
      </c>
      <c r="AK2773" t="s">
        <v>501</v>
      </c>
      <c r="AL2773" t="s">
        <v>65</v>
      </c>
      <c r="AM2773" s="3">
        <v>1.0972222222222223</v>
      </c>
      <c r="AN2773" t="s">
        <v>66</v>
      </c>
      <c r="AO2773" t="s">
        <v>67</v>
      </c>
    </row>
    <row r="2774" spans="1:41" x14ac:dyDescent="0.2">
      <c r="A2774">
        <v>364027</v>
      </c>
      <c r="B2774" t="s">
        <v>17068</v>
      </c>
      <c r="C2774" t="s">
        <v>412</v>
      </c>
      <c r="D2774" t="s">
        <v>17069</v>
      </c>
      <c r="E2774" t="s">
        <v>17070</v>
      </c>
      <c r="F2774">
        <v>305103</v>
      </c>
      <c r="G2774" s="1">
        <v>37741</v>
      </c>
      <c r="H2774" s="1">
        <v>45497</v>
      </c>
      <c r="J2774" t="s">
        <v>45</v>
      </c>
      <c r="K2774" t="s">
        <v>326</v>
      </c>
      <c r="L2774" t="s">
        <v>72</v>
      </c>
      <c r="N2774" t="s">
        <v>47</v>
      </c>
      <c r="O2774" t="s">
        <v>48</v>
      </c>
      <c r="P2774" t="s">
        <v>49</v>
      </c>
      <c r="Q2774" t="s">
        <v>17071</v>
      </c>
      <c r="R2774" t="s">
        <v>17072</v>
      </c>
      <c r="S2774">
        <v>200</v>
      </c>
      <c r="T2774" t="s">
        <v>92</v>
      </c>
      <c r="U2774" t="s">
        <v>417</v>
      </c>
      <c r="V2774" t="s">
        <v>418</v>
      </c>
      <c r="W2774" t="s">
        <v>419</v>
      </c>
      <c r="X2774" t="s">
        <v>92</v>
      </c>
      <c r="Y2774" t="s">
        <v>410</v>
      </c>
      <c r="Z2774">
        <v>2395</v>
      </c>
      <c r="AA2774">
        <v>40</v>
      </c>
      <c r="AB2774">
        <v>39</v>
      </c>
      <c r="AC2774" t="s">
        <v>420</v>
      </c>
      <c r="AD2774" t="s">
        <v>421</v>
      </c>
      <c r="AE2774" t="s">
        <v>422</v>
      </c>
      <c r="AF2774" t="s">
        <v>4632</v>
      </c>
      <c r="AG2774" t="s">
        <v>4635</v>
      </c>
      <c r="AH2774" t="s">
        <v>4634</v>
      </c>
      <c r="AI2774" t="s">
        <v>4635</v>
      </c>
      <c r="AJ2774" s="2">
        <v>45848.64607638889</v>
      </c>
      <c r="AK2774" t="s">
        <v>100</v>
      </c>
      <c r="AL2774" t="s">
        <v>65</v>
      </c>
      <c r="AM2774" s="3">
        <v>2.0104166666666665</v>
      </c>
      <c r="AN2774" t="s">
        <v>66</v>
      </c>
      <c r="AO2774" t="s">
        <v>101</v>
      </c>
    </row>
    <row r="2775" spans="1:41" x14ac:dyDescent="0.2">
      <c r="A2775">
        <v>363104</v>
      </c>
      <c r="B2775" t="s">
        <v>17073</v>
      </c>
      <c r="C2775" t="s">
        <v>345</v>
      </c>
      <c r="D2775" t="s">
        <v>279</v>
      </c>
      <c r="E2775" t="s">
        <v>17074</v>
      </c>
      <c r="F2775">
        <v>51508</v>
      </c>
      <c r="G2775" s="1">
        <v>41893</v>
      </c>
      <c r="H2775" s="1">
        <v>45503</v>
      </c>
      <c r="I2775" s="1">
        <v>46249</v>
      </c>
      <c r="J2775" t="s">
        <v>45</v>
      </c>
      <c r="K2775" t="s">
        <v>326</v>
      </c>
      <c r="L2775" t="s">
        <v>72</v>
      </c>
      <c r="M2775" s="1">
        <v>45120</v>
      </c>
      <c r="N2775" t="s">
        <v>47</v>
      </c>
      <c r="O2775" t="s">
        <v>48</v>
      </c>
      <c r="P2775" t="s">
        <v>49</v>
      </c>
      <c r="Q2775" t="s">
        <v>17075</v>
      </c>
      <c r="R2775" t="s">
        <v>17076</v>
      </c>
      <c r="S2775">
        <v>8793</v>
      </c>
      <c r="T2775" t="s">
        <v>52</v>
      </c>
      <c r="U2775">
        <v>2</v>
      </c>
      <c r="V2775" t="s">
        <v>6064</v>
      </c>
      <c r="W2775" t="s">
        <v>54</v>
      </c>
      <c r="X2775" t="s">
        <v>55</v>
      </c>
      <c r="Y2775" t="s">
        <v>56</v>
      </c>
      <c r="Z2775">
        <v>46</v>
      </c>
      <c r="AA2775">
        <v>79</v>
      </c>
      <c r="AB2775">
        <v>144</v>
      </c>
      <c r="AC2775" t="s">
        <v>6163</v>
      </c>
      <c r="AD2775" t="s">
        <v>6066</v>
      </c>
      <c r="AE2775" t="s">
        <v>6164</v>
      </c>
      <c r="AF2775" t="s">
        <v>6068</v>
      </c>
      <c r="AG2775" t="s">
        <v>6069</v>
      </c>
      <c r="AH2775" t="s">
        <v>6070</v>
      </c>
      <c r="AI2775" t="s">
        <v>8559</v>
      </c>
      <c r="AJ2775" s="2">
        <v>45504.489895833336</v>
      </c>
      <c r="AK2775" t="s">
        <v>4471</v>
      </c>
      <c r="AL2775" t="s">
        <v>65</v>
      </c>
      <c r="AM2775" s="3">
        <v>2.4375</v>
      </c>
      <c r="AN2775" t="s">
        <v>66</v>
      </c>
      <c r="AO2775" t="s">
        <v>67</v>
      </c>
    </row>
    <row r="2776" spans="1:41" x14ac:dyDescent="0.2">
      <c r="A2776">
        <v>371464</v>
      </c>
      <c r="B2776" t="s">
        <v>17077</v>
      </c>
      <c r="C2776" t="s">
        <v>167</v>
      </c>
      <c r="D2776" t="s">
        <v>1628</v>
      </c>
      <c r="E2776">
        <v>32479190</v>
      </c>
      <c r="F2776">
        <v>353423</v>
      </c>
      <c r="G2776" s="1">
        <v>35362</v>
      </c>
      <c r="H2776" s="1">
        <v>45811</v>
      </c>
      <c r="I2776" s="1">
        <v>46143</v>
      </c>
      <c r="J2776" t="s">
        <v>45</v>
      </c>
      <c r="K2776" t="s">
        <v>45</v>
      </c>
      <c r="L2776" t="s">
        <v>72</v>
      </c>
      <c r="M2776" s="1">
        <v>43308</v>
      </c>
      <c r="N2776" t="s">
        <v>47</v>
      </c>
      <c r="O2776" t="s">
        <v>48</v>
      </c>
      <c r="P2776" t="s">
        <v>49</v>
      </c>
      <c r="Q2776" t="s">
        <v>17078</v>
      </c>
      <c r="R2776" t="s">
        <v>17079</v>
      </c>
      <c r="S2776">
        <v>5590</v>
      </c>
      <c r="T2776" t="s">
        <v>52</v>
      </c>
      <c r="U2776">
        <v>6</v>
      </c>
      <c r="V2776" t="s">
        <v>3013</v>
      </c>
      <c r="W2776" t="s">
        <v>54</v>
      </c>
      <c r="X2776" t="s">
        <v>76</v>
      </c>
      <c r="Y2776" t="s">
        <v>56</v>
      </c>
      <c r="Z2776">
        <v>762</v>
      </c>
      <c r="AA2776">
        <v>53</v>
      </c>
      <c r="AB2776">
        <v>166</v>
      </c>
      <c r="AC2776" t="s">
        <v>4117</v>
      </c>
      <c r="AD2776" t="s">
        <v>4118</v>
      </c>
      <c r="AE2776" t="s">
        <v>4119</v>
      </c>
      <c r="AF2776" t="s">
        <v>4120</v>
      </c>
      <c r="AG2776" t="s">
        <v>4121</v>
      </c>
      <c r="AH2776" t="s">
        <v>4122</v>
      </c>
      <c r="AI2776" t="s">
        <v>179</v>
      </c>
      <c r="AJ2776" s="2">
        <v>45812.5156712963</v>
      </c>
      <c r="AK2776" t="s">
        <v>2068</v>
      </c>
      <c r="AL2776" t="s">
        <v>65</v>
      </c>
      <c r="AM2776" s="4">
        <v>0.15277777777777779</v>
      </c>
      <c r="AN2776" t="s">
        <v>66</v>
      </c>
      <c r="AO2776" t="s">
        <v>67</v>
      </c>
    </row>
    <row r="2777" spans="1:41" x14ac:dyDescent="0.2">
      <c r="A2777">
        <v>370020</v>
      </c>
      <c r="B2777" t="s">
        <v>17080</v>
      </c>
      <c r="C2777" t="s">
        <v>118</v>
      </c>
      <c r="D2777" t="s">
        <v>119</v>
      </c>
      <c r="E2777" t="s">
        <v>17081</v>
      </c>
      <c r="F2777">
        <v>21106</v>
      </c>
      <c r="G2777" s="1">
        <v>37532</v>
      </c>
      <c r="H2777" s="1">
        <v>45757</v>
      </c>
      <c r="I2777" s="1">
        <v>46127</v>
      </c>
      <c r="J2777" t="s">
        <v>45</v>
      </c>
      <c r="K2777" t="s">
        <v>45</v>
      </c>
      <c r="L2777" t="s">
        <v>429</v>
      </c>
      <c r="N2777" t="s">
        <v>47</v>
      </c>
      <c r="O2777" t="s">
        <v>48</v>
      </c>
      <c r="P2777" t="s">
        <v>49</v>
      </c>
      <c r="Q2777" t="s">
        <v>17082</v>
      </c>
      <c r="R2777" t="s">
        <v>17083</v>
      </c>
      <c r="S2777">
        <v>7956</v>
      </c>
      <c r="T2777" t="s">
        <v>52</v>
      </c>
      <c r="U2777">
        <v>3</v>
      </c>
      <c r="V2777" t="s">
        <v>602</v>
      </c>
      <c r="W2777" t="s">
        <v>54</v>
      </c>
      <c r="X2777" t="s">
        <v>55</v>
      </c>
      <c r="Y2777" t="s">
        <v>56</v>
      </c>
      <c r="Z2777">
        <v>1934</v>
      </c>
      <c r="AA2777">
        <v>50</v>
      </c>
      <c r="AB2777">
        <v>144</v>
      </c>
      <c r="AC2777" t="s">
        <v>17084</v>
      </c>
      <c r="AD2777" t="s">
        <v>17085</v>
      </c>
      <c r="AE2777" t="s">
        <v>17086</v>
      </c>
      <c r="AF2777" t="s">
        <v>17087</v>
      </c>
      <c r="AG2777" t="s">
        <v>17088</v>
      </c>
      <c r="AH2777" t="s">
        <v>17089</v>
      </c>
      <c r="AI2777" t="s">
        <v>1809</v>
      </c>
      <c r="AJ2777" s="2">
        <v>45761.808692129627</v>
      </c>
      <c r="AK2777" t="s">
        <v>609</v>
      </c>
      <c r="AL2777" t="s">
        <v>65</v>
      </c>
      <c r="AM2777" s="4">
        <v>0.79166666666666663</v>
      </c>
      <c r="AN2777" t="s">
        <v>66</v>
      </c>
      <c r="AO2777" t="s">
        <v>67</v>
      </c>
    </row>
    <row r="2778" spans="1:41" x14ac:dyDescent="0.2">
      <c r="A2778">
        <v>371554</v>
      </c>
      <c r="B2778" t="s">
        <v>17090</v>
      </c>
      <c r="C2778" t="s">
        <v>323</v>
      </c>
      <c r="D2778" t="s">
        <v>324</v>
      </c>
      <c r="E2778" t="s">
        <v>17091</v>
      </c>
      <c r="F2778">
        <v>500756</v>
      </c>
      <c r="G2778" s="1">
        <v>38849</v>
      </c>
      <c r="H2778" s="1">
        <v>45764</v>
      </c>
      <c r="I2778" s="1">
        <v>46037</v>
      </c>
      <c r="J2778" t="s">
        <v>45</v>
      </c>
      <c r="K2778" t="s">
        <v>45</v>
      </c>
      <c r="L2778" t="s">
        <v>72</v>
      </c>
      <c r="M2778" s="1">
        <v>45070</v>
      </c>
      <c r="N2778" t="s">
        <v>47</v>
      </c>
      <c r="O2778" t="s">
        <v>48</v>
      </c>
      <c r="P2778" t="s">
        <v>1752</v>
      </c>
      <c r="Q2778" t="s">
        <v>17092</v>
      </c>
      <c r="R2778" t="s">
        <v>17093</v>
      </c>
      <c r="S2778">
        <v>1543</v>
      </c>
      <c r="T2778" t="s">
        <v>1328</v>
      </c>
      <c r="U2778" t="s">
        <v>3114</v>
      </c>
      <c r="V2778" t="s">
        <v>3115</v>
      </c>
      <c r="W2778" t="s">
        <v>3116</v>
      </c>
      <c r="X2778" t="s">
        <v>1328</v>
      </c>
      <c r="Y2778" t="s">
        <v>110</v>
      </c>
      <c r="Z2778">
        <v>2850</v>
      </c>
      <c r="AA2778">
        <v>20</v>
      </c>
      <c r="AB2778">
        <v>152</v>
      </c>
      <c r="AC2778" t="s">
        <v>2833</v>
      </c>
      <c r="AD2778" t="s">
        <v>2834</v>
      </c>
      <c r="AE2778" t="s">
        <v>2835</v>
      </c>
      <c r="AF2778" t="s">
        <v>368</v>
      </c>
      <c r="AG2778" t="s">
        <v>369</v>
      </c>
      <c r="AH2778" t="s">
        <v>370</v>
      </c>
      <c r="AI2778" t="s">
        <v>385</v>
      </c>
      <c r="AJ2778" s="2">
        <v>45814.897719907407</v>
      </c>
      <c r="AK2778" t="s">
        <v>727</v>
      </c>
      <c r="AL2778" t="s">
        <v>65</v>
      </c>
      <c r="AM2778" s="3">
        <v>1.0694444444444444</v>
      </c>
      <c r="AN2778" t="s">
        <v>66</v>
      </c>
      <c r="AO2778" t="s">
        <v>67</v>
      </c>
    </row>
    <row r="2779" spans="1:41" x14ac:dyDescent="0.2">
      <c r="A2779">
        <v>366575</v>
      </c>
      <c r="B2779" t="s">
        <v>17094</v>
      </c>
      <c r="C2779" t="s">
        <v>345</v>
      </c>
      <c r="D2779" t="s">
        <v>3579</v>
      </c>
      <c r="E2779" t="s">
        <v>17095</v>
      </c>
      <c r="G2779" s="1">
        <v>45597</v>
      </c>
      <c r="H2779" s="1">
        <v>45597</v>
      </c>
      <c r="J2779" t="s">
        <v>45</v>
      </c>
      <c r="K2779" t="s">
        <v>45</v>
      </c>
      <c r="L2779" t="s">
        <v>72</v>
      </c>
      <c r="N2779" t="s">
        <v>47</v>
      </c>
      <c r="O2779" t="s">
        <v>48</v>
      </c>
      <c r="P2779" t="s">
        <v>49</v>
      </c>
      <c r="Q2779" t="s">
        <v>17096</v>
      </c>
      <c r="R2779" t="s">
        <v>17097</v>
      </c>
      <c r="S2779">
        <v>8349</v>
      </c>
      <c r="T2779" t="s">
        <v>52</v>
      </c>
      <c r="U2779">
        <v>2</v>
      </c>
      <c r="V2779" t="s">
        <v>945</v>
      </c>
      <c r="W2779" t="s">
        <v>54</v>
      </c>
      <c r="X2779" t="s">
        <v>52</v>
      </c>
      <c r="Y2779" t="s">
        <v>56</v>
      </c>
      <c r="Z2779">
        <v>12183</v>
      </c>
      <c r="AA2779">
        <v>8</v>
      </c>
      <c r="AB2779">
        <v>44</v>
      </c>
      <c r="AC2779" t="s">
        <v>946</v>
      </c>
      <c r="AD2779" t="s">
        <v>947</v>
      </c>
      <c r="AE2779" t="s">
        <v>9907</v>
      </c>
      <c r="AJ2779" s="2">
        <v>45628.633912037039</v>
      </c>
      <c r="AK2779" t="s">
        <v>9908</v>
      </c>
      <c r="AL2779" t="s">
        <v>65</v>
      </c>
      <c r="AM2779" s="3">
        <v>1.3576388888888888</v>
      </c>
      <c r="AN2779" t="s">
        <v>66</v>
      </c>
      <c r="AO2779" t="s">
        <v>67</v>
      </c>
    </row>
    <row r="2780" spans="1:41" x14ac:dyDescent="0.2">
      <c r="A2780">
        <v>370824</v>
      </c>
      <c r="B2780" t="s">
        <v>17098</v>
      </c>
      <c r="C2780" t="s">
        <v>167</v>
      </c>
      <c r="D2780" t="s">
        <v>3504</v>
      </c>
      <c r="E2780" t="s">
        <v>17099</v>
      </c>
      <c r="G2780" s="1">
        <v>45356</v>
      </c>
      <c r="H2780" s="1">
        <v>45785</v>
      </c>
      <c r="I2780" s="1">
        <v>46127</v>
      </c>
      <c r="J2780" t="s">
        <v>45</v>
      </c>
      <c r="K2780" t="s">
        <v>45</v>
      </c>
      <c r="L2780" t="s">
        <v>72</v>
      </c>
      <c r="N2780" t="s">
        <v>89</v>
      </c>
      <c r="O2780" t="s">
        <v>121</v>
      </c>
      <c r="P2780" t="s">
        <v>49</v>
      </c>
      <c r="Q2780" t="s">
        <v>17100</v>
      </c>
      <c r="R2780" t="s">
        <v>17101</v>
      </c>
      <c r="S2780">
        <v>710</v>
      </c>
      <c r="T2780" t="s">
        <v>52</v>
      </c>
      <c r="U2780">
        <v>6</v>
      </c>
      <c r="V2780" t="s">
        <v>4320</v>
      </c>
      <c r="W2780" t="s">
        <v>54</v>
      </c>
      <c r="X2780" t="s">
        <v>76</v>
      </c>
      <c r="Y2780" t="s">
        <v>125</v>
      </c>
      <c r="Z2780">
        <v>12144</v>
      </c>
      <c r="AA2780">
        <v>24</v>
      </c>
      <c r="AB2780">
        <v>210</v>
      </c>
      <c r="AC2780" t="s">
        <v>17102</v>
      </c>
      <c r="AD2780" t="s">
        <v>17103</v>
      </c>
      <c r="AE2780" t="s">
        <v>17104</v>
      </c>
      <c r="AJ2780" s="2">
        <v>45785.515289351853</v>
      </c>
      <c r="AK2780" t="s">
        <v>800</v>
      </c>
      <c r="AL2780" t="s">
        <v>65</v>
      </c>
      <c r="AM2780" s="4">
        <v>0.15625</v>
      </c>
      <c r="AN2780" t="s">
        <v>66</v>
      </c>
      <c r="AO2780" t="s">
        <v>67</v>
      </c>
    </row>
    <row r="2781" spans="1:41" x14ac:dyDescent="0.2">
      <c r="A2781">
        <v>365320</v>
      </c>
      <c r="B2781" t="s">
        <v>17105</v>
      </c>
      <c r="C2781" t="s">
        <v>345</v>
      </c>
      <c r="D2781" t="s">
        <v>941</v>
      </c>
      <c r="E2781" t="s">
        <v>17106</v>
      </c>
      <c r="F2781">
        <v>50604</v>
      </c>
      <c r="G2781" s="1">
        <v>37040</v>
      </c>
      <c r="H2781" s="1">
        <v>45518</v>
      </c>
      <c r="I2781" s="1">
        <v>46249</v>
      </c>
      <c r="J2781" t="s">
        <v>45</v>
      </c>
      <c r="K2781" t="s">
        <v>45</v>
      </c>
      <c r="L2781" t="s">
        <v>72</v>
      </c>
      <c r="M2781" s="1">
        <v>45576</v>
      </c>
      <c r="N2781" t="s">
        <v>47</v>
      </c>
      <c r="O2781" t="s">
        <v>48</v>
      </c>
      <c r="P2781" t="s">
        <v>49</v>
      </c>
      <c r="Q2781" t="s">
        <v>17107</v>
      </c>
      <c r="R2781" t="s">
        <v>17108</v>
      </c>
      <c r="S2781">
        <v>6733</v>
      </c>
      <c r="T2781" t="s">
        <v>52</v>
      </c>
      <c r="U2781">
        <v>2</v>
      </c>
      <c r="V2781" t="s">
        <v>945</v>
      </c>
      <c r="W2781" t="s">
        <v>54</v>
      </c>
      <c r="X2781" t="s">
        <v>55</v>
      </c>
      <c r="Y2781" t="s">
        <v>56</v>
      </c>
      <c r="Z2781">
        <v>1589</v>
      </c>
      <c r="AA2781">
        <v>54</v>
      </c>
      <c r="AB2781">
        <v>30</v>
      </c>
      <c r="AC2781" t="s">
        <v>946</v>
      </c>
      <c r="AD2781" t="s">
        <v>947</v>
      </c>
      <c r="AE2781" t="s">
        <v>948</v>
      </c>
      <c r="AI2781" t="s">
        <v>5572</v>
      </c>
      <c r="AJ2781" s="2">
        <v>45576.866886574076</v>
      </c>
      <c r="AK2781" t="s">
        <v>946</v>
      </c>
      <c r="AL2781" t="s">
        <v>65</v>
      </c>
      <c r="AM2781" s="3">
        <v>1.0416666666666667</v>
      </c>
      <c r="AN2781" t="s">
        <v>66</v>
      </c>
      <c r="AO2781" t="s">
        <v>67</v>
      </c>
    </row>
    <row r="2782" spans="1:41" x14ac:dyDescent="0.2">
      <c r="A2782">
        <v>372616</v>
      </c>
      <c r="B2782" t="s">
        <v>17105</v>
      </c>
      <c r="C2782" t="s">
        <v>182</v>
      </c>
      <c r="D2782" t="s">
        <v>1086</v>
      </c>
      <c r="E2782" t="s">
        <v>17109</v>
      </c>
      <c r="F2782">
        <v>44729</v>
      </c>
      <c r="G2782" s="1">
        <v>34491</v>
      </c>
      <c r="H2782" s="1">
        <v>45843</v>
      </c>
      <c r="I2782" s="1">
        <v>46188</v>
      </c>
      <c r="J2782" t="s">
        <v>45</v>
      </c>
      <c r="K2782" t="s">
        <v>45</v>
      </c>
      <c r="L2782" t="s">
        <v>72</v>
      </c>
      <c r="M2782" s="1">
        <v>45843</v>
      </c>
      <c r="N2782" t="s">
        <v>89</v>
      </c>
      <c r="O2782" t="s">
        <v>48</v>
      </c>
      <c r="P2782" t="s">
        <v>49</v>
      </c>
      <c r="Q2782" t="s">
        <v>17110</v>
      </c>
      <c r="R2782" t="s">
        <v>17111</v>
      </c>
      <c r="S2782">
        <v>8000</v>
      </c>
      <c r="T2782" t="s">
        <v>257</v>
      </c>
      <c r="U2782" t="s">
        <v>640</v>
      </c>
      <c r="V2782" t="s">
        <v>1090</v>
      </c>
      <c r="W2782" t="s">
        <v>260</v>
      </c>
      <c r="X2782" t="s">
        <v>257</v>
      </c>
      <c r="Y2782" t="s">
        <v>110</v>
      </c>
      <c r="Z2782">
        <v>483</v>
      </c>
      <c r="AA2782">
        <v>95</v>
      </c>
      <c r="AB2782">
        <v>78</v>
      </c>
      <c r="AC2782" t="s">
        <v>1091</v>
      </c>
      <c r="AD2782" t="s">
        <v>1092</v>
      </c>
      <c r="AE2782" t="s">
        <v>1093</v>
      </c>
      <c r="AF2782" t="s">
        <v>1094</v>
      </c>
      <c r="AG2782" t="s">
        <v>1095</v>
      </c>
      <c r="AH2782" t="s">
        <v>1096</v>
      </c>
      <c r="AI2782" t="s">
        <v>1092</v>
      </c>
      <c r="AJ2782" s="2">
        <v>45847.667094907411</v>
      </c>
      <c r="AK2782" t="s">
        <v>132</v>
      </c>
      <c r="AL2782" t="s">
        <v>65</v>
      </c>
      <c r="AM2782" s="4">
        <v>0.49305555555555558</v>
      </c>
      <c r="AN2782" t="s">
        <v>66</v>
      </c>
      <c r="AO2782" t="s">
        <v>67</v>
      </c>
    </row>
    <row r="2783" spans="1:41" x14ac:dyDescent="0.2">
      <c r="A2783">
        <v>372490</v>
      </c>
      <c r="B2783" t="s">
        <v>17105</v>
      </c>
      <c r="C2783" t="s">
        <v>167</v>
      </c>
      <c r="D2783" t="s">
        <v>3504</v>
      </c>
      <c r="E2783" t="s">
        <v>17112</v>
      </c>
      <c r="F2783">
        <v>352546</v>
      </c>
      <c r="G2783" s="1">
        <v>37042</v>
      </c>
      <c r="H2783" s="1">
        <v>45504</v>
      </c>
      <c r="I2783" s="1">
        <v>46218</v>
      </c>
      <c r="J2783" t="s">
        <v>45</v>
      </c>
      <c r="K2783" t="s">
        <v>45</v>
      </c>
      <c r="L2783" t="s">
        <v>429</v>
      </c>
      <c r="M2783" s="1">
        <v>45134</v>
      </c>
      <c r="N2783" t="s">
        <v>47</v>
      </c>
      <c r="O2783" t="s">
        <v>48</v>
      </c>
      <c r="P2783" t="s">
        <v>49</v>
      </c>
      <c r="Q2783" t="s">
        <v>17113</v>
      </c>
      <c r="R2783" t="s">
        <v>17114</v>
      </c>
      <c r="S2783">
        <v>4328</v>
      </c>
      <c r="T2783" t="s">
        <v>52</v>
      </c>
      <c r="U2783">
        <v>6</v>
      </c>
      <c r="V2783" t="s">
        <v>3571</v>
      </c>
      <c r="W2783" t="s">
        <v>54</v>
      </c>
      <c r="X2783" t="s">
        <v>76</v>
      </c>
      <c r="Y2783" t="s">
        <v>56</v>
      </c>
      <c r="Z2783">
        <v>851</v>
      </c>
      <c r="AA2783">
        <v>72</v>
      </c>
      <c r="AB2783">
        <v>160</v>
      </c>
      <c r="AC2783" t="s">
        <v>17115</v>
      </c>
      <c r="AD2783" t="s">
        <v>3573</v>
      </c>
      <c r="AE2783" t="s">
        <v>3574</v>
      </c>
      <c r="AF2783" t="s">
        <v>3575</v>
      </c>
      <c r="AG2783" t="s">
        <v>3576</v>
      </c>
      <c r="AH2783" t="s">
        <v>3577</v>
      </c>
      <c r="AI2783" t="s">
        <v>3578</v>
      </c>
      <c r="AJ2783" s="2">
        <v>45840.873495370368</v>
      </c>
      <c r="AK2783" t="s">
        <v>556</v>
      </c>
      <c r="AL2783" t="s">
        <v>65</v>
      </c>
      <c r="AM2783" s="4">
        <v>0.27777777777777779</v>
      </c>
      <c r="AN2783" t="s">
        <v>66</v>
      </c>
      <c r="AO2783" t="s">
        <v>67</v>
      </c>
    </row>
    <row r="2784" spans="1:41" x14ac:dyDescent="0.2">
      <c r="A2784">
        <v>371020</v>
      </c>
      <c r="B2784" t="s">
        <v>17116</v>
      </c>
      <c r="C2784" t="s">
        <v>182</v>
      </c>
      <c r="D2784" t="s">
        <v>894</v>
      </c>
      <c r="E2784">
        <v>32420332</v>
      </c>
      <c r="F2784">
        <v>40614</v>
      </c>
      <c r="G2784" s="1">
        <v>36465</v>
      </c>
      <c r="H2784" s="1">
        <v>45787</v>
      </c>
      <c r="I2784" s="1">
        <v>46113</v>
      </c>
      <c r="J2784" t="s">
        <v>45</v>
      </c>
      <c r="K2784" t="s">
        <v>45</v>
      </c>
      <c r="L2784" t="s">
        <v>429</v>
      </c>
      <c r="M2784" s="1">
        <v>40896</v>
      </c>
      <c r="N2784" t="s">
        <v>47</v>
      </c>
      <c r="O2784" t="s">
        <v>48</v>
      </c>
      <c r="P2784" t="s">
        <v>49</v>
      </c>
      <c r="Q2784" t="s">
        <v>17117</v>
      </c>
      <c r="R2784" t="s">
        <v>17118</v>
      </c>
      <c r="S2784">
        <v>3259</v>
      </c>
      <c r="T2784" t="s">
        <v>52</v>
      </c>
      <c r="U2784">
        <v>5</v>
      </c>
      <c r="V2784" t="s">
        <v>1068</v>
      </c>
      <c r="W2784" t="s">
        <v>54</v>
      </c>
      <c r="X2784" t="s">
        <v>493</v>
      </c>
      <c r="Y2784" t="s">
        <v>434</v>
      </c>
      <c r="Z2784">
        <v>737</v>
      </c>
      <c r="AA2784">
        <v>57</v>
      </c>
      <c r="AB2784">
        <v>28</v>
      </c>
      <c r="AC2784" t="s">
        <v>13265</v>
      </c>
      <c r="AD2784" t="s">
        <v>13266</v>
      </c>
      <c r="AE2784" t="s">
        <v>1071</v>
      </c>
      <c r="AF2784" t="s">
        <v>15945</v>
      </c>
      <c r="AG2784" t="s">
        <v>13268</v>
      </c>
      <c r="AH2784" t="s">
        <v>13269</v>
      </c>
      <c r="AI2784" t="s">
        <v>13270</v>
      </c>
      <c r="AJ2784" s="2">
        <v>45792.784224537034</v>
      </c>
      <c r="AK2784" t="s">
        <v>1472</v>
      </c>
      <c r="AL2784" t="s">
        <v>65</v>
      </c>
      <c r="AM2784" s="4">
        <v>0.79166666666666663</v>
      </c>
      <c r="AN2784" t="s">
        <v>66</v>
      </c>
      <c r="AO2784" t="s">
        <v>67</v>
      </c>
    </row>
    <row r="2785" spans="1:41" x14ac:dyDescent="0.2">
      <c r="A2785">
        <v>372138</v>
      </c>
      <c r="B2785" t="s">
        <v>17119</v>
      </c>
      <c r="C2785" t="s">
        <v>735</v>
      </c>
      <c r="D2785" t="s">
        <v>2559</v>
      </c>
      <c r="E2785" t="s">
        <v>17120</v>
      </c>
      <c r="F2785">
        <v>242905</v>
      </c>
      <c r="G2785" s="1">
        <v>38384</v>
      </c>
      <c r="H2785" s="1">
        <v>45831</v>
      </c>
      <c r="I2785" s="1">
        <v>46204</v>
      </c>
      <c r="J2785" t="s">
        <v>45</v>
      </c>
      <c r="K2785" t="s">
        <v>45</v>
      </c>
      <c r="L2785" t="s">
        <v>46</v>
      </c>
      <c r="M2785" s="1">
        <v>42537</v>
      </c>
      <c r="N2785" t="s">
        <v>47</v>
      </c>
      <c r="O2785" t="s">
        <v>48</v>
      </c>
      <c r="P2785" t="s">
        <v>49</v>
      </c>
      <c r="Q2785" t="s">
        <v>17121</v>
      </c>
      <c r="R2785" t="s">
        <v>17122</v>
      </c>
      <c r="S2785">
        <v>4570</v>
      </c>
      <c r="T2785" t="s">
        <v>52</v>
      </c>
      <c r="U2785">
        <v>1</v>
      </c>
      <c r="V2785" t="s">
        <v>2563</v>
      </c>
      <c r="W2785" t="s">
        <v>54</v>
      </c>
      <c r="X2785" t="s">
        <v>76</v>
      </c>
      <c r="Y2785" t="s">
        <v>56</v>
      </c>
      <c r="Z2785">
        <v>2682</v>
      </c>
      <c r="AA2785">
        <v>35</v>
      </c>
      <c r="AB2785">
        <v>160</v>
      </c>
      <c r="AC2785" t="s">
        <v>2564</v>
      </c>
      <c r="AD2785" t="s">
        <v>2565</v>
      </c>
      <c r="AE2785" t="s">
        <v>2566</v>
      </c>
      <c r="AF2785" t="s">
        <v>2574</v>
      </c>
      <c r="AG2785" t="s">
        <v>2575</v>
      </c>
      <c r="AH2785" t="s">
        <v>2576</v>
      </c>
      <c r="AI2785" t="s">
        <v>6132</v>
      </c>
      <c r="AJ2785" s="2">
        <v>45832.102835648147</v>
      </c>
      <c r="AK2785" t="s">
        <v>568</v>
      </c>
      <c r="AL2785" t="s">
        <v>65</v>
      </c>
      <c r="AM2785" s="3">
        <v>1.1805555555555556</v>
      </c>
      <c r="AN2785" t="s">
        <v>66</v>
      </c>
      <c r="AO2785" t="s">
        <v>67</v>
      </c>
    </row>
    <row r="2786" spans="1:41" x14ac:dyDescent="0.2">
      <c r="A2786">
        <v>355390</v>
      </c>
      <c r="B2786" t="s">
        <v>17123</v>
      </c>
      <c r="C2786" t="s">
        <v>1107</v>
      </c>
      <c r="D2786" t="s">
        <v>1001</v>
      </c>
      <c r="E2786">
        <v>57305652</v>
      </c>
      <c r="F2786">
        <v>234502</v>
      </c>
      <c r="G2786" s="1">
        <v>38124</v>
      </c>
      <c r="H2786" s="1">
        <v>45107</v>
      </c>
      <c r="I2786" s="1">
        <v>46054</v>
      </c>
      <c r="J2786" t="s">
        <v>45</v>
      </c>
      <c r="K2786" t="s">
        <v>326</v>
      </c>
      <c r="L2786" t="s">
        <v>72</v>
      </c>
      <c r="M2786" s="1">
        <v>45132</v>
      </c>
      <c r="N2786" t="s">
        <v>47</v>
      </c>
      <c r="O2786" t="s">
        <v>48</v>
      </c>
      <c r="P2786" t="s">
        <v>49</v>
      </c>
      <c r="Q2786" t="s">
        <v>17124</v>
      </c>
      <c r="R2786" t="s">
        <v>17125</v>
      </c>
      <c r="S2786">
        <v>922</v>
      </c>
      <c r="T2786" t="s">
        <v>92</v>
      </c>
      <c r="U2786" t="s">
        <v>1111</v>
      </c>
      <c r="V2786" t="s">
        <v>1112</v>
      </c>
      <c r="W2786" t="s">
        <v>1113</v>
      </c>
      <c r="X2786" t="s">
        <v>52</v>
      </c>
      <c r="Y2786" t="s">
        <v>110</v>
      </c>
      <c r="Z2786">
        <v>1144</v>
      </c>
      <c r="AA2786">
        <v>40</v>
      </c>
      <c r="AB2786">
        <v>158</v>
      </c>
      <c r="AC2786" t="s">
        <v>1114</v>
      </c>
      <c r="AD2786" t="s">
        <v>4143</v>
      </c>
      <c r="AE2786" t="s">
        <v>1116</v>
      </c>
      <c r="AJ2786" s="2">
        <v>45261.694606481484</v>
      </c>
      <c r="AK2786" t="s">
        <v>1114</v>
      </c>
      <c r="AL2786" t="s">
        <v>475</v>
      </c>
      <c r="AM2786" s="4">
        <v>2.0833333333333332E-2</v>
      </c>
      <c r="AN2786" t="s">
        <v>66</v>
      </c>
      <c r="AO2786" t="s">
        <v>67</v>
      </c>
    </row>
    <row r="2787" spans="1:41" x14ac:dyDescent="0.2">
      <c r="A2787">
        <v>365699</v>
      </c>
      <c r="B2787" t="s">
        <v>17126</v>
      </c>
      <c r="C2787" t="s">
        <v>1531</v>
      </c>
      <c r="D2787" t="s">
        <v>17127</v>
      </c>
      <c r="E2787" t="s">
        <v>17128</v>
      </c>
      <c r="F2787">
        <v>125201</v>
      </c>
      <c r="G2787" s="1">
        <v>40890</v>
      </c>
      <c r="H2787" s="1">
        <v>45576</v>
      </c>
      <c r="I2787" s="1">
        <v>46266</v>
      </c>
      <c r="J2787" t="s">
        <v>45</v>
      </c>
      <c r="K2787" t="s">
        <v>45</v>
      </c>
      <c r="L2787" t="s">
        <v>72</v>
      </c>
      <c r="M2787" s="1">
        <v>42048</v>
      </c>
      <c r="N2787" t="s">
        <v>47</v>
      </c>
      <c r="O2787" t="s">
        <v>48</v>
      </c>
      <c r="P2787" t="s">
        <v>49</v>
      </c>
      <c r="Q2787" t="s">
        <v>17129</v>
      </c>
      <c r="R2787" t="s">
        <v>17130</v>
      </c>
      <c r="S2787">
        <v>531</v>
      </c>
      <c r="T2787" t="s">
        <v>52</v>
      </c>
      <c r="U2787">
        <v>9</v>
      </c>
      <c r="V2787" t="s">
        <v>8572</v>
      </c>
      <c r="W2787" t="s">
        <v>54</v>
      </c>
      <c r="X2787" t="s">
        <v>76</v>
      </c>
      <c r="Y2787" t="s">
        <v>56</v>
      </c>
      <c r="Z2787">
        <v>4868</v>
      </c>
      <c r="AA2787">
        <v>31</v>
      </c>
      <c r="AB2787">
        <v>30</v>
      </c>
      <c r="AC2787" t="s">
        <v>17131</v>
      </c>
      <c r="AD2787" t="s">
        <v>17132</v>
      </c>
      <c r="AE2787" t="s">
        <v>17133</v>
      </c>
      <c r="AF2787" t="s">
        <v>17134</v>
      </c>
      <c r="AG2787" t="s">
        <v>17135</v>
      </c>
      <c r="AH2787" t="s">
        <v>17136</v>
      </c>
      <c r="AI2787" t="s">
        <v>17137</v>
      </c>
      <c r="AJ2787" s="2">
        <v>45589.729884259257</v>
      </c>
      <c r="AK2787" t="s">
        <v>1999</v>
      </c>
      <c r="AL2787" t="s">
        <v>65</v>
      </c>
      <c r="AM2787" s="4">
        <v>0.41666666666666669</v>
      </c>
      <c r="AN2787" t="s">
        <v>66</v>
      </c>
      <c r="AO2787" t="s">
        <v>67</v>
      </c>
    </row>
    <row r="2788" spans="1:41" x14ac:dyDescent="0.2">
      <c r="A2788">
        <v>372571</v>
      </c>
      <c r="B2788" t="s">
        <v>17138</v>
      </c>
      <c r="C2788" t="s">
        <v>134</v>
      </c>
      <c r="D2788" t="s">
        <v>9122</v>
      </c>
      <c r="E2788" t="s">
        <v>17139</v>
      </c>
      <c r="F2788">
        <v>451415</v>
      </c>
      <c r="G2788" s="1">
        <v>32509</v>
      </c>
      <c r="H2788" s="1">
        <v>45824</v>
      </c>
      <c r="I2788" s="1">
        <v>46174</v>
      </c>
      <c r="J2788" t="s">
        <v>45</v>
      </c>
      <c r="K2788" t="s">
        <v>45</v>
      </c>
      <c r="L2788" t="s">
        <v>72</v>
      </c>
      <c r="M2788" s="1">
        <v>43250</v>
      </c>
      <c r="N2788" t="s">
        <v>47</v>
      </c>
      <c r="O2788" t="s">
        <v>48</v>
      </c>
      <c r="P2788" t="s">
        <v>49</v>
      </c>
      <c r="Q2788" t="s">
        <v>17140</v>
      </c>
      <c r="R2788" t="s">
        <v>17141</v>
      </c>
      <c r="S2788">
        <v>3406</v>
      </c>
      <c r="T2788" t="s">
        <v>92</v>
      </c>
      <c r="U2788" t="s">
        <v>139</v>
      </c>
      <c r="V2788" t="s">
        <v>140</v>
      </c>
      <c r="W2788" t="s">
        <v>141</v>
      </c>
      <c r="X2788" t="s">
        <v>92</v>
      </c>
      <c r="Y2788" t="s">
        <v>110</v>
      </c>
      <c r="Z2788">
        <v>396</v>
      </c>
      <c r="AA2788">
        <v>64</v>
      </c>
      <c r="AB2788">
        <v>174</v>
      </c>
      <c r="AC2788" t="s">
        <v>9821</v>
      </c>
      <c r="AD2788" t="s">
        <v>9822</v>
      </c>
      <c r="AE2788" t="s">
        <v>9823</v>
      </c>
      <c r="AF2788" t="s">
        <v>145</v>
      </c>
      <c r="AG2788" t="s">
        <v>146</v>
      </c>
      <c r="AH2788" t="s">
        <v>147</v>
      </c>
      <c r="AI2788" t="s">
        <v>148</v>
      </c>
      <c r="AJ2788" s="2">
        <v>45845.803981481484</v>
      </c>
      <c r="AK2788" t="s">
        <v>9821</v>
      </c>
      <c r="AL2788" t="s">
        <v>65</v>
      </c>
      <c r="AM2788" s="4">
        <v>0.40972222222222221</v>
      </c>
      <c r="AN2788" t="s">
        <v>66</v>
      </c>
      <c r="AO2788" t="s">
        <v>67</v>
      </c>
    </row>
    <row r="2789" spans="1:41" x14ac:dyDescent="0.2">
      <c r="A2789">
        <v>373007</v>
      </c>
      <c r="B2789" t="s">
        <v>17142</v>
      </c>
      <c r="C2789" t="s">
        <v>788</v>
      </c>
      <c r="D2789" t="s">
        <v>789</v>
      </c>
      <c r="E2789" t="s">
        <v>17143</v>
      </c>
      <c r="F2789">
        <v>82002</v>
      </c>
      <c r="G2789" s="1">
        <v>37271</v>
      </c>
      <c r="H2789" s="1">
        <v>45615</v>
      </c>
      <c r="I2789" s="1">
        <v>45992</v>
      </c>
      <c r="J2789" t="s">
        <v>45</v>
      </c>
      <c r="K2789" t="s">
        <v>45</v>
      </c>
      <c r="L2789" t="s">
        <v>46</v>
      </c>
      <c r="M2789" s="1">
        <v>45727</v>
      </c>
      <c r="N2789" t="s">
        <v>47</v>
      </c>
      <c r="O2789" t="s">
        <v>48</v>
      </c>
      <c r="P2789" t="s">
        <v>49</v>
      </c>
      <c r="Q2789" t="s">
        <v>17144</v>
      </c>
      <c r="R2789" t="s">
        <v>17145</v>
      </c>
      <c r="S2789">
        <v>27</v>
      </c>
      <c r="T2789" t="s">
        <v>52</v>
      </c>
      <c r="U2789">
        <v>8</v>
      </c>
      <c r="V2789" t="s">
        <v>793</v>
      </c>
      <c r="W2789" t="s">
        <v>54</v>
      </c>
      <c r="X2789" t="s">
        <v>76</v>
      </c>
      <c r="Y2789" t="s">
        <v>56</v>
      </c>
      <c r="Z2789">
        <v>2019</v>
      </c>
      <c r="AA2789">
        <v>51</v>
      </c>
      <c r="AB2789">
        <v>45</v>
      </c>
      <c r="AC2789" t="s">
        <v>2863</v>
      </c>
      <c r="AD2789" t="s">
        <v>2864</v>
      </c>
      <c r="AE2789" t="s">
        <v>2865</v>
      </c>
      <c r="AF2789" t="s">
        <v>794</v>
      </c>
      <c r="AG2789" t="s">
        <v>795</v>
      </c>
      <c r="AH2789" t="s">
        <v>17146</v>
      </c>
      <c r="AJ2789" s="2">
        <v>45855.997939814813</v>
      </c>
      <c r="AK2789" t="s">
        <v>556</v>
      </c>
      <c r="AL2789" t="s">
        <v>65</v>
      </c>
      <c r="AM2789" s="3">
        <v>2.0069444444444446</v>
      </c>
      <c r="AN2789" t="s">
        <v>66</v>
      </c>
      <c r="AO2789" t="s">
        <v>101</v>
      </c>
    </row>
    <row r="2790" spans="1:41" x14ac:dyDescent="0.2">
      <c r="A2790">
        <v>372938</v>
      </c>
      <c r="B2790" t="s">
        <v>17147</v>
      </c>
      <c r="C2790" t="s">
        <v>167</v>
      </c>
      <c r="D2790" t="s">
        <v>1628</v>
      </c>
      <c r="E2790" t="s">
        <v>17148</v>
      </c>
      <c r="F2790">
        <v>353429</v>
      </c>
      <c r="G2790" s="1">
        <v>38875</v>
      </c>
      <c r="H2790" s="1">
        <v>45811</v>
      </c>
      <c r="I2790" s="1">
        <v>46143</v>
      </c>
      <c r="J2790" t="s">
        <v>45</v>
      </c>
      <c r="K2790" t="s">
        <v>45</v>
      </c>
      <c r="L2790" t="s">
        <v>429</v>
      </c>
      <c r="M2790" s="1">
        <v>43307</v>
      </c>
      <c r="N2790" t="s">
        <v>47</v>
      </c>
      <c r="O2790" t="s">
        <v>48</v>
      </c>
      <c r="P2790" t="s">
        <v>49</v>
      </c>
      <c r="Q2790" t="s">
        <v>17149</v>
      </c>
      <c r="R2790" t="s">
        <v>17150</v>
      </c>
      <c r="S2790">
        <v>5085</v>
      </c>
      <c r="T2790" t="s">
        <v>52</v>
      </c>
      <c r="U2790">
        <v>6</v>
      </c>
      <c r="V2790" t="s">
        <v>3013</v>
      </c>
      <c r="W2790" t="s">
        <v>54</v>
      </c>
      <c r="X2790" t="s">
        <v>76</v>
      </c>
      <c r="Y2790" t="s">
        <v>56</v>
      </c>
      <c r="Z2790">
        <v>2319</v>
      </c>
      <c r="AA2790">
        <v>43</v>
      </c>
      <c r="AB2790">
        <v>160</v>
      </c>
      <c r="AC2790" t="s">
        <v>4117</v>
      </c>
      <c r="AD2790" t="s">
        <v>4118</v>
      </c>
      <c r="AE2790" t="s">
        <v>4119</v>
      </c>
      <c r="AF2790" t="s">
        <v>4120</v>
      </c>
      <c r="AG2790" t="s">
        <v>4121</v>
      </c>
      <c r="AH2790" t="s">
        <v>4122</v>
      </c>
      <c r="AI2790" t="s">
        <v>179</v>
      </c>
      <c r="AJ2790" s="2">
        <v>45855.927453703705</v>
      </c>
      <c r="AK2790" t="s">
        <v>556</v>
      </c>
      <c r="AL2790" t="s">
        <v>65</v>
      </c>
      <c r="AM2790" s="3">
        <v>1.6180555555555556</v>
      </c>
      <c r="AN2790" t="s">
        <v>66</v>
      </c>
      <c r="AO2790" t="s">
        <v>67</v>
      </c>
    </row>
    <row r="2791" spans="1:41" x14ac:dyDescent="0.2">
      <c r="A2791">
        <v>372497</v>
      </c>
      <c r="B2791" t="s">
        <v>17151</v>
      </c>
      <c r="C2791" t="s">
        <v>167</v>
      </c>
      <c r="D2791" t="s">
        <v>1628</v>
      </c>
      <c r="E2791" t="s">
        <v>17152</v>
      </c>
      <c r="F2791">
        <v>353421</v>
      </c>
      <c r="G2791" s="1">
        <v>37080</v>
      </c>
      <c r="H2791" s="1">
        <v>45507</v>
      </c>
      <c r="I2791" s="1">
        <v>46218</v>
      </c>
      <c r="J2791" t="s">
        <v>45</v>
      </c>
      <c r="K2791" t="s">
        <v>45</v>
      </c>
      <c r="L2791" t="s">
        <v>72</v>
      </c>
      <c r="M2791" s="1">
        <v>43307</v>
      </c>
      <c r="N2791" t="s">
        <v>47</v>
      </c>
      <c r="O2791" t="s">
        <v>48</v>
      </c>
      <c r="P2791" t="s">
        <v>49</v>
      </c>
      <c r="Q2791" t="s">
        <v>17153</v>
      </c>
      <c r="R2791" t="s">
        <v>17154</v>
      </c>
      <c r="S2791">
        <v>6113</v>
      </c>
      <c r="T2791" t="s">
        <v>52</v>
      </c>
      <c r="U2791">
        <v>6</v>
      </c>
      <c r="V2791" t="s">
        <v>3013</v>
      </c>
      <c r="W2791" t="s">
        <v>54</v>
      </c>
      <c r="X2791" t="s">
        <v>76</v>
      </c>
      <c r="Y2791" t="s">
        <v>56</v>
      </c>
      <c r="Z2791">
        <v>763</v>
      </c>
      <c r="AA2791">
        <v>54</v>
      </c>
      <c r="AB2791">
        <v>166</v>
      </c>
      <c r="AC2791" t="s">
        <v>4117</v>
      </c>
      <c r="AD2791" t="s">
        <v>4118</v>
      </c>
      <c r="AE2791" t="s">
        <v>4119</v>
      </c>
      <c r="AF2791" t="s">
        <v>4120</v>
      </c>
      <c r="AG2791" t="s">
        <v>4121</v>
      </c>
      <c r="AH2791" t="s">
        <v>4122</v>
      </c>
      <c r="AI2791" t="s">
        <v>179</v>
      </c>
      <c r="AJ2791" s="2">
        <v>45840.939814814818</v>
      </c>
      <c r="AK2791" t="s">
        <v>556</v>
      </c>
      <c r="AL2791" t="s">
        <v>65</v>
      </c>
      <c r="AM2791" s="4">
        <v>0.14583333333333334</v>
      </c>
      <c r="AN2791" t="s">
        <v>66</v>
      </c>
      <c r="AO2791" t="s">
        <v>67</v>
      </c>
    </row>
    <row r="2792" spans="1:41" x14ac:dyDescent="0.2">
      <c r="A2792">
        <v>357490</v>
      </c>
      <c r="B2792" t="s">
        <v>17155</v>
      </c>
      <c r="C2792" t="s">
        <v>278</v>
      </c>
      <c r="D2792" t="s">
        <v>3630</v>
      </c>
      <c r="E2792" t="s">
        <v>17156</v>
      </c>
      <c r="J2792" t="s">
        <v>45</v>
      </c>
      <c r="K2792" t="s">
        <v>45</v>
      </c>
      <c r="L2792" t="s">
        <v>72</v>
      </c>
      <c r="N2792" t="s">
        <v>89</v>
      </c>
      <c r="O2792" t="s">
        <v>48</v>
      </c>
      <c r="P2792" t="s">
        <v>49</v>
      </c>
      <c r="Q2792" t="s">
        <v>17157</v>
      </c>
      <c r="R2792" t="s">
        <v>17158</v>
      </c>
      <c r="S2792">
        <v>5700</v>
      </c>
      <c r="T2792" t="s">
        <v>92</v>
      </c>
      <c r="U2792" t="s">
        <v>3634</v>
      </c>
      <c r="V2792" t="s">
        <v>3635</v>
      </c>
      <c r="W2792" t="s">
        <v>3636</v>
      </c>
      <c r="X2792" t="s">
        <v>92</v>
      </c>
      <c r="Y2792" t="s">
        <v>96</v>
      </c>
      <c r="Z2792">
        <v>11606</v>
      </c>
      <c r="AA2792">
        <v>2</v>
      </c>
      <c r="AB2792">
        <v>189</v>
      </c>
      <c r="AC2792" t="s">
        <v>3637</v>
      </c>
      <c r="AD2792" t="s">
        <v>3638</v>
      </c>
      <c r="AE2792" t="s">
        <v>3639</v>
      </c>
      <c r="AJ2792" s="2">
        <v>45330.727384259262</v>
      </c>
      <c r="AK2792" t="s">
        <v>149</v>
      </c>
      <c r="AL2792" t="s">
        <v>65</v>
      </c>
      <c r="AM2792" s="3">
        <v>1.25</v>
      </c>
      <c r="AN2792" t="s">
        <v>66</v>
      </c>
      <c r="AO2792" t="s">
        <v>67</v>
      </c>
    </row>
    <row r="2793" spans="1:41" x14ac:dyDescent="0.2">
      <c r="A2793">
        <v>371065</v>
      </c>
      <c r="B2793" t="s">
        <v>17159</v>
      </c>
      <c r="C2793" t="s">
        <v>103</v>
      </c>
      <c r="D2793" t="s">
        <v>12726</v>
      </c>
      <c r="E2793" t="s">
        <v>17160</v>
      </c>
      <c r="F2793">
        <v>319803</v>
      </c>
      <c r="G2793" s="1">
        <v>36873</v>
      </c>
      <c r="H2793" s="1">
        <v>45343</v>
      </c>
      <c r="I2793" s="1">
        <v>46327</v>
      </c>
      <c r="J2793" t="s">
        <v>45</v>
      </c>
      <c r="K2793" t="s">
        <v>45</v>
      </c>
      <c r="L2793" t="s">
        <v>72</v>
      </c>
      <c r="N2793" t="s">
        <v>47</v>
      </c>
      <c r="O2793" t="s">
        <v>48</v>
      </c>
      <c r="P2793" t="s">
        <v>49</v>
      </c>
      <c r="Q2793" t="s">
        <v>17161</v>
      </c>
      <c r="R2793" t="s">
        <v>17162</v>
      </c>
      <c r="S2793">
        <v>30</v>
      </c>
      <c r="T2793" t="s">
        <v>92</v>
      </c>
      <c r="U2793" t="s">
        <v>107</v>
      </c>
      <c r="V2793" t="s">
        <v>108</v>
      </c>
      <c r="W2793" t="s">
        <v>109</v>
      </c>
      <c r="X2793" t="s">
        <v>52</v>
      </c>
      <c r="Y2793" t="s">
        <v>110</v>
      </c>
      <c r="Z2793">
        <v>1804</v>
      </c>
      <c r="AA2793">
        <v>37</v>
      </c>
      <c r="AB2793">
        <v>160</v>
      </c>
      <c r="AC2793" t="s">
        <v>1461</v>
      </c>
      <c r="AD2793" t="s">
        <v>1462</v>
      </c>
      <c r="AE2793" t="s">
        <v>1463</v>
      </c>
      <c r="AF2793" t="s">
        <v>1464</v>
      </c>
      <c r="AG2793" t="s">
        <v>4566</v>
      </c>
      <c r="AH2793" t="s">
        <v>1465</v>
      </c>
      <c r="AI2793" t="s">
        <v>1462</v>
      </c>
      <c r="AJ2793" s="2">
        <v>45818.719537037039</v>
      </c>
      <c r="AK2793" t="s">
        <v>100</v>
      </c>
      <c r="AL2793" t="s">
        <v>65</v>
      </c>
      <c r="AM2793" s="4">
        <v>0.77083333333333337</v>
      </c>
      <c r="AN2793" t="s">
        <v>66</v>
      </c>
      <c r="AO2793" t="s">
        <v>67</v>
      </c>
    </row>
    <row r="2794" spans="1:41" x14ac:dyDescent="0.2">
      <c r="A2794">
        <v>367221</v>
      </c>
      <c r="B2794" t="s">
        <v>17163</v>
      </c>
      <c r="C2794" t="s">
        <v>118</v>
      </c>
      <c r="D2794" t="s">
        <v>4931</v>
      </c>
      <c r="E2794" t="s">
        <v>17164</v>
      </c>
      <c r="F2794">
        <v>20510</v>
      </c>
      <c r="G2794" s="1">
        <v>34473</v>
      </c>
      <c r="H2794" s="1">
        <v>45665</v>
      </c>
      <c r="I2794" s="1">
        <v>46023</v>
      </c>
      <c r="J2794" t="s">
        <v>45</v>
      </c>
      <c r="K2794" t="s">
        <v>45</v>
      </c>
      <c r="L2794" t="s">
        <v>72</v>
      </c>
      <c r="M2794" s="1">
        <v>42835</v>
      </c>
      <c r="N2794" t="s">
        <v>47</v>
      </c>
      <c r="O2794" t="s">
        <v>48</v>
      </c>
      <c r="P2794" t="s">
        <v>49</v>
      </c>
      <c r="Q2794" t="s">
        <v>17165</v>
      </c>
      <c r="R2794" t="s">
        <v>17166</v>
      </c>
      <c r="S2794">
        <v>3380</v>
      </c>
      <c r="T2794" t="s">
        <v>365</v>
      </c>
      <c r="U2794" t="s">
        <v>815</v>
      </c>
      <c r="V2794" t="s">
        <v>2124</v>
      </c>
      <c r="W2794" t="s">
        <v>367</v>
      </c>
      <c r="X2794" t="s">
        <v>55</v>
      </c>
      <c r="Y2794" t="s">
        <v>434</v>
      </c>
      <c r="Z2794">
        <v>61</v>
      </c>
      <c r="AA2794">
        <v>53</v>
      </c>
      <c r="AB2794">
        <v>166</v>
      </c>
      <c r="AC2794" t="s">
        <v>2125</v>
      </c>
      <c r="AD2794" t="s">
        <v>9141</v>
      </c>
      <c r="AE2794" t="s">
        <v>17167</v>
      </c>
      <c r="AF2794" t="s">
        <v>2128</v>
      </c>
      <c r="AG2794" t="s">
        <v>2129</v>
      </c>
      <c r="AH2794" t="s">
        <v>2130</v>
      </c>
      <c r="AI2794" t="s">
        <v>179</v>
      </c>
      <c r="AJ2794" s="2">
        <v>45665.920532407406</v>
      </c>
      <c r="AK2794" t="s">
        <v>307</v>
      </c>
      <c r="AL2794" t="s">
        <v>65</v>
      </c>
      <c r="AM2794" s="3">
        <v>2.2152777777777777</v>
      </c>
      <c r="AN2794" t="s">
        <v>66</v>
      </c>
      <c r="AO2794" t="s">
        <v>67</v>
      </c>
    </row>
    <row r="2795" spans="1:41" x14ac:dyDescent="0.2">
      <c r="A2795">
        <v>370660</v>
      </c>
      <c r="B2795" t="s">
        <v>17168</v>
      </c>
      <c r="C2795" t="s">
        <v>236</v>
      </c>
      <c r="D2795" t="s">
        <v>198</v>
      </c>
      <c r="E2795">
        <v>32728356</v>
      </c>
      <c r="F2795">
        <v>210702</v>
      </c>
      <c r="G2795" s="1">
        <v>45780</v>
      </c>
      <c r="H2795" s="1">
        <v>45772</v>
      </c>
      <c r="I2795" s="1">
        <v>46082</v>
      </c>
      <c r="J2795" t="s">
        <v>45</v>
      </c>
      <c r="K2795" t="s">
        <v>45</v>
      </c>
      <c r="L2795" t="s">
        <v>72</v>
      </c>
      <c r="M2795" s="1">
        <v>41122</v>
      </c>
      <c r="N2795" t="s">
        <v>47</v>
      </c>
      <c r="O2795" t="s">
        <v>121</v>
      </c>
      <c r="P2795" t="s">
        <v>49</v>
      </c>
      <c r="Q2795" t="s">
        <v>17169</v>
      </c>
      <c r="R2795" t="s">
        <v>17170</v>
      </c>
      <c r="S2795">
        <v>2033</v>
      </c>
      <c r="T2795" t="s">
        <v>52</v>
      </c>
      <c r="U2795">
        <v>9</v>
      </c>
      <c r="V2795" t="s">
        <v>7038</v>
      </c>
      <c r="W2795" t="s">
        <v>54</v>
      </c>
      <c r="X2795" t="s">
        <v>76</v>
      </c>
      <c r="Y2795" t="s">
        <v>125</v>
      </c>
      <c r="Z2795">
        <v>1462</v>
      </c>
      <c r="AA2795">
        <v>128</v>
      </c>
      <c r="AB2795">
        <v>160</v>
      </c>
      <c r="AC2795" t="s">
        <v>9654</v>
      </c>
      <c r="AD2795" t="s">
        <v>8897</v>
      </c>
      <c r="AE2795" t="s">
        <v>8898</v>
      </c>
      <c r="AH2795" t="s">
        <v>17171</v>
      </c>
      <c r="AI2795" t="s">
        <v>8897</v>
      </c>
      <c r="AJ2795" s="2">
        <v>45782.833692129629</v>
      </c>
      <c r="AK2795" t="s">
        <v>375</v>
      </c>
      <c r="AL2795" t="s">
        <v>65</v>
      </c>
      <c r="AM2795" s="3">
        <v>1.6319444444444444</v>
      </c>
      <c r="AN2795" t="s">
        <v>66</v>
      </c>
      <c r="AO2795" t="s">
        <v>67</v>
      </c>
    </row>
    <row r="2796" spans="1:41" x14ac:dyDescent="0.2">
      <c r="A2796">
        <v>369979</v>
      </c>
      <c r="B2796" t="s">
        <v>17172</v>
      </c>
      <c r="C2796" t="s">
        <v>236</v>
      </c>
      <c r="D2796" t="s">
        <v>7034</v>
      </c>
      <c r="E2796" t="s">
        <v>17173</v>
      </c>
      <c r="F2796">
        <v>210603</v>
      </c>
      <c r="G2796" s="1">
        <v>45758</v>
      </c>
      <c r="H2796" s="1">
        <v>45628</v>
      </c>
      <c r="I2796" s="1">
        <v>45992</v>
      </c>
      <c r="J2796" t="s">
        <v>45</v>
      </c>
      <c r="K2796" t="s">
        <v>45</v>
      </c>
      <c r="L2796" t="s">
        <v>72</v>
      </c>
      <c r="N2796" t="s">
        <v>47</v>
      </c>
      <c r="O2796" t="s">
        <v>121</v>
      </c>
      <c r="P2796" t="s">
        <v>49</v>
      </c>
      <c r="Q2796" t="s">
        <v>17174</v>
      </c>
      <c r="R2796" t="s">
        <v>17175</v>
      </c>
      <c r="S2796">
        <v>1405</v>
      </c>
      <c r="T2796" t="s">
        <v>52</v>
      </c>
      <c r="U2796">
        <v>9</v>
      </c>
      <c r="V2796" t="s">
        <v>7038</v>
      </c>
      <c r="W2796" t="s">
        <v>54</v>
      </c>
      <c r="X2796" t="s">
        <v>52</v>
      </c>
      <c r="Y2796" t="s">
        <v>125</v>
      </c>
      <c r="Z2796">
        <v>1463</v>
      </c>
      <c r="AA2796">
        <v>94</v>
      </c>
      <c r="AB2796">
        <v>160</v>
      </c>
      <c r="AC2796" t="s">
        <v>7364</v>
      </c>
      <c r="AD2796" t="s">
        <v>7040</v>
      </c>
      <c r="AE2796" t="s">
        <v>7365</v>
      </c>
      <c r="AF2796" t="s">
        <v>7042</v>
      </c>
      <c r="AG2796" t="s">
        <v>7043</v>
      </c>
      <c r="AH2796" t="s">
        <v>7044</v>
      </c>
      <c r="AI2796" t="s">
        <v>5961</v>
      </c>
      <c r="AJ2796" s="2">
        <v>45758.830127314817</v>
      </c>
      <c r="AK2796" t="s">
        <v>660</v>
      </c>
      <c r="AL2796" t="s">
        <v>65</v>
      </c>
      <c r="AM2796" s="3">
        <v>1.6388888888888888</v>
      </c>
      <c r="AN2796" t="s">
        <v>66</v>
      </c>
      <c r="AO2796" t="s">
        <v>67</v>
      </c>
    </row>
    <row r="2797" spans="1:41" x14ac:dyDescent="0.2">
      <c r="A2797">
        <v>366593</v>
      </c>
      <c r="B2797" t="s">
        <v>17176</v>
      </c>
      <c r="C2797" t="s">
        <v>236</v>
      </c>
      <c r="D2797" t="s">
        <v>7034</v>
      </c>
      <c r="E2797" t="s">
        <v>17177</v>
      </c>
      <c r="F2797">
        <v>210515</v>
      </c>
      <c r="G2797" s="1">
        <v>45628</v>
      </c>
      <c r="H2797" s="1">
        <v>45629</v>
      </c>
      <c r="I2797" s="1">
        <v>45992</v>
      </c>
      <c r="J2797" t="s">
        <v>45</v>
      </c>
      <c r="K2797" t="s">
        <v>45</v>
      </c>
      <c r="L2797" t="s">
        <v>72</v>
      </c>
      <c r="N2797" t="s">
        <v>89</v>
      </c>
      <c r="O2797" t="s">
        <v>121</v>
      </c>
      <c r="P2797" t="s">
        <v>49</v>
      </c>
      <c r="Q2797" t="s">
        <v>17178</v>
      </c>
      <c r="R2797" t="s">
        <v>17179</v>
      </c>
      <c r="S2797">
        <v>12313</v>
      </c>
      <c r="T2797" t="s">
        <v>52</v>
      </c>
      <c r="U2797">
        <v>9</v>
      </c>
      <c r="V2797" t="s">
        <v>7038</v>
      </c>
      <c r="W2797" t="s">
        <v>54</v>
      </c>
      <c r="X2797" t="s">
        <v>52</v>
      </c>
      <c r="Y2797" t="s">
        <v>125</v>
      </c>
      <c r="Z2797">
        <v>7347</v>
      </c>
      <c r="AA2797">
        <v>58</v>
      </c>
      <c r="AB2797">
        <v>78</v>
      </c>
      <c r="AC2797" t="s">
        <v>7364</v>
      </c>
      <c r="AD2797" t="s">
        <v>7040</v>
      </c>
      <c r="AE2797" t="s">
        <v>7365</v>
      </c>
      <c r="AF2797" t="s">
        <v>7042</v>
      </c>
      <c r="AG2797" t="s">
        <v>7043</v>
      </c>
      <c r="AH2797" t="s">
        <v>7044</v>
      </c>
      <c r="AI2797" t="s">
        <v>5961</v>
      </c>
      <c r="AJ2797" s="2">
        <v>45629.504664351851</v>
      </c>
      <c r="AK2797" t="s">
        <v>132</v>
      </c>
      <c r="AL2797" t="s">
        <v>65</v>
      </c>
      <c r="AM2797" s="4">
        <v>0.72916666666666663</v>
      </c>
      <c r="AN2797" t="s">
        <v>66</v>
      </c>
      <c r="AO2797" t="s">
        <v>67</v>
      </c>
    </row>
    <row r="2798" spans="1:41" x14ac:dyDescent="0.2">
      <c r="A2798">
        <v>370622</v>
      </c>
      <c r="B2798" t="s">
        <v>17180</v>
      </c>
      <c r="C2798" t="s">
        <v>236</v>
      </c>
      <c r="D2798" t="s">
        <v>198</v>
      </c>
      <c r="E2798" t="s">
        <v>17181</v>
      </c>
      <c r="G2798" s="1">
        <v>45780</v>
      </c>
      <c r="H2798" s="1">
        <v>45699</v>
      </c>
      <c r="I2798" s="1">
        <v>46082</v>
      </c>
      <c r="J2798" t="s">
        <v>45</v>
      </c>
      <c r="K2798" t="s">
        <v>45</v>
      </c>
      <c r="L2798" t="s">
        <v>72</v>
      </c>
      <c r="N2798" t="s">
        <v>47</v>
      </c>
      <c r="O2798" t="s">
        <v>121</v>
      </c>
      <c r="P2798" t="s">
        <v>49</v>
      </c>
      <c r="Q2798" t="s">
        <v>17182</v>
      </c>
      <c r="R2798" t="s">
        <v>17183</v>
      </c>
      <c r="S2798">
        <v>1769</v>
      </c>
      <c r="T2798" t="s">
        <v>52</v>
      </c>
      <c r="U2798">
        <v>9</v>
      </c>
      <c r="V2798" t="s">
        <v>7038</v>
      </c>
      <c r="W2798" t="s">
        <v>54</v>
      </c>
      <c r="X2798" t="s">
        <v>76</v>
      </c>
      <c r="Y2798" t="s">
        <v>125</v>
      </c>
      <c r="Z2798">
        <v>9606</v>
      </c>
      <c r="AA2798">
        <v>40</v>
      </c>
      <c r="AB2798">
        <v>78</v>
      </c>
      <c r="AC2798" t="s">
        <v>9654</v>
      </c>
      <c r="AD2798" t="s">
        <v>8897</v>
      </c>
      <c r="AE2798" t="s">
        <v>8898</v>
      </c>
      <c r="AJ2798" s="2">
        <v>45782.620509259257</v>
      </c>
      <c r="AK2798" t="s">
        <v>375</v>
      </c>
      <c r="AL2798" t="s">
        <v>65</v>
      </c>
      <c r="AM2798" s="3">
        <v>1.7777777777777777</v>
      </c>
      <c r="AN2798" t="s">
        <v>66</v>
      </c>
      <c r="AO2798" t="s">
        <v>67</v>
      </c>
    </row>
    <row r="2799" spans="1:41" x14ac:dyDescent="0.2">
      <c r="A2799">
        <v>372126</v>
      </c>
      <c r="B2799" t="s">
        <v>17184</v>
      </c>
      <c r="C2799" t="s">
        <v>182</v>
      </c>
      <c r="D2799" t="s">
        <v>1948</v>
      </c>
      <c r="E2799" s="5" t="s">
        <v>17185</v>
      </c>
      <c r="F2799">
        <v>40315</v>
      </c>
      <c r="G2799" s="1">
        <v>40469</v>
      </c>
      <c r="H2799" s="1">
        <v>45825</v>
      </c>
      <c r="I2799" s="1">
        <v>45931</v>
      </c>
      <c r="J2799" t="s">
        <v>45</v>
      </c>
      <c r="K2799" t="s">
        <v>45</v>
      </c>
      <c r="L2799" t="s">
        <v>429</v>
      </c>
      <c r="M2799" s="1">
        <v>40801</v>
      </c>
      <c r="N2799" t="s">
        <v>47</v>
      </c>
      <c r="O2799" t="s">
        <v>48</v>
      </c>
      <c r="P2799" t="s">
        <v>49</v>
      </c>
      <c r="Q2799" t="s">
        <v>17186</v>
      </c>
      <c r="R2799" t="s">
        <v>17187</v>
      </c>
      <c r="S2799">
        <v>4591</v>
      </c>
      <c r="T2799" t="s">
        <v>365</v>
      </c>
      <c r="U2799" t="s">
        <v>562</v>
      </c>
      <c r="V2799" t="s">
        <v>1746</v>
      </c>
      <c r="W2799" t="s">
        <v>367</v>
      </c>
      <c r="X2799" t="s">
        <v>493</v>
      </c>
      <c r="Y2799" t="s">
        <v>434</v>
      </c>
      <c r="Z2799">
        <v>84</v>
      </c>
      <c r="AA2799">
        <v>113</v>
      </c>
      <c r="AB2799">
        <v>160</v>
      </c>
      <c r="AC2799" t="s">
        <v>1747</v>
      </c>
      <c r="AD2799" t="s">
        <v>2887</v>
      </c>
      <c r="AE2799" t="s">
        <v>1749</v>
      </c>
      <c r="AI2799" t="s">
        <v>500</v>
      </c>
      <c r="AJ2799" s="2">
        <v>45831.877233796295</v>
      </c>
      <c r="AK2799" t="s">
        <v>1740</v>
      </c>
      <c r="AL2799" t="s">
        <v>65</v>
      </c>
      <c r="AM2799" s="3">
        <v>1.6597222222222223</v>
      </c>
      <c r="AN2799" t="s">
        <v>66</v>
      </c>
      <c r="AO2799" t="s">
        <v>67</v>
      </c>
    </row>
    <row r="2800" spans="1:41" x14ac:dyDescent="0.2">
      <c r="A2800">
        <v>366366</v>
      </c>
      <c r="B2800" t="s">
        <v>17188</v>
      </c>
      <c r="C2800" t="s">
        <v>754</v>
      </c>
      <c r="D2800" t="s">
        <v>17189</v>
      </c>
      <c r="E2800" t="s">
        <v>17190</v>
      </c>
      <c r="F2800">
        <v>180701</v>
      </c>
      <c r="G2800" s="1">
        <v>35886</v>
      </c>
      <c r="H2800" s="1">
        <v>45611</v>
      </c>
      <c r="J2800" t="s">
        <v>45</v>
      </c>
      <c r="K2800" t="s">
        <v>45</v>
      </c>
      <c r="L2800" t="s">
        <v>72</v>
      </c>
      <c r="N2800" t="s">
        <v>47</v>
      </c>
      <c r="O2800" t="s">
        <v>48</v>
      </c>
      <c r="P2800" t="s">
        <v>49</v>
      </c>
      <c r="Q2800" t="s">
        <v>17191</v>
      </c>
      <c r="R2800" t="s">
        <v>17192</v>
      </c>
      <c r="S2800">
        <v>369</v>
      </c>
      <c r="T2800" t="s">
        <v>92</v>
      </c>
      <c r="U2800" t="s">
        <v>4785</v>
      </c>
      <c r="V2800" t="s">
        <v>768</v>
      </c>
      <c r="W2800" t="s">
        <v>4786</v>
      </c>
      <c r="X2800" t="s">
        <v>52</v>
      </c>
      <c r="Y2800" t="s">
        <v>770</v>
      </c>
      <c r="Z2800">
        <v>2651</v>
      </c>
      <c r="AA2800">
        <v>39</v>
      </c>
      <c r="AB2800">
        <v>160</v>
      </c>
      <c r="AC2800" t="s">
        <v>4790</v>
      </c>
      <c r="AD2800" t="s">
        <v>17193</v>
      </c>
      <c r="AE2800" t="s">
        <v>4792</v>
      </c>
      <c r="AF2800" t="s">
        <v>4787</v>
      </c>
      <c r="AG2800" t="s">
        <v>4788</v>
      </c>
      <c r="AH2800" t="s">
        <v>4789</v>
      </c>
      <c r="AJ2800" s="2">
        <v>45615.975497685184</v>
      </c>
      <c r="AK2800" t="s">
        <v>4793</v>
      </c>
      <c r="AL2800" t="s">
        <v>65</v>
      </c>
      <c r="AM2800" s="3">
        <v>1.0625</v>
      </c>
      <c r="AN2800" t="s">
        <v>66</v>
      </c>
      <c r="AO2800" t="s">
        <v>67</v>
      </c>
    </row>
    <row r="2801" spans="1:41" x14ac:dyDescent="0.2">
      <c r="A2801">
        <v>367881</v>
      </c>
      <c r="B2801" t="s">
        <v>17194</v>
      </c>
      <c r="C2801" t="s">
        <v>788</v>
      </c>
      <c r="D2801" t="s">
        <v>5415</v>
      </c>
      <c r="E2801" t="s">
        <v>17195</v>
      </c>
      <c r="F2801">
        <v>81201</v>
      </c>
      <c r="G2801" s="1">
        <v>44357</v>
      </c>
      <c r="H2801" s="1">
        <v>45627</v>
      </c>
      <c r="J2801" t="s">
        <v>45</v>
      </c>
      <c r="K2801" t="s">
        <v>45</v>
      </c>
      <c r="L2801" t="s">
        <v>72</v>
      </c>
      <c r="N2801" t="s">
        <v>47</v>
      </c>
      <c r="O2801" t="s">
        <v>48</v>
      </c>
      <c r="P2801" t="s">
        <v>49</v>
      </c>
      <c r="Q2801" t="s">
        <v>17196</v>
      </c>
      <c r="R2801" t="s">
        <v>17197</v>
      </c>
      <c r="S2801">
        <v>203</v>
      </c>
      <c r="T2801" t="s">
        <v>92</v>
      </c>
      <c r="U2801" t="s">
        <v>2815</v>
      </c>
      <c r="V2801" t="s">
        <v>2816</v>
      </c>
      <c r="W2801" t="s">
        <v>2817</v>
      </c>
      <c r="X2801" t="s">
        <v>92</v>
      </c>
      <c r="Y2801" t="s">
        <v>410</v>
      </c>
      <c r="Z2801">
        <v>11589</v>
      </c>
      <c r="AA2801">
        <v>11</v>
      </c>
      <c r="AB2801">
        <v>45</v>
      </c>
      <c r="AC2801" t="s">
        <v>17198</v>
      </c>
      <c r="AD2801" t="s">
        <v>17199</v>
      </c>
      <c r="AE2801" t="s">
        <v>17200</v>
      </c>
      <c r="AF2801" t="s">
        <v>2821</v>
      </c>
      <c r="AG2801" t="s">
        <v>2822</v>
      </c>
      <c r="AH2801" t="s">
        <v>2823</v>
      </c>
      <c r="AJ2801" s="2">
        <v>45693.64980324074</v>
      </c>
      <c r="AK2801" t="s">
        <v>149</v>
      </c>
      <c r="AL2801" t="s">
        <v>65</v>
      </c>
      <c r="AM2801" s="3">
        <v>2.4930555555555554</v>
      </c>
      <c r="AN2801" t="s">
        <v>66</v>
      </c>
      <c r="AO2801" t="s">
        <v>101</v>
      </c>
    </row>
    <row r="2802" spans="1:41" x14ac:dyDescent="0.2">
      <c r="A2802">
        <v>357597</v>
      </c>
      <c r="B2802" t="s">
        <v>17201</v>
      </c>
      <c r="C2802" t="s">
        <v>788</v>
      </c>
      <c r="D2802" t="s">
        <v>17202</v>
      </c>
      <c r="E2802" t="s">
        <v>17203</v>
      </c>
      <c r="G2802" s="1">
        <v>40084</v>
      </c>
      <c r="H2802" s="1">
        <v>43628</v>
      </c>
      <c r="I2802" s="1">
        <v>46023</v>
      </c>
      <c r="J2802" t="s">
        <v>72</v>
      </c>
      <c r="K2802" t="s">
        <v>326</v>
      </c>
      <c r="L2802" t="s">
        <v>72</v>
      </c>
      <c r="M2802" s="1">
        <v>41618</v>
      </c>
      <c r="N2802" t="s">
        <v>89</v>
      </c>
      <c r="O2802" t="s">
        <v>121</v>
      </c>
      <c r="P2802" t="s">
        <v>49</v>
      </c>
      <c r="Q2802" t="s">
        <v>17204</v>
      </c>
      <c r="R2802" t="s">
        <v>17205</v>
      </c>
      <c r="S2802">
        <v>42</v>
      </c>
      <c r="T2802" t="s">
        <v>156</v>
      </c>
      <c r="U2802" t="s">
        <v>157</v>
      </c>
      <c r="V2802" t="s">
        <v>11429</v>
      </c>
      <c r="W2802" t="s">
        <v>159</v>
      </c>
      <c r="X2802" t="s">
        <v>156</v>
      </c>
      <c r="Y2802" t="s">
        <v>110</v>
      </c>
      <c r="Z2802">
        <v>3030</v>
      </c>
      <c r="AA2802">
        <v>16</v>
      </c>
      <c r="AB2802">
        <v>80</v>
      </c>
      <c r="AC2802" t="s">
        <v>17206</v>
      </c>
      <c r="AD2802" t="s">
        <v>17207</v>
      </c>
      <c r="AE2802" t="s">
        <v>17208</v>
      </c>
      <c r="AF2802" t="s">
        <v>17209</v>
      </c>
      <c r="AG2802" t="s">
        <v>11431</v>
      </c>
      <c r="AH2802" t="s">
        <v>17210</v>
      </c>
      <c r="AI2802" t="s">
        <v>11431</v>
      </c>
      <c r="AJ2802" s="2">
        <v>45335.583020833335</v>
      </c>
      <c r="AK2802" t="s">
        <v>100</v>
      </c>
      <c r="AL2802" t="s">
        <v>475</v>
      </c>
      <c r="AM2802" s="4">
        <v>0.3888888888888889</v>
      </c>
      <c r="AN2802" t="s">
        <v>66</v>
      </c>
      <c r="AO2802" t="s">
        <v>67</v>
      </c>
    </row>
    <row r="2803" spans="1:41" x14ac:dyDescent="0.2">
      <c r="A2803">
        <v>372237</v>
      </c>
      <c r="B2803" t="s">
        <v>17211</v>
      </c>
      <c r="C2803" t="s">
        <v>182</v>
      </c>
      <c r="D2803" t="s">
        <v>4385</v>
      </c>
      <c r="E2803" s="5">
        <v>32448500000000</v>
      </c>
      <c r="F2803">
        <v>40920</v>
      </c>
      <c r="G2803" s="1">
        <v>41063</v>
      </c>
      <c r="H2803" s="1">
        <v>45832</v>
      </c>
      <c r="I2803" s="1">
        <v>45945</v>
      </c>
      <c r="J2803" t="s">
        <v>45</v>
      </c>
      <c r="K2803" t="s">
        <v>45</v>
      </c>
      <c r="L2803" t="s">
        <v>46</v>
      </c>
      <c r="M2803" s="1">
        <v>45117</v>
      </c>
      <c r="N2803" t="s">
        <v>47</v>
      </c>
      <c r="O2803" t="s">
        <v>48</v>
      </c>
      <c r="P2803" t="s">
        <v>49</v>
      </c>
      <c r="Q2803" t="s">
        <v>17212</v>
      </c>
      <c r="R2803" t="s">
        <v>17213</v>
      </c>
      <c r="S2803">
        <v>6099</v>
      </c>
      <c r="T2803" t="s">
        <v>52</v>
      </c>
      <c r="U2803">
        <v>5</v>
      </c>
      <c r="V2803" t="s">
        <v>2771</v>
      </c>
      <c r="W2803" t="s">
        <v>54</v>
      </c>
      <c r="X2803" t="s">
        <v>493</v>
      </c>
      <c r="Y2803" t="s">
        <v>434</v>
      </c>
      <c r="Z2803">
        <v>5746</v>
      </c>
      <c r="AA2803">
        <v>31</v>
      </c>
      <c r="AB2803">
        <v>28</v>
      </c>
      <c r="AC2803" t="s">
        <v>2772</v>
      </c>
      <c r="AD2803" t="s">
        <v>2773</v>
      </c>
      <c r="AE2803" t="s">
        <v>2774</v>
      </c>
      <c r="AF2803" t="s">
        <v>4954</v>
      </c>
      <c r="AG2803" t="s">
        <v>4955</v>
      </c>
      <c r="AH2803" t="s">
        <v>4956</v>
      </c>
      <c r="AI2803" t="s">
        <v>17214</v>
      </c>
      <c r="AJ2803" s="2">
        <v>45834.891180555554</v>
      </c>
      <c r="AK2803" t="s">
        <v>501</v>
      </c>
      <c r="AL2803" t="s">
        <v>65</v>
      </c>
      <c r="AM2803" s="4">
        <v>0.81944444444444442</v>
      </c>
      <c r="AN2803" t="s">
        <v>66</v>
      </c>
      <c r="AO2803" t="s">
        <v>67</v>
      </c>
    </row>
    <row r="2804" spans="1:41" x14ac:dyDescent="0.2">
      <c r="A2804">
        <v>371452</v>
      </c>
      <c r="B2804" t="s">
        <v>17215</v>
      </c>
      <c r="C2804" t="s">
        <v>735</v>
      </c>
      <c r="D2804" t="s">
        <v>1628</v>
      </c>
      <c r="E2804" t="s">
        <v>17216</v>
      </c>
      <c r="G2804" s="1">
        <v>45810</v>
      </c>
      <c r="H2804" s="1">
        <v>45698</v>
      </c>
      <c r="I2804" s="1">
        <v>46082</v>
      </c>
      <c r="J2804" t="s">
        <v>45</v>
      </c>
      <c r="K2804" t="s">
        <v>45</v>
      </c>
      <c r="L2804" t="s">
        <v>72</v>
      </c>
      <c r="N2804" t="s">
        <v>47</v>
      </c>
      <c r="O2804" t="s">
        <v>121</v>
      </c>
      <c r="P2804" t="s">
        <v>49</v>
      </c>
      <c r="Q2804" t="s">
        <v>17217</v>
      </c>
      <c r="R2804" t="s">
        <v>17218</v>
      </c>
      <c r="S2804">
        <v>3035</v>
      </c>
      <c r="T2804" t="s">
        <v>52</v>
      </c>
      <c r="U2804">
        <v>1</v>
      </c>
      <c r="V2804" t="s">
        <v>2443</v>
      </c>
      <c r="W2804" t="s">
        <v>54</v>
      </c>
      <c r="X2804" t="s">
        <v>76</v>
      </c>
      <c r="Y2804" t="s">
        <v>125</v>
      </c>
      <c r="Z2804">
        <v>7826</v>
      </c>
      <c r="AA2804">
        <v>67</v>
      </c>
      <c r="AB2804">
        <v>78</v>
      </c>
      <c r="AC2804" t="s">
        <v>2794</v>
      </c>
      <c r="AD2804" t="s">
        <v>2795</v>
      </c>
      <c r="AE2804" t="s">
        <v>17219</v>
      </c>
      <c r="AF2804" t="s">
        <v>2797</v>
      </c>
      <c r="AG2804" t="s">
        <v>2798</v>
      </c>
      <c r="AH2804" t="s">
        <v>2799</v>
      </c>
      <c r="AJ2804" s="2">
        <v>45811.7344212963</v>
      </c>
      <c r="AK2804" t="s">
        <v>84</v>
      </c>
      <c r="AL2804" t="s">
        <v>65</v>
      </c>
      <c r="AM2804" s="4">
        <v>0.56944444444444442</v>
      </c>
      <c r="AN2804" t="s">
        <v>66</v>
      </c>
      <c r="AO2804" t="s">
        <v>67</v>
      </c>
    </row>
    <row r="2805" spans="1:41" x14ac:dyDescent="0.2">
      <c r="A2805">
        <v>356540</v>
      </c>
      <c r="B2805" t="s">
        <v>17220</v>
      </c>
      <c r="C2805" t="s">
        <v>323</v>
      </c>
      <c r="D2805" t="s">
        <v>4275</v>
      </c>
      <c r="E2805" t="s">
        <v>17221</v>
      </c>
      <c r="G2805" s="1">
        <v>42916</v>
      </c>
      <c r="J2805" t="s">
        <v>326</v>
      </c>
      <c r="K2805" t="s">
        <v>72</v>
      </c>
      <c r="L2805" t="s">
        <v>72</v>
      </c>
      <c r="N2805" t="s">
        <v>89</v>
      </c>
      <c r="O2805" t="s">
        <v>48</v>
      </c>
      <c r="P2805" t="s">
        <v>1752</v>
      </c>
      <c r="Q2805" t="s">
        <v>17222</v>
      </c>
      <c r="R2805" t="s">
        <v>17223</v>
      </c>
      <c r="S2805">
        <v>140</v>
      </c>
      <c r="T2805" t="s">
        <v>257</v>
      </c>
      <c r="U2805" t="s">
        <v>329</v>
      </c>
      <c r="V2805" t="s">
        <v>17224</v>
      </c>
      <c r="W2805" t="s">
        <v>260</v>
      </c>
      <c r="X2805" t="s">
        <v>257</v>
      </c>
      <c r="Y2805" t="s">
        <v>410</v>
      </c>
      <c r="Z2805">
        <v>8866</v>
      </c>
      <c r="AA2805">
        <v>8</v>
      </c>
      <c r="AB2805">
        <v>78</v>
      </c>
      <c r="AC2805" t="s">
        <v>4991</v>
      </c>
      <c r="AD2805" t="s">
        <v>4992</v>
      </c>
      <c r="AE2805" t="s">
        <v>4993</v>
      </c>
      <c r="AJ2805" s="2">
        <v>45313.631793981483</v>
      </c>
      <c r="AK2805" t="s">
        <v>149</v>
      </c>
      <c r="AL2805" t="s">
        <v>1168</v>
      </c>
      <c r="AM2805" s="3">
        <v>1.5138888888888888</v>
      </c>
      <c r="AN2805" t="s">
        <v>66</v>
      </c>
      <c r="AO2805" t="s">
        <v>67</v>
      </c>
    </row>
    <row r="2806" spans="1:41" x14ac:dyDescent="0.2">
      <c r="A2806">
        <v>369985</v>
      </c>
      <c r="B2806" t="s">
        <v>17225</v>
      </c>
      <c r="C2806" t="s">
        <v>735</v>
      </c>
      <c r="D2806" t="s">
        <v>2790</v>
      </c>
      <c r="E2806" t="s">
        <v>17226</v>
      </c>
      <c r="F2806">
        <v>240227</v>
      </c>
      <c r="G2806" s="1">
        <v>41523</v>
      </c>
      <c r="H2806" s="1">
        <v>45522</v>
      </c>
      <c r="I2806" s="1">
        <v>46235</v>
      </c>
      <c r="J2806" t="s">
        <v>45</v>
      </c>
      <c r="K2806" t="s">
        <v>45</v>
      </c>
      <c r="L2806" t="s">
        <v>46</v>
      </c>
      <c r="M2806" s="1">
        <v>43438</v>
      </c>
      <c r="N2806" t="s">
        <v>47</v>
      </c>
      <c r="O2806" t="s">
        <v>48</v>
      </c>
      <c r="P2806" t="s">
        <v>49</v>
      </c>
      <c r="Q2806" t="s">
        <v>17227</v>
      </c>
      <c r="R2806" t="s">
        <v>17228</v>
      </c>
      <c r="S2806">
        <v>4980</v>
      </c>
      <c r="T2806" t="s">
        <v>52</v>
      </c>
      <c r="U2806">
        <v>1</v>
      </c>
      <c r="V2806" t="s">
        <v>2443</v>
      </c>
      <c r="W2806" t="s">
        <v>54</v>
      </c>
      <c r="X2806" t="s">
        <v>76</v>
      </c>
      <c r="Y2806" t="s">
        <v>56</v>
      </c>
      <c r="Z2806">
        <v>3986</v>
      </c>
      <c r="AA2806">
        <v>35</v>
      </c>
      <c r="AB2806">
        <v>30</v>
      </c>
      <c r="AC2806" t="s">
        <v>17229</v>
      </c>
      <c r="AD2806" t="s">
        <v>17230</v>
      </c>
      <c r="AE2806" t="s">
        <v>17231</v>
      </c>
      <c r="AF2806" t="s">
        <v>2951</v>
      </c>
      <c r="AG2806" t="s">
        <v>2951</v>
      </c>
      <c r="AI2806" t="s">
        <v>17232</v>
      </c>
      <c r="AJ2806" s="2">
        <v>45758.919571759259</v>
      </c>
      <c r="AK2806" t="s">
        <v>660</v>
      </c>
      <c r="AL2806" t="s">
        <v>65</v>
      </c>
      <c r="AM2806" s="3">
        <v>1.6111111111111112</v>
      </c>
      <c r="AN2806" t="s">
        <v>66</v>
      </c>
      <c r="AO2806" t="s">
        <v>67</v>
      </c>
    </row>
    <row r="2807" spans="1:41" x14ac:dyDescent="0.2">
      <c r="A2807">
        <v>371414</v>
      </c>
      <c r="B2807" t="s">
        <v>17233</v>
      </c>
      <c r="C2807" t="s">
        <v>323</v>
      </c>
      <c r="D2807" t="s">
        <v>3429</v>
      </c>
      <c r="E2807" s="5">
        <v>1261220000</v>
      </c>
      <c r="F2807">
        <v>500924</v>
      </c>
      <c r="G2807" s="1">
        <v>33026</v>
      </c>
      <c r="H2807" s="1">
        <v>45809</v>
      </c>
      <c r="I2807" s="1">
        <v>46037</v>
      </c>
      <c r="J2807" t="s">
        <v>45</v>
      </c>
      <c r="K2807" t="s">
        <v>45</v>
      </c>
      <c r="L2807" t="s">
        <v>72</v>
      </c>
      <c r="M2807" s="1">
        <v>43998</v>
      </c>
      <c r="N2807" t="s">
        <v>47</v>
      </c>
      <c r="O2807" t="s">
        <v>48</v>
      </c>
      <c r="P2807" t="s">
        <v>49</v>
      </c>
      <c r="Q2807" t="s">
        <v>17234</v>
      </c>
      <c r="R2807" t="s">
        <v>17235</v>
      </c>
      <c r="S2807">
        <v>216</v>
      </c>
      <c r="T2807" t="s">
        <v>156</v>
      </c>
      <c r="U2807" t="s">
        <v>460</v>
      </c>
      <c r="V2807" t="s">
        <v>330</v>
      </c>
      <c r="W2807" t="s">
        <v>159</v>
      </c>
      <c r="X2807" t="s">
        <v>156</v>
      </c>
      <c r="Y2807" t="s">
        <v>110</v>
      </c>
      <c r="Z2807">
        <v>472</v>
      </c>
      <c r="AA2807">
        <v>43</v>
      </c>
      <c r="AB2807">
        <v>158</v>
      </c>
      <c r="AC2807" t="s">
        <v>461</v>
      </c>
      <c r="AD2807" t="s">
        <v>5071</v>
      </c>
      <c r="AE2807" t="s">
        <v>462</v>
      </c>
      <c r="AI2807" t="s">
        <v>10157</v>
      </c>
      <c r="AJ2807" s="2">
        <v>45810.011331018519</v>
      </c>
      <c r="AK2807" t="s">
        <v>331</v>
      </c>
      <c r="AL2807" t="s">
        <v>65</v>
      </c>
      <c r="AM2807" s="3">
        <v>2.0902777777777777</v>
      </c>
      <c r="AN2807" t="s">
        <v>66</v>
      </c>
      <c r="AO2807" t="s">
        <v>67</v>
      </c>
    </row>
    <row r="2808" spans="1:41" x14ac:dyDescent="0.2">
      <c r="A2808">
        <v>372932</v>
      </c>
      <c r="B2808" t="s">
        <v>17236</v>
      </c>
      <c r="C2808" t="s">
        <v>134</v>
      </c>
      <c r="D2808" t="s">
        <v>13857</v>
      </c>
      <c r="E2808" t="s">
        <v>17237</v>
      </c>
      <c r="F2808">
        <v>452219</v>
      </c>
      <c r="G2808" s="1">
        <v>35596</v>
      </c>
      <c r="H2808" s="1">
        <v>45489</v>
      </c>
      <c r="I2808" s="1">
        <v>46204</v>
      </c>
      <c r="J2808" t="s">
        <v>45</v>
      </c>
      <c r="K2808" t="s">
        <v>45</v>
      </c>
      <c r="L2808" t="s">
        <v>429</v>
      </c>
      <c r="M2808" s="1">
        <v>42563</v>
      </c>
      <c r="N2808" t="s">
        <v>47</v>
      </c>
      <c r="O2808" t="s">
        <v>48</v>
      </c>
      <c r="P2808" t="s">
        <v>49</v>
      </c>
      <c r="Q2808" t="s">
        <v>17238</v>
      </c>
      <c r="R2808" t="s">
        <v>17239</v>
      </c>
      <c r="S2808">
        <v>3480</v>
      </c>
      <c r="T2808" t="s">
        <v>52</v>
      </c>
      <c r="U2808">
        <v>6</v>
      </c>
      <c r="V2808" t="s">
        <v>4158</v>
      </c>
      <c r="W2808" t="s">
        <v>54</v>
      </c>
      <c r="X2808" t="s">
        <v>76</v>
      </c>
      <c r="Y2808" t="s">
        <v>434</v>
      </c>
      <c r="Z2808">
        <v>859</v>
      </c>
      <c r="AA2808">
        <v>66</v>
      </c>
      <c r="AB2808">
        <v>30</v>
      </c>
      <c r="AC2808" t="s">
        <v>4159</v>
      </c>
      <c r="AD2808" t="s">
        <v>4160</v>
      </c>
      <c r="AE2808" t="s">
        <v>4161</v>
      </c>
      <c r="AF2808" t="s">
        <v>17240</v>
      </c>
      <c r="AG2808" t="s">
        <v>17241</v>
      </c>
      <c r="AH2808" t="s">
        <v>17242</v>
      </c>
      <c r="AI2808" t="s">
        <v>17243</v>
      </c>
      <c r="AJ2808" s="2">
        <v>45855.919374999998</v>
      </c>
      <c r="AK2808" t="s">
        <v>556</v>
      </c>
      <c r="AL2808" t="s">
        <v>65</v>
      </c>
      <c r="AM2808" s="4">
        <v>0.3263888888888889</v>
      </c>
      <c r="AN2808" t="s">
        <v>66</v>
      </c>
      <c r="AO2808" t="s">
        <v>67</v>
      </c>
    </row>
    <row r="2809" spans="1:41" x14ac:dyDescent="0.2">
      <c r="A2809">
        <v>372294</v>
      </c>
      <c r="B2809" t="s">
        <v>17244</v>
      </c>
      <c r="C2809" t="s">
        <v>69</v>
      </c>
      <c r="D2809" t="s">
        <v>69</v>
      </c>
      <c r="E2809" t="s">
        <v>17245</v>
      </c>
      <c r="F2809">
        <v>101014</v>
      </c>
      <c r="G2809" s="1">
        <v>41113</v>
      </c>
      <c r="H2809" s="1">
        <v>45836</v>
      </c>
      <c r="I2809" s="1">
        <v>46204</v>
      </c>
      <c r="J2809" t="s">
        <v>45</v>
      </c>
      <c r="K2809" t="s">
        <v>45</v>
      </c>
      <c r="L2809" t="s">
        <v>429</v>
      </c>
      <c r="M2809" s="1">
        <v>42496</v>
      </c>
      <c r="N2809" t="s">
        <v>47</v>
      </c>
      <c r="O2809" t="s">
        <v>48</v>
      </c>
      <c r="P2809" t="s">
        <v>49</v>
      </c>
      <c r="Q2809" t="s">
        <v>17246</v>
      </c>
      <c r="R2809" t="s">
        <v>17247</v>
      </c>
      <c r="S2809">
        <v>3377</v>
      </c>
      <c r="T2809" t="s">
        <v>52</v>
      </c>
      <c r="U2809">
        <v>1</v>
      </c>
      <c r="V2809" t="s">
        <v>4698</v>
      </c>
      <c r="W2809" t="s">
        <v>54</v>
      </c>
      <c r="X2809" t="s">
        <v>76</v>
      </c>
      <c r="Y2809" t="s">
        <v>56</v>
      </c>
      <c r="Z2809">
        <v>3084</v>
      </c>
      <c r="AA2809">
        <v>35</v>
      </c>
      <c r="AB2809">
        <v>38</v>
      </c>
      <c r="AC2809" t="s">
        <v>13925</v>
      </c>
      <c r="AD2809" t="s">
        <v>4700</v>
      </c>
      <c r="AE2809" t="s">
        <v>4701</v>
      </c>
      <c r="AF2809" t="s">
        <v>4702</v>
      </c>
      <c r="AG2809" t="s">
        <v>4703</v>
      </c>
      <c r="AH2809" t="s">
        <v>6200</v>
      </c>
      <c r="AI2809" t="s">
        <v>6201</v>
      </c>
      <c r="AJ2809" s="2">
        <v>45837.780532407407</v>
      </c>
      <c r="AK2809" t="s">
        <v>568</v>
      </c>
      <c r="AL2809" t="s">
        <v>65</v>
      </c>
      <c r="AM2809" s="3">
        <v>2.1805555555555554</v>
      </c>
      <c r="AN2809" t="s">
        <v>66</v>
      </c>
      <c r="AO2809" t="s">
        <v>67</v>
      </c>
    </row>
    <row r="2810" spans="1:41" x14ac:dyDescent="0.2">
      <c r="A2810">
        <v>370063</v>
      </c>
      <c r="B2810" t="s">
        <v>17248</v>
      </c>
      <c r="C2810" t="s">
        <v>42</v>
      </c>
      <c r="D2810" t="s">
        <v>2050</v>
      </c>
      <c r="E2810" t="s">
        <v>17249</v>
      </c>
      <c r="G2810" s="1">
        <v>45755</v>
      </c>
      <c r="H2810" s="1">
        <v>45748</v>
      </c>
      <c r="I2810" s="1">
        <v>46113</v>
      </c>
      <c r="J2810" t="s">
        <v>45</v>
      </c>
      <c r="K2810" t="s">
        <v>45</v>
      </c>
      <c r="L2810" t="s">
        <v>46</v>
      </c>
      <c r="N2810" t="s">
        <v>47</v>
      </c>
      <c r="O2810" t="s">
        <v>48</v>
      </c>
      <c r="P2810" t="s">
        <v>49</v>
      </c>
      <c r="Q2810" t="s">
        <v>17250</v>
      </c>
      <c r="R2810" t="s">
        <v>17251</v>
      </c>
      <c r="S2810">
        <v>8047</v>
      </c>
      <c r="T2810" t="s">
        <v>52</v>
      </c>
      <c r="U2810">
        <v>3</v>
      </c>
      <c r="V2810" t="s">
        <v>2054</v>
      </c>
      <c r="W2810" t="s">
        <v>54</v>
      </c>
      <c r="X2810" t="s">
        <v>55</v>
      </c>
      <c r="Y2810" t="s">
        <v>56</v>
      </c>
      <c r="Z2810">
        <v>12247</v>
      </c>
      <c r="AA2810">
        <v>8</v>
      </c>
      <c r="AB2810">
        <v>44</v>
      </c>
      <c r="AC2810" t="s">
        <v>2058</v>
      </c>
      <c r="AD2810" t="s">
        <v>2059</v>
      </c>
      <c r="AE2810" t="s">
        <v>7917</v>
      </c>
      <c r="AF2810" t="s">
        <v>14869</v>
      </c>
      <c r="AG2810" t="s">
        <v>17252</v>
      </c>
      <c r="AH2810" t="s">
        <v>17253</v>
      </c>
      <c r="AI2810" t="s">
        <v>63</v>
      </c>
      <c r="AJ2810" s="2">
        <v>45762.795069444444</v>
      </c>
      <c r="AK2810" t="s">
        <v>609</v>
      </c>
      <c r="AL2810" t="s">
        <v>65</v>
      </c>
      <c r="AM2810" s="3">
        <v>1.6354166666666667</v>
      </c>
      <c r="AN2810" t="s">
        <v>66</v>
      </c>
      <c r="AO2810" t="s">
        <v>67</v>
      </c>
    </row>
    <row r="2811" spans="1:41" x14ac:dyDescent="0.2">
      <c r="A2811">
        <v>370256</v>
      </c>
      <c r="B2811" t="s">
        <v>17254</v>
      </c>
      <c r="C2811" t="s">
        <v>182</v>
      </c>
      <c r="D2811" t="s">
        <v>183</v>
      </c>
      <c r="E2811">
        <v>93305406</v>
      </c>
      <c r="G2811" s="1">
        <v>41978</v>
      </c>
      <c r="H2811" s="1">
        <v>45761</v>
      </c>
      <c r="I2811" s="1">
        <v>46113</v>
      </c>
      <c r="J2811" t="s">
        <v>326</v>
      </c>
      <c r="K2811" t="s">
        <v>45</v>
      </c>
      <c r="L2811" t="s">
        <v>46</v>
      </c>
      <c r="N2811" t="s">
        <v>47</v>
      </c>
      <c r="O2811" t="s">
        <v>48</v>
      </c>
      <c r="P2811" t="s">
        <v>1752</v>
      </c>
      <c r="Q2811" t="s">
        <v>17255</v>
      </c>
      <c r="R2811" t="s">
        <v>17256</v>
      </c>
      <c r="S2811">
        <v>372</v>
      </c>
      <c r="T2811" t="s">
        <v>1328</v>
      </c>
      <c r="U2811" t="s">
        <v>6905</v>
      </c>
      <c r="V2811" t="s">
        <v>6906</v>
      </c>
      <c r="W2811" t="s">
        <v>6907</v>
      </c>
      <c r="X2811" t="s">
        <v>493</v>
      </c>
      <c r="Y2811" t="s">
        <v>434</v>
      </c>
      <c r="Z2811">
        <v>7186</v>
      </c>
      <c r="AA2811">
        <v>18</v>
      </c>
      <c r="AB2811">
        <v>82</v>
      </c>
      <c r="AC2811" t="s">
        <v>6908</v>
      </c>
      <c r="AD2811" t="s">
        <v>17257</v>
      </c>
      <c r="AE2811" t="s">
        <v>6910</v>
      </c>
      <c r="AF2811" t="s">
        <v>6911</v>
      </c>
      <c r="AG2811" t="s">
        <v>6912</v>
      </c>
      <c r="AH2811" t="s">
        <v>6913</v>
      </c>
      <c r="AJ2811" s="2">
        <v>45768.820914351854</v>
      </c>
      <c r="AK2811" t="s">
        <v>717</v>
      </c>
      <c r="AL2811" t="s">
        <v>65</v>
      </c>
      <c r="AM2811" s="3">
        <v>1.2708333333333333</v>
      </c>
      <c r="AN2811" t="s">
        <v>66</v>
      </c>
      <c r="AO2811" t="s">
        <v>67</v>
      </c>
    </row>
    <row r="2812" spans="1:41" x14ac:dyDescent="0.2">
      <c r="A2812">
        <v>366149</v>
      </c>
      <c r="B2812" t="s">
        <v>17258</v>
      </c>
      <c r="C2812" t="s">
        <v>151</v>
      </c>
      <c r="D2812" t="s">
        <v>17259</v>
      </c>
      <c r="E2812" t="s">
        <v>17260</v>
      </c>
      <c r="F2812">
        <v>380201</v>
      </c>
      <c r="G2812" s="1">
        <v>43419</v>
      </c>
      <c r="H2812" s="1">
        <v>45601</v>
      </c>
      <c r="I2812" s="1">
        <v>45945</v>
      </c>
      <c r="J2812" t="s">
        <v>45</v>
      </c>
      <c r="K2812" t="s">
        <v>45</v>
      </c>
      <c r="L2812" t="s">
        <v>72</v>
      </c>
      <c r="M2812" s="1">
        <v>44265</v>
      </c>
      <c r="N2812" t="s">
        <v>47</v>
      </c>
      <c r="O2812" t="s">
        <v>48</v>
      </c>
      <c r="P2812" t="s">
        <v>49</v>
      </c>
      <c r="Q2812" t="s">
        <v>17261</v>
      </c>
      <c r="R2812" t="s">
        <v>17262</v>
      </c>
      <c r="S2812">
        <v>1243</v>
      </c>
      <c r="T2812" t="s">
        <v>92</v>
      </c>
      <c r="U2812" t="s">
        <v>6005</v>
      </c>
      <c r="V2812" t="s">
        <v>5510</v>
      </c>
      <c r="W2812" t="s">
        <v>6006</v>
      </c>
      <c r="X2812" t="s">
        <v>92</v>
      </c>
      <c r="Y2812" t="s">
        <v>110</v>
      </c>
      <c r="Z2812">
        <v>9208</v>
      </c>
      <c r="AA2812">
        <v>15</v>
      </c>
      <c r="AB2812">
        <v>45</v>
      </c>
      <c r="AC2812" t="s">
        <v>6007</v>
      </c>
      <c r="AD2812" t="s">
        <v>6008</v>
      </c>
      <c r="AE2812" t="s">
        <v>6009</v>
      </c>
      <c r="AF2812" t="s">
        <v>17263</v>
      </c>
      <c r="AG2812" t="s">
        <v>17264</v>
      </c>
      <c r="AH2812" t="s">
        <v>17265</v>
      </c>
      <c r="AJ2812" s="2">
        <v>45604.555196759262</v>
      </c>
      <c r="AK2812" t="s">
        <v>6007</v>
      </c>
      <c r="AL2812" t="s">
        <v>65</v>
      </c>
      <c r="AM2812" s="4">
        <v>0.72916666666666663</v>
      </c>
      <c r="AN2812" t="s">
        <v>66</v>
      </c>
      <c r="AO2812" t="s">
        <v>101</v>
      </c>
    </row>
    <row r="2813" spans="1:41" x14ac:dyDescent="0.2">
      <c r="A2813">
        <v>372694</v>
      </c>
      <c r="B2813" t="s">
        <v>17266</v>
      </c>
      <c r="C2813" t="s">
        <v>134</v>
      </c>
      <c r="D2813" t="s">
        <v>6133</v>
      </c>
      <c r="E2813" t="s">
        <v>17267</v>
      </c>
      <c r="F2813">
        <v>453413</v>
      </c>
      <c r="G2813" s="1">
        <v>37437</v>
      </c>
      <c r="H2813" s="1">
        <v>45815</v>
      </c>
      <c r="I2813" s="1">
        <v>46174</v>
      </c>
      <c r="J2813" t="s">
        <v>45</v>
      </c>
      <c r="K2813" t="s">
        <v>326</v>
      </c>
      <c r="L2813" t="s">
        <v>429</v>
      </c>
      <c r="M2813" s="1">
        <v>45097</v>
      </c>
      <c r="N2813" t="s">
        <v>47</v>
      </c>
      <c r="O2813" t="s">
        <v>48</v>
      </c>
      <c r="P2813" t="s">
        <v>49</v>
      </c>
      <c r="Q2813" t="s">
        <v>17268</v>
      </c>
      <c r="R2813" t="s">
        <v>17269</v>
      </c>
      <c r="S2813">
        <v>3240</v>
      </c>
      <c r="T2813" t="s">
        <v>52</v>
      </c>
      <c r="U2813">
        <v>6</v>
      </c>
      <c r="V2813" t="s">
        <v>3463</v>
      </c>
      <c r="W2813" t="s">
        <v>54</v>
      </c>
      <c r="X2813" t="s">
        <v>76</v>
      </c>
      <c r="Y2813" t="s">
        <v>56</v>
      </c>
      <c r="Z2813">
        <v>752</v>
      </c>
      <c r="AA2813">
        <v>48</v>
      </c>
      <c r="AB2813">
        <v>34</v>
      </c>
      <c r="AC2813" t="s">
        <v>7582</v>
      </c>
      <c r="AD2813" t="s">
        <v>6136</v>
      </c>
      <c r="AE2813" t="s">
        <v>3466</v>
      </c>
      <c r="AF2813" t="s">
        <v>4728</v>
      </c>
      <c r="AG2813" t="s">
        <v>4729</v>
      </c>
      <c r="AI2813" t="s">
        <v>4730</v>
      </c>
      <c r="AJ2813" s="2">
        <v>45849.958391203705</v>
      </c>
      <c r="AK2813" t="s">
        <v>4725</v>
      </c>
      <c r="AL2813" t="s">
        <v>65</v>
      </c>
      <c r="AM2813" s="4">
        <v>0.15972222222222221</v>
      </c>
      <c r="AN2813" t="s">
        <v>66</v>
      </c>
      <c r="AO2813" t="s">
        <v>67</v>
      </c>
    </row>
    <row r="2814" spans="1:41" x14ac:dyDescent="0.2">
      <c r="A2814">
        <v>371730</v>
      </c>
      <c r="B2814" t="s">
        <v>17270</v>
      </c>
      <c r="C2814" t="s">
        <v>323</v>
      </c>
      <c r="D2814" t="s">
        <v>3603</v>
      </c>
      <c r="E2814">
        <v>32927658</v>
      </c>
      <c r="F2814">
        <v>500216</v>
      </c>
      <c r="G2814" s="1">
        <v>40346</v>
      </c>
      <c r="H2814" s="1">
        <v>45795</v>
      </c>
      <c r="I2814" s="1">
        <v>46037</v>
      </c>
      <c r="J2814" t="s">
        <v>45</v>
      </c>
      <c r="K2814" t="s">
        <v>45</v>
      </c>
      <c r="L2814" t="s">
        <v>72</v>
      </c>
      <c r="M2814" s="1">
        <v>45425</v>
      </c>
      <c r="N2814" t="s">
        <v>47</v>
      </c>
      <c r="O2814" t="s">
        <v>48</v>
      </c>
      <c r="P2814" t="s">
        <v>49</v>
      </c>
      <c r="Q2814" t="s">
        <v>17271</v>
      </c>
      <c r="R2814" t="s">
        <v>17272</v>
      </c>
      <c r="S2814">
        <v>2017</v>
      </c>
      <c r="T2814" t="s">
        <v>156</v>
      </c>
      <c r="U2814" t="s">
        <v>460</v>
      </c>
      <c r="W2814" t="s">
        <v>159</v>
      </c>
      <c r="X2814" t="s">
        <v>76</v>
      </c>
      <c r="Y2814" t="s">
        <v>110</v>
      </c>
      <c r="Z2814">
        <v>3426</v>
      </c>
      <c r="AA2814">
        <v>31</v>
      </c>
      <c r="AB2814">
        <v>66</v>
      </c>
      <c r="AC2814" t="s">
        <v>368</v>
      </c>
      <c r="AD2814" t="s">
        <v>369</v>
      </c>
      <c r="AE2814" t="s">
        <v>370</v>
      </c>
      <c r="AF2814" t="s">
        <v>5645</v>
      </c>
      <c r="AG2814" t="s">
        <v>5646</v>
      </c>
      <c r="AH2814" t="s">
        <v>5647</v>
      </c>
      <c r="AI2814" t="s">
        <v>466</v>
      </c>
      <c r="AJ2814" s="2">
        <v>45818.781736111108</v>
      </c>
      <c r="AK2814" t="s">
        <v>727</v>
      </c>
      <c r="AL2814" t="s">
        <v>65</v>
      </c>
      <c r="AM2814" s="3">
        <v>2.2777777777777777</v>
      </c>
      <c r="AN2814" t="s">
        <v>66</v>
      </c>
      <c r="AO2814" t="s">
        <v>67</v>
      </c>
    </row>
    <row r="2815" spans="1:41" x14ac:dyDescent="0.2">
      <c r="A2815">
        <v>371518</v>
      </c>
      <c r="B2815" t="s">
        <v>17273</v>
      </c>
      <c r="C2815" t="s">
        <v>323</v>
      </c>
      <c r="E2815" t="s">
        <v>17274</v>
      </c>
      <c r="G2815" s="1">
        <v>40734</v>
      </c>
      <c r="H2815" s="1">
        <v>45807</v>
      </c>
      <c r="J2815" t="s">
        <v>72</v>
      </c>
      <c r="K2815" t="s">
        <v>72</v>
      </c>
      <c r="L2815" t="s">
        <v>72</v>
      </c>
      <c r="N2815" t="s">
        <v>47</v>
      </c>
      <c r="O2815" t="s">
        <v>48</v>
      </c>
      <c r="P2815" t="s">
        <v>406</v>
      </c>
      <c r="Q2815" t="s">
        <v>17275</v>
      </c>
      <c r="R2815" t="s">
        <v>17276</v>
      </c>
      <c r="S2815">
        <v>966</v>
      </c>
      <c r="T2815" t="s">
        <v>257</v>
      </c>
      <c r="U2815" t="s">
        <v>329</v>
      </c>
      <c r="W2815" t="s">
        <v>260</v>
      </c>
      <c r="X2815" t="s">
        <v>257</v>
      </c>
      <c r="Y2815" t="s">
        <v>642</v>
      </c>
      <c r="Z2815">
        <v>4907</v>
      </c>
      <c r="AA2815">
        <v>23</v>
      </c>
      <c r="AB2815">
        <v>152</v>
      </c>
      <c r="AC2815" t="s">
        <v>1164</v>
      </c>
      <c r="AD2815" t="s">
        <v>1165</v>
      </c>
      <c r="AE2815" t="s">
        <v>9106</v>
      </c>
      <c r="AF2815" t="s">
        <v>1164</v>
      </c>
      <c r="AG2815" t="s">
        <v>1165</v>
      </c>
      <c r="AH2815" t="s">
        <v>9106</v>
      </c>
      <c r="AJ2815" s="2">
        <v>45813.928865740738</v>
      </c>
      <c r="AK2815" t="s">
        <v>1164</v>
      </c>
      <c r="AL2815" t="s">
        <v>1168</v>
      </c>
      <c r="AM2815" s="3">
        <v>1.6388888888888888</v>
      </c>
      <c r="AN2815" t="s">
        <v>66</v>
      </c>
      <c r="AO2815" t="s">
        <v>67</v>
      </c>
    </row>
    <row r="2816" spans="1:41" x14ac:dyDescent="0.2">
      <c r="A2816">
        <v>365416</v>
      </c>
      <c r="B2816" t="s">
        <v>17277</v>
      </c>
      <c r="C2816" t="s">
        <v>182</v>
      </c>
      <c r="D2816" t="s">
        <v>6734</v>
      </c>
      <c r="E2816" t="s">
        <v>17278</v>
      </c>
      <c r="F2816">
        <v>41810</v>
      </c>
      <c r="G2816" s="1">
        <v>42600</v>
      </c>
      <c r="H2816" s="1">
        <v>45502</v>
      </c>
      <c r="J2816" t="s">
        <v>45</v>
      </c>
      <c r="K2816" t="s">
        <v>45</v>
      </c>
      <c r="L2816" t="s">
        <v>72</v>
      </c>
      <c r="M2816" s="1">
        <v>42584</v>
      </c>
      <c r="N2816" t="s">
        <v>47</v>
      </c>
      <c r="O2816" t="s">
        <v>48</v>
      </c>
      <c r="P2816" t="s">
        <v>49</v>
      </c>
      <c r="Q2816" t="s">
        <v>17279</v>
      </c>
      <c r="R2816" t="s">
        <v>17280</v>
      </c>
      <c r="S2816">
        <v>7399</v>
      </c>
      <c r="T2816" t="s">
        <v>92</v>
      </c>
      <c r="U2816" t="s">
        <v>187</v>
      </c>
      <c r="V2816" t="s">
        <v>447</v>
      </c>
      <c r="W2816" t="s">
        <v>448</v>
      </c>
      <c r="X2816" t="s">
        <v>92</v>
      </c>
      <c r="Y2816" t="s">
        <v>450</v>
      </c>
      <c r="Z2816">
        <v>8588</v>
      </c>
      <c r="AA2816">
        <v>26</v>
      </c>
      <c r="AB2816">
        <v>78</v>
      </c>
      <c r="AC2816" t="s">
        <v>451</v>
      </c>
      <c r="AD2816" t="s">
        <v>452</v>
      </c>
      <c r="AE2816" t="s">
        <v>453</v>
      </c>
      <c r="AF2816" t="s">
        <v>8931</v>
      </c>
      <c r="AG2816" t="s">
        <v>8932</v>
      </c>
      <c r="AH2816" t="s">
        <v>8933</v>
      </c>
      <c r="AJ2816" s="2">
        <v>45581.706134259257</v>
      </c>
      <c r="AK2816" t="s">
        <v>132</v>
      </c>
      <c r="AL2816" t="s">
        <v>65</v>
      </c>
      <c r="AM2816" s="3">
        <v>1.3888888888888888</v>
      </c>
      <c r="AN2816" t="s">
        <v>66</v>
      </c>
      <c r="AO2816" t="s">
        <v>67</v>
      </c>
    </row>
    <row r="2817" spans="1:41" x14ac:dyDescent="0.2">
      <c r="A2817">
        <v>357466</v>
      </c>
      <c r="B2817" t="s">
        <v>17281</v>
      </c>
      <c r="C2817" t="s">
        <v>167</v>
      </c>
      <c r="D2817" t="s">
        <v>6941</v>
      </c>
      <c r="E2817" t="s">
        <v>17282</v>
      </c>
      <c r="J2817" t="s">
        <v>45</v>
      </c>
      <c r="K2817" t="s">
        <v>45</v>
      </c>
      <c r="L2817" t="s">
        <v>72</v>
      </c>
      <c r="N2817" t="s">
        <v>89</v>
      </c>
      <c r="O2817" t="s">
        <v>48</v>
      </c>
      <c r="P2817" t="s">
        <v>49</v>
      </c>
      <c r="Q2817" t="s">
        <v>17283</v>
      </c>
      <c r="R2817" t="s">
        <v>17284</v>
      </c>
      <c r="T2817" t="s">
        <v>449</v>
      </c>
      <c r="U2817" t="s">
        <v>3030</v>
      </c>
      <c r="V2817" t="s">
        <v>6945</v>
      </c>
      <c r="W2817" t="s">
        <v>6946</v>
      </c>
      <c r="X2817" t="s">
        <v>449</v>
      </c>
      <c r="Y2817" t="s">
        <v>96</v>
      </c>
      <c r="Z2817">
        <v>11366</v>
      </c>
      <c r="AA2817">
        <v>3</v>
      </c>
      <c r="AB2817">
        <v>210</v>
      </c>
      <c r="AC2817" t="s">
        <v>13235</v>
      </c>
      <c r="AD2817" t="s">
        <v>13236</v>
      </c>
      <c r="AE2817" t="s">
        <v>13237</v>
      </c>
      <c r="AJ2817" s="2">
        <v>45330.714421296296</v>
      </c>
      <c r="AK2817" t="s">
        <v>149</v>
      </c>
      <c r="AL2817" t="s">
        <v>65</v>
      </c>
      <c r="AM2817" s="4">
        <v>0.31944444444444442</v>
      </c>
      <c r="AN2817" t="s">
        <v>66</v>
      </c>
      <c r="AO2817" t="s">
        <v>67</v>
      </c>
    </row>
    <row r="2818" spans="1:41" x14ac:dyDescent="0.2">
      <c r="A2818">
        <v>368898</v>
      </c>
      <c r="B2818" t="s">
        <v>17285</v>
      </c>
      <c r="C2818" t="s">
        <v>182</v>
      </c>
      <c r="D2818" t="s">
        <v>610</v>
      </c>
      <c r="E2818" t="s">
        <v>17286</v>
      </c>
      <c r="F2818">
        <v>45739</v>
      </c>
      <c r="G2818" s="1">
        <v>41758</v>
      </c>
      <c r="H2818" s="1">
        <v>45636</v>
      </c>
      <c r="I2818" s="1">
        <v>45992</v>
      </c>
      <c r="J2818" t="s">
        <v>45</v>
      </c>
      <c r="K2818" t="s">
        <v>45</v>
      </c>
      <c r="L2818" t="s">
        <v>429</v>
      </c>
      <c r="M2818" s="1">
        <v>43441</v>
      </c>
      <c r="N2818" t="s">
        <v>47</v>
      </c>
      <c r="O2818" t="s">
        <v>48</v>
      </c>
      <c r="P2818" t="s">
        <v>49</v>
      </c>
      <c r="Q2818" t="s">
        <v>17287</v>
      </c>
      <c r="R2818" t="s">
        <v>17288</v>
      </c>
      <c r="S2818">
        <v>1215</v>
      </c>
      <c r="T2818" t="s">
        <v>1328</v>
      </c>
      <c r="U2818" t="s">
        <v>1583</v>
      </c>
      <c r="V2818" t="s">
        <v>4498</v>
      </c>
      <c r="W2818" t="s">
        <v>4499</v>
      </c>
      <c r="X2818" t="s">
        <v>493</v>
      </c>
      <c r="Y2818" t="s">
        <v>434</v>
      </c>
      <c r="Z2818">
        <v>6987</v>
      </c>
      <c r="AA2818">
        <v>35</v>
      </c>
      <c r="AB2818">
        <v>24</v>
      </c>
      <c r="AC2818" t="s">
        <v>4500</v>
      </c>
      <c r="AD2818" t="s">
        <v>4501</v>
      </c>
      <c r="AE2818" t="s">
        <v>4502</v>
      </c>
      <c r="AF2818" t="s">
        <v>10823</v>
      </c>
      <c r="AG2818" t="s">
        <v>4504</v>
      </c>
      <c r="AH2818" t="s">
        <v>4505</v>
      </c>
      <c r="AJ2818" s="2">
        <v>45722.897557870368</v>
      </c>
      <c r="AK2818" t="s">
        <v>501</v>
      </c>
      <c r="AL2818" t="s">
        <v>65</v>
      </c>
      <c r="AM2818" s="4">
        <v>0.93055555555555558</v>
      </c>
      <c r="AN2818" t="s">
        <v>66</v>
      </c>
      <c r="AO2818" t="s">
        <v>67</v>
      </c>
    </row>
    <row r="2819" spans="1:41" x14ac:dyDescent="0.2">
      <c r="A2819">
        <v>365415</v>
      </c>
      <c r="B2819" t="s">
        <v>17289</v>
      </c>
      <c r="C2819" t="s">
        <v>221</v>
      </c>
      <c r="D2819" t="s">
        <v>17290</v>
      </c>
      <c r="E2819" t="s">
        <v>17291</v>
      </c>
      <c r="F2819">
        <v>12701</v>
      </c>
      <c r="G2819" s="1">
        <v>33147</v>
      </c>
      <c r="H2819" s="1">
        <v>45572</v>
      </c>
      <c r="I2819" s="1">
        <v>45915</v>
      </c>
      <c r="J2819" t="s">
        <v>45</v>
      </c>
      <c r="K2819" t="s">
        <v>45</v>
      </c>
      <c r="L2819" t="s">
        <v>545</v>
      </c>
      <c r="M2819" s="1">
        <v>44140</v>
      </c>
      <c r="N2819" t="s">
        <v>47</v>
      </c>
      <c r="O2819" t="s">
        <v>48</v>
      </c>
      <c r="P2819" t="s">
        <v>49</v>
      </c>
      <c r="Q2819" t="s">
        <v>17292</v>
      </c>
      <c r="R2819" t="s">
        <v>17293</v>
      </c>
      <c r="S2819">
        <v>600</v>
      </c>
      <c r="T2819" t="s">
        <v>52</v>
      </c>
      <c r="U2819">
        <v>8</v>
      </c>
      <c r="V2819" t="s">
        <v>1648</v>
      </c>
      <c r="W2819" t="s">
        <v>54</v>
      </c>
      <c r="X2819" t="s">
        <v>76</v>
      </c>
      <c r="Y2819" t="s">
        <v>56</v>
      </c>
      <c r="Z2819">
        <v>1038</v>
      </c>
      <c r="AA2819">
        <v>41</v>
      </c>
      <c r="AB2819">
        <v>138</v>
      </c>
      <c r="AC2819" t="s">
        <v>15697</v>
      </c>
      <c r="AD2819" t="s">
        <v>15698</v>
      </c>
      <c r="AE2819" t="s">
        <v>15699</v>
      </c>
      <c r="AF2819" t="s">
        <v>1652</v>
      </c>
      <c r="AG2819" t="s">
        <v>1653</v>
      </c>
      <c r="AH2819" t="s">
        <v>1654</v>
      </c>
      <c r="AI2819" t="s">
        <v>1653</v>
      </c>
      <c r="AJ2819" s="2">
        <v>45581.685972222222</v>
      </c>
      <c r="AK2819" t="s">
        <v>717</v>
      </c>
      <c r="AL2819" t="s">
        <v>65</v>
      </c>
      <c r="AM2819" s="3">
        <v>1.1111111111111112</v>
      </c>
      <c r="AN2819" t="s">
        <v>66</v>
      </c>
      <c r="AO2819" t="s">
        <v>67</v>
      </c>
    </row>
    <row r="2820" spans="1:41" x14ac:dyDescent="0.2">
      <c r="A2820">
        <v>367882</v>
      </c>
      <c r="B2820" t="s">
        <v>17294</v>
      </c>
      <c r="C2820" t="s">
        <v>788</v>
      </c>
      <c r="D2820" t="s">
        <v>2859</v>
      </c>
      <c r="E2820" t="s">
        <v>17295</v>
      </c>
      <c r="F2820">
        <v>80803</v>
      </c>
      <c r="G2820" s="1">
        <v>44350</v>
      </c>
      <c r="H2820" s="1">
        <v>45615</v>
      </c>
      <c r="J2820" t="s">
        <v>45</v>
      </c>
      <c r="K2820" t="s">
        <v>45</v>
      </c>
      <c r="L2820" t="s">
        <v>72</v>
      </c>
      <c r="N2820" t="s">
        <v>89</v>
      </c>
      <c r="O2820" t="s">
        <v>48</v>
      </c>
      <c r="P2820" t="s">
        <v>49</v>
      </c>
      <c r="Q2820" t="s">
        <v>17296</v>
      </c>
      <c r="R2820" t="s">
        <v>17297</v>
      </c>
      <c r="S2820">
        <v>167</v>
      </c>
      <c r="T2820" t="s">
        <v>92</v>
      </c>
      <c r="U2820" t="s">
        <v>2815</v>
      </c>
      <c r="V2820" t="s">
        <v>2816</v>
      </c>
      <c r="W2820" t="s">
        <v>2817</v>
      </c>
      <c r="X2820" t="s">
        <v>92</v>
      </c>
      <c r="Y2820" t="s">
        <v>410</v>
      </c>
      <c r="Z2820">
        <v>11588</v>
      </c>
      <c r="AA2820">
        <v>14</v>
      </c>
      <c r="AB2820">
        <v>45</v>
      </c>
      <c r="AC2820" t="s">
        <v>17298</v>
      </c>
      <c r="AD2820" t="s">
        <v>17299</v>
      </c>
      <c r="AE2820" t="s">
        <v>17300</v>
      </c>
      <c r="AF2820" t="s">
        <v>2821</v>
      </c>
      <c r="AG2820" t="s">
        <v>2822</v>
      </c>
      <c r="AH2820" t="s">
        <v>2823</v>
      </c>
      <c r="AJ2820" s="2">
        <v>45693.650648148148</v>
      </c>
      <c r="AK2820" t="s">
        <v>149</v>
      </c>
      <c r="AL2820" t="s">
        <v>65</v>
      </c>
      <c r="AM2820" s="3">
        <v>2.4861111111111112</v>
      </c>
      <c r="AN2820" t="s">
        <v>66</v>
      </c>
      <c r="AO2820" t="s">
        <v>101</v>
      </c>
    </row>
    <row r="2821" spans="1:41" x14ac:dyDescent="0.2">
      <c r="A2821">
        <v>370726</v>
      </c>
      <c r="B2821" t="s">
        <v>17301</v>
      </c>
      <c r="C2821" t="s">
        <v>5138</v>
      </c>
      <c r="D2821" t="s">
        <v>17302</v>
      </c>
      <c r="E2821" t="s">
        <v>17303</v>
      </c>
      <c r="F2821">
        <v>145201</v>
      </c>
      <c r="G2821" s="1">
        <v>37071</v>
      </c>
      <c r="H2821" s="1">
        <v>45783</v>
      </c>
      <c r="I2821" s="1">
        <v>46143</v>
      </c>
      <c r="J2821" t="s">
        <v>45</v>
      </c>
      <c r="K2821" t="s">
        <v>45</v>
      </c>
      <c r="L2821" t="s">
        <v>72</v>
      </c>
      <c r="M2821" s="1">
        <v>44872</v>
      </c>
      <c r="N2821" t="s">
        <v>47</v>
      </c>
      <c r="O2821" t="s">
        <v>48</v>
      </c>
      <c r="P2821" t="s">
        <v>49</v>
      </c>
      <c r="Q2821" t="s">
        <v>17304</v>
      </c>
      <c r="R2821" t="s">
        <v>17305</v>
      </c>
      <c r="S2821">
        <v>1231</v>
      </c>
      <c r="T2821" t="s">
        <v>257</v>
      </c>
      <c r="U2821" t="s">
        <v>258</v>
      </c>
      <c r="V2821" t="s">
        <v>17306</v>
      </c>
      <c r="W2821" t="s">
        <v>260</v>
      </c>
      <c r="X2821" t="s">
        <v>257</v>
      </c>
      <c r="Y2821" t="s">
        <v>110</v>
      </c>
      <c r="Z2821">
        <v>1843</v>
      </c>
      <c r="AA2821">
        <v>40</v>
      </c>
      <c r="AB2821">
        <v>28</v>
      </c>
      <c r="AC2821" t="s">
        <v>17307</v>
      </c>
      <c r="AD2821" t="s">
        <v>17308</v>
      </c>
      <c r="AE2821" t="s">
        <v>17309</v>
      </c>
      <c r="AF2821" t="s">
        <v>264</v>
      </c>
      <c r="AG2821" t="s">
        <v>265</v>
      </c>
      <c r="AH2821" t="s">
        <v>266</v>
      </c>
      <c r="AI2821" t="s">
        <v>17310</v>
      </c>
      <c r="AJ2821" s="2">
        <v>45783.653402777774</v>
      </c>
      <c r="AK2821" t="s">
        <v>17307</v>
      </c>
      <c r="AL2821" t="s">
        <v>65</v>
      </c>
      <c r="AM2821" s="3">
        <v>1.2777777777777777</v>
      </c>
      <c r="AN2821" t="s">
        <v>66</v>
      </c>
      <c r="AO2821" t="s">
        <v>67</v>
      </c>
    </row>
    <row r="2822" spans="1:41" x14ac:dyDescent="0.2">
      <c r="A2822">
        <v>371215</v>
      </c>
      <c r="B2822" t="s">
        <v>17311</v>
      </c>
      <c r="C2822" t="s">
        <v>197</v>
      </c>
      <c r="D2822" t="s">
        <v>2953</v>
      </c>
      <c r="E2822" t="s">
        <v>17312</v>
      </c>
      <c r="F2822">
        <v>90802</v>
      </c>
      <c r="G2822" s="1">
        <v>37126</v>
      </c>
      <c r="H2822" s="1">
        <v>45793</v>
      </c>
      <c r="I2822" s="1">
        <v>46143</v>
      </c>
      <c r="J2822" t="s">
        <v>45</v>
      </c>
      <c r="K2822" t="s">
        <v>45</v>
      </c>
      <c r="L2822" t="s">
        <v>46</v>
      </c>
      <c r="M2822" s="1">
        <v>41890</v>
      </c>
      <c r="N2822" t="s">
        <v>47</v>
      </c>
      <c r="O2822" t="s">
        <v>48</v>
      </c>
      <c r="P2822" t="s">
        <v>49</v>
      </c>
      <c r="Q2822" t="s">
        <v>17313</v>
      </c>
      <c r="R2822" t="s">
        <v>17314</v>
      </c>
      <c r="S2822">
        <v>2728</v>
      </c>
      <c r="T2822" t="s">
        <v>52</v>
      </c>
      <c r="U2822">
        <v>8</v>
      </c>
      <c r="V2822" t="s">
        <v>993</v>
      </c>
      <c r="W2822" t="s">
        <v>54</v>
      </c>
      <c r="X2822" t="s">
        <v>76</v>
      </c>
      <c r="Y2822" t="s">
        <v>56</v>
      </c>
      <c r="Z2822">
        <v>1813</v>
      </c>
      <c r="AA2822">
        <v>47</v>
      </c>
      <c r="AB2822">
        <v>15</v>
      </c>
      <c r="AC2822" t="s">
        <v>4869</v>
      </c>
      <c r="AD2822" t="s">
        <v>4870</v>
      </c>
      <c r="AE2822" t="s">
        <v>4871</v>
      </c>
      <c r="AF2822" t="s">
        <v>4872</v>
      </c>
      <c r="AG2822" t="s">
        <v>17315</v>
      </c>
      <c r="AH2822" t="s">
        <v>4874</v>
      </c>
      <c r="AI2822" t="s">
        <v>17316</v>
      </c>
      <c r="AJ2822" s="2">
        <v>45798.873310185183</v>
      </c>
      <c r="AK2822" t="s">
        <v>717</v>
      </c>
      <c r="AL2822" t="s">
        <v>65</v>
      </c>
      <c r="AM2822" s="4">
        <v>0.69097222222222221</v>
      </c>
      <c r="AN2822" t="s">
        <v>66</v>
      </c>
      <c r="AO2822" t="s">
        <v>101</v>
      </c>
    </row>
    <row r="2823" spans="1:41" x14ac:dyDescent="0.2">
      <c r="A2823">
        <v>371382</v>
      </c>
      <c r="B2823" t="s">
        <v>17317</v>
      </c>
      <c r="C2823" t="s">
        <v>735</v>
      </c>
      <c r="D2823" t="s">
        <v>2790</v>
      </c>
      <c r="E2823" t="s">
        <v>17318</v>
      </c>
      <c r="F2823">
        <v>240298</v>
      </c>
      <c r="G2823" s="1">
        <v>45559</v>
      </c>
      <c r="H2823" s="1">
        <v>45807</v>
      </c>
      <c r="I2823" s="1">
        <v>46157</v>
      </c>
      <c r="J2823" t="s">
        <v>45</v>
      </c>
      <c r="K2823" t="s">
        <v>45</v>
      </c>
      <c r="L2823" t="s">
        <v>72</v>
      </c>
      <c r="M2823" s="1">
        <v>44852</v>
      </c>
      <c r="N2823" t="s">
        <v>89</v>
      </c>
      <c r="O2823" t="s">
        <v>121</v>
      </c>
      <c r="P2823" t="s">
        <v>49</v>
      </c>
      <c r="Q2823" t="s">
        <v>17319</v>
      </c>
      <c r="R2823" t="s">
        <v>17320</v>
      </c>
      <c r="S2823">
        <v>5271</v>
      </c>
      <c r="T2823" t="s">
        <v>52</v>
      </c>
      <c r="U2823">
        <v>1</v>
      </c>
      <c r="V2823" t="s">
        <v>2443</v>
      </c>
      <c r="W2823" t="s">
        <v>54</v>
      </c>
      <c r="X2823" t="s">
        <v>76</v>
      </c>
      <c r="Y2823" t="s">
        <v>125</v>
      </c>
      <c r="Z2823">
        <v>549</v>
      </c>
      <c r="AA2823">
        <v>120</v>
      </c>
      <c r="AB2823">
        <v>152</v>
      </c>
      <c r="AC2823" t="s">
        <v>17321</v>
      </c>
      <c r="AD2823" t="s">
        <v>17322</v>
      </c>
      <c r="AE2823" t="s">
        <v>17323</v>
      </c>
      <c r="AF2823" t="s">
        <v>17324</v>
      </c>
      <c r="AG2823" t="s">
        <v>17230</v>
      </c>
      <c r="AH2823" t="s">
        <v>17325</v>
      </c>
      <c r="AI2823" t="s">
        <v>17326</v>
      </c>
      <c r="AJ2823" s="2">
        <v>45807.471851851849</v>
      </c>
      <c r="AK2823" t="s">
        <v>800</v>
      </c>
      <c r="AL2823" t="s">
        <v>65</v>
      </c>
      <c r="AM2823" s="4">
        <v>0.36805555555555558</v>
      </c>
      <c r="AN2823" t="s">
        <v>66</v>
      </c>
      <c r="AO2823" t="s">
        <v>67</v>
      </c>
    </row>
    <row r="2824" spans="1:41" x14ac:dyDescent="0.2">
      <c r="A2824">
        <v>370897</v>
      </c>
      <c r="B2824" t="s">
        <v>17327</v>
      </c>
      <c r="C2824" t="s">
        <v>662</v>
      </c>
      <c r="D2824" t="s">
        <v>11883</v>
      </c>
      <c r="E2824" t="s">
        <v>17328</v>
      </c>
      <c r="G2824" s="1">
        <v>45369</v>
      </c>
      <c r="H2824" s="1">
        <v>45721</v>
      </c>
      <c r="I2824" s="1">
        <v>46113</v>
      </c>
      <c r="J2824" t="s">
        <v>45</v>
      </c>
      <c r="K2824" t="s">
        <v>45</v>
      </c>
      <c r="L2824" t="s">
        <v>72</v>
      </c>
      <c r="N2824" t="s">
        <v>89</v>
      </c>
      <c r="O2824" t="s">
        <v>121</v>
      </c>
      <c r="P2824" t="s">
        <v>49</v>
      </c>
      <c r="Q2824" t="s">
        <v>17329</v>
      </c>
      <c r="R2824" t="s">
        <v>17330</v>
      </c>
      <c r="S2824">
        <v>477</v>
      </c>
      <c r="T2824" t="s">
        <v>92</v>
      </c>
      <c r="U2824" t="s">
        <v>1197</v>
      </c>
      <c r="V2824" t="s">
        <v>1198</v>
      </c>
      <c r="W2824" t="s">
        <v>1199</v>
      </c>
      <c r="X2824" t="s">
        <v>92</v>
      </c>
      <c r="Y2824" t="s">
        <v>110</v>
      </c>
      <c r="Z2824">
        <v>6846</v>
      </c>
      <c r="AA2824">
        <v>35</v>
      </c>
      <c r="AB2824">
        <v>78</v>
      </c>
      <c r="AC2824" t="s">
        <v>1200</v>
      </c>
      <c r="AD2824" t="s">
        <v>1201</v>
      </c>
      <c r="AE2824" t="s">
        <v>1202</v>
      </c>
      <c r="AF2824" t="s">
        <v>4740</v>
      </c>
      <c r="AG2824" t="s">
        <v>4741</v>
      </c>
      <c r="AH2824" t="s">
        <v>4742</v>
      </c>
      <c r="AJ2824" s="2">
        <v>45789.796932870369</v>
      </c>
      <c r="AK2824" t="s">
        <v>1167</v>
      </c>
      <c r="AL2824" t="s">
        <v>65</v>
      </c>
      <c r="AM2824" s="3">
        <v>1.2152777777777777</v>
      </c>
      <c r="AN2824" t="s">
        <v>66</v>
      </c>
      <c r="AO2824" t="s">
        <v>67</v>
      </c>
    </row>
    <row r="2825" spans="1:41" x14ac:dyDescent="0.2">
      <c r="A2825">
        <v>371840</v>
      </c>
      <c r="B2825" t="s">
        <v>17331</v>
      </c>
      <c r="C2825" t="s">
        <v>662</v>
      </c>
      <c r="D2825" t="s">
        <v>17332</v>
      </c>
      <c r="E2825" t="s">
        <v>17333</v>
      </c>
      <c r="G2825" s="1">
        <v>45617</v>
      </c>
      <c r="H2825" s="1">
        <v>45579</v>
      </c>
      <c r="I2825" s="1">
        <v>45931</v>
      </c>
      <c r="J2825" t="s">
        <v>45</v>
      </c>
      <c r="K2825" t="s">
        <v>45</v>
      </c>
      <c r="L2825" t="s">
        <v>72</v>
      </c>
      <c r="N2825" t="s">
        <v>89</v>
      </c>
      <c r="O2825" t="s">
        <v>121</v>
      </c>
      <c r="P2825" t="s">
        <v>49</v>
      </c>
      <c r="Q2825" t="s">
        <v>17334</v>
      </c>
      <c r="R2825" t="s">
        <v>17335</v>
      </c>
      <c r="S2825">
        <v>420</v>
      </c>
      <c r="T2825" t="s">
        <v>92</v>
      </c>
      <c r="U2825" t="s">
        <v>1197</v>
      </c>
      <c r="V2825" t="s">
        <v>1198</v>
      </c>
      <c r="W2825" t="s">
        <v>1199</v>
      </c>
      <c r="X2825" t="s">
        <v>92</v>
      </c>
      <c r="Y2825" t="s">
        <v>110</v>
      </c>
      <c r="Z2825">
        <v>6847</v>
      </c>
      <c r="AA2825">
        <v>34</v>
      </c>
      <c r="AB2825">
        <v>78</v>
      </c>
      <c r="AC2825" t="s">
        <v>6845</v>
      </c>
      <c r="AD2825" t="s">
        <v>1201</v>
      </c>
      <c r="AE2825" t="s">
        <v>1202</v>
      </c>
      <c r="AF2825" t="s">
        <v>1203</v>
      </c>
      <c r="AG2825" t="s">
        <v>1204</v>
      </c>
      <c r="AH2825" t="s">
        <v>1205</v>
      </c>
      <c r="AJ2825" s="2">
        <v>45821.472650462965</v>
      </c>
      <c r="AK2825" t="s">
        <v>132</v>
      </c>
      <c r="AL2825" t="s">
        <v>65</v>
      </c>
      <c r="AM2825" s="3">
        <v>1.2083333333333333</v>
      </c>
      <c r="AN2825" t="s">
        <v>66</v>
      </c>
      <c r="AO2825" t="s">
        <v>67</v>
      </c>
    </row>
    <row r="2826" spans="1:41" x14ac:dyDescent="0.2">
      <c r="A2826">
        <v>370064</v>
      </c>
      <c r="B2826" t="s">
        <v>17336</v>
      </c>
      <c r="C2826" t="s">
        <v>662</v>
      </c>
      <c r="D2826" t="s">
        <v>3660</v>
      </c>
      <c r="E2826" t="s">
        <v>17337</v>
      </c>
      <c r="G2826" s="1">
        <v>45700</v>
      </c>
      <c r="H2826" s="1">
        <v>45692</v>
      </c>
      <c r="I2826" s="1">
        <v>45931</v>
      </c>
      <c r="J2826" t="s">
        <v>45</v>
      </c>
      <c r="K2826" t="s">
        <v>45</v>
      </c>
      <c r="L2826" t="s">
        <v>72</v>
      </c>
      <c r="M2826" s="1">
        <v>45232</v>
      </c>
      <c r="N2826" t="s">
        <v>89</v>
      </c>
      <c r="O2826" t="s">
        <v>121</v>
      </c>
      <c r="P2826" t="s">
        <v>49</v>
      </c>
      <c r="Q2826" t="s">
        <v>17338</v>
      </c>
      <c r="R2826" t="s">
        <v>17339</v>
      </c>
      <c r="S2826">
        <v>1526</v>
      </c>
      <c r="T2826" t="s">
        <v>92</v>
      </c>
      <c r="U2826" t="s">
        <v>1197</v>
      </c>
      <c r="V2826" t="s">
        <v>1198</v>
      </c>
      <c r="W2826" t="s">
        <v>1199</v>
      </c>
      <c r="X2826" t="s">
        <v>92</v>
      </c>
      <c r="Y2826" t="s">
        <v>110</v>
      </c>
      <c r="Z2826">
        <v>9486</v>
      </c>
      <c r="AA2826">
        <v>53</v>
      </c>
      <c r="AB2826">
        <v>28</v>
      </c>
      <c r="AC2826" t="s">
        <v>1200</v>
      </c>
      <c r="AD2826" t="s">
        <v>1201</v>
      </c>
      <c r="AE2826" t="s">
        <v>1202</v>
      </c>
      <c r="AF2826" t="s">
        <v>1727</v>
      </c>
      <c r="AG2826" t="s">
        <v>1728</v>
      </c>
      <c r="AH2826" t="s">
        <v>1729</v>
      </c>
      <c r="AJ2826" s="2">
        <v>45762.79965277778</v>
      </c>
      <c r="AK2826" t="s">
        <v>276</v>
      </c>
      <c r="AL2826" t="s">
        <v>65</v>
      </c>
      <c r="AM2826" s="3">
        <v>2.1458333333333335</v>
      </c>
      <c r="AN2826" t="s">
        <v>66</v>
      </c>
      <c r="AO2826" t="s">
        <v>67</v>
      </c>
    </row>
    <row r="2827" spans="1:41" x14ac:dyDescent="0.2">
      <c r="A2827">
        <v>372628</v>
      </c>
      <c r="B2827" t="s">
        <v>17340</v>
      </c>
      <c r="C2827" t="s">
        <v>323</v>
      </c>
      <c r="E2827" t="s">
        <v>17341</v>
      </c>
      <c r="G2827" s="1">
        <v>38538</v>
      </c>
      <c r="H2827" s="1">
        <v>45838</v>
      </c>
      <c r="J2827" t="s">
        <v>72</v>
      </c>
      <c r="K2827" t="s">
        <v>326</v>
      </c>
      <c r="L2827" t="s">
        <v>72</v>
      </c>
      <c r="N2827" t="s">
        <v>47</v>
      </c>
      <c r="O2827" t="s">
        <v>48</v>
      </c>
      <c r="P2827" t="s">
        <v>406</v>
      </c>
      <c r="Q2827" t="s">
        <v>17342</v>
      </c>
      <c r="R2827" t="s">
        <v>17343</v>
      </c>
      <c r="S2827">
        <v>3739</v>
      </c>
      <c r="T2827" t="s">
        <v>257</v>
      </c>
      <c r="U2827" t="s">
        <v>329</v>
      </c>
      <c r="V2827" t="s">
        <v>4982</v>
      </c>
      <c r="W2827" t="s">
        <v>3303</v>
      </c>
      <c r="X2827" t="s">
        <v>257</v>
      </c>
      <c r="Y2827" t="s">
        <v>642</v>
      </c>
      <c r="Z2827">
        <v>2762</v>
      </c>
      <c r="AA2827">
        <v>30</v>
      </c>
      <c r="AB2827">
        <v>172</v>
      </c>
      <c r="AC2827" t="s">
        <v>5079</v>
      </c>
      <c r="AD2827" t="s">
        <v>1165</v>
      </c>
      <c r="AE2827" t="s">
        <v>9106</v>
      </c>
      <c r="AF2827" t="s">
        <v>4983</v>
      </c>
      <c r="AG2827" t="s">
        <v>4984</v>
      </c>
      <c r="AH2827" t="s">
        <v>4985</v>
      </c>
      <c r="AJ2827" s="2">
        <v>45847.919988425929</v>
      </c>
      <c r="AK2827" t="s">
        <v>1164</v>
      </c>
      <c r="AL2827" t="s">
        <v>1168</v>
      </c>
      <c r="AM2827" s="3">
        <v>1.4027777777777777</v>
      </c>
      <c r="AN2827" t="s">
        <v>66</v>
      </c>
      <c r="AO2827" t="s">
        <v>67</v>
      </c>
    </row>
    <row r="2828" spans="1:41" x14ac:dyDescent="0.2">
      <c r="A2828">
        <v>366737</v>
      </c>
      <c r="B2828" t="s">
        <v>17344</v>
      </c>
      <c r="C2828" t="s">
        <v>182</v>
      </c>
      <c r="D2828" t="s">
        <v>183</v>
      </c>
      <c r="E2828" t="s">
        <v>17345</v>
      </c>
      <c r="F2828">
        <v>45421</v>
      </c>
      <c r="G2828" s="1">
        <v>35403</v>
      </c>
      <c r="H2828" s="1">
        <v>45628</v>
      </c>
      <c r="I2828" s="1">
        <v>46143</v>
      </c>
      <c r="J2828" t="s">
        <v>45</v>
      </c>
      <c r="K2828" t="s">
        <v>45</v>
      </c>
      <c r="L2828" t="s">
        <v>46</v>
      </c>
      <c r="M2828" s="1">
        <v>42547</v>
      </c>
      <c r="N2828" t="s">
        <v>47</v>
      </c>
      <c r="O2828" t="s">
        <v>48</v>
      </c>
      <c r="P2828" t="s">
        <v>49</v>
      </c>
      <c r="Q2828" t="s">
        <v>17346</v>
      </c>
      <c r="R2828" t="s">
        <v>17347</v>
      </c>
      <c r="S2828">
        <v>2600</v>
      </c>
      <c r="T2828" t="s">
        <v>52</v>
      </c>
      <c r="U2828">
        <v>5</v>
      </c>
      <c r="V2828" t="s">
        <v>2432</v>
      </c>
      <c r="W2828" t="s">
        <v>54</v>
      </c>
      <c r="X2828" t="s">
        <v>493</v>
      </c>
      <c r="Y2828" t="s">
        <v>434</v>
      </c>
      <c r="Z2828">
        <v>677</v>
      </c>
      <c r="AA2828">
        <v>55</v>
      </c>
      <c r="AB2828">
        <v>146</v>
      </c>
      <c r="AC2828" t="s">
        <v>5001</v>
      </c>
      <c r="AD2828" t="s">
        <v>2434</v>
      </c>
      <c r="AE2828" t="s">
        <v>2435</v>
      </c>
      <c r="AF2828" t="s">
        <v>17348</v>
      </c>
      <c r="AG2828" t="s">
        <v>17349</v>
      </c>
      <c r="AH2828" t="s">
        <v>17350</v>
      </c>
      <c r="AI2828" t="s">
        <v>500</v>
      </c>
      <c r="AJ2828" s="2">
        <v>45635.815000000002</v>
      </c>
      <c r="AK2828" t="s">
        <v>717</v>
      </c>
      <c r="AL2828" t="s">
        <v>65</v>
      </c>
      <c r="AM2828" s="4">
        <v>4.1666666666666664E-2</v>
      </c>
      <c r="AN2828" t="s">
        <v>66</v>
      </c>
      <c r="AO2828" t="s">
        <v>67</v>
      </c>
    </row>
    <row r="2829" spans="1:41" x14ac:dyDescent="0.2">
      <c r="A2829">
        <v>366251</v>
      </c>
      <c r="B2829" t="s">
        <v>17351</v>
      </c>
      <c r="C2829" t="s">
        <v>118</v>
      </c>
      <c r="D2829" t="s">
        <v>1396</v>
      </c>
      <c r="E2829" t="s">
        <v>17352</v>
      </c>
      <c r="G2829" s="1">
        <v>45609</v>
      </c>
      <c r="H2829" s="1">
        <v>45609</v>
      </c>
      <c r="I2829" s="1">
        <v>46006</v>
      </c>
      <c r="J2829" t="s">
        <v>45</v>
      </c>
      <c r="K2829" t="s">
        <v>45</v>
      </c>
      <c r="L2829" t="s">
        <v>46</v>
      </c>
      <c r="N2829" t="s">
        <v>47</v>
      </c>
      <c r="O2829" t="s">
        <v>48</v>
      </c>
      <c r="P2829" t="s">
        <v>49</v>
      </c>
      <c r="Q2829" t="s">
        <v>17353</v>
      </c>
      <c r="R2829" t="s">
        <v>17354</v>
      </c>
      <c r="S2829">
        <v>5835</v>
      </c>
      <c r="T2829" t="s">
        <v>52</v>
      </c>
      <c r="U2829">
        <v>3</v>
      </c>
      <c r="V2829" t="s">
        <v>4644</v>
      </c>
      <c r="W2829" t="s">
        <v>54</v>
      </c>
      <c r="X2829" t="s">
        <v>55</v>
      </c>
      <c r="Y2829" t="s">
        <v>56</v>
      </c>
      <c r="Z2829">
        <v>12244</v>
      </c>
      <c r="AA2829">
        <v>9</v>
      </c>
      <c r="AB2829">
        <v>44</v>
      </c>
      <c r="AC2829" t="s">
        <v>17355</v>
      </c>
      <c r="AD2829" t="s">
        <v>17356</v>
      </c>
      <c r="AE2829" t="s">
        <v>17357</v>
      </c>
      <c r="AI2829" t="s">
        <v>63</v>
      </c>
      <c r="AJ2829" s="2">
        <v>45610.767002314817</v>
      </c>
      <c r="AK2829" t="s">
        <v>307</v>
      </c>
      <c r="AL2829" t="s">
        <v>65</v>
      </c>
      <c r="AM2829" s="3">
        <v>1.6145833333333333</v>
      </c>
      <c r="AN2829" t="s">
        <v>66</v>
      </c>
      <c r="AO2829" t="s">
        <v>67</v>
      </c>
    </row>
    <row r="2830" spans="1:41" x14ac:dyDescent="0.2">
      <c r="A2830">
        <v>368789</v>
      </c>
      <c r="B2830" t="s">
        <v>17358</v>
      </c>
      <c r="C2830" t="s">
        <v>42</v>
      </c>
      <c r="E2830" t="s">
        <v>17359</v>
      </c>
      <c r="G2830" s="1">
        <v>43007</v>
      </c>
      <c r="H2830" s="1">
        <v>43959</v>
      </c>
      <c r="J2830" t="s">
        <v>45</v>
      </c>
      <c r="K2830" t="s">
        <v>326</v>
      </c>
      <c r="L2830" t="s">
        <v>72</v>
      </c>
      <c r="M2830" s="1">
        <v>40983</v>
      </c>
      <c r="N2830" t="s">
        <v>89</v>
      </c>
      <c r="O2830" t="s">
        <v>121</v>
      </c>
      <c r="P2830" t="s">
        <v>49</v>
      </c>
      <c r="Q2830" t="s">
        <v>17360</v>
      </c>
      <c r="R2830" t="s">
        <v>17361</v>
      </c>
      <c r="S2830">
        <v>7750</v>
      </c>
      <c r="T2830" t="s">
        <v>365</v>
      </c>
      <c r="U2830" t="s">
        <v>432</v>
      </c>
      <c r="V2830" t="s">
        <v>17362</v>
      </c>
      <c r="W2830" t="s">
        <v>367</v>
      </c>
      <c r="X2830" t="s">
        <v>449</v>
      </c>
      <c r="Y2830" t="s">
        <v>1306</v>
      </c>
      <c r="Z2830">
        <v>1922</v>
      </c>
      <c r="AA2830">
        <v>92</v>
      </c>
      <c r="AB2830">
        <v>158</v>
      </c>
      <c r="AC2830" t="s">
        <v>7309</v>
      </c>
      <c r="AD2830" t="s">
        <v>7310</v>
      </c>
      <c r="AE2830" t="s">
        <v>7311</v>
      </c>
      <c r="AF2830" t="s">
        <v>7306</v>
      </c>
      <c r="AG2830" t="s">
        <v>7307</v>
      </c>
      <c r="AH2830" t="s">
        <v>7308</v>
      </c>
      <c r="AJ2830" s="2">
        <v>45726.617175925923</v>
      </c>
      <c r="AK2830" t="s">
        <v>100</v>
      </c>
      <c r="AL2830" t="s">
        <v>65</v>
      </c>
      <c r="AM2830" s="3">
        <v>1.6736111111111112</v>
      </c>
      <c r="AN2830" t="s">
        <v>66</v>
      </c>
      <c r="AO2830" t="s">
        <v>67</v>
      </c>
    </row>
    <row r="2831" spans="1:41" x14ac:dyDescent="0.2">
      <c r="A2831">
        <v>369262</v>
      </c>
      <c r="B2831" t="s">
        <v>17363</v>
      </c>
      <c r="C2831" t="s">
        <v>42</v>
      </c>
      <c r="E2831" t="s">
        <v>17364</v>
      </c>
      <c r="G2831" s="1">
        <v>42293</v>
      </c>
      <c r="H2831" s="1">
        <v>43959</v>
      </c>
      <c r="J2831" t="s">
        <v>45</v>
      </c>
      <c r="K2831" t="s">
        <v>326</v>
      </c>
      <c r="L2831" t="s">
        <v>72</v>
      </c>
      <c r="N2831" t="s">
        <v>89</v>
      </c>
      <c r="O2831" t="s">
        <v>121</v>
      </c>
      <c r="P2831" t="s">
        <v>49</v>
      </c>
      <c r="Q2831" t="s">
        <v>17365</v>
      </c>
      <c r="R2831" t="s">
        <v>17366</v>
      </c>
      <c r="S2831">
        <v>7010</v>
      </c>
      <c r="T2831" t="s">
        <v>365</v>
      </c>
      <c r="U2831" t="s">
        <v>432</v>
      </c>
      <c r="V2831" t="s">
        <v>17362</v>
      </c>
      <c r="W2831" t="s">
        <v>367</v>
      </c>
      <c r="X2831" t="s">
        <v>449</v>
      </c>
      <c r="Y2831" t="s">
        <v>1306</v>
      </c>
      <c r="Z2831">
        <v>2026</v>
      </c>
      <c r="AA2831">
        <v>90</v>
      </c>
      <c r="AB2831">
        <v>158</v>
      </c>
      <c r="AC2831" t="s">
        <v>7309</v>
      </c>
      <c r="AD2831" t="s">
        <v>7310</v>
      </c>
      <c r="AE2831" t="s">
        <v>7311</v>
      </c>
      <c r="AF2831" t="s">
        <v>7306</v>
      </c>
      <c r="AG2831" t="s">
        <v>7307</v>
      </c>
      <c r="AH2831" t="s">
        <v>7308</v>
      </c>
      <c r="AJ2831" s="2">
        <v>45730.934224537035</v>
      </c>
      <c r="AK2831" t="s">
        <v>7306</v>
      </c>
      <c r="AL2831" t="s">
        <v>65</v>
      </c>
      <c r="AM2831" s="3">
        <v>1.6805555555555556</v>
      </c>
      <c r="AN2831" t="s">
        <v>66</v>
      </c>
      <c r="AO2831" t="s">
        <v>67</v>
      </c>
    </row>
    <row r="2832" spans="1:41" x14ac:dyDescent="0.2">
      <c r="A2832">
        <v>368791</v>
      </c>
      <c r="B2832" t="s">
        <v>17367</v>
      </c>
      <c r="C2832" t="s">
        <v>42</v>
      </c>
      <c r="D2832" t="s">
        <v>4454</v>
      </c>
      <c r="E2832" t="s">
        <v>17368</v>
      </c>
      <c r="G2832" s="1">
        <v>43084</v>
      </c>
      <c r="H2832" s="1">
        <v>43959</v>
      </c>
      <c r="J2832" t="s">
        <v>45</v>
      </c>
      <c r="K2832" t="s">
        <v>45</v>
      </c>
      <c r="L2832" t="s">
        <v>72</v>
      </c>
      <c r="N2832" t="s">
        <v>89</v>
      </c>
      <c r="O2832" t="s">
        <v>121</v>
      </c>
      <c r="P2832" t="s">
        <v>49</v>
      </c>
      <c r="Q2832" t="s">
        <v>17369</v>
      </c>
      <c r="R2832" t="s">
        <v>17370</v>
      </c>
      <c r="S2832">
        <v>7880</v>
      </c>
      <c r="T2832" t="s">
        <v>365</v>
      </c>
      <c r="U2832" t="s">
        <v>432</v>
      </c>
      <c r="V2832" t="s">
        <v>17362</v>
      </c>
      <c r="W2832" t="s">
        <v>367</v>
      </c>
      <c r="X2832" t="s">
        <v>449</v>
      </c>
      <c r="Y2832" t="s">
        <v>770</v>
      </c>
      <c r="Z2832">
        <v>9386</v>
      </c>
      <c r="AA2832">
        <v>13</v>
      </c>
      <c r="AB2832">
        <v>152</v>
      </c>
      <c r="AC2832" t="s">
        <v>17371</v>
      </c>
      <c r="AD2832" t="s">
        <v>7310</v>
      </c>
      <c r="AE2832" t="s">
        <v>17372</v>
      </c>
      <c r="AF2832" t="s">
        <v>7306</v>
      </c>
      <c r="AG2832" t="s">
        <v>7307</v>
      </c>
      <c r="AH2832" t="s">
        <v>7308</v>
      </c>
      <c r="AJ2832" s="2">
        <v>45726.617175925923</v>
      </c>
      <c r="AK2832" t="s">
        <v>100</v>
      </c>
      <c r="AL2832" t="s">
        <v>65</v>
      </c>
      <c r="AM2832" s="4">
        <v>0.1111111111111111</v>
      </c>
      <c r="AN2832" t="s">
        <v>66</v>
      </c>
      <c r="AO2832" t="s">
        <v>67</v>
      </c>
    </row>
    <row r="2833" spans="1:41" x14ac:dyDescent="0.2">
      <c r="A2833">
        <v>371783</v>
      </c>
      <c r="B2833" t="s">
        <v>17373</v>
      </c>
      <c r="C2833" t="s">
        <v>42</v>
      </c>
      <c r="D2833" t="s">
        <v>4454</v>
      </c>
      <c r="E2833" t="s">
        <v>17374</v>
      </c>
      <c r="G2833" s="1">
        <v>44718</v>
      </c>
      <c r="H2833" s="1">
        <v>45812</v>
      </c>
      <c r="I2833" s="1">
        <v>46218</v>
      </c>
      <c r="J2833" t="s">
        <v>45</v>
      </c>
      <c r="K2833" t="s">
        <v>45</v>
      </c>
      <c r="L2833" t="s">
        <v>46</v>
      </c>
      <c r="M2833" s="1">
        <v>44803</v>
      </c>
      <c r="N2833" t="s">
        <v>47</v>
      </c>
      <c r="O2833" t="s">
        <v>48</v>
      </c>
      <c r="P2833" t="s">
        <v>49</v>
      </c>
      <c r="Q2833" t="s">
        <v>17375</v>
      </c>
      <c r="R2833" t="s">
        <v>17376</v>
      </c>
      <c r="S2833">
        <v>7135</v>
      </c>
      <c r="T2833" t="s">
        <v>296</v>
      </c>
      <c r="U2833" t="s">
        <v>2674</v>
      </c>
      <c r="V2833" t="s">
        <v>2675</v>
      </c>
      <c r="W2833" t="s">
        <v>299</v>
      </c>
      <c r="X2833" t="s">
        <v>55</v>
      </c>
      <c r="Y2833" t="s">
        <v>56</v>
      </c>
      <c r="Z2833">
        <v>12101</v>
      </c>
      <c r="AA2833">
        <v>17</v>
      </c>
      <c r="AB2833">
        <v>210</v>
      </c>
      <c r="AC2833" t="s">
        <v>17377</v>
      </c>
      <c r="AD2833" t="s">
        <v>17378</v>
      </c>
      <c r="AE2833" t="s">
        <v>17379</v>
      </c>
      <c r="AI2833" t="s">
        <v>2682</v>
      </c>
      <c r="AJ2833" s="2">
        <v>45819.644849537035</v>
      </c>
      <c r="AK2833" t="s">
        <v>609</v>
      </c>
      <c r="AL2833" t="s">
        <v>65</v>
      </c>
      <c r="AM2833" s="4">
        <v>0.5625</v>
      </c>
      <c r="AN2833" t="s">
        <v>66</v>
      </c>
      <c r="AO2833" t="s">
        <v>67</v>
      </c>
    </row>
    <row r="2834" spans="1:41" x14ac:dyDescent="0.2">
      <c r="A2834">
        <v>364455</v>
      </c>
      <c r="B2834" t="s">
        <v>17380</v>
      </c>
      <c r="C2834" t="s">
        <v>1013</v>
      </c>
      <c r="D2834" t="s">
        <v>253</v>
      </c>
      <c r="E2834" s="5">
        <v>3.2799999999999998E+153</v>
      </c>
      <c r="F2834">
        <v>328501</v>
      </c>
      <c r="G2834" s="1">
        <v>39715</v>
      </c>
      <c r="H2834" s="1">
        <v>45546</v>
      </c>
      <c r="I2834" s="1">
        <v>46174</v>
      </c>
      <c r="J2834" t="s">
        <v>45</v>
      </c>
      <c r="K2834" t="s">
        <v>45</v>
      </c>
      <c r="L2834" t="s">
        <v>429</v>
      </c>
      <c r="N2834" t="s">
        <v>47</v>
      </c>
      <c r="O2834" t="s">
        <v>48</v>
      </c>
      <c r="P2834" t="s">
        <v>49</v>
      </c>
      <c r="Q2834" t="s">
        <v>17381</v>
      </c>
      <c r="R2834" t="s">
        <v>17382</v>
      </c>
      <c r="S2834">
        <v>2316</v>
      </c>
      <c r="T2834" t="s">
        <v>296</v>
      </c>
      <c r="U2834" t="s">
        <v>1941</v>
      </c>
      <c r="V2834" t="s">
        <v>8142</v>
      </c>
      <c r="W2834" t="s">
        <v>299</v>
      </c>
      <c r="X2834" t="s">
        <v>76</v>
      </c>
      <c r="Y2834" t="s">
        <v>56</v>
      </c>
      <c r="Z2834">
        <v>2994</v>
      </c>
      <c r="AA2834">
        <v>37</v>
      </c>
      <c r="AB2834">
        <v>138</v>
      </c>
      <c r="AC2834" t="s">
        <v>17383</v>
      </c>
      <c r="AD2834" t="s">
        <v>8144</v>
      </c>
      <c r="AE2834" t="s">
        <v>8145</v>
      </c>
      <c r="AF2834" t="s">
        <v>17384</v>
      </c>
      <c r="AG2834" t="s">
        <v>17385</v>
      </c>
      <c r="AH2834" t="s">
        <v>8145</v>
      </c>
      <c r="AI2834" t="s">
        <v>1404</v>
      </c>
      <c r="AJ2834" s="2">
        <v>45547.130671296298</v>
      </c>
      <c r="AK2834" t="s">
        <v>717</v>
      </c>
      <c r="AL2834" t="s">
        <v>65</v>
      </c>
      <c r="AM2834" s="3">
        <v>1.0416666666666667</v>
      </c>
      <c r="AN2834" t="s">
        <v>66</v>
      </c>
      <c r="AO2834" t="s">
        <v>67</v>
      </c>
    </row>
    <row r="2835" spans="1:41" x14ac:dyDescent="0.2">
      <c r="A2835">
        <v>366629</v>
      </c>
      <c r="B2835" t="s">
        <v>17386</v>
      </c>
      <c r="C2835" t="s">
        <v>345</v>
      </c>
      <c r="D2835" t="s">
        <v>941</v>
      </c>
      <c r="E2835" t="s">
        <v>17387</v>
      </c>
      <c r="J2835" t="s">
        <v>45</v>
      </c>
      <c r="K2835" t="s">
        <v>45</v>
      </c>
      <c r="L2835" t="s">
        <v>72</v>
      </c>
      <c r="N2835" t="s">
        <v>89</v>
      </c>
      <c r="O2835" t="s">
        <v>48</v>
      </c>
      <c r="P2835" t="s">
        <v>49</v>
      </c>
      <c r="T2835" t="s">
        <v>52</v>
      </c>
      <c r="U2835">
        <v>2</v>
      </c>
      <c r="V2835" t="s">
        <v>945</v>
      </c>
      <c r="W2835" t="s">
        <v>54</v>
      </c>
      <c r="X2835" t="s">
        <v>52</v>
      </c>
      <c r="Y2835" t="s">
        <v>56</v>
      </c>
      <c r="Z2835">
        <v>12184</v>
      </c>
      <c r="AA2835">
        <v>6</v>
      </c>
      <c r="AB2835">
        <v>44</v>
      </c>
      <c r="AC2835" t="s">
        <v>946</v>
      </c>
      <c r="AD2835" t="s">
        <v>947</v>
      </c>
      <c r="AE2835" t="s">
        <v>9907</v>
      </c>
      <c r="AJ2835" s="2">
        <v>45630.868055555555</v>
      </c>
      <c r="AK2835" t="s">
        <v>132</v>
      </c>
      <c r="AL2835" t="s">
        <v>65</v>
      </c>
      <c r="AM2835" s="3">
        <v>1.3645833333333333</v>
      </c>
      <c r="AN2835" t="s">
        <v>66</v>
      </c>
      <c r="AO2835" t="s">
        <v>67</v>
      </c>
    </row>
    <row r="2836" spans="1:41" x14ac:dyDescent="0.2">
      <c r="A2836">
        <v>365067</v>
      </c>
      <c r="B2836" t="s">
        <v>17388</v>
      </c>
      <c r="C2836" t="s">
        <v>345</v>
      </c>
      <c r="E2836" t="s">
        <v>17389</v>
      </c>
      <c r="F2836">
        <v>52812</v>
      </c>
      <c r="G2836" s="1">
        <v>32077</v>
      </c>
      <c r="H2836" s="1">
        <v>45563</v>
      </c>
      <c r="I2836" s="1">
        <v>46218</v>
      </c>
      <c r="J2836" t="s">
        <v>45</v>
      </c>
      <c r="K2836" t="s">
        <v>45</v>
      </c>
      <c r="L2836" t="s">
        <v>429</v>
      </c>
      <c r="N2836" t="s">
        <v>47</v>
      </c>
      <c r="O2836" t="s">
        <v>48</v>
      </c>
      <c r="P2836" t="s">
        <v>49</v>
      </c>
      <c r="Q2836" t="s">
        <v>17390</v>
      </c>
      <c r="R2836" t="s">
        <v>17391</v>
      </c>
      <c r="S2836">
        <v>10429</v>
      </c>
      <c r="T2836" t="s">
        <v>52</v>
      </c>
      <c r="U2836">
        <v>2</v>
      </c>
      <c r="V2836" t="s">
        <v>8005</v>
      </c>
      <c r="W2836" t="s">
        <v>54</v>
      </c>
      <c r="X2836" t="s">
        <v>55</v>
      </c>
      <c r="Y2836" t="s">
        <v>56</v>
      </c>
      <c r="Z2836">
        <v>573</v>
      </c>
      <c r="AA2836">
        <v>52</v>
      </c>
      <c r="AB2836">
        <v>160</v>
      </c>
      <c r="AC2836" t="s">
        <v>17392</v>
      </c>
      <c r="AD2836" t="s">
        <v>8415</v>
      </c>
      <c r="AE2836" t="s">
        <v>17393</v>
      </c>
      <c r="AF2836" t="s">
        <v>8409</v>
      </c>
      <c r="AG2836" t="s">
        <v>8410</v>
      </c>
      <c r="AH2836" t="s">
        <v>8411</v>
      </c>
      <c r="AI2836" t="s">
        <v>11527</v>
      </c>
      <c r="AJ2836" s="2">
        <v>45567.772939814815</v>
      </c>
      <c r="AK2836" t="s">
        <v>609</v>
      </c>
      <c r="AL2836" t="s">
        <v>65</v>
      </c>
      <c r="AM2836" s="3">
        <v>2.375</v>
      </c>
      <c r="AN2836" t="s">
        <v>66</v>
      </c>
      <c r="AO2836" t="s">
        <v>67</v>
      </c>
    </row>
    <row r="2837" spans="1:41" x14ac:dyDescent="0.2">
      <c r="A2837">
        <v>371448</v>
      </c>
      <c r="B2837" t="s">
        <v>17394</v>
      </c>
      <c r="C2837" t="s">
        <v>197</v>
      </c>
      <c r="D2837" t="s">
        <v>17395</v>
      </c>
      <c r="E2837" t="s">
        <v>17396</v>
      </c>
      <c r="F2837">
        <v>97802</v>
      </c>
      <c r="G2837" s="1">
        <v>43509</v>
      </c>
      <c r="H2837" s="1">
        <v>45811</v>
      </c>
      <c r="J2837" t="s">
        <v>45</v>
      </c>
      <c r="K2837" t="s">
        <v>45</v>
      </c>
      <c r="L2837" t="s">
        <v>72</v>
      </c>
      <c r="N2837" t="s">
        <v>47</v>
      </c>
      <c r="O2837" t="s">
        <v>48</v>
      </c>
      <c r="P2837" t="s">
        <v>49</v>
      </c>
      <c r="Q2837" t="s">
        <v>17397</v>
      </c>
      <c r="R2837" t="s">
        <v>17398</v>
      </c>
      <c r="S2837">
        <v>96</v>
      </c>
      <c r="T2837" t="s">
        <v>1328</v>
      </c>
      <c r="U2837" t="s">
        <v>3114</v>
      </c>
      <c r="V2837" t="s">
        <v>7982</v>
      </c>
      <c r="W2837" t="s">
        <v>7983</v>
      </c>
      <c r="X2837" t="s">
        <v>1328</v>
      </c>
      <c r="Y2837" t="s">
        <v>770</v>
      </c>
      <c r="Z2837">
        <v>10110</v>
      </c>
      <c r="AA2837">
        <v>12</v>
      </c>
      <c r="AB2837">
        <v>91</v>
      </c>
      <c r="AC2837" t="s">
        <v>7984</v>
      </c>
      <c r="AD2837" t="s">
        <v>7985</v>
      </c>
      <c r="AE2837" t="s">
        <v>7986</v>
      </c>
      <c r="AF2837" t="s">
        <v>7987</v>
      </c>
      <c r="AG2837" t="s">
        <v>7988</v>
      </c>
      <c r="AH2837" t="s">
        <v>7989</v>
      </c>
      <c r="AJ2837" s="2">
        <v>45811.725416666668</v>
      </c>
      <c r="AK2837" t="s">
        <v>7984</v>
      </c>
      <c r="AL2837" t="s">
        <v>65</v>
      </c>
      <c r="AM2837" t="s">
        <v>17399</v>
      </c>
      <c r="AN2837" t="s">
        <v>66</v>
      </c>
      <c r="AO2837" t="s">
        <v>67</v>
      </c>
    </row>
    <row r="2838" spans="1:41" x14ac:dyDescent="0.2">
      <c r="A2838">
        <v>358378</v>
      </c>
      <c r="B2838" t="s">
        <v>17400</v>
      </c>
      <c r="C2838" t="s">
        <v>103</v>
      </c>
      <c r="D2838" t="s">
        <v>1888</v>
      </c>
      <c r="E2838">
        <v>40703382</v>
      </c>
      <c r="F2838">
        <v>313601</v>
      </c>
      <c r="G2838" s="1">
        <v>38798</v>
      </c>
      <c r="H2838" s="1">
        <v>45342</v>
      </c>
      <c r="I2838" s="1">
        <v>46280</v>
      </c>
      <c r="J2838" t="s">
        <v>45</v>
      </c>
      <c r="K2838" t="s">
        <v>45</v>
      </c>
      <c r="L2838" t="s">
        <v>72</v>
      </c>
      <c r="M2838" s="1">
        <v>44340</v>
      </c>
      <c r="N2838" t="s">
        <v>47</v>
      </c>
      <c r="O2838" t="s">
        <v>48</v>
      </c>
      <c r="P2838" t="s">
        <v>49</v>
      </c>
      <c r="Q2838" t="s">
        <v>17401</v>
      </c>
      <c r="R2838" t="s">
        <v>17402</v>
      </c>
      <c r="S2838">
        <v>1190</v>
      </c>
      <c r="T2838" t="s">
        <v>92</v>
      </c>
      <c r="U2838" t="s">
        <v>107</v>
      </c>
      <c r="V2838" t="s">
        <v>108</v>
      </c>
      <c r="W2838" t="s">
        <v>109</v>
      </c>
      <c r="X2838" t="s">
        <v>52</v>
      </c>
      <c r="Y2838" t="s">
        <v>110</v>
      </c>
      <c r="Z2838">
        <v>1201</v>
      </c>
      <c r="AA2838">
        <v>38</v>
      </c>
      <c r="AB2838">
        <v>158</v>
      </c>
      <c r="AC2838" t="s">
        <v>14858</v>
      </c>
      <c r="AD2838" t="s">
        <v>14859</v>
      </c>
      <c r="AE2838" t="s">
        <v>14860</v>
      </c>
      <c r="AF2838" t="s">
        <v>1464</v>
      </c>
      <c r="AG2838" t="s">
        <v>4566</v>
      </c>
      <c r="AH2838" t="s">
        <v>1465</v>
      </c>
      <c r="AI2838" t="s">
        <v>14859</v>
      </c>
      <c r="AJ2838" s="2">
        <v>45818.719537037039</v>
      </c>
      <c r="AK2838" t="s">
        <v>100</v>
      </c>
      <c r="AL2838" t="s">
        <v>65</v>
      </c>
      <c r="AM2838" s="4">
        <v>0.1736111111111111</v>
      </c>
      <c r="AN2838" t="s">
        <v>66</v>
      </c>
      <c r="AO2838" t="s">
        <v>67</v>
      </c>
    </row>
    <row r="2839" spans="1:41" x14ac:dyDescent="0.2">
      <c r="A2839">
        <v>371925</v>
      </c>
      <c r="B2839" t="s">
        <v>17403</v>
      </c>
      <c r="C2839" t="s">
        <v>69</v>
      </c>
      <c r="D2839" t="s">
        <v>2006</v>
      </c>
      <c r="E2839" t="s">
        <v>17404</v>
      </c>
      <c r="F2839">
        <v>101220</v>
      </c>
      <c r="G2839" s="1">
        <v>34535</v>
      </c>
      <c r="H2839" s="1">
        <v>45821</v>
      </c>
      <c r="I2839" s="1">
        <v>46174</v>
      </c>
      <c r="J2839" t="s">
        <v>45</v>
      </c>
      <c r="K2839" t="s">
        <v>45</v>
      </c>
      <c r="L2839" t="s">
        <v>72</v>
      </c>
      <c r="M2839" s="1">
        <v>41820</v>
      </c>
      <c r="N2839" t="s">
        <v>47</v>
      </c>
      <c r="O2839" t="s">
        <v>48</v>
      </c>
      <c r="P2839" t="s">
        <v>49</v>
      </c>
      <c r="Q2839" t="s">
        <v>17405</v>
      </c>
      <c r="R2839" t="s">
        <v>17406</v>
      </c>
      <c r="S2839">
        <v>5175</v>
      </c>
      <c r="T2839" t="s">
        <v>52</v>
      </c>
      <c r="U2839">
        <v>4</v>
      </c>
      <c r="V2839" t="s">
        <v>10138</v>
      </c>
      <c r="W2839" t="s">
        <v>54</v>
      </c>
      <c r="X2839" t="s">
        <v>76</v>
      </c>
      <c r="Y2839" t="s">
        <v>110</v>
      </c>
      <c r="Z2839">
        <v>661</v>
      </c>
      <c r="AA2839">
        <v>64</v>
      </c>
      <c r="AB2839">
        <v>142</v>
      </c>
      <c r="AC2839" t="s">
        <v>11193</v>
      </c>
      <c r="AD2839" t="s">
        <v>10140</v>
      </c>
      <c r="AE2839" t="s">
        <v>10141</v>
      </c>
      <c r="AF2839" t="s">
        <v>10142</v>
      </c>
      <c r="AG2839" t="s">
        <v>10143</v>
      </c>
      <c r="AH2839" t="s">
        <v>10144</v>
      </c>
      <c r="AI2839" t="s">
        <v>10145</v>
      </c>
      <c r="AJ2839" s="2">
        <v>45824.870520833334</v>
      </c>
      <c r="AK2839" t="s">
        <v>11193</v>
      </c>
      <c r="AL2839" t="s">
        <v>65</v>
      </c>
      <c r="AM2839" s="3">
        <v>1.6388888888888888</v>
      </c>
      <c r="AN2839" t="s">
        <v>66</v>
      </c>
      <c r="AO2839" t="s">
        <v>67</v>
      </c>
    </row>
    <row r="2840" spans="1:41" x14ac:dyDescent="0.2">
      <c r="A2840">
        <v>372629</v>
      </c>
      <c r="B2840" t="s">
        <v>17407</v>
      </c>
      <c r="C2840" t="s">
        <v>323</v>
      </c>
      <c r="E2840" t="s">
        <v>17408</v>
      </c>
      <c r="G2840" s="1">
        <v>38541</v>
      </c>
      <c r="H2840" s="1">
        <v>45836</v>
      </c>
      <c r="J2840" t="s">
        <v>72</v>
      </c>
      <c r="K2840" t="s">
        <v>326</v>
      </c>
      <c r="L2840" t="s">
        <v>72</v>
      </c>
      <c r="N2840" t="s">
        <v>47</v>
      </c>
      <c r="O2840" t="s">
        <v>48</v>
      </c>
      <c r="P2840" t="s">
        <v>406</v>
      </c>
      <c r="Q2840" t="s">
        <v>17409</v>
      </c>
      <c r="R2840" t="s">
        <v>17410</v>
      </c>
      <c r="S2840">
        <v>1880</v>
      </c>
      <c r="T2840" t="s">
        <v>257</v>
      </c>
      <c r="U2840" t="s">
        <v>329</v>
      </c>
      <c r="V2840" t="s">
        <v>4982</v>
      </c>
      <c r="W2840" t="s">
        <v>3303</v>
      </c>
      <c r="X2840" t="s">
        <v>257</v>
      </c>
      <c r="Y2840" t="s">
        <v>642</v>
      </c>
      <c r="Z2840">
        <v>2761</v>
      </c>
      <c r="AA2840">
        <v>32</v>
      </c>
      <c r="AB2840">
        <v>172</v>
      </c>
      <c r="AC2840" t="s">
        <v>5079</v>
      </c>
      <c r="AD2840" t="s">
        <v>1165</v>
      </c>
      <c r="AE2840" t="s">
        <v>9106</v>
      </c>
      <c r="AF2840" t="s">
        <v>4983</v>
      </c>
      <c r="AG2840" t="s">
        <v>4984</v>
      </c>
      <c r="AH2840" t="s">
        <v>4985</v>
      </c>
      <c r="AJ2840" s="2">
        <v>45847.923113425924</v>
      </c>
      <c r="AK2840" t="s">
        <v>1164</v>
      </c>
      <c r="AL2840" t="s">
        <v>1168</v>
      </c>
      <c r="AM2840" s="3">
        <v>1.4166666666666667</v>
      </c>
      <c r="AN2840" t="s">
        <v>66</v>
      </c>
      <c r="AO2840" t="s">
        <v>67</v>
      </c>
    </row>
    <row r="2841" spans="1:41" x14ac:dyDescent="0.2">
      <c r="A2841">
        <v>371824</v>
      </c>
      <c r="B2841" t="s">
        <v>17411</v>
      </c>
      <c r="C2841" t="s">
        <v>134</v>
      </c>
      <c r="D2841" t="s">
        <v>6133</v>
      </c>
      <c r="E2841" t="s">
        <v>17412</v>
      </c>
      <c r="F2841">
        <v>453414</v>
      </c>
      <c r="G2841" s="1">
        <v>37943</v>
      </c>
      <c r="H2841" s="1">
        <v>45814</v>
      </c>
      <c r="I2841" s="1">
        <v>46174</v>
      </c>
      <c r="J2841" t="s">
        <v>45</v>
      </c>
      <c r="K2841" t="s">
        <v>45</v>
      </c>
      <c r="L2841" t="s">
        <v>429</v>
      </c>
      <c r="M2841" s="1">
        <v>42118</v>
      </c>
      <c r="N2841" t="s">
        <v>47</v>
      </c>
      <c r="O2841" t="s">
        <v>48</v>
      </c>
      <c r="P2841" t="s">
        <v>49</v>
      </c>
      <c r="Q2841" t="s">
        <v>17413</v>
      </c>
      <c r="R2841" t="s">
        <v>17414</v>
      </c>
      <c r="S2841">
        <v>3280</v>
      </c>
      <c r="T2841" t="s">
        <v>52</v>
      </c>
      <c r="U2841">
        <v>6</v>
      </c>
      <c r="V2841" t="s">
        <v>3463</v>
      </c>
      <c r="W2841" t="s">
        <v>54</v>
      </c>
      <c r="X2841" t="s">
        <v>76</v>
      </c>
      <c r="Y2841" t="s">
        <v>56</v>
      </c>
      <c r="Z2841">
        <v>950</v>
      </c>
      <c r="AA2841">
        <v>56</v>
      </c>
      <c r="AB2841">
        <v>160</v>
      </c>
      <c r="AC2841" t="s">
        <v>7582</v>
      </c>
      <c r="AD2841" t="s">
        <v>6136</v>
      </c>
      <c r="AE2841" t="s">
        <v>3466</v>
      </c>
      <c r="AF2841" t="s">
        <v>3467</v>
      </c>
      <c r="AG2841" t="s">
        <v>3468</v>
      </c>
      <c r="AH2841" t="s">
        <v>3469</v>
      </c>
      <c r="AI2841" t="s">
        <v>4730</v>
      </c>
      <c r="AJ2841" s="2">
        <v>45820.519745370373</v>
      </c>
      <c r="AK2841" t="s">
        <v>717</v>
      </c>
      <c r="AL2841" t="s">
        <v>65</v>
      </c>
      <c r="AM2841" s="3">
        <v>2.2430555555555554</v>
      </c>
      <c r="AN2841" t="s">
        <v>66</v>
      </c>
      <c r="AO2841" t="s">
        <v>67</v>
      </c>
    </row>
    <row r="2842" spans="1:41" x14ac:dyDescent="0.2">
      <c r="A2842">
        <v>367103</v>
      </c>
      <c r="B2842" t="s">
        <v>17415</v>
      </c>
      <c r="C2842" t="s">
        <v>676</v>
      </c>
      <c r="D2842" t="s">
        <v>17416</v>
      </c>
      <c r="E2842" t="s">
        <v>17417</v>
      </c>
      <c r="F2842">
        <v>280191</v>
      </c>
      <c r="G2842" s="1">
        <v>38813</v>
      </c>
      <c r="H2842" s="1">
        <v>45595</v>
      </c>
      <c r="I2842" s="1">
        <v>45931</v>
      </c>
      <c r="J2842" t="s">
        <v>45</v>
      </c>
      <c r="K2842" t="s">
        <v>45</v>
      </c>
      <c r="L2842" t="s">
        <v>72</v>
      </c>
      <c r="M2842" s="1">
        <v>45233</v>
      </c>
      <c r="N2842" t="s">
        <v>47</v>
      </c>
      <c r="O2842" t="s">
        <v>48</v>
      </c>
      <c r="P2842" t="s">
        <v>49</v>
      </c>
      <c r="Q2842" t="s">
        <v>17418</v>
      </c>
      <c r="R2842" t="s">
        <v>17419</v>
      </c>
      <c r="S2842">
        <v>1017</v>
      </c>
      <c r="T2842" t="s">
        <v>92</v>
      </c>
      <c r="U2842" t="s">
        <v>681</v>
      </c>
      <c r="V2842" t="s">
        <v>682</v>
      </c>
      <c r="W2842" t="s">
        <v>683</v>
      </c>
      <c r="X2842" t="s">
        <v>52</v>
      </c>
      <c r="Y2842" t="s">
        <v>110</v>
      </c>
      <c r="Z2842">
        <v>2406</v>
      </c>
      <c r="AA2842">
        <v>45</v>
      </c>
      <c r="AB2842">
        <v>39</v>
      </c>
      <c r="AC2842" t="s">
        <v>684</v>
      </c>
      <c r="AD2842" t="s">
        <v>685</v>
      </c>
      <c r="AE2842" t="s">
        <v>686</v>
      </c>
      <c r="AF2842" t="s">
        <v>687</v>
      </c>
      <c r="AG2842" t="s">
        <v>688</v>
      </c>
      <c r="AH2842" t="s">
        <v>689</v>
      </c>
      <c r="AI2842" t="s">
        <v>690</v>
      </c>
      <c r="AJ2842" s="2">
        <v>45660.794525462959</v>
      </c>
      <c r="AK2842" t="s">
        <v>684</v>
      </c>
      <c r="AL2842" t="s">
        <v>65</v>
      </c>
      <c r="AM2842" s="3">
        <v>2.1354166666666665</v>
      </c>
      <c r="AN2842" t="s">
        <v>66</v>
      </c>
      <c r="AO2842" t="s">
        <v>101</v>
      </c>
    </row>
    <row r="2843" spans="1:41" x14ac:dyDescent="0.2">
      <c r="A2843">
        <v>370195</v>
      </c>
      <c r="B2843" t="s">
        <v>17420</v>
      </c>
      <c r="C2843" t="s">
        <v>278</v>
      </c>
      <c r="D2843" t="s">
        <v>2210</v>
      </c>
      <c r="E2843" t="s">
        <v>17421</v>
      </c>
      <c r="F2843">
        <v>422902</v>
      </c>
      <c r="G2843" s="1">
        <v>32022</v>
      </c>
      <c r="H2843" s="1">
        <v>45601</v>
      </c>
      <c r="I2843" s="1">
        <v>46096</v>
      </c>
      <c r="J2843" t="s">
        <v>45</v>
      </c>
      <c r="K2843" t="s">
        <v>45</v>
      </c>
      <c r="L2843" t="s">
        <v>72</v>
      </c>
      <c r="M2843" s="1">
        <v>43216</v>
      </c>
      <c r="N2843" t="s">
        <v>47</v>
      </c>
      <c r="O2843" t="s">
        <v>48</v>
      </c>
      <c r="P2843" t="s">
        <v>49</v>
      </c>
      <c r="Q2843" t="s">
        <v>17422</v>
      </c>
      <c r="R2843" t="s">
        <v>17423</v>
      </c>
      <c r="S2843">
        <v>5397</v>
      </c>
      <c r="T2843" t="s">
        <v>365</v>
      </c>
      <c r="U2843" t="s">
        <v>432</v>
      </c>
      <c r="V2843" t="s">
        <v>1499</v>
      </c>
      <c r="W2843" t="s">
        <v>367</v>
      </c>
      <c r="X2843" t="s">
        <v>55</v>
      </c>
      <c r="Y2843" t="s">
        <v>434</v>
      </c>
      <c r="Z2843">
        <v>341</v>
      </c>
      <c r="AA2843">
        <v>67</v>
      </c>
      <c r="AB2843">
        <v>166</v>
      </c>
      <c r="AC2843" t="s">
        <v>1500</v>
      </c>
      <c r="AD2843" t="s">
        <v>1501</v>
      </c>
      <c r="AE2843" t="s">
        <v>1502</v>
      </c>
      <c r="AF2843" t="s">
        <v>17424</v>
      </c>
      <c r="AG2843" t="s">
        <v>17425</v>
      </c>
      <c r="AH2843" t="s">
        <v>17426</v>
      </c>
      <c r="AI2843" t="s">
        <v>179</v>
      </c>
      <c r="AJ2843" s="2">
        <v>45764.854363425926</v>
      </c>
      <c r="AK2843" t="s">
        <v>1500</v>
      </c>
      <c r="AL2843" t="s">
        <v>65</v>
      </c>
      <c r="AM2843" s="3">
        <v>2.3888888888888888</v>
      </c>
      <c r="AN2843" t="s">
        <v>66</v>
      </c>
      <c r="AO2843" t="s">
        <v>67</v>
      </c>
    </row>
    <row r="2844" spans="1:41" x14ac:dyDescent="0.2">
      <c r="A2844">
        <v>371816</v>
      </c>
      <c r="B2844" t="s">
        <v>17427</v>
      </c>
      <c r="C2844" t="s">
        <v>323</v>
      </c>
      <c r="D2844" t="s">
        <v>372</v>
      </c>
      <c r="E2844" t="s">
        <v>17428</v>
      </c>
      <c r="F2844">
        <v>500620</v>
      </c>
      <c r="G2844" s="1">
        <v>31884</v>
      </c>
      <c r="H2844" s="1">
        <v>45781</v>
      </c>
      <c r="I2844" s="1">
        <v>46037</v>
      </c>
      <c r="J2844" t="s">
        <v>45</v>
      </c>
      <c r="K2844" t="s">
        <v>45</v>
      </c>
      <c r="L2844" t="s">
        <v>72</v>
      </c>
      <c r="M2844" s="1">
        <v>45052</v>
      </c>
      <c r="N2844" t="s">
        <v>47</v>
      </c>
      <c r="O2844" t="s">
        <v>48</v>
      </c>
      <c r="P2844" t="s">
        <v>49</v>
      </c>
      <c r="Q2844" t="s">
        <v>17429</v>
      </c>
      <c r="R2844" t="s">
        <v>17430</v>
      </c>
      <c r="S2844">
        <v>650</v>
      </c>
      <c r="T2844" t="s">
        <v>92</v>
      </c>
      <c r="U2844" t="s">
        <v>329</v>
      </c>
      <c r="V2844" t="s">
        <v>722</v>
      </c>
      <c r="W2844" t="s">
        <v>723</v>
      </c>
      <c r="X2844" t="s">
        <v>76</v>
      </c>
      <c r="Y2844" t="s">
        <v>110</v>
      </c>
      <c r="Z2844">
        <v>539</v>
      </c>
      <c r="AA2844">
        <v>36</v>
      </c>
      <c r="AB2844">
        <v>152</v>
      </c>
      <c r="AC2844" t="s">
        <v>368</v>
      </c>
      <c r="AD2844" t="s">
        <v>369</v>
      </c>
      <c r="AE2844" t="s">
        <v>370</v>
      </c>
      <c r="AF2844" t="s">
        <v>4858</v>
      </c>
      <c r="AG2844" t="s">
        <v>4859</v>
      </c>
      <c r="AH2844" t="s">
        <v>726</v>
      </c>
      <c r="AJ2844" s="2">
        <v>45819.957939814813</v>
      </c>
      <c r="AK2844" t="s">
        <v>727</v>
      </c>
      <c r="AL2844" t="s">
        <v>65</v>
      </c>
      <c r="AM2844" s="3">
        <v>2.2083333333333335</v>
      </c>
      <c r="AN2844" t="s">
        <v>66</v>
      </c>
      <c r="AO2844" t="s">
        <v>67</v>
      </c>
    </row>
    <row r="2845" spans="1:41" x14ac:dyDescent="0.2">
      <c r="A2845">
        <v>371046</v>
      </c>
      <c r="B2845" t="s">
        <v>17431</v>
      </c>
      <c r="C2845" t="s">
        <v>1000</v>
      </c>
      <c r="D2845" t="s">
        <v>6040</v>
      </c>
      <c r="E2845" t="s">
        <v>17432</v>
      </c>
      <c r="F2845">
        <v>407502</v>
      </c>
      <c r="G2845" s="1">
        <v>40045</v>
      </c>
      <c r="H2845" s="1">
        <v>45685</v>
      </c>
      <c r="I2845" s="1">
        <v>46023</v>
      </c>
      <c r="J2845" t="s">
        <v>45</v>
      </c>
      <c r="K2845" t="s">
        <v>45</v>
      </c>
      <c r="L2845" t="s">
        <v>429</v>
      </c>
      <c r="M2845" s="1">
        <v>45204</v>
      </c>
      <c r="N2845" t="s">
        <v>47</v>
      </c>
      <c r="O2845" t="s">
        <v>48</v>
      </c>
      <c r="P2845" t="s">
        <v>49</v>
      </c>
      <c r="Q2845" t="s">
        <v>17433</v>
      </c>
      <c r="R2845" t="s">
        <v>17434</v>
      </c>
      <c r="S2845">
        <v>1920</v>
      </c>
      <c r="T2845" t="s">
        <v>52</v>
      </c>
      <c r="U2845">
        <v>8</v>
      </c>
      <c r="V2845" t="s">
        <v>12959</v>
      </c>
      <c r="W2845" t="s">
        <v>54</v>
      </c>
      <c r="X2845" t="s">
        <v>76</v>
      </c>
      <c r="Y2845" t="s">
        <v>56</v>
      </c>
      <c r="Z2845">
        <v>1397</v>
      </c>
      <c r="AA2845">
        <v>62</v>
      </c>
      <c r="AB2845">
        <v>45</v>
      </c>
      <c r="AC2845" t="s">
        <v>13347</v>
      </c>
      <c r="AD2845" t="s">
        <v>13348</v>
      </c>
      <c r="AE2845" t="s">
        <v>13349</v>
      </c>
      <c r="AI2845" t="s">
        <v>13348</v>
      </c>
      <c r="AJ2845" s="2">
        <v>45793.642511574071</v>
      </c>
      <c r="AK2845" t="s">
        <v>100</v>
      </c>
      <c r="AL2845" t="s">
        <v>65</v>
      </c>
      <c r="AM2845" s="4">
        <v>0.79166666666666663</v>
      </c>
      <c r="AN2845" t="s">
        <v>66</v>
      </c>
      <c r="AO2845" t="s">
        <v>101</v>
      </c>
    </row>
    <row r="2846" spans="1:41" x14ac:dyDescent="0.2">
      <c r="A2846">
        <v>369417</v>
      </c>
      <c r="B2846" t="s">
        <v>17435</v>
      </c>
      <c r="C2846" t="s">
        <v>182</v>
      </c>
      <c r="D2846" t="s">
        <v>4517</v>
      </c>
      <c r="E2846" t="s">
        <v>17436</v>
      </c>
      <c r="F2846">
        <v>45307</v>
      </c>
      <c r="G2846" s="1">
        <v>37074</v>
      </c>
      <c r="H2846" s="1">
        <v>45733</v>
      </c>
      <c r="I2846" s="1">
        <v>46096</v>
      </c>
      <c r="J2846" t="s">
        <v>45</v>
      </c>
      <c r="K2846" t="s">
        <v>45</v>
      </c>
      <c r="L2846" t="s">
        <v>429</v>
      </c>
      <c r="M2846" s="1">
        <v>42866</v>
      </c>
      <c r="N2846" t="s">
        <v>47</v>
      </c>
      <c r="O2846" t="s">
        <v>48</v>
      </c>
      <c r="P2846" t="s">
        <v>49</v>
      </c>
      <c r="Q2846" t="s">
        <v>17437</v>
      </c>
      <c r="R2846" t="s">
        <v>17438</v>
      </c>
      <c r="S2846">
        <v>1124</v>
      </c>
      <c r="T2846" t="s">
        <v>52</v>
      </c>
      <c r="U2846">
        <v>5</v>
      </c>
      <c r="V2846" t="s">
        <v>1030</v>
      </c>
      <c r="W2846" t="s">
        <v>54</v>
      </c>
      <c r="X2846" t="s">
        <v>493</v>
      </c>
      <c r="Y2846" t="s">
        <v>434</v>
      </c>
      <c r="Z2846">
        <v>1683</v>
      </c>
      <c r="AA2846">
        <v>59</v>
      </c>
      <c r="AB2846">
        <v>152</v>
      </c>
      <c r="AC2846" t="s">
        <v>4520</v>
      </c>
      <c r="AD2846" t="s">
        <v>4521</v>
      </c>
      <c r="AE2846" t="s">
        <v>4522</v>
      </c>
      <c r="AF2846" t="s">
        <v>1034</v>
      </c>
      <c r="AG2846" t="s">
        <v>17439</v>
      </c>
      <c r="AH2846" t="s">
        <v>1036</v>
      </c>
      <c r="AI2846" t="s">
        <v>500</v>
      </c>
      <c r="AJ2846" s="2">
        <v>45740.671400462961</v>
      </c>
      <c r="AK2846" t="s">
        <v>2668</v>
      </c>
      <c r="AL2846" t="s">
        <v>65</v>
      </c>
      <c r="AM2846" s="4">
        <v>0.52083333333333337</v>
      </c>
      <c r="AN2846" t="s">
        <v>66</v>
      </c>
      <c r="AO2846" t="s">
        <v>67</v>
      </c>
    </row>
    <row r="2847" spans="1:41" x14ac:dyDescent="0.2">
      <c r="A2847">
        <v>369604</v>
      </c>
      <c r="B2847" t="s">
        <v>17440</v>
      </c>
      <c r="C2847" t="s">
        <v>182</v>
      </c>
      <c r="D2847" t="s">
        <v>779</v>
      </c>
      <c r="E2847" t="s">
        <v>17441</v>
      </c>
      <c r="F2847">
        <v>45635</v>
      </c>
      <c r="G2847" s="1">
        <v>40884</v>
      </c>
      <c r="H2847" s="1">
        <v>45742</v>
      </c>
      <c r="I2847" s="1">
        <v>46113</v>
      </c>
      <c r="J2847" t="s">
        <v>45</v>
      </c>
      <c r="K2847" t="s">
        <v>45</v>
      </c>
      <c r="L2847" t="s">
        <v>72</v>
      </c>
      <c r="M2847" s="1">
        <v>45377</v>
      </c>
      <c r="N2847" t="s">
        <v>47</v>
      </c>
      <c r="O2847" t="s">
        <v>48</v>
      </c>
      <c r="P2847" t="s">
        <v>49</v>
      </c>
      <c r="Q2847" t="s">
        <v>17442</v>
      </c>
      <c r="R2847" t="s">
        <v>17443</v>
      </c>
      <c r="S2847">
        <v>1748</v>
      </c>
      <c r="T2847" t="s">
        <v>52</v>
      </c>
      <c r="U2847">
        <v>5</v>
      </c>
      <c r="V2847" t="s">
        <v>614</v>
      </c>
      <c r="W2847" t="s">
        <v>54</v>
      </c>
      <c r="X2847" t="s">
        <v>493</v>
      </c>
      <c r="Y2847" t="s">
        <v>434</v>
      </c>
      <c r="Z2847">
        <v>1482</v>
      </c>
      <c r="AA2847">
        <v>68</v>
      </c>
      <c r="AB2847">
        <v>144</v>
      </c>
      <c r="AC2847" t="s">
        <v>615</v>
      </c>
      <c r="AD2847" t="s">
        <v>616</v>
      </c>
      <c r="AE2847" t="s">
        <v>617</v>
      </c>
      <c r="AF2847" t="s">
        <v>4148</v>
      </c>
      <c r="AG2847" t="s">
        <v>619</v>
      </c>
      <c r="AH2847" t="s">
        <v>617</v>
      </c>
      <c r="AI2847" t="s">
        <v>5541</v>
      </c>
      <c r="AJ2847" s="2">
        <v>45747.616736111115</v>
      </c>
      <c r="AK2847" t="s">
        <v>540</v>
      </c>
      <c r="AL2847" t="s">
        <v>65</v>
      </c>
      <c r="AM2847" s="3">
        <v>1.7326388888888888</v>
      </c>
      <c r="AN2847" t="s">
        <v>66</v>
      </c>
      <c r="AO2847" t="s">
        <v>67</v>
      </c>
    </row>
    <row r="2848" spans="1:41" x14ac:dyDescent="0.2">
      <c r="A2848">
        <v>347098</v>
      </c>
      <c r="B2848" t="s">
        <v>17444</v>
      </c>
      <c r="J2848" t="s">
        <v>45</v>
      </c>
      <c r="K2848" t="s">
        <v>45</v>
      </c>
      <c r="L2848" t="s">
        <v>72</v>
      </c>
      <c r="N2848" t="s">
        <v>89</v>
      </c>
      <c r="O2848" t="s">
        <v>48</v>
      </c>
      <c r="P2848" t="s">
        <v>49</v>
      </c>
      <c r="T2848" t="s">
        <v>52</v>
      </c>
      <c r="W2848" t="s">
        <v>11570</v>
      </c>
      <c r="Y2848" t="s">
        <v>96</v>
      </c>
      <c r="Z2848">
        <v>12098</v>
      </c>
      <c r="AA2848">
        <v>5</v>
      </c>
      <c r="AJ2848" s="2">
        <v>45005.821932870371</v>
      </c>
      <c r="AK2848" t="s">
        <v>100</v>
      </c>
      <c r="AL2848" t="s">
        <v>65</v>
      </c>
      <c r="AM2848" s="4">
        <v>0</v>
      </c>
      <c r="AN2848" t="s">
        <v>66</v>
      </c>
      <c r="AO2848" t="s">
        <v>67</v>
      </c>
    </row>
    <row r="2849" spans="1:41" x14ac:dyDescent="0.2">
      <c r="A2849">
        <v>363555</v>
      </c>
      <c r="B2849" t="s">
        <v>17445</v>
      </c>
      <c r="C2849" t="s">
        <v>182</v>
      </c>
      <c r="J2849" t="s">
        <v>45</v>
      </c>
      <c r="K2849" t="s">
        <v>45</v>
      </c>
      <c r="L2849" t="s">
        <v>46</v>
      </c>
      <c r="N2849" t="s">
        <v>89</v>
      </c>
      <c r="O2849" t="s">
        <v>48</v>
      </c>
      <c r="P2849" t="s">
        <v>49</v>
      </c>
      <c r="T2849" t="s">
        <v>92</v>
      </c>
      <c r="U2849" t="s">
        <v>187</v>
      </c>
      <c r="V2849" t="s">
        <v>447</v>
      </c>
      <c r="W2849" t="s">
        <v>448</v>
      </c>
      <c r="X2849" t="s">
        <v>92</v>
      </c>
      <c r="Y2849" t="s">
        <v>450</v>
      </c>
      <c r="Z2849">
        <v>12258</v>
      </c>
      <c r="AA2849">
        <v>4</v>
      </c>
      <c r="AB2849">
        <v>44</v>
      </c>
      <c r="AC2849" t="s">
        <v>451</v>
      </c>
      <c r="AD2849" t="s">
        <v>452</v>
      </c>
      <c r="AE2849" t="s">
        <v>453</v>
      </c>
      <c r="AJ2849" s="2">
        <v>45516.716203703705</v>
      </c>
      <c r="AK2849" t="s">
        <v>100</v>
      </c>
      <c r="AL2849" t="s">
        <v>65</v>
      </c>
      <c r="AM2849" s="4">
        <v>0</v>
      </c>
      <c r="AN2849" t="s">
        <v>66</v>
      </c>
      <c r="AO2849" t="s">
        <v>67</v>
      </c>
    </row>
    <row r="2850" spans="1:41" x14ac:dyDescent="0.2">
      <c r="A2850">
        <v>363365</v>
      </c>
      <c r="B2850" t="s">
        <v>17446</v>
      </c>
      <c r="C2850" t="s">
        <v>182</v>
      </c>
      <c r="J2850" t="s">
        <v>45</v>
      </c>
      <c r="K2850" t="s">
        <v>45</v>
      </c>
      <c r="L2850" t="s">
        <v>72</v>
      </c>
      <c r="N2850" t="s">
        <v>89</v>
      </c>
      <c r="O2850" t="s">
        <v>121</v>
      </c>
      <c r="P2850" t="s">
        <v>49</v>
      </c>
      <c r="T2850" t="s">
        <v>92</v>
      </c>
      <c r="U2850" t="s">
        <v>187</v>
      </c>
      <c r="V2850" t="s">
        <v>447</v>
      </c>
      <c r="W2850" t="s">
        <v>448</v>
      </c>
      <c r="X2850" t="s">
        <v>92</v>
      </c>
      <c r="Y2850" t="s">
        <v>450</v>
      </c>
      <c r="Z2850">
        <v>12097</v>
      </c>
      <c r="AA2850">
        <v>3</v>
      </c>
      <c r="AB2850">
        <v>44</v>
      </c>
      <c r="AC2850" t="s">
        <v>451</v>
      </c>
      <c r="AD2850" t="s">
        <v>472</v>
      </c>
      <c r="AE2850" t="s">
        <v>453</v>
      </c>
      <c r="AJ2850" s="2">
        <v>45510.838159722225</v>
      </c>
      <c r="AK2850" t="s">
        <v>100</v>
      </c>
      <c r="AL2850" t="s">
        <v>65</v>
      </c>
      <c r="AM2850" s="4">
        <v>0</v>
      </c>
      <c r="AN2850" t="s">
        <v>66</v>
      </c>
      <c r="AO2850" t="s">
        <v>67</v>
      </c>
    </row>
    <row r="2851" spans="1:41" x14ac:dyDescent="0.2">
      <c r="A2851">
        <v>370937</v>
      </c>
      <c r="B2851" t="s">
        <v>17447</v>
      </c>
      <c r="C2851" t="s">
        <v>662</v>
      </c>
      <c r="D2851" t="s">
        <v>17448</v>
      </c>
      <c r="E2851">
        <v>88418398</v>
      </c>
      <c r="F2851">
        <v>419801</v>
      </c>
      <c r="G2851" s="1">
        <v>37965</v>
      </c>
      <c r="H2851" s="1">
        <v>45761</v>
      </c>
      <c r="I2851" s="1">
        <v>46127</v>
      </c>
      <c r="J2851" t="s">
        <v>45</v>
      </c>
      <c r="K2851" t="s">
        <v>45</v>
      </c>
      <c r="L2851" t="s">
        <v>46</v>
      </c>
      <c r="M2851" s="1">
        <v>45772</v>
      </c>
      <c r="N2851" t="s">
        <v>47</v>
      </c>
      <c r="O2851" t="s">
        <v>48</v>
      </c>
      <c r="P2851" t="s">
        <v>49</v>
      </c>
      <c r="Q2851" t="s">
        <v>17449</v>
      </c>
      <c r="R2851" t="s">
        <v>17450</v>
      </c>
      <c r="S2851">
        <v>567</v>
      </c>
      <c r="T2851" t="s">
        <v>92</v>
      </c>
      <c r="U2851" t="s">
        <v>1197</v>
      </c>
      <c r="V2851" t="s">
        <v>1198</v>
      </c>
      <c r="W2851" t="s">
        <v>1199</v>
      </c>
      <c r="X2851" t="s">
        <v>52</v>
      </c>
      <c r="Y2851" t="s">
        <v>110</v>
      </c>
      <c r="Z2851">
        <v>2521</v>
      </c>
      <c r="AA2851">
        <v>41</v>
      </c>
      <c r="AB2851">
        <v>158</v>
      </c>
      <c r="AC2851" t="s">
        <v>1200</v>
      </c>
      <c r="AD2851" t="s">
        <v>1201</v>
      </c>
      <c r="AE2851" t="s">
        <v>1202</v>
      </c>
      <c r="AF2851" t="s">
        <v>4740</v>
      </c>
      <c r="AG2851" t="s">
        <v>4741</v>
      </c>
      <c r="AH2851" t="s">
        <v>4742</v>
      </c>
      <c r="AJ2851" s="2">
        <v>45790.911539351851</v>
      </c>
      <c r="AK2851" t="s">
        <v>1200</v>
      </c>
      <c r="AL2851" t="s">
        <v>65</v>
      </c>
      <c r="AM2851" s="4">
        <v>0.2013888888888889</v>
      </c>
      <c r="AN2851" t="s">
        <v>66</v>
      </c>
      <c r="AO2851" t="s">
        <v>67</v>
      </c>
    </row>
    <row r="2852" spans="1:41" x14ac:dyDescent="0.2">
      <c r="A2852">
        <v>373022</v>
      </c>
      <c r="B2852" t="s">
        <v>17451</v>
      </c>
      <c r="C2852" t="s">
        <v>134</v>
      </c>
      <c r="D2852" t="s">
        <v>8818</v>
      </c>
      <c r="E2852">
        <v>52105096</v>
      </c>
      <c r="F2852">
        <v>452317</v>
      </c>
      <c r="G2852" s="1">
        <v>33981</v>
      </c>
      <c r="H2852" s="1">
        <v>45553</v>
      </c>
      <c r="I2852" s="1">
        <v>46266</v>
      </c>
      <c r="J2852" t="s">
        <v>45</v>
      </c>
      <c r="K2852" t="s">
        <v>45</v>
      </c>
      <c r="L2852" t="s">
        <v>46</v>
      </c>
      <c r="M2852" s="1">
        <v>44886</v>
      </c>
      <c r="N2852" t="s">
        <v>47</v>
      </c>
      <c r="O2852" t="s">
        <v>48</v>
      </c>
      <c r="P2852" t="s">
        <v>49</v>
      </c>
      <c r="Q2852" t="s">
        <v>17452</v>
      </c>
      <c r="R2852" t="s">
        <v>17453</v>
      </c>
      <c r="S2852">
        <v>2961</v>
      </c>
      <c r="T2852" t="s">
        <v>296</v>
      </c>
      <c r="U2852" t="s">
        <v>2267</v>
      </c>
      <c r="V2852" t="s">
        <v>8821</v>
      </c>
      <c r="W2852" t="s">
        <v>299</v>
      </c>
      <c r="X2852" t="s">
        <v>76</v>
      </c>
      <c r="Y2852" t="s">
        <v>56</v>
      </c>
      <c r="Z2852">
        <v>25</v>
      </c>
      <c r="AA2852">
        <v>64</v>
      </c>
      <c r="AB2852">
        <v>166</v>
      </c>
      <c r="AC2852" t="s">
        <v>8822</v>
      </c>
      <c r="AD2852" t="s">
        <v>8823</v>
      </c>
      <c r="AE2852" t="s">
        <v>8824</v>
      </c>
      <c r="AF2852" t="s">
        <v>8825</v>
      </c>
      <c r="AG2852" t="s">
        <v>8826</v>
      </c>
      <c r="AH2852" t="s">
        <v>8824</v>
      </c>
      <c r="AI2852" t="s">
        <v>2274</v>
      </c>
      <c r="AJ2852" s="2">
        <v>45856.027303240742</v>
      </c>
      <c r="AK2852" t="s">
        <v>556</v>
      </c>
      <c r="AL2852" t="s">
        <v>65</v>
      </c>
      <c r="AM2852" s="3">
        <v>1.4861111111111112</v>
      </c>
      <c r="AN2852" t="s">
        <v>66</v>
      </c>
      <c r="AO2852" t="s">
        <v>67</v>
      </c>
    </row>
    <row r="2853" spans="1:41" x14ac:dyDescent="0.2">
      <c r="A2853">
        <v>369029</v>
      </c>
      <c r="B2853" t="s">
        <v>17454</v>
      </c>
      <c r="C2853" t="s">
        <v>167</v>
      </c>
      <c r="D2853" t="s">
        <v>5372</v>
      </c>
      <c r="E2853" t="s">
        <v>17455</v>
      </c>
      <c r="F2853">
        <v>352622</v>
      </c>
      <c r="G2853" s="1">
        <v>38117</v>
      </c>
      <c r="H2853" s="1">
        <v>45567</v>
      </c>
      <c r="I2853" s="1">
        <v>45931</v>
      </c>
      <c r="J2853" t="s">
        <v>45</v>
      </c>
      <c r="K2853" t="s">
        <v>45</v>
      </c>
      <c r="L2853" t="s">
        <v>429</v>
      </c>
      <c r="M2853" s="1">
        <v>38117</v>
      </c>
      <c r="N2853" t="s">
        <v>47</v>
      </c>
      <c r="O2853" t="s">
        <v>48</v>
      </c>
      <c r="P2853" t="s">
        <v>49</v>
      </c>
      <c r="Q2853" t="s">
        <v>17456</v>
      </c>
      <c r="R2853" t="s">
        <v>17457</v>
      </c>
      <c r="S2853">
        <v>4735</v>
      </c>
      <c r="T2853" t="s">
        <v>52</v>
      </c>
      <c r="U2853">
        <v>6</v>
      </c>
      <c r="V2853" t="s">
        <v>1477</v>
      </c>
      <c r="W2853" t="s">
        <v>54</v>
      </c>
      <c r="X2853" t="s">
        <v>76</v>
      </c>
      <c r="Y2853" t="s">
        <v>56</v>
      </c>
      <c r="Z2853">
        <v>754</v>
      </c>
      <c r="AA2853">
        <v>54</v>
      </c>
      <c r="AB2853">
        <v>144</v>
      </c>
      <c r="AC2853" t="s">
        <v>3853</v>
      </c>
      <c r="AD2853" t="s">
        <v>3854</v>
      </c>
      <c r="AE2853" t="s">
        <v>3855</v>
      </c>
      <c r="AF2853" t="s">
        <v>3856</v>
      </c>
      <c r="AG2853" t="s">
        <v>3857</v>
      </c>
      <c r="AH2853" t="s">
        <v>3858</v>
      </c>
      <c r="AI2853" t="s">
        <v>17458</v>
      </c>
      <c r="AJ2853" s="2">
        <v>45722.96802083333</v>
      </c>
      <c r="AK2853" t="s">
        <v>501</v>
      </c>
      <c r="AL2853" t="s">
        <v>65</v>
      </c>
      <c r="AM2853" s="4">
        <v>0.82638888888888884</v>
      </c>
      <c r="AN2853" t="s">
        <v>66</v>
      </c>
      <c r="AO2853" t="s">
        <v>67</v>
      </c>
    </row>
    <row r="2854" spans="1:41" x14ac:dyDescent="0.2">
      <c r="A2854">
        <v>372139</v>
      </c>
      <c r="B2854" t="s">
        <v>17459</v>
      </c>
      <c r="C2854" t="s">
        <v>735</v>
      </c>
      <c r="D2854" t="s">
        <v>2559</v>
      </c>
      <c r="E2854">
        <v>32742360</v>
      </c>
      <c r="F2854">
        <v>242910</v>
      </c>
      <c r="G2854" s="1">
        <v>36280</v>
      </c>
      <c r="H2854" s="1">
        <v>45831</v>
      </c>
      <c r="I2854" s="1">
        <v>46204</v>
      </c>
      <c r="J2854" t="s">
        <v>45</v>
      </c>
      <c r="K2854" t="s">
        <v>45</v>
      </c>
      <c r="L2854" t="s">
        <v>3920</v>
      </c>
      <c r="M2854" s="1">
        <v>43307</v>
      </c>
      <c r="N2854" t="s">
        <v>47</v>
      </c>
      <c r="O2854" t="s">
        <v>48</v>
      </c>
      <c r="P2854" t="s">
        <v>49</v>
      </c>
      <c r="Q2854" t="s">
        <v>17460</v>
      </c>
      <c r="R2854" t="s">
        <v>17461</v>
      </c>
      <c r="S2854">
        <v>6629</v>
      </c>
      <c r="T2854" t="s">
        <v>52</v>
      </c>
      <c r="U2854">
        <v>1</v>
      </c>
      <c r="V2854" t="s">
        <v>2563</v>
      </c>
      <c r="W2854" t="s">
        <v>54</v>
      </c>
      <c r="X2854" t="s">
        <v>76</v>
      </c>
      <c r="Y2854" t="s">
        <v>56</v>
      </c>
      <c r="Z2854">
        <v>1822</v>
      </c>
      <c r="AA2854">
        <v>43</v>
      </c>
      <c r="AB2854">
        <v>152</v>
      </c>
      <c r="AC2854" t="s">
        <v>2564</v>
      </c>
      <c r="AD2854" t="s">
        <v>2565</v>
      </c>
      <c r="AE2854" t="s">
        <v>17462</v>
      </c>
      <c r="AF2854" t="s">
        <v>2574</v>
      </c>
      <c r="AG2854" t="s">
        <v>2575</v>
      </c>
      <c r="AH2854" t="s">
        <v>2576</v>
      </c>
      <c r="AI2854" t="s">
        <v>6132</v>
      </c>
      <c r="AJ2854" s="2">
        <v>45832.1093287037</v>
      </c>
      <c r="AK2854" t="s">
        <v>568</v>
      </c>
      <c r="AL2854" t="s">
        <v>65</v>
      </c>
      <c r="AM2854" s="4">
        <v>0.38194444444444442</v>
      </c>
      <c r="AN2854" t="s">
        <v>66</v>
      </c>
      <c r="AO2854" t="s">
        <v>67</v>
      </c>
    </row>
    <row r="2855" spans="1:41" x14ac:dyDescent="0.2">
      <c r="A2855">
        <v>365429</v>
      </c>
      <c r="B2855" t="s">
        <v>17463</v>
      </c>
      <c r="C2855" t="s">
        <v>182</v>
      </c>
      <c r="D2855" t="s">
        <v>4421</v>
      </c>
      <c r="E2855" t="s">
        <v>17464</v>
      </c>
      <c r="F2855">
        <v>45225</v>
      </c>
      <c r="G2855" s="1">
        <v>42283</v>
      </c>
      <c r="H2855" s="1">
        <v>45580</v>
      </c>
      <c r="I2855" s="1">
        <v>45962</v>
      </c>
      <c r="J2855" t="s">
        <v>45</v>
      </c>
      <c r="K2855" t="s">
        <v>45</v>
      </c>
      <c r="L2855" t="s">
        <v>72</v>
      </c>
      <c r="M2855" t="s">
        <v>17465</v>
      </c>
      <c r="N2855" t="s">
        <v>47</v>
      </c>
      <c r="O2855" t="s">
        <v>48</v>
      </c>
      <c r="P2855" t="s">
        <v>49</v>
      </c>
      <c r="Q2855" t="s">
        <v>17466</v>
      </c>
      <c r="R2855" t="s">
        <v>17467</v>
      </c>
      <c r="S2855">
        <v>3200</v>
      </c>
      <c r="T2855" t="s">
        <v>92</v>
      </c>
      <c r="U2855" t="s">
        <v>187</v>
      </c>
      <c r="V2855" t="s">
        <v>4425</v>
      </c>
      <c r="W2855" t="s">
        <v>4426</v>
      </c>
      <c r="X2855" t="s">
        <v>92</v>
      </c>
      <c r="Y2855" t="s">
        <v>110</v>
      </c>
      <c r="Z2855">
        <v>8146</v>
      </c>
      <c r="AA2855">
        <v>30</v>
      </c>
      <c r="AB2855">
        <v>42</v>
      </c>
      <c r="AC2855" t="s">
        <v>4427</v>
      </c>
      <c r="AD2855" t="s">
        <v>4428</v>
      </c>
      <c r="AE2855" t="s">
        <v>4429</v>
      </c>
      <c r="AF2855" t="s">
        <v>4430</v>
      </c>
      <c r="AG2855" t="s">
        <v>4431</v>
      </c>
      <c r="AH2855" t="s">
        <v>4432</v>
      </c>
      <c r="AI2855" t="s">
        <v>4433</v>
      </c>
      <c r="AJ2855" s="2">
        <v>45847.727812500001</v>
      </c>
      <c r="AK2855" t="s">
        <v>4427</v>
      </c>
      <c r="AL2855" t="s">
        <v>65</v>
      </c>
      <c r="AM2855" s="4">
        <v>0.2638888888888889</v>
      </c>
      <c r="AN2855" t="s">
        <v>66</v>
      </c>
      <c r="AO2855" t="s">
        <v>67</v>
      </c>
    </row>
    <row r="2856" spans="1:41" x14ac:dyDescent="0.2">
      <c r="A2856">
        <v>371546</v>
      </c>
      <c r="B2856" t="s">
        <v>17468</v>
      </c>
      <c r="C2856" t="s">
        <v>221</v>
      </c>
      <c r="D2856" t="s">
        <v>16012</v>
      </c>
      <c r="E2856" t="s">
        <v>17469</v>
      </c>
      <c r="F2856">
        <v>12302</v>
      </c>
      <c r="G2856" s="1">
        <v>41918</v>
      </c>
      <c r="H2856" s="1">
        <v>45573</v>
      </c>
      <c r="I2856" s="1">
        <v>45915</v>
      </c>
      <c r="J2856" t="s">
        <v>45</v>
      </c>
      <c r="K2856" t="s">
        <v>45</v>
      </c>
      <c r="L2856" t="s">
        <v>545</v>
      </c>
      <c r="M2856" s="1">
        <v>44502</v>
      </c>
      <c r="N2856" t="s">
        <v>47</v>
      </c>
      <c r="O2856" t="s">
        <v>48</v>
      </c>
      <c r="P2856" t="s">
        <v>49</v>
      </c>
      <c r="Q2856" t="s">
        <v>17470</v>
      </c>
      <c r="R2856" t="s">
        <v>17471</v>
      </c>
      <c r="S2856">
        <v>831</v>
      </c>
      <c r="T2856" t="s">
        <v>52</v>
      </c>
      <c r="U2856">
        <v>8</v>
      </c>
      <c r="V2856" t="s">
        <v>1648</v>
      </c>
      <c r="W2856" t="s">
        <v>54</v>
      </c>
      <c r="X2856" t="s">
        <v>76</v>
      </c>
      <c r="Y2856" t="s">
        <v>56</v>
      </c>
      <c r="Z2856">
        <v>7167</v>
      </c>
      <c r="AA2856">
        <v>27</v>
      </c>
      <c r="AB2856">
        <v>15</v>
      </c>
      <c r="AC2856" t="s">
        <v>15697</v>
      </c>
      <c r="AD2856" t="s">
        <v>15698</v>
      </c>
      <c r="AE2856" t="s">
        <v>15699</v>
      </c>
      <c r="AF2856" t="s">
        <v>1652</v>
      </c>
      <c r="AG2856" t="s">
        <v>1653</v>
      </c>
      <c r="AH2856" t="s">
        <v>1654</v>
      </c>
      <c r="AI2856" t="s">
        <v>1653</v>
      </c>
      <c r="AJ2856" s="2">
        <v>45814.761412037034</v>
      </c>
      <c r="AK2856" t="s">
        <v>1167</v>
      </c>
      <c r="AL2856" t="s">
        <v>65</v>
      </c>
      <c r="AM2856" s="4">
        <v>0.76736111111111116</v>
      </c>
      <c r="AN2856" t="s">
        <v>66</v>
      </c>
      <c r="AO2856" t="s">
        <v>101</v>
      </c>
    </row>
    <row r="2857" spans="1:41" x14ac:dyDescent="0.2">
      <c r="A2857">
        <v>372082</v>
      </c>
      <c r="B2857" t="s">
        <v>17472</v>
      </c>
      <c r="C2857" t="s">
        <v>69</v>
      </c>
      <c r="D2857" t="s">
        <v>6193</v>
      </c>
      <c r="E2857" t="s">
        <v>17473</v>
      </c>
      <c r="F2857">
        <v>100791</v>
      </c>
      <c r="G2857" s="1">
        <v>45828</v>
      </c>
      <c r="H2857" s="1">
        <v>45777</v>
      </c>
      <c r="I2857" s="1">
        <v>46157</v>
      </c>
      <c r="J2857" t="s">
        <v>45</v>
      </c>
      <c r="K2857" t="s">
        <v>45</v>
      </c>
      <c r="L2857" t="s">
        <v>72</v>
      </c>
      <c r="N2857" t="s">
        <v>47</v>
      </c>
      <c r="O2857" t="s">
        <v>121</v>
      </c>
      <c r="P2857" t="s">
        <v>49</v>
      </c>
      <c r="Q2857" t="s">
        <v>17474</v>
      </c>
      <c r="R2857" t="s">
        <v>17475</v>
      </c>
      <c r="S2857">
        <v>3432</v>
      </c>
      <c r="T2857" t="s">
        <v>52</v>
      </c>
      <c r="U2857">
        <v>1</v>
      </c>
      <c r="V2857" t="s">
        <v>4698</v>
      </c>
      <c r="W2857" t="s">
        <v>54</v>
      </c>
      <c r="X2857" t="s">
        <v>76</v>
      </c>
      <c r="Y2857" t="s">
        <v>125</v>
      </c>
      <c r="Z2857">
        <v>921</v>
      </c>
      <c r="AA2857">
        <v>98</v>
      </c>
      <c r="AB2857">
        <v>52</v>
      </c>
      <c r="AC2857" t="s">
        <v>14278</v>
      </c>
      <c r="AD2857" t="s">
        <v>14279</v>
      </c>
      <c r="AE2857" t="s">
        <v>17476</v>
      </c>
      <c r="AF2857" t="s">
        <v>4702</v>
      </c>
      <c r="AG2857" t="s">
        <v>4703</v>
      </c>
      <c r="AH2857" t="s">
        <v>6200</v>
      </c>
      <c r="AI2857" t="s">
        <v>4705</v>
      </c>
      <c r="AJ2857" s="2">
        <v>45828.906944444447</v>
      </c>
      <c r="AK2857" t="s">
        <v>375</v>
      </c>
      <c r="AL2857" t="s">
        <v>65</v>
      </c>
      <c r="AM2857" s="3">
        <v>2.4166666666666665</v>
      </c>
      <c r="AN2857" t="s">
        <v>66</v>
      </c>
      <c r="AO2857" t="s">
        <v>67</v>
      </c>
    </row>
    <row r="2858" spans="1:41" x14ac:dyDescent="0.2">
      <c r="A2858">
        <v>345955</v>
      </c>
      <c r="B2858" t="s">
        <v>17477</v>
      </c>
      <c r="C2858" t="s">
        <v>345</v>
      </c>
      <c r="D2858" t="s">
        <v>1050</v>
      </c>
      <c r="E2858" t="s">
        <v>17478</v>
      </c>
      <c r="G2858" s="1">
        <v>41333</v>
      </c>
      <c r="H2858" s="1">
        <v>41290</v>
      </c>
      <c r="J2858" t="s">
        <v>72</v>
      </c>
      <c r="K2858" t="s">
        <v>72</v>
      </c>
      <c r="L2858" t="s">
        <v>72</v>
      </c>
      <c r="N2858" t="s">
        <v>89</v>
      </c>
      <c r="O2858" t="s">
        <v>642</v>
      </c>
      <c r="P2858" t="s">
        <v>848</v>
      </c>
      <c r="Q2858" t="s">
        <v>17479</v>
      </c>
      <c r="R2858" t="s">
        <v>17480</v>
      </c>
      <c r="T2858" t="s">
        <v>52</v>
      </c>
      <c r="U2858" t="s">
        <v>16225</v>
      </c>
      <c r="W2858" t="s">
        <v>16206</v>
      </c>
      <c r="X2858" t="s">
        <v>52</v>
      </c>
      <c r="Y2858" t="s">
        <v>854</v>
      </c>
      <c r="Z2858">
        <v>3766</v>
      </c>
      <c r="AA2858">
        <v>64</v>
      </c>
      <c r="AB2858">
        <v>30</v>
      </c>
      <c r="AC2858" t="s">
        <v>17481</v>
      </c>
      <c r="AD2858" t="s">
        <v>17482</v>
      </c>
      <c r="AE2858" t="s">
        <v>17483</v>
      </c>
      <c r="AJ2858" s="2">
        <v>44952.892025462963</v>
      </c>
      <c r="AK2858" t="s">
        <v>100</v>
      </c>
      <c r="AL2858" t="s">
        <v>862</v>
      </c>
      <c r="AM2858" s="4">
        <v>0.2638888888888889</v>
      </c>
      <c r="AN2858" t="s">
        <v>66</v>
      </c>
      <c r="AO2858" t="s">
        <v>67</v>
      </c>
    </row>
    <row r="2859" spans="1:41" x14ac:dyDescent="0.2">
      <c r="A2859">
        <v>350488</v>
      </c>
      <c r="B2859" t="s">
        <v>17484</v>
      </c>
      <c r="C2859" t="s">
        <v>323</v>
      </c>
      <c r="E2859" t="s">
        <v>17485</v>
      </c>
      <c r="G2859" s="1">
        <v>40772</v>
      </c>
      <c r="H2859" s="1">
        <v>45069</v>
      </c>
      <c r="J2859" t="s">
        <v>72</v>
      </c>
      <c r="K2859" t="s">
        <v>72</v>
      </c>
      <c r="L2859" t="s">
        <v>72</v>
      </c>
      <c r="N2859" t="s">
        <v>89</v>
      </c>
      <c r="O2859" t="s">
        <v>48</v>
      </c>
      <c r="P2859" t="s">
        <v>406</v>
      </c>
      <c r="Q2859" t="s">
        <v>17486</v>
      </c>
      <c r="R2859" t="s">
        <v>17487</v>
      </c>
      <c r="S2859">
        <v>2267</v>
      </c>
      <c r="T2859" t="s">
        <v>257</v>
      </c>
      <c r="U2859" t="s">
        <v>329</v>
      </c>
      <c r="V2859" t="s">
        <v>6276</v>
      </c>
      <c r="W2859" t="s">
        <v>3303</v>
      </c>
      <c r="X2859" t="s">
        <v>257</v>
      </c>
      <c r="Y2859" t="s">
        <v>642</v>
      </c>
      <c r="Z2859">
        <v>5086</v>
      </c>
      <c r="AA2859">
        <v>17</v>
      </c>
      <c r="AB2859">
        <v>152</v>
      </c>
      <c r="AC2859" t="s">
        <v>1164</v>
      </c>
      <c r="AD2859" t="s">
        <v>1165</v>
      </c>
      <c r="AE2859" t="s">
        <v>1166</v>
      </c>
      <c r="AF2859" t="s">
        <v>1164</v>
      </c>
      <c r="AG2859" t="s">
        <v>1165</v>
      </c>
      <c r="AH2859" t="s">
        <v>9106</v>
      </c>
      <c r="AJ2859" s="2">
        <v>45128.878750000003</v>
      </c>
      <c r="AK2859" t="s">
        <v>375</v>
      </c>
      <c r="AL2859" t="s">
        <v>1168</v>
      </c>
      <c r="AM2859" s="3">
        <v>1.6111111111111112</v>
      </c>
      <c r="AN2859" t="s">
        <v>66</v>
      </c>
      <c r="AO2859" t="s">
        <v>67</v>
      </c>
    </row>
    <row r="2860" spans="1:41" x14ac:dyDescent="0.2">
      <c r="A2860">
        <v>371152</v>
      </c>
      <c r="B2860" t="s">
        <v>17488</v>
      </c>
      <c r="C2860" t="s">
        <v>662</v>
      </c>
      <c r="D2860" t="s">
        <v>17489</v>
      </c>
      <c r="E2860" s="5">
        <v>884071000000</v>
      </c>
      <c r="F2860">
        <v>410501</v>
      </c>
      <c r="G2860" s="1">
        <v>37586</v>
      </c>
      <c r="H2860" s="1">
        <v>45551</v>
      </c>
      <c r="I2860" s="1">
        <v>46266</v>
      </c>
      <c r="J2860" t="s">
        <v>45</v>
      </c>
      <c r="K2860" t="s">
        <v>45</v>
      </c>
      <c r="L2860" t="s">
        <v>72</v>
      </c>
      <c r="M2860" s="1">
        <v>45489</v>
      </c>
      <c r="N2860" t="s">
        <v>47</v>
      </c>
      <c r="O2860" t="s">
        <v>48</v>
      </c>
      <c r="P2860" t="s">
        <v>49</v>
      </c>
      <c r="Q2860" t="s">
        <v>17490</v>
      </c>
      <c r="R2860" t="s">
        <v>17491</v>
      </c>
      <c r="S2860">
        <v>200</v>
      </c>
      <c r="T2860" t="s">
        <v>92</v>
      </c>
      <c r="U2860" t="s">
        <v>1197</v>
      </c>
      <c r="V2860" t="s">
        <v>1198</v>
      </c>
      <c r="W2860" t="s">
        <v>1199</v>
      </c>
      <c r="X2860" t="s">
        <v>52</v>
      </c>
      <c r="Y2860" t="s">
        <v>110</v>
      </c>
      <c r="Z2860">
        <v>2128</v>
      </c>
      <c r="AA2860">
        <v>39</v>
      </c>
      <c r="AB2860">
        <v>158</v>
      </c>
      <c r="AC2860" t="s">
        <v>1200</v>
      </c>
      <c r="AD2860" t="s">
        <v>1201</v>
      </c>
      <c r="AE2860" t="s">
        <v>1202</v>
      </c>
      <c r="AF2860" t="s">
        <v>1203</v>
      </c>
      <c r="AG2860" t="s">
        <v>1204</v>
      </c>
      <c r="AH2860" t="s">
        <v>1205</v>
      </c>
      <c r="AJ2860" s="2">
        <v>45797.75271990741</v>
      </c>
      <c r="AK2860" t="s">
        <v>660</v>
      </c>
      <c r="AL2860" t="s">
        <v>65</v>
      </c>
      <c r="AM2860" s="4">
        <v>0.19444444444444445</v>
      </c>
      <c r="AN2860" t="s">
        <v>66</v>
      </c>
      <c r="AO2860" t="s">
        <v>67</v>
      </c>
    </row>
    <row r="2861" spans="1:41" x14ac:dyDescent="0.2">
      <c r="A2861">
        <v>372927</v>
      </c>
      <c r="B2861" t="s">
        <v>17492</v>
      </c>
      <c r="C2861" t="s">
        <v>558</v>
      </c>
      <c r="D2861" t="s">
        <v>468</v>
      </c>
      <c r="E2861">
        <v>32560196</v>
      </c>
      <c r="F2861">
        <v>260206</v>
      </c>
      <c r="G2861" s="1">
        <v>32715</v>
      </c>
      <c r="H2861" s="1">
        <v>45596</v>
      </c>
      <c r="I2861" s="1">
        <v>45931</v>
      </c>
      <c r="J2861" t="s">
        <v>45</v>
      </c>
      <c r="K2861" t="s">
        <v>45</v>
      </c>
      <c r="L2861" t="s">
        <v>429</v>
      </c>
      <c r="M2861" s="1">
        <v>37609</v>
      </c>
      <c r="N2861" t="s">
        <v>47</v>
      </c>
      <c r="O2861" t="s">
        <v>48</v>
      </c>
      <c r="P2861" t="s">
        <v>49</v>
      </c>
      <c r="Q2861" t="s">
        <v>17493</v>
      </c>
      <c r="R2861" t="s">
        <v>17494</v>
      </c>
      <c r="S2861">
        <v>6162</v>
      </c>
      <c r="T2861" t="s">
        <v>365</v>
      </c>
      <c r="U2861" t="s">
        <v>562</v>
      </c>
      <c r="V2861" t="s">
        <v>2987</v>
      </c>
      <c r="W2861" t="s">
        <v>367</v>
      </c>
      <c r="X2861" t="s">
        <v>76</v>
      </c>
      <c r="Y2861" t="s">
        <v>434</v>
      </c>
      <c r="Z2861">
        <v>279</v>
      </c>
      <c r="AA2861">
        <v>57</v>
      </c>
      <c r="AB2861">
        <v>166</v>
      </c>
      <c r="AC2861" t="s">
        <v>1882</v>
      </c>
      <c r="AD2861" t="s">
        <v>1883</v>
      </c>
      <c r="AE2861" t="s">
        <v>2988</v>
      </c>
      <c r="AF2861" t="s">
        <v>2989</v>
      </c>
      <c r="AG2861" t="s">
        <v>2990</v>
      </c>
      <c r="AI2861" t="s">
        <v>2992</v>
      </c>
      <c r="AJ2861" s="2">
        <v>45855.909502314818</v>
      </c>
      <c r="AK2861" t="s">
        <v>556</v>
      </c>
      <c r="AL2861" t="s">
        <v>65</v>
      </c>
      <c r="AM2861" s="3">
        <v>1.5833333333333333</v>
      </c>
      <c r="AN2861" t="s">
        <v>66</v>
      </c>
      <c r="AO2861" t="s">
        <v>67</v>
      </c>
    </row>
    <row r="2862" spans="1:41" x14ac:dyDescent="0.2">
      <c r="A2862">
        <v>369561</v>
      </c>
      <c r="B2862" t="s">
        <v>17495</v>
      </c>
      <c r="C2862" t="s">
        <v>662</v>
      </c>
      <c r="D2862" t="s">
        <v>6509</v>
      </c>
      <c r="E2862" t="s">
        <v>17496</v>
      </c>
      <c r="F2862">
        <v>417103</v>
      </c>
      <c r="G2862" s="1">
        <v>31147</v>
      </c>
      <c r="H2862" s="1">
        <v>45660</v>
      </c>
      <c r="I2862" s="1">
        <v>45976</v>
      </c>
      <c r="J2862" t="s">
        <v>45</v>
      </c>
      <c r="K2862" t="s">
        <v>45</v>
      </c>
      <c r="L2862" t="s">
        <v>72</v>
      </c>
      <c r="M2862" s="1">
        <v>45373</v>
      </c>
      <c r="N2862" t="s">
        <v>47</v>
      </c>
      <c r="O2862" t="s">
        <v>48</v>
      </c>
      <c r="P2862" t="s">
        <v>49</v>
      </c>
      <c r="Q2862" t="s">
        <v>17497</v>
      </c>
      <c r="R2862" t="s">
        <v>17498</v>
      </c>
      <c r="S2862">
        <v>7755</v>
      </c>
      <c r="T2862" t="s">
        <v>257</v>
      </c>
      <c r="U2862" t="s">
        <v>283</v>
      </c>
      <c r="V2862" t="s">
        <v>6513</v>
      </c>
      <c r="W2862" t="s">
        <v>260</v>
      </c>
      <c r="X2862" t="s">
        <v>257</v>
      </c>
      <c r="Y2862" t="s">
        <v>110</v>
      </c>
      <c r="Z2862">
        <v>523</v>
      </c>
      <c r="AA2862">
        <v>50</v>
      </c>
      <c r="AB2862">
        <v>158</v>
      </c>
      <c r="AC2862" t="s">
        <v>1805</v>
      </c>
      <c r="AD2862" t="s">
        <v>1806</v>
      </c>
      <c r="AE2862" t="s">
        <v>1807</v>
      </c>
      <c r="AF2862" t="s">
        <v>1808</v>
      </c>
      <c r="AG2862" t="s">
        <v>1809</v>
      </c>
      <c r="AH2862" t="s">
        <v>1810</v>
      </c>
      <c r="AJ2862" s="2">
        <v>45743.839953703704</v>
      </c>
      <c r="AK2862" t="s">
        <v>1811</v>
      </c>
      <c r="AL2862" t="s">
        <v>65</v>
      </c>
      <c r="AM2862" s="3">
        <v>1.6041666666666667</v>
      </c>
      <c r="AN2862" t="s">
        <v>66</v>
      </c>
      <c r="AO2862" t="s">
        <v>67</v>
      </c>
    </row>
    <row r="2863" spans="1:41" x14ac:dyDescent="0.2">
      <c r="A2863">
        <v>361913</v>
      </c>
      <c r="B2863" t="s">
        <v>17499</v>
      </c>
      <c r="C2863" t="s">
        <v>345</v>
      </c>
      <c r="D2863" t="s">
        <v>279</v>
      </c>
      <c r="E2863" t="s">
        <v>17500</v>
      </c>
      <c r="F2863">
        <v>51506</v>
      </c>
      <c r="G2863" s="1">
        <v>33381</v>
      </c>
      <c r="H2863" s="1">
        <v>45462</v>
      </c>
      <c r="I2863" s="1">
        <v>46188</v>
      </c>
      <c r="J2863" t="s">
        <v>45</v>
      </c>
      <c r="K2863" t="s">
        <v>45</v>
      </c>
      <c r="L2863" t="s">
        <v>429</v>
      </c>
      <c r="M2863" s="1">
        <v>41732</v>
      </c>
      <c r="N2863" t="s">
        <v>47</v>
      </c>
      <c r="O2863" t="s">
        <v>48</v>
      </c>
      <c r="P2863" t="s">
        <v>49</v>
      </c>
      <c r="Q2863" t="s">
        <v>17501</v>
      </c>
      <c r="R2863" t="s">
        <v>17502</v>
      </c>
      <c r="S2863">
        <v>8382</v>
      </c>
      <c r="T2863" t="s">
        <v>365</v>
      </c>
      <c r="U2863" t="s">
        <v>432</v>
      </c>
      <c r="V2863" t="s">
        <v>6159</v>
      </c>
      <c r="W2863" t="s">
        <v>367</v>
      </c>
      <c r="X2863" t="s">
        <v>55</v>
      </c>
      <c r="Y2863" t="s">
        <v>434</v>
      </c>
      <c r="Z2863">
        <v>121</v>
      </c>
      <c r="AA2863">
        <v>57</v>
      </c>
      <c r="AB2863">
        <v>138</v>
      </c>
      <c r="AC2863" t="s">
        <v>6160</v>
      </c>
      <c r="AD2863" t="s">
        <v>6161</v>
      </c>
      <c r="AE2863" t="s">
        <v>6162</v>
      </c>
      <c r="AF2863" t="s">
        <v>8452</v>
      </c>
      <c r="AG2863" t="s">
        <v>6066</v>
      </c>
      <c r="AH2863" t="s">
        <v>6164</v>
      </c>
      <c r="AI2863" t="s">
        <v>179</v>
      </c>
      <c r="AJ2863" s="2">
        <v>45468.838506944441</v>
      </c>
      <c r="AK2863" t="s">
        <v>64</v>
      </c>
      <c r="AL2863" t="s">
        <v>65</v>
      </c>
      <c r="AM2863" s="3">
        <v>2.0763888888888888</v>
      </c>
      <c r="AN2863" t="s">
        <v>66</v>
      </c>
      <c r="AO2863" t="s">
        <v>67</v>
      </c>
    </row>
    <row r="2864" spans="1:41" x14ac:dyDescent="0.2">
      <c r="A2864">
        <v>373017</v>
      </c>
      <c r="B2864" t="s">
        <v>17503</v>
      </c>
      <c r="C2864" t="s">
        <v>1531</v>
      </c>
      <c r="D2864" t="s">
        <v>134</v>
      </c>
      <c r="E2864" t="s">
        <v>17504</v>
      </c>
      <c r="F2864">
        <v>127901</v>
      </c>
      <c r="G2864" s="1">
        <v>40883</v>
      </c>
      <c r="H2864" s="1">
        <v>45577</v>
      </c>
      <c r="I2864" s="1">
        <v>46266</v>
      </c>
      <c r="J2864" t="s">
        <v>45</v>
      </c>
      <c r="K2864" t="s">
        <v>45</v>
      </c>
      <c r="L2864" t="s">
        <v>46</v>
      </c>
      <c r="M2864" s="1">
        <v>42048</v>
      </c>
      <c r="N2864" t="s">
        <v>47</v>
      </c>
      <c r="O2864" t="s">
        <v>48</v>
      </c>
      <c r="P2864" t="s">
        <v>49</v>
      </c>
      <c r="Q2864" t="s">
        <v>17505</v>
      </c>
      <c r="R2864" t="s">
        <v>17506</v>
      </c>
      <c r="S2864">
        <v>927</v>
      </c>
      <c r="T2864" t="s">
        <v>52</v>
      </c>
      <c r="U2864">
        <v>9</v>
      </c>
      <c r="V2864" t="s">
        <v>8572</v>
      </c>
      <c r="W2864" t="s">
        <v>54</v>
      </c>
      <c r="X2864" t="s">
        <v>76</v>
      </c>
      <c r="Y2864" t="s">
        <v>56</v>
      </c>
      <c r="Z2864">
        <v>4867</v>
      </c>
      <c r="AA2864">
        <v>33</v>
      </c>
      <c r="AB2864">
        <v>189</v>
      </c>
      <c r="AC2864" t="s">
        <v>17131</v>
      </c>
      <c r="AD2864" t="s">
        <v>17132</v>
      </c>
      <c r="AE2864" t="s">
        <v>17133</v>
      </c>
      <c r="AF2864" t="s">
        <v>17134</v>
      </c>
      <c r="AG2864" t="s">
        <v>17135</v>
      </c>
      <c r="AH2864" t="s">
        <v>17136</v>
      </c>
      <c r="AI2864" t="s">
        <v>17137</v>
      </c>
      <c r="AJ2864" s="2">
        <v>45856.02034722222</v>
      </c>
      <c r="AK2864" t="s">
        <v>556</v>
      </c>
      <c r="AL2864" t="s">
        <v>65</v>
      </c>
      <c r="AM2864" s="3">
        <v>1.3819444444444444</v>
      </c>
      <c r="AN2864" t="s">
        <v>66</v>
      </c>
      <c r="AO2864" t="s">
        <v>101</v>
      </c>
    </row>
    <row r="2865" spans="1:41" x14ac:dyDescent="0.2">
      <c r="A2865">
        <v>371959</v>
      </c>
      <c r="B2865" t="s">
        <v>17507</v>
      </c>
      <c r="C2865" t="s">
        <v>182</v>
      </c>
      <c r="D2865" t="s">
        <v>3956</v>
      </c>
      <c r="E2865" t="s">
        <v>17508</v>
      </c>
      <c r="F2865">
        <v>40816</v>
      </c>
      <c r="G2865" s="1">
        <v>37110</v>
      </c>
      <c r="H2865" s="1">
        <v>45819</v>
      </c>
      <c r="J2865" t="s">
        <v>45</v>
      </c>
      <c r="K2865" t="s">
        <v>72</v>
      </c>
      <c r="L2865" t="s">
        <v>72</v>
      </c>
      <c r="N2865" t="s">
        <v>47</v>
      </c>
      <c r="O2865" t="s">
        <v>48</v>
      </c>
      <c r="P2865" t="s">
        <v>49</v>
      </c>
      <c r="Q2865" t="s">
        <v>17509</v>
      </c>
      <c r="R2865" t="s">
        <v>17510</v>
      </c>
      <c r="S2865">
        <v>1029</v>
      </c>
      <c r="T2865" t="s">
        <v>92</v>
      </c>
      <c r="U2865" t="s">
        <v>187</v>
      </c>
      <c r="V2865" t="s">
        <v>447</v>
      </c>
      <c r="W2865" t="s">
        <v>448</v>
      </c>
      <c r="X2865" t="s">
        <v>92</v>
      </c>
      <c r="Y2865" t="s">
        <v>450</v>
      </c>
      <c r="Z2865">
        <v>1277</v>
      </c>
      <c r="AA2865">
        <v>48</v>
      </c>
      <c r="AB2865">
        <v>66</v>
      </c>
      <c r="AC2865" t="s">
        <v>451</v>
      </c>
      <c r="AD2865" t="s">
        <v>452</v>
      </c>
      <c r="AE2865" t="s">
        <v>453</v>
      </c>
      <c r="AF2865" t="s">
        <v>454</v>
      </c>
      <c r="AG2865" t="s">
        <v>473</v>
      </c>
      <c r="AH2865" t="s">
        <v>474</v>
      </c>
      <c r="AJ2865" s="2">
        <v>45825.713368055556</v>
      </c>
      <c r="AK2865" t="s">
        <v>456</v>
      </c>
      <c r="AL2865" t="s">
        <v>65</v>
      </c>
      <c r="AM2865" s="3">
        <v>1.1875</v>
      </c>
      <c r="AN2865" t="s">
        <v>66</v>
      </c>
      <c r="AO2865" t="s">
        <v>67</v>
      </c>
    </row>
    <row r="2866" spans="1:41" x14ac:dyDescent="0.2">
      <c r="A2866">
        <v>364126</v>
      </c>
      <c r="B2866" t="s">
        <v>17511</v>
      </c>
      <c r="C2866" t="s">
        <v>735</v>
      </c>
      <c r="D2866" t="s">
        <v>3861</v>
      </c>
      <c r="E2866" t="s">
        <v>17512</v>
      </c>
      <c r="F2866">
        <v>241213</v>
      </c>
      <c r="G2866" s="1">
        <v>35282</v>
      </c>
      <c r="H2866" s="1">
        <v>45527</v>
      </c>
      <c r="I2866" s="1">
        <v>46235</v>
      </c>
      <c r="J2866" t="s">
        <v>45</v>
      </c>
      <c r="K2866" t="s">
        <v>45</v>
      </c>
      <c r="L2866" t="s">
        <v>46</v>
      </c>
      <c r="M2866" s="1">
        <v>42265</v>
      </c>
      <c r="N2866" t="s">
        <v>47</v>
      </c>
      <c r="O2866" t="s">
        <v>48</v>
      </c>
      <c r="P2866" t="s">
        <v>49</v>
      </c>
      <c r="Q2866" t="s">
        <v>17513</v>
      </c>
      <c r="R2866" t="s">
        <v>17514</v>
      </c>
      <c r="S2866">
        <v>2426</v>
      </c>
      <c r="T2866" t="s">
        <v>52</v>
      </c>
      <c r="U2866">
        <v>1</v>
      </c>
      <c r="V2866" t="s">
        <v>2926</v>
      </c>
      <c r="W2866" t="s">
        <v>54</v>
      </c>
      <c r="X2866" t="s">
        <v>76</v>
      </c>
      <c r="Y2866" t="s">
        <v>56</v>
      </c>
      <c r="Z2866">
        <v>1193</v>
      </c>
      <c r="AA2866">
        <v>58</v>
      </c>
      <c r="AB2866">
        <v>146</v>
      </c>
      <c r="AC2866" t="s">
        <v>2927</v>
      </c>
      <c r="AD2866" t="s">
        <v>2928</v>
      </c>
      <c r="AE2866" t="s">
        <v>2929</v>
      </c>
      <c r="AF2866" t="s">
        <v>11266</v>
      </c>
      <c r="AG2866" t="s">
        <v>11267</v>
      </c>
      <c r="AH2866" t="s">
        <v>11268</v>
      </c>
      <c r="AI2866" t="s">
        <v>17515</v>
      </c>
      <c r="AJ2866" s="2">
        <v>45533.632384259261</v>
      </c>
      <c r="AK2866" t="s">
        <v>568</v>
      </c>
      <c r="AL2866" t="s">
        <v>65</v>
      </c>
      <c r="AM2866" s="4">
        <v>0.1111111111111111</v>
      </c>
      <c r="AN2866" t="s">
        <v>66</v>
      </c>
      <c r="AO2866" t="s">
        <v>67</v>
      </c>
    </row>
    <row r="2867" spans="1:41" x14ac:dyDescent="0.2">
      <c r="A2867">
        <v>364889</v>
      </c>
      <c r="B2867" t="s">
        <v>17516</v>
      </c>
      <c r="C2867" t="s">
        <v>69</v>
      </c>
      <c r="D2867" t="s">
        <v>3054</v>
      </c>
      <c r="E2867" t="s">
        <v>17517</v>
      </c>
      <c r="I2867" s="1">
        <v>46204</v>
      </c>
      <c r="J2867" t="s">
        <v>45</v>
      </c>
      <c r="K2867" t="s">
        <v>45</v>
      </c>
      <c r="L2867" t="s">
        <v>72</v>
      </c>
      <c r="N2867" t="s">
        <v>89</v>
      </c>
      <c r="O2867" t="s">
        <v>48</v>
      </c>
      <c r="P2867" t="s">
        <v>49</v>
      </c>
      <c r="T2867" t="s">
        <v>52</v>
      </c>
      <c r="U2867">
        <v>4</v>
      </c>
      <c r="V2867" t="s">
        <v>2010</v>
      </c>
      <c r="W2867" t="s">
        <v>54</v>
      </c>
      <c r="X2867" t="s">
        <v>76</v>
      </c>
      <c r="Y2867" t="s">
        <v>56</v>
      </c>
      <c r="Z2867">
        <v>12287</v>
      </c>
      <c r="AA2867">
        <v>2</v>
      </c>
      <c r="AB2867">
        <v>44</v>
      </c>
      <c r="AC2867" t="s">
        <v>17518</v>
      </c>
      <c r="AD2867" t="s">
        <v>17519</v>
      </c>
      <c r="AE2867" t="s">
        <v>17520</v>
      </c>
      <c r="AF2867" t="s">
        <v>17521</v>
      </c>
      <c r="AG2867" t="s">
        <v>17522</v>
      </c>
      <c r="AH2867" t="s">
        <v>17523</v>
      </c>
      <c r="AI2867" t="s">
        <v>179</v>
      </c>
      <c r="AJ2867" s="2">
        <v>45562.776875000003</v>
      </c>
      <c r="AK2867" t="s">
        <v>100</v>
      </c>
      <c r="AL2867" t="s">
        <v>65</v>
      </c>
      <c r="AM2867" s="3">
        <v>1.9756944444444444</v>
      </c>
      <c r="AN2867" t="s">
        <v>66</v>
      </c>
      <c r="AO2867" t="s">
        <v>67</v>
      </c>
    </row>
    <row r="2868" spans="1:41" x14ac:dyDescent="0.2">
      <c r="A2868">
        <v>372889</v>
      </c>
      <c r="B2868" t="s">
        <v>17524</v>
      </c>
      <c r="C2868" t="s">
        <v>323</v>
      </c>
      <c r="D2868" t="s">
        <v>8492</v>
      </c>
      <c r="E2868" t="s">
        <v>17525</v>
      </c>
      <c r="F2868">
        <v>501040</v>
      </c>
      <c r="G2868" s="1">
        <v>31950</v>
      </c>
      <c r="H2868" s="1">
        <v>45852</v>
      </c>
      <c r="I2868" s="1">
        <v>46174</v>
      </c>
      <c r="J2868" t="s">
        <v>45</v>
      </c>
      <c r="K2868" t="s">
        <v>45</v>
      </c>
      <c r="L2868" t="s">
        <v>429</v>
      </c>
      <c r="M2868" s="1">
        <v>41043</v>
      </c>
      <c r="N2868" t="s">
        <v>47</v>
      </c>
      <c r="O2868" t="s">
        <v>48</v>
      </c>
      <c r="P2868" t="s">
        <v>49</v>
      </c>
      <c r="Q2868" t="s">
        <v>17526</v>
      </c>
      <c r="R2868" t="s">
        <v>17527</v>
      </c>
      <c r="S2868">
        <v>505</v>
      </c>
      <c r="T2868" t="s">
        <v>52</v>
      </c>
      <c r="U2868">
        <v>10</v>
      </c>
      <c r="V2868" t="s">
        <v>2192</v>
      </c>
      <c r="W2868" t="s">
        <v>54</v>
      </c>
      <c r="X2868" t="s">
        <v>76</v>
      </c>
      <c r="Y2868" t="s">
        <v>56</v>
      </c>
      <c r="Z2868">
        <v>885</v>
      </c>
      <c r="AA2868">
        <v>61</v>
      </c>
      <c r="AB2868">
        <v>66</v>
      </c>
      <c r="AC2868" t="s">
        <v>8495</v>
      </c>
      <c r="AD2868" t="s">
        <v>8496</v>
      </c>
      <c r="AE2868" t="s">
        <v>8497</v>
      </c>
      <c r="AF2868" t="s">
        <v>8498</v>
      </c>
      <c r="AG2868" t="s">
        <v>8499</v>
      </c>
      <c r="AH2868" t="s">
        <v>8500</v>
      </c>
      <c r="AI2868" t="s">
        <v>8501</v>
      </c>
      <c r="AJ2868" s="2">
        <v>45855.766215277778</v>
      </c>
      <c r="AK2868" t="s">
        <v>717</v>
      </c>
      <c r="AL2868" t="s">
        <v>65</v>
      </c>
      <c r="AM2868" s="3">
        <v>2.2847222222222223</v>
      </c>
      <c r="AN2868" t="s">
        <v>66</v>
      </c>
      <c r="AO2868" t="s">
        <v>67</v>
      </c>
    </row>
    <row r="2869" spans="1:41" x14ac:dyDescent="0.2">
      <c r="A2869">
        <v>363692</v>
      </c>
      <c r="B2869" t="s">
        <v>17528</v>
      </c>
      <c r="C2869" t="s">
        <v>542</v>
      </c>
      <c r="D2869" t="s">
        <v>17529</v>
      </c>
      <c r="E2869" t="s">
        <v>17530</v>
      </c>
      <c r="F2869">
        <v>360791</v>
      </c>
      <c r="G2869" s="1">
        <v>41116</v>
      </c>
      <c r="H2869" s="1">
        <v>45519</v>
      </c>
      <c r="J2869" t="s">
        <v>45</v>
      </c>
      <c r="K2869" t="s">
        <v>45</v>
      </c>
      <c r="L2869" t="s">
        <v>72</v>
      </c>
      <c r="M2869" s="1">
        <v>44404</v>
      </c>
      <c r="N2869" t="s">
        <v>47</v>
      </c>
      <c r="O2869" t="s">
        <v>48</v>
      </c>
      <c r="P2869" t="s">
        <v>49</v>
      </c>
      <c r="Q2869" t="s">
        <v>17531</v>
      </c>
      <c r="R2869" t="s">
        <v>17532</v>
      </c>
      <c r="S2869">
        <v>2060</v>
      </c>
      <c r="T2869" t="s">
        <v>92</v>
      </c>
      <c r="U2869" t="s">
        <v>1133</v>
      </c>
      <c r="V2869" t="s">
        <v>1134</v>
      </c>
      <c r="W2869" t="s">
        <v>1135</v>
      </c>
      <c r="X2869" t="s">
        <v>92</v>
      </c>
      <c r="Y2869" t="s">
        <v>770</v>
      </c>
      <c r="Z2869">
        <v>5527</v>
      </c>
      <c r="AA2869">
        <v>33</v>
      </c>
      <c r="AB2869">
        <v>45</v>
      </c>
      <c r="AC2869" t="s">
        <v>1136</v>
      </c>
      <c r="AD2869" t="s">
        <v>1137</v>
      </c>
      <c r="AE2869" t="s">
        <v>1964</v>
      </c>
      <c r="AI2869" t="s">
        <v>1137</v>
      </c>
      <c r="AJ2869" s="2">
        <v>45519.994479166664</v>
      </c>
      <c r="AK2869" t="s">
        <v>1136</v>
      </c>
      <c r="AL2869" t="s">
        <v>65</v>
      </c>
      <c r="AM2869" s="3">
        <v>2.0347222222222223</v>
      </c>
      <c r="AN2869" t="s">
        <v>66</v>
      </c>
      <c r="AO2869" t="s">
        <v>101</v>
      </c>
    </row>
    <row r="2870" spans="1:41" x14ac:dyDescent="0.2">
      <c r="A2870">
        <v>367178</v>
      </c>
      <c r="B2870" t="s">
        <v>17533</v>
      </c>
      <c r="C2870" t="s">
        <v>134</v>
      </c>
      <c r="D2870" t="s">
        <v>3543</v>
      </c>
      <c r="E2870">
        <v>30001528</v>
      </c>
      <c r="F2870">
        <v>451929</v>
      </c>
      <c r="G2870" s="1">
        <v>32509</v>
      </c>
      <c r="H2870" s="1">
        <v>45588</v>
      </c>
      <c r="I2870" s="1">
        <v>45962</v>
      </c>
      <c r="J2870" t="s">
        <v>45</v>
      </c>
      <c r="K2870" t="s">
        <v>45</v>
      </c>
      <c r="L2870" t="s">
        <v>72</v>
      </c>
      <c r="M2870" s="1">
        <v>44313</v>
      </c>
      <c r="N2870" t="s">
        <v>47</v>
      </c>
      <c r="O2870" t="s">
        <v>48</v>
      </c>
      <c r="P2870" t="s">
        <v>49</v>
      </c>
      <c r="Q2870" t="s">
        <v>17534</v>
      </c>
      <c r="R2870" t="s">
        <v>17535</v>
      </c>
      <c r="S2870">
        <v>3450</v>
      </c>
      <c r="T2870" t="s">
        <v>92</v>
      </c>
      <c r="U2870" t="s">
        <v>139</v>
      </c>
      <c r="V2870" t="s">
        <v>140</v>
      </c>
      <c r="W2870" t="s">
        <v>141</v>
      </c>
      <c r="X2870" t="s">
        <v>92</v>
      </c>
      <c r="Y2870" t="s">
        <v>110</v>
      </c>
      <c r="Z2870">
        <v>402</v>
      </c>
      <c r="AA2870">
        <v>60</v>
      </c>
      <c r="AB2870">
        <v>144</v>
      </c>
      <c r="AC2870" t="s">
        <v>142</v>
      </c>
      <c r="AD2870" t="s">
        <v>143</v>
      </c>
      <c r="AE2870" t="s">
        <v>144</v>
      </c>
      <c r="AF2870" t="s">
        <v>145</v>
      </c>
      <c r="AG2870" t="s">
        <v>146</v>
      </c>
      <c r="AH2870" t="s">
        <v>147</v>
      </c>
      <c r="AI2870" t="s">
        <v>148</v>
      </c>
      <c r="AJ2870" s="2">
        <v>45664.705914351849</v>
      </c>
      <c r="AK2870" t="s">
        <v>149</v>
      </c>
      <c r="AL2870" t="s">
        <v>65</v>
      </c>
      <c r="AM2870" s="4">
        <v>0</v>
      </c>
      <c r="AN2870" t="s">
        <v>66</v>
      </c>
      <c r="AO2870" t="s">
        <v>67</v>
      </c>
    </row>
    <row r="2871" spans="1:41" x14ac:dyDescent="0.2">
      <c r="A2871">
        <v>362546</v>
      </c>
      <c r="B2871" t="s">
        <v>17536</v>
      </c>
      <c r="C2871" t="s">
        <v>323</v>
      </c>
      <c r="E2871">
        <v>32803738</v>
      </c>
      <c r="G2871" s="1">
        <v>41523</v>
      </c>
      <c r="H2871" s="1">
        <v>45472</v>
      </c>
      <c r="I2871" s="1">
        <v>46037</v>
      </c>
      <c r="J2871" t="s">
        <v>45</v>
      </c>
      <c r="K2871" t="s">
        <v>45</v>
      </c>
      <c r="L2871" t="s">
        <v>72</v>
      </c>
      <c r="M2871" s="1">
        <v>45085</v>
      </c>
      <c r="N2871" t="s">
        <v>47</v>
      </c>
      <c r="O2871" t="s">
        <v>48</v>
      </c>
      <c r="P2871" t="s">
        <v>1752</v>
      </c>
      <c r="Q2871" t="s">
        <v>17537</v>
      </c>
      <c r="R2871" t="s">
        <v>17538</v>
      </c>
      <c r="S2871">
        <v>1358</v>
      </c>
      <c r="T2871" t="s">
        <v>257</v>
      </c>
      <c r="U2871" t="s">
        <v>329</v>
      </c>
      <c r="V2871" t="s">
        <v>5691</v>
      </c>
      <c r="W2871" t="s">
        <v>260</v>
      </c>
      <c r="X2871" t="s">
        <v>257</v>
      </c>
      <c r="Y2871" t="s">
        <v>110</v>
      </c>
      <c r="Z2871">
        <v>2955</v>
      </c>
      <c r="AA2871">
        <v>35</v>
      </c>
      <c r="AB2871">
        <v>166</v>
      </c>
      <c r="AC2871" t="s">
        <v>4991</v>
      </c>
      <c r="AD2871" t="s">
        <v>4992</v>
      </c>
      <c r="AE2871" t="s">
        <v>4993</v>
      </c>
      <c r="AF2871" t="s">
        <v>4994</v>
      </c>
      <c r="AG2871" t="s">
        <v>4995</v>
      </c>
      <c r="AH2871" t="s">
        <v>5692</v>
      </c>
      <c r="AI2871" t="s">
        <v>4997</v>
      </c>
      <c r="AJ2871" s="2">
        <v>45489.976134259261</v>
      </c>
      <c r="AK2871" t="s">
        <v>5693</v>
      </c>
      <c r="AL2871" t="s">
        <v>1168</v>
      </c>
      <c r="AM2871" s="4">
        <v>0.18055555555555555</v>
      </c>
      <c r="AN2871" t="s">
        <v>66</v>
      </c>
      <c r="AO2871" t="s">
        <v>67</v>
      </c>
    </row>
    <row r="2872" spans="1:41" x14ac:dyDescent="0.2">
      <c r="A2872">
        <v>351691</v>
      </c>
      <c r="B2872" t="s">
        <v>17539</v>
      </c>
      <c r="C2872" t="s">
        <v>278</v>
      </c>
      <c r="D2872" t="s">
        <v>278</v>
      </c>
      <c r="E2872" t="s">
        <v>17540</v>
      </c>
      <c r="F2872">
        <v>421104</v>
      </c>
      <c r="G2872" s="1">
        <v>41023</v>
      </c>
      <c r="H2872" s="1">
        <v>44713</v>
      </c>
      <c r="J2872" t="s">
        <v>45</v>
      </c>
      <c r="K2872" t="s">
        <v>45</v>
      </c>
      <c r="L2872" t="s">
        <v>72</v>
      </c>
      <c r="N2872" t="s">
        <v>47</v>
      </c>
      <c r="O2872" t="s">
        <v>48</v>
      </c>
      <c r="P2872" t="s">
        <v>49</v>
      </c>
      <c r="Q2872" t="s">
        <v>17541</v>
      </c>
      <c r="R2872" t="s">
        <v>17542</v>
      </c>
      <c r="S2872">
        <v>5191</v>
      </c>
      <c r="T2872" t="s">
        <v>1328</v>
      </c>
      <c r="U2872" t="s">
        <v>3114</v>
      </c>
      <c r="V2872" t="s">
        <v>13282</v>
      </c>
      <c r="W2872" t="s">
        <v>3116</v>
      </c>
      <c r="X2872" t="s">
        <v>449</v>
      </c>
      <c r="Y2872" t="s">
        <v>642</v>
      </c>
      <c r="Z2872">
        <v>5529</v>
      </c>
      <c r="AA2872">
        <v>9</v>
      </c>
      <c r="AB2872">
        <v>34</v>
      </c>
      <c r="AC2872" t="s">
        <v>13283</v>
      </c>
      <c r="AD2872" t="s">
        <v>13284</v>
      </c>
      <c r="AE2872" t="s">
        <v>13285</v>
      </c>
      <c r="AF2872" t="s">
        <v>13286</v>
      </c>
      <c r="AH2872" t="s">
        <v>13287</v>
      </c>
      <c r="AJ2872" s="2">
        <v>45175.567442129628</v>
      </c>
      <c r="AK2872" t="s">
        <v>100</v>
      </c>
      <c r="AL2872" t="s">
        <v>1168</v>
      </c>
      <c r="AM2872" s="3">
        <v>1.375</v>
      </c>
      <c r="AN2872" t="s">
        <v>66</v>
      </c>
      <c r="AO2872" t="s">
        <v>67</v>
      </c>
    </row>
    <row r="2873" spans="1:41" x14ac:dyDescent="0.2">
      <c r="A2873">
        <v>370192</v>
      </c>
      <c r="B2873" t="s">
        <v>17543</v>
      </c>
      <c r="C2873" t="s">
        <v>167</v>
      </c>
      <c r="D2873" t="s">
        <v>4243</v>
      </c>
      <c r="E2873" t="s">
        <v>17544</v>
      </c>
      <c r="F2873">
        <v>350113</v>
      </c>
      <c r="G2873" s="1">
        <v>40460</v>
      </c>
      <c r="H2873" s="1">
        <v>45762</v>
      </c>
      <c r="I2873" s="1">
        <v>46127</v>
      </c>
      <c r="J2873" t="s">
        <v>45</v>
      </c>
      <c r="K2873" t="s">
        <v>45</v>
      </c>
      <c r="L2873" t="s">
        <v>72</v>
      </c>
      <c r="M2873" s="1">
        <v>45103</v>
      </c>
      <c r="N2873" t="s">
        <v>47</v>
      </c>
      <c r="O2873" t="s">
        <v>48</v>
      </c>
      <c r="P2873" t="s">
        <v>49</v>
      </c>
      <c r="Q2873" t="s">
        <v>17545</v>
      </c>
      <c r="R2873" t="s">
        <v>17546</v>
      </c>
      <c r="S2873">
        <v>2042</v>
      </c>
      <c r="T2873" t="s">
        <v>92</v>
      </c>
      <c r="U2873" t="s">
        <v>3030</v>
      </c>
      <c r="V2873" t="s">
        <v>3031</v>
      </c>
      <c r="W2873" t="s">
        <v>3032</v>
      </c>
      <c r="X2873" t="s">
        <v>52</v>
      </c>
      <c r="Y2873" t="s">
        <v>110</v>
      </c>
      <c r="Z2873">
        <v>2180</v>
      </c>
      <c r="AA2873">
        <v>55</v>
      </c>
      <c r="AB2873">
        <v>176</v>
      </c>
      <c r="AC2873" t="s">
        <v>17547</v>
      </c>
      <c r="AD2873" t="s">
        <v>17548</v>
      </c>
      <c r="AE2873" t="s">
        <v>17549</v>
      </c>
      <c r="AF2873" t="s">
        <v>17550</v>
      </c>
      <c r="AG2873" t="s">
        <v>17551</v>
      </c>
      <c r="AH2873" t="s">
        <v>17552</v>
      </c>
      <c r="AJ2873" s="2">
        <v>45764.788275462961</v>
      </c>
      <c r="AK2873" t="s">
        <v>17547</v>
      </c>
      <c r="AL2873" t="s">
        <v>65</v>
      </c>
      <c r="AM2873" s="4">
        <v>0.61111111111111116</v>
      </c>
      <c r="AN2873" t="s">
        <v>66</v>
      </c>
      <c r="AO2873" t="s">
        <v>67</v>
      </c>
    </row>
    <row r="2874" spans="1:41" x14ac:dyDescent="0.2">
      <c r="A2874">
        <v>371757</v>
      </c>
      <c r="B2874" t="s">
        <v>17553</v>
      </c>
      <c r="C2874" t="s">
        <v>167</v>
      </c>
      <c r="D2874" t="s">
        <v>4707</v>
      </c>
      <c r="E2874">
        <v>60010094</v>
      </c>
      <c r="F2874">
        <v>350208</v>
      </c>
      <c r="G2874" s="1">
        <v>38198</v>
      </c>
      <c r="H2874" s="1">
        <v>45806</v>
      </c>
      <c r="I2874" s="1">
        <v>46157</v>
      </c>
      <c r="J2874" t="s">
        <v>45</v>
      </c>
      <c r="K2874" t="s">
        <v>45</v>
      </c>
      <c r="L2874" t="s">
        <v>72</v>
      </c>
      <c r="M2874" s="1">
        <v>39133</v>
      </c>
      <c r="N2874" t="s">
        <v>47</v>
      </c>
      <c r="O2874" t="s">
        <v>48</v>
      </c>
      <c r="P2874" t="s">
        <v>49</v>
      </c>
      <c r="Q2874" t="s">
        <v>17554</v>
      </c>
      <c r="R2874" t="s">
        <v>17555</v>
      </c>
      <c r="S2874">
        <v>62</v>
      </c>
      <c r="T2874" t="s">
        <v>92</v>
      </c>
      <c r="U2874" t="s">
        <v>3030</v>
      </c>
      <c r="V2874" t="s">
        <v>3031</v>
      </c>
      <c r="W2874" t="s">
        <v>3032</v>
      </c>
      <c r="X2874" t="s">
        <v>52</v>
      </c>
      <c r="Y2874" t="s">
        <v>110</v>
      </c>
      <c r="Z2874">
        <v>1554</v>
      </c>
      <c r="AA2874">
        <v>32</v>
      </c>
      <c r="AB2874">
        <v>176</v>
      </c>
      <c r="AC2874" t="s">
        <v>16635</v>
      </c>
      <c r="AD2874" t="s">
        <v>16636</v>
      </c>
      <c r="AE2874" t="s">
        <v>16637</v>
      </c>
      <c r="AF2874" t="s">
        <v>16635</v>
      </c>
      <c r="AH2874" t="s">
        <v>16637</v>
      </c>
      <c r="AI2874" t="s">
        <v>16636</v>
      </c>
      <c r="AJ2874" s="2">
        <v>45818.876863425925</v>
      </c>
      <c r="AK2874" t="s">
        <v>16635</v>
      </c>
      <c r="AL2874" t="s">
        <v>65</v>
      </c>
      <c r="AM2874" s="4">
        <v>0.52777777777777779</v>
      </c>
      <c r="AN2874" t="s">
        <v>66</v>
      </c>
      <c r="AO2874" t="s">
        <v>67</v>
      </c>
    </row>
    <row r="2875" spans="1:41" x14ac:dyDescent="0.2">
      <c r="A2875">
        <v>372195</v>
      </c>
      <c r="B2875" t="s">
        <v>17556</v>
      </c>
      <c r="C2875" t="s">
        <v>182</v>
      </c>
      <c r="D2875" t="s">
        <v>1948</v>
      </c>
      <c r="E2875" s="5" t="s">
        <v>17557</v>
      </c>
      <c r="F2875">
        <v>40306</v>
      </c>
      <c r="G2875" s="1">
        <v>37478</v>
      </c>
      <c r="H2875" s="1">
        <v>45826</v>
      </c>
      <c r="I2875" s="1">
        <v>46174</v>
      </c>
      <c r="J2875" t="s">
        <v>45</v>
      </c>
      <c r="K2875" t="s">
        <v>45</v>
      </c>
      <c r="L2875" t="s">
        <v>72</v>
      </c>
      <c r="M2875" s="1">
        <v>41890</v>
      </c>
      <c r="N2875" t="s">
        <v>47</v>
      </c>
      <c r="O2875" t="s">
        <v>48</v>
      </c>
      <c r="P2875" t="s">
        <v>49</v>
      </c>
      <c r="Q2875" t="s">
        <v>17558</v>
      </c>
      <c r="R2875" t="s">
        <v>17559</v>
      </c>
      <c r="S2875">
        <v>5053</v>
      </c>
      <c r="T2875" t="s">
        <v>52</v>
      </c>
      <c r="U2875">
        <v>5</v>
      </c>
      <c r="V2875" t="s">
        <v>1951</v>
      </c>
      <c r="W2875" t="s">
        <v>54</v>
      </c>
      <c r="X2875" t="s">
        <v>493</v>
      </c>
      <c r="Y2875" t="s">
        <v>434</v>
      </c>
      <c r="Z2875">
        <v>1979</v>
      </c>
      <c r="AA2875">
        <v>59</v>
      </c>
      <c r="AB2875">
        <v>34</v>
      </c>
      <c r="AC2875" t="s">
        <v>1952</v>
      </c>
      <c r="AD2875" t="s">
        <v>15120</v>
      </c>
      <c r="AE2875" t="s">
        <v>1954</v>
      </c>
      <c r="AF2875" t="s">
        <v>11916</v>
      </c>
      <c r="AG2875" t="s">
        <v>11917</v>
      </c>
      <c r="AH2875" t="s">
        <v>15122</v>
      </c>
      <c r="AI2875" t="s">
        <v>500</v>
      </c>
      <c r="AJ2875" s="2">
        <v>45833.63652777778</v>
      </c>
      <c r="AK2875" t="s">
        <v>84</v>
      </c>
      <c r="AL2875" t="s">
        <v>65</v>
      </c>
      <c r="AM2875" s="4">
        <v>0.1388888888888889</v>
      </c>
      <c r="AN2875" t="s">
        <v>66</v>
      </c>
      <c r="AO2875" t="s">
        <v>67</v>
      </c>
    </row>
    <row r="2876" spans="1:41" x14ac:dyDescent="0.2">
      <c r="A2876">
        <v>368954</v>
      </c>
      <c r="B2876" t="s">
        <v>17560</v>
      </c>
      <c r="C2876" t="s">
        <v>558</v>
      </c>
      <c r="D2876" t="s">
        <v>468</v>
      </c>
      <c r="E2876" t="s">
        <v>17561</v>
      </c>
      <c r="F2876" t="s">
        <v>2951</v>
      </c>
      <c r="G2876" s="1">
        <v>41123</v>
      </c>
      <c r="H2876" s="1">
        <v>45530</v>
      </c>
      <c r="I2876" s="1">
        <v>46266</v>
      </c>
      <c r="J2876" t="s">
        <v>45</v>
      </c>
      <c r="K2876" t="s">
        <v>45</v>
      </c>
      <c r="L2876" t="s">
        <v>429</v>
      </c>
      <c r="M2876" s="1">
        <v>42200</v>
      </c>
      <c r="N2876" t="s">
        <v>47</v>
      </c>
      <c r="O2876" t="s">
        <v>48</v>
      </c>
      <c r="P2876" t="s">
        <v>49</v>
      </c>
      <c r="Q2876" t="s">
        <v>17562</v>
      </c>
      <c r="R2876" t="s">
        <v>17563</v>
      </c>
      <c r="S2876">
        <v>9000</v>
      </c>
      <c r="T2876" t="s">
        <v>52</v>
      </c>
      <c r="U2876">
        <v>4</v>
      </c>
      <c r="V2876" t="s">
        <v>1271</v>
      </c>
      <c r="W2876" t="s">
        <v>54</v>
      </c>
      <c r="X2876" t="s">
        <v>493</v>
      </c>
      <c r="Y2876" t="s">
        <v>56</v>
      </c>
      <c r="Z2876">
        <v>1633</v>
      </c>
      <c r="AA2876">
        <v>67</v>
      </c>
      <c r="AB2876">
        <v>160</v>
      </c>
      <c r="AC2876" t="s">
        <v>8466</v>
      </c>
      <c r="AD2876" t="s">
        <v>8467</v>
      </c>
      <c r="AE2876" t="s">
        <v>17564</v>
      </c>
      <c r="AI2876" t="s">
        <v>17565</v>
      </c>
      <c r="AJ2876" s="2">
        <v>45722.923518518517</v>
      </c>
      <c r="AK2876" t="s">
        <v>1472</v>
      </c>
      <c r="AL2876" t="s">
        <v>65</v>
      </c>
      <c r="AM2876" s="3">
        <v>1.3541666666666667</v>
      </c>
      <c r="AN2876" t="s">
        <v>66</v>
      </c>
      <c r="AO2876" t="s">
        <v>67</v>
      </c>
    </row>
    <row r="2877" spans="1:41" x14ac:dyDescent="0.2">
      <c r="A2877">
        <v>363557</v>
      </c>
      <c r="B2877" t="s">
        <v>17566</v>
      </c>
      <c r="C2877" t="s">
        <v>735</v>
      </c>
      <c r="D2877" t="s">
        <v>3495</v>
      </c>
      <c r="E2877" t="s">
        <v>17567</v>
      </c>
      <c r="F2877">
        <v>245607</v>
      </c>
      <c r="G2877" s="1">
        <v>39160</v>
      </c>
      <c r="H2877" s="1">
        <v>45513</v>
      </c>
      <c r="I2877" s="1">
        <v>46235</v>
      </c>
      <c r="J2877" t="s">
        <v>45</v>
      </c>
      <c r="K2877" t="s">
        <v>45</v>
      </c>
      <c r="L2877" t="s">
        <v>72</v>
      </c>
      <c r="M2877" s="1">
        <v>44055</v>
      </c>
      <c r="N2877" t="s">
        <v>47</v>
      </c>
      <c r="O2877" t="s">
        <v>48</v>
      </c>
      <c r="P2877" t="s">
        <v>49</v>
      </c>
      <c r="Q2877" t="s">
        <v>17568</v>
      </c>
      <c r="R2877" t="s">
        <v>17569</v>
      </c>
      <c r="S2877">
        <v>6400</v>
      </c>
      <c r="T2877" t="s">
        <v>52</v>
      </c>
      <c r="U2877">
        <v>1</v>
      </c>
      <c r="V2877" t="s">
        <v>1122</v>
      </c>
      <c r="W2877" t="s">
        <v>54</v>
      </c>
      <c r="X2877" t="s">
        <v>76</v>
      </c>
      <c r="Y2877" t="s">
        <v>56</v>
      </c>
      <c r="Z2877">
        <v>1191</v>
      </c>
      <c r="AA2877">
        <v>85</v>
      </c>
      <c r="AB2877">
        <v>166</v>
      </c>
      <c r="AC2877" t="s">
        <v>5936</v>
      </c>
      <c r="AD2877" t="s">
        <v>5937</v>
      </c>
      <c r="AE2877" t="s">
        <v>5938</v>
      </c>
      <c r="AF2877" t="s">
        <v>1832</v>
      </c>
      <c r="AG2877" t="s">
        <v>1833</v>
      </c>
      <c r="AH2877" t="s">
        <v>5821</v>
      </c>
      <c r="AI2877" t="s">
        <v>17570</v>
      </c>
      <c r="AJ2877" s="2">
        <v>45516.717847222222</v>
      </c>
      <c r="AK2877" t="s">
        <v>717</v>
      </c>
      <c r="AL2877" t="s">
        <v>65</v>
      </c>
      <c r="AM2877" s="4">
        <v>0.63888888888888884</v>
      </c>
      <c r="AN2877" t="s">
        <v>66</v>
      </c>
      <c r="AO2877" t="s">
        <v>67</v>
      </c>
    </row>
    <row r="2878" spans="1:41" x14ac:dyDescent="0.2">
      <c r="A2878">
        <v>363831</v>
      </c>
      <c r="B2878" t="s">
        <v>17571</v>
      </c>
      <c r="C2878" t="s">
        <v>167</v>
      </c>
      <c r="D2878" t="s">
        <v>2702</v>
      </c>
      <c r="E2878" t="s">
        <v>17572</v>
      </c>
      <c r="F2878">
        <v>353337</v>
      </c>
      <c r="G2878" s="1">
        <v>37084</v>
      </c>
      <c r="H2878" s="1">
        <v>45507</v>
      </c>
      <c r="I2878" s="1">
        <v>46218</v>
      </c>
      <c r="J2878" t="s">
        <v>45</v>
      </c>
      <c r="K2878" t="s">
        <v>45</v>
      </c>
      <c r="L2878" t="s">
        <v>72</v>
      </c>
      <c r="M2878" s="1">
        <v>43378</v>
      </c>
      <c r="N2878" t="s">
        <v>47</v>
      </c>
      <c r="O2878" t="s">
        <v>48</v>
      </c>
      <c r="P2878" t="s">
        <v>49</v>
      </c>
      <c r="Q2878" t="s">
        <v>17573</v>
      </c>
      <c r="R2878" t="s">
        <v>17574</v>
      </c>
      <c r="S2878">
        <v>6099</v>
      </c>
      <c r="T2878" t="s">
        <v>52</v>
      </c>
      <c r="U2878">
        <v>6</v>
      </c>
      <c r="V2878" t="s">
        <v>3013</v>
      </c>
      <c r="W2878" t="s">
        <v>54</v>
      </c>
      <c r="X2878" t="s">
        <v>76</v>
      </c>
      <c r="Y2878" t="s">
        <v>56</v>
      </c>
      <c r="Z2878">
        <v>764</v>
      </c>
      <c r="AA2878">
        <v>47</v>
      </c>
      <c r="AB2878">
        <v>34</v>
      </c>
      <c r="AC2878" t="s">
        <v>4117</v>
      </c>
      <c r="AD2878" t="s">
        <v>4118</v>
      </c>
      <c r="AE2878" t="s">
        <v>4119</v>
      </c>
      <c r="AF2878" t="s">
        <v>4120</v>
      </c>
      <c r="AG2878" t="s">
        <v>4121</v>
      </c>
      <c r="AH2878" t="s">
        <v>4122</v>
      </c>
      <c r="AI2878" t="s">
        <v>179</v>
      </c>
      <c r="AJ2878" s="2">
        <v>45524.678483796299</v>
      </c>
      <c r="AK2878" t="s">
        <v>2517</v>
      </c>
      <c r="AL2878" t="s">
        <v>65</v>
      </c>
      <c r="AM2878" s="4">
        <v>0.3611111111111111</v>
      </c>
      <c r="AN2878" t="s">
        <v>66</v>
      </c>
      <c r="AO2878" t="s">
        <v>67</v>
      </c>
    </row>
    <row r="2879" spans="1:41" x14ac:dyDescent="0.2">
      <c r="A2879">
        <v>373018</v>
      </c>
      <c r="B2879" t="s">
        <v>17575</v>
      </c>
      <c r="C2879" t="s">
        <v>1531</v>
      </c>
      <c r="D2879" t="s">
        <v>2398</v>
      </c>
      <c r="E2879" t="s">
        <v>17576</v>
      </c>
      <c r="F2879">
        <v>128905</v>
      </c>
      <c r="G2879" s="1">
        <v>37446</v>
      </c>
      <c r="H2879" s="1">
        <v>45577</v>
      </c>
      <c r="I2879" s="1">
        <v>46266</v>
      </c>
      <c r="J2879" t="s">
        <v>45</v>
      </c>
      <c r="K2879" t="s">
        <v>45</v>
      </c>
      <c r="L2879" t="s">
        <v>46</v>
      </c>
      <c r="M2879" s="1">
        <v>42352</v>
      </c>
      <c r="N2879" t="s">
        <v>47</v>
      </c>
      <c r="O2879" t="s">
        <v>48</v>
      </c>
      <c r="P2879" t="s">
        <v>49</v>
      </c>
      <c r="Q2879" t="s">
        <v>17577</v>
      </c>
      <c r="R2879" t="s">
        <v>17578</v>
      </c>
      <c r="S2879">
        <v>718</v>
      </c>
      <c r="T2879" t="s">
        <v>52</v>
      </c>
      <c r="U2879">
        <v>9</v>
      </c>
      <c r="V2879" t="s">
        <v>8572</v>
      </c>
      <c r="W2879" t="s">
        <v>54</v>
      </c>
      <c r="X2879" t="s">
        <v>76</v>
      </c>
      <c r="Y2879" t="s">
        <v>56</v>
      </c>
      <c r="Z2879">
        <v>1172</v>
      </c>
      <c r="AA2879">
        <v>47</v>
      </c>
      <c r="AB2879">
        <v>152</v>
      </c>
      <c r="AC2879" t="s">
        <v>8573</v>
      </c>
      <c r="AD2879" t="s">
        <v>8574</v>
      </c>
      <c r="AE2879" t="s">
        <v>8575</v>
      </c>
      <c r="AF2879" t="s">
        <v>8576</v>
      </c>
      <c r="AG2879" t="s">
        <v>17579</v>
      </c>
      <c r="AH2879" t="s">
        <v>8578</v>
      </c>
      <c r="AI2879" t="s">
        <v>17580</v>
      </c>
      <c r="AJ2879" s="2">
        <v>45856.020937499998</v>
      </c>
      <c r="AK2879" t="s">
        <v>556</v>
      </c>
      <c r="AL2879" t="s">
        <v>65</v>
      </c>
      <c r="AM2879" s="4">
        <v>0.49305555555555558</v>
      </c>
      <c r="AN2879" t="s">
        <v>66</v>
      </c>
      <c r="AO2879" t="s">
        <v>67</v>
      </c>
    </row>
    <row r="2880" spans="1:41" x14ac:dyDescent="0.2">
      <c r="A2880">
        <v>368752</v>
      </c>
      <c r="B2880" t="s">
        <v>17581</v>
      </c>
      <c r="C2880" t="s">
        <v>2298</v>
      </c>
      <c r="D2880" t="s">
        <v>17582</v>
      </c>
      <c r="E2880" t="s">
        <v>17583</v>
      </c>
      <c r="F2880">
        <v>220601</v>
      </c>
      <c r="G2880" s="1">
        <v>38219</v>
      </c>
      <c r="H2880" s="1">
        <v>45706</v>
      </c>
      <c r="J2880" t="s">
        <v>45</v>
      </c>
      <c r="K2880" t="s">
        <v>45</v>
      </c>
      <c r="L2880" t="s">
        <v>72</v>
      </c>
      <c r="N2880" t="s">
        <v>47</v>
      </c>
      <c r="O2880" t="s">
        <v>48</v>
      </c>
      <c r="P2880" t="s">
        <v>49</v>
      </c>
      <c r="Q2880" t="s">
        <v>17584</v>
      </c>
      <c r="R2880" t="s">
        <v>17585</v>
      </c>
      <c r="S2880">
        <v>300</v>
      </c>
      <c r="T2880" t="s">
        <v>92</v>
      </c>
      <c r="U2880" t="s">
        <v>5509</v>
      </c>
      <c r="V2880" t="s">
        <v>5510</v>
      </c>
      <c r="W2880" t="s">
        <v>5511</v>
      </c>
      <c r="X2880" t="s">
        <v>52</v>
      </c>
      <c r="Y2880" t="s">
        <v>770</v>
      </c>
      <c r="Z2880">
        <v>2443</v>
      </c>
      <c r="AA2880">
        <v>31</v>
      </c>
      <c r="AB2880">
        <v>144</v>
      </c>
      <c r="AC2880" t="s">
        <v>5512</v>
      </c>
      <c r="AD2880" t="s">
        <v>13933</v>
      </c>
      <c r="AE2880" t="s">
        <v>5514</v>
      </c>
      <c r="AF2880" t="s">
        <v>5515</v>
      </c>
      <c r="AG2880" t="s">
        <v>5516</v>
      </c>
      <c r="AH2880" t="s">
        <v>5517</v>
      </c>
      <c r="AI2880" t="s">
        <v>13934</v>
      </c>
      <c r="AJ2880" s="2">
        <v>45824.58525462963</v>
      </c>
      <c r="AK2880" t="s">
        <v>5519</v>
      </c>
      <c r="AL2880" t="s">
        <v>65</v>
      </c>
      <c r="AM2880" s="4">
        <v>0.59027777777777779</v>
      </c>
      <c r="AN2880" t="s">
        <v>66</v>
      </c>
      <c r="AO2880" t="s">
        <v>67</v>
      </c>
    </row>
    <row r="2881" spans="1:41" x14ac:dyDescent="0.2">
      <c r="A2881">
        <v>370563</v>
      </c>
      <c r="B2881" t="s">
        <v>17586</v>
      </c>
      <c r="C2881" t="s">
        <v>182</v>
      </c>
      <c r="D2881" t="s">
        <v>1616</v>
      </c>
      <c r="E2881" t="s">
        <v>17587</v>
      </c>
      <c r="G2881" s="1">
        <v>45777</v>
      </c>
      <c r="H2881" s="1">
        <v>45490</v>
      </c>
      <c r="I2881" s="1">
        <v>46157</v>
      </c>
      <c r="J2881" t="s">
        <v>45</v>
      </c>
      <c r="K2881" t="s">
        <v>45</v>
      </c>
      <c r="L2881" t="s">
        <v>72</v>
      </c>
      <c r="N2881" t="s">
        <v>47</v>
      </c>
      <c r="O2881" t="s">
        <v>121</v>
      </c>
      <c r="P2881" t="s">
        <v>49</v>
      </c>
      <c r="Q2881" t="s">
        <v>17588</v>
      </c>
      <c r="R2881" t="s">
        <v>17589</v>
      </c>
      <c r="S2881">
        <v>6310</v>
      </c>
      <c r="T2881" t="s">
        <v>52</v>
      </c>
      <c r="U2881">
        <v>5</v>
      </c>
      <c r="V2881" t="s">
        <v>1734</v>
      </c>
      <c r="W2881" t="s">
        <v>54</v>
      </c>
      <c r="X2881" t="s">
        <v>52</v>
      </c>
      <c r="Y2881" t="s">
        <v>125</v>
      </c>
      <c r="Z2881">
        <v>7867</v>
      </c>
      <c r="AA2881">
        <v>21</v>
      </c>
      <c r="AB2881">
        <v>78</v>
      </c>
      <c r="AC2881" t="s">
        <v>1735</v>
      </c>
      <c r="AD2881" t="s">
        <v>1736</v>
      </c>
      <c r="AE2881" t="s">
        <v>17590</v>
      </c>
      <c r="AF2881" t="s">
        <v>1738</v>
      </c>
      <c r="AG2881" t="s">
        <v>1739</v>
      </c>
      <c r="AH2881" t="s">
        <v>16136</v>
      </c>
      <c r="AI2881" t="s">
        <v>4396</v>
      </c>
      <c r="AJ2881" s="2">
        <v>45777.900590277779</v>
      </c>
      <c r="AK2881" t="s">
        <v>132</v>
      </c>
      <c r="AL2881" t="s">
        <v>65</v>
      </c>
      <c r="AM2881" s="4">
        <v>0.625</v>
      </c>
      <c r="AN2881" t="s">
        <v>66</v>
      </c>
      <c r="AO2881" t="s">
        <v>67</v>
      </c>
    </row>
    <row r="2882" spans="1:41" x14ac:dyDescent="0.2">
      <c r="A2882">
        <v>369126</v>
      </c>
      <c r="B2882" t="s">
        <v>17591</v>
      </c>
      <c r="C2882" t="s">
        <v>182</v>
      </c>
      <c r="D2882" t="s">
        <v>6516</v>
      </c>
      <c r="E2882" t="s">
        <v>17592</v>
      </c>
      <c r="G2882" s="1">
        <v>45587</v>
      </c>
      <c r="H2882" s="1">
        <v>45726</v>
      </c>
      <c r="I2882" s="1">
        <v>46096</v>
      </c>
      <c r="J2882" t="s">
        <v>45</v>
      </c>
      <c r="K2882" t="s">
        <v>45</v>
      </c>
      <c r="L2882" t="s">
        <v>72</v>
      </c>
      <c r="M2882" s="1">
        <v>42880</v>
      </c>
      <c r="N2882" t="s">
        <v>89</v>
      </c>
      <c r="O2882" t="s">
        <v>121</v>
      </c>
      <c r="P2882" t="s">
        <v>49</v>
      </c>
      <c r="Q2882" t="s">
        <v>17593</v>
      </c>
      <c r="R2882" t="s">
        <v>17594</v>
      </c>
      <c r="S2882">
        <v>5140</v>
      </c>
      <c r="T2882" t="s">
        <v>52</v>
      </c>
      <c r="U2882">
        <v>5</v>
      </c>
      <c r="V2882" t="s">
        <v>4389</v>
      </c>
      <c r="W2882" t="s">
        <v>54</v>
      </c>
      <c r="X2882" t="s">
        <v>76</v>
      </c>
      <c r="Y2882" t="s">
        <v>125</v>
      </c>
      <c r="Z2882">
        <v>5586</v>
      </c>
      <c r="AA2882">
        <v>61</v>
      </c>
      <c r="AB2882">
        <v>34</v>
      </c>
      <c r="AC2882" t="s">
        <v>4390</v>
      </c>
      <c r="AD2882" t="s">
        <v>4391</v>
      </c>
      <c r="AE2882" t="s">
        <v>4392</v>
      </c>
      <c r="AF2882" t="s">
        <v>4393</v>
      </c>
      <c r="AG2882" t="s">
        <v>4394</v>
      </c>
      <c r="AH2882" t="s">
        <v>4395</v>
      </c>
      <c r="AI2882" t="s">
        <v>4396</v>
      </c>
      <c r="AJ2882" s="2">
        <v>45727.652199074073</v>
      </c>
      <c r="AK2882" t="s">
        <v>800</v>
      </c>
      <c r="AL2882" t="s">
        <v>65</v>
      </c>
      <c r="AM2882" s="3">
        <v>1.4722222222222223</v>
      </c>
      <c r="AN2882" t="s">
        <v>66</v>
      </c>
      <c r="AO2882" t="s">
        <v>67</v>
      </c>
    </row>
    <row r="2883" spans="1:41" x14ac:dyDescent="0.2">
      <c r="A2883">
        <v>371393</v>
      </c>
      <c r="B2883" t="s">
        <v>17595</v>
      </c>
      <c r="C2883" t="s">
        <v>182</v>
      </c>
      <c r="D2883" t="s">
        <v>13936</v>
      </c>
      <c r="E2883" t="s">
        <v>17596</v>
      </c>
      <c r="F2883">
        <v>41891</v>
      </c>
      <c r="G2883" s="1">
        <v>45765</v>
      </c>
      <c r="H2883" s="1">
        <v>45540</v>
      </c>
      <c r="I2883" s="1">
        <v>46266</v>
      </c>
      <c r="J2883" t="s">
        <v>45</v>
      </c>
      <c r="K2883" t="s">
        <v>45</v>
      </c>
      <c r="L2883" t="s">
        <v>72</v>
      </c>
      <c r="M2883" s="1">
        <v>41783</v>
      </c>
      <c r="N2883" t="s">
        <v>89</v>
      </c>
      <c r="O2883" t="s">
        <v>121</v>
      </c>
      <c r="P2883" t="s">
        <v>49</v>
      </c>
      <c r="Q2883" t="s">
        <v>17597</v>
      </c>
      <c r="R2883" t="s">
        <v>17598</v>
      </c>
      <c r="S2883">
        <v>3167</v>
      </c>
      <c r="T2883" t="s">
        <v>52</v>
      </c>
      <c r="U2883">
        <v>5</v>
      </c>
      <c r="V2883" t="s">
        <v>4389</v>
      </c>
      <c r="W2883" t="s">
        <v>54</v>
      </c>
      <c r="X2883" t="s">
        <v>52</v>
      </c>
      <c r="Y2883" t="s">
        <v>125</v>
      </c>
      <c r="Z2883">
        <v>1321</v>
      </c>
      <c r="AA2883">
        <v>71</v>
      </c>
      <c r="AB2883">
        <v>48</v>
      </c>
      <c r="AC2883" t="s">
        <v>17599</v>
      </c>
      <c r="AD2883" t="s">
        <v>17600</v>
      </c>
      <c r="AE2883" t="s">
        <v>17601</v>
      </c>
      <c r="AF2883" t="s">
        <v>17602</v>
      </c>
      <c r="AG2883" t="s">
        <v>17603</v>
      </c>
      <c r="AH2883" t="s">
        <v>17604</v>
      </c>
      <c r="AI2883" t="s">
        <v>4396</v>
      </c>
      <c r="AJ2883" s="2">
        <v>45807.677627314813</v>
      </c>
      <c r="AK2883" t="s">
        <v>84</v>
      </c>
      <c r="AL2883" t="s">
        <v>65</v>
      </c>
      <c r="AM2883" s="3">
        <v>1.4513888888888888</v>
      </c>
      <c r="AN2883" t="s">
        <v>66</v>
      </c>
      <c r="AO2883" t="s">
        <v>67</v>
      </c>
    </row>
    <row r="2884" spans="1:41" x14ac:dyDescent="0.2">
      <c r="A2884">
        <v>371729</v>
      </c>
      <c r="B2884" t="s">
        <v>17605</v>
      </c>
      <c r="C2884" t="s">
        <v>182</v>
      </c>
      <c r="D2884" t="s">
        <v>558</v>
      </c>
      <c r="E2884">
        <v>33336020</v>
      </c>
      <c r="F2884">
        <v>41892</v>
      </c>
      <c r="G2884" s="1">
        <v>45818</v>
      </c>
      <c r="H2884" s="1">
        <v>45628</v>
      </c>
      <c r="I2884" s="1">
        <v>45992</v>
      </c>
      <c r="J2884" t="s">
        <v>45</v>
      </c>
      <c r="K2884" t="s">
        <v>45</v>
      </c>
      <c r="L2884" t="s">
        <v>72</v>
      </c>
      <c r="M2884" s="1">
        <v>44677</v>
      </c>
      <c r="N2884" t="s">
        <v>47</v>
      </c>
      <c r="O2884" t="s">
        <v>121</v>
      </c>
      <c r="P2884" t="s">
        <v>49</v>
      </c>
      <c r="Q2884" t="s">
        <v>17606</v>
      </c>
      <c r="R2884" t="s">
        <v>17607</v>
      </c>
      <c r="S2884">
        <v>6347</v>
      </c>
      <c r="T2884" t="s">
        <v>52</v>
      </c>
      <c r="U2884">
        <v>5</v>
      </c>
      <c r="V2884" t="s">
        <v>4389</v>
      </c>
      <c r="W2884" t="s">
        <v>54</v>
      </c>
      <c r="X2884" t="s">
        <v>76</v>
      </c>
      <c r="Y2884" t="s">
        <v>125</v>
      </c>
      <c r="Z2884">
        <v>1795</v>
      </c>
      <c r="AA2884">
        <v>57</v>
      </c>
      <c r="AB2884">
        <v>48</v>
      </c>
      <c r="AC2884" t="s">
        <v>15273</v>
      </c>
      <c r="AD2884" t="s">
        <v>16941</v>
      </c>
      <c r="AE2884" t="s">
        <v>15275</v>
      </c>
      <c r="AF2884" t="s">
        <v>16942</v>
      </c>
      <c r="AG2884" t="s">
        <v>16943</v>
      </c>
      <c r="AH2884" t="s">
        <v>16944</v>
      </c>
      <c r="AI2884" t="s">
        <v>17608</v>
      </c>
      <c r="AJ2884" s="2">
        <v>45818.780162037037</v>
      </c>
      <c r="AK2884" t="s">
        <v>132</v>
      </c>
      <c r="AL2884" t="s">
        <v>65</v>
      </c>
      <c r="AM2884" s="3">
        <v>1.4375</v>
      </c>
      <c r="AN2884" t="s">
        <v>66</v>
      </c>
      <c r="AO2884" t="s">
        <v>67</v>
      </c>
    </row>
    <row r="2885" spans="1:41" x14ac:dyDescent="0.2">
      <c r="A2885">
        <v>371391</v>
      </c>
      <c r="B2885" t="s">
        <v>17609</v>
      </c>
      <c r="C2885" t="s">
        <v>182</v>
      </c>
      <c r="D2885" t="s">
        <v>6734</v>
      </c>
      <c r="E2885" t="s">
        <v>17610</v>
      </c>
      <c r="F2885">
        <v>41902</v>
      </c>
      <c r="G2885" s="1">
        <v>45433</v>
      </c>
      <c r="H2885" s="1">
        <v>45749</v>
      </c>
      <c r="I2885" s="1">
        <v>46068</v>
      </c>
      <c r="J2885" t="s">
        <v>45</v>
      </c>
      <c r="K2885" t="s">
        <v>45</v>
      </c>
      <c r="L2885" t="s">
        <v>72</v>
      </c>
      <c r="N2885" t="s">
        <v>47</v>
      </c>
      <c r="O2885" t="s">
        <v>121</v>
      </c>
      <c r="P2885" t="s">
        <v>49</v>
      </c>
      <c r="Q2885" t="s">
        <v>17611</v>
      </c>
      <c r="R2885" t="s">
        <v>17612</v>
      </c>
      <c r="S2885">
        <v>5290</v>
      </c>
      <c r="T2885" t="s">
        <v>52</v>
      </c>
      <c r="U2885">
        <v>5</v>
      </c>
      <c r="V2885" t="s">
        <v>4389</v>
      </c>
      <c r="W2885" t="s">
        <v>54</v>
      </c>
      <c r="X2885" t="s">
        <v>52</v>
      </c>
      <c r="Y2885" t="s">
        <v>125</v>
      </c>
      <c r="Z2885">
        <v>11807</v>
      </c>
      <c r="AA2885">
        <v>30</v>
      </c>
      <c r="AB2885">
        <v>210</v>
      </c>
      <c r="AC2885" t="s">
        <v>17613</v>
      </c>
      <c r="AD2885" t="s">
        <v>17614</v>
      </c>
      <c r="AE2885" t="s">
        <v>17615</v>
      </c>
      <c r="AF2885" t="s">
        <v>6741</v>
      </c>
      <c r="AG2885" t="s">
        <v>6742</v>
      </c>
      <c r="AI2885" t="s">
        <v>17616</v>
      </c>
      <c r="AJ2885" s="2">
        <v>45807.651666666665</v>
      </c>
      <c r="AK2885" t="s">
        <v>84</v>
      </c>
      <c r="AL2885" t="s">
        <v>65</v>
      </c>
      <c r="AM2885" s="4">
        <v>0.46527777777777779</v>
      </c>
      <c r="AN2885" t="s">
        <v>66</v>
      </c>
      <c r="AO2885" t="s">
        <v>67</v>
      </c>
    </row>
    <row r="2886" spans="1:41" x14ac:dyDescent="0.2">
      <c r="A2886">
        <v>370838</v>
      </c>
      <c r="B2886" t="s">
        <v>17617</v>
      </c>
      <c r="C2886" t="s">
        <v>13359</v>
      </c>
      <c r="E2886" t="s">
        <v>17618</v>
      </c>
      <c r="F2886">
        <v>520102</v>
      </c>
      <c r="G2886" s="1">
        <v>40982</v>
      </c>
      <c r="H2886" s="1">
        <v>45609</v>
      </c>
      <c r="J2886" t="s">
        <v>45</v>
      </c>
      <c r="K2886" t="s">
        <v>45</v>
      </c>
      <c r="L2886" t="s">
        <v>72</v>
      </c>
      <c r="M2886" s="1">
        <v>44204</v>
      </c>
      <c r="N2886" t="s">
        <v>47</v>
      </c>
      <c r="O2886" t="s">
        <v>48</v>
      </c>
      <c r="P2886" t="s">
        <v>406</v>
      </c>
      <c r="Q2886" t="s">
        <v>17619</v>
      </c>
      <c r="R2886" t="s">
        <v>17620</v>
      </c>
      <c r="S2886">
        <v>1270</v>
      </c>
      <c r="T2886" t="s">
        <v>257</v>
      </c>
      <c r="U2886" t="s">
        <v>640</v>
      </c>
      <c r="V2886" t="s">
        <v>13364</v>
      </c>
      <c r="W2886" t="s">
        <v>260</v>
      </c>
      <c r="X2886" t="s">
        <v>257</v>
      </c>
      <c r="Y2886" t="s">
        <v>642</v>
      </c>
      <c r="Z2886">
        <v>5372</v>
      </c>
      <c r="AA2886">
        <v>27</v>
      </c>
      <c r="AB2886">
        <v>34</v>
      </c>
      <c r="AC2886" t="s">
        <v>643</v>
      </c>
      <c r="AD2886" t="s">
        <v>644</v>
      </c>
      <c r="AE2886" t="s">
        <v>645</v>
      </c>
      <c r="AF2886" t="s">
        <v>646</v>
      </c>
      <c r="AG2886" t="s">
        <v>647</v>
      </c>
      <c r="AH2886" t="s">
        <v>17621</v>
      </c>
      <c r="AI2886" t="s">
        <v>11418</v>
      </c>
      <c r="AJ2886" s="2">
        <v>45785.578750000001</v>
      </c>
      <c r="AK2886" t="s">
        <v>650</v>
      </c>
      <c r="AL2886" t="s">
        <v>1168</v>
      </c>
      <c r="AM2886" s="4">
        <v>0.98611111111111116</v>
      </c>
      <c r="AN2886" t="s">
        <v>66</v>
      </c>
      <c r="AO2886" t="s">
        <v>67</v>
      </c>
    </row>
    <row r="2887" spans="1:41" x14ac:dyDescent="0.2">
      <c r="A2887">
        <v>369493</v>
      </c>
      <c r="B2887" t="s">
        <v>17622</v>
      </c>
      <c r="C2887" t="s">
        <v>197</v>
      </c>
      <c r="D2887" t="s">
        <v>3344</v>
      </c>
      <c r="E2887" t="s">
        <v>17623</v>
      </c>
      <c r="F2887">
        <v>90601</v>
      </c>
      <c r="G2887" s="1">
        <v>37146</v>
      </c>
      <c r="H2887" s="1">
        <v>45740</v>
      </c>
      <c r="I2887" s="1">
        <v>46023</v>
      </c>
      <c r="J2887" t="s">
        <v>45</v>
      </c>
      <c r="K2887" t="s">
        <v>45</v>
      </c>
      <c r="L2887" t="s">
        <v>72</v>
      </c>
      <c r="M2887" s="1">
        <v>42327</v>
      </c>
      <c r="N2887" t="s">
        <v>47</v>
      </c>
      <c r="O2887" t="s">
        <v>48</v>
      </c>
      <c r="P2887" t="s">
        <v>49</v>
      </c>
      <c r="Q2887" t="s">
        <v>17624</v>
      </c>
      <c r="R2887" t="s">
        <v>17625</v>
      </c>
      <c r="S2887">
        <v>2415</v>
      </c>
      <c r="T2887" t="s">
        <v>52</v>
      </c>
      <c r="U2887">
        <v>8</v>
      </c>
      <c r="V2887" t="s">
        <v>993</v>
      </c>
      <c r="W2887" t="s">
        <v>54</v>
      </c>
      <c r="X2887" t="s">
        <v>76</v>
      </c>
      <c r="Y2887" t="s">
        <v>56</v>
      </c>
      <c r="Z2887">
        <v>1809</v>
      </c>
      <c r="AA2887">
        <v>47</v>
      </c>
      <c r="AB2887">
        <v>152</v>
      </c>
      <c r="AC2887" t="s">
        <v>2958</v>
      </c>
      <c r="AD2887" t="s">
        <v>2959</v>
      </c>
      <c r="AE2887" t="s">
        <v>2960</v>
      </c>
      <c r="AF2887" t="s">
        <v>3339</v>
      </c>
      <c r="AG2887" t="s">
        <v>3340</v>
      </c>
      <c r="AH2887" t="s">
        <v>17626</v>
      </c>
      <c r="AJ2887" s="2">
        <v>45742.656585648147</v>
      </c>
      <c r="AK2887" t="s">
        <v>556</v>
      </c>
      <c r="AL2887" t="s">
        <v>65</v>
      </c>
      <c r="AM2887" s="4">
        <v>0.24305555555555555</v>
      </c>
      <c r="AN2887" t="s">
        <v>66</v>
      </c>
      <c r="AO2887" t="s">
        <v>67</v>
      </c>
    </row>
    <row r="2888" spans="1:41" x14ac:dyDescent="0.2">
      <c r="A2888">
        <v>371542</v>
      </c>
      <c r="B2888" t="s">
        <v>17627</v>
      </c>
      <c r="C2888" t="s">
        <v>323</v>
      </c>
      <c r="D2888" t="s">
        <v>339</v>
      </c>
      <c r="E2888" t="s">
        <v>17628</v>
      </c>
      <c r="F2888">
        <v>500750</v>
      </c>
      <c r="G2888" s="1">
        <v>41073</v>
      </c>
      <c r="H2888" s="1">
        <v>45809</v>
      </c>
      <c r="I2888" s="1">
        <v>46037</v>
      </c>
      <c r="J2888" t="s">
        <v>45</v>
      </c>
      <c r="K2888" t="s">
        <v>45</v>
      </c>
      <c r="L2888" t="s">
        <v>72</v>
      </c>
      <c r="M2888" s="1">
        <v>45113</v>
      </c>
      <c r="N2888" t="s">
        <v>47</v>
      </c>
      <c r="O2888" t="s">
        <v>48</v>
      </c>
      <c r="P2888" t="s">
        <v>49</v>
      </c>
      <c r="Q2888" t="s">
        <v>17629</v>
      </c>
      <c r="R2888" t="s">
        <v>17630</v>
      </c>
      <c r="S2888">
        <v>1702</v>
      </c>
      <c r="T2888" t="s">
        <v>156</v>
      </c>
      <c r="U2888" t="s">
        <v>460</v>
      </c>
      <c r="V2888" t="s">
        <v>330</v>
      </c>
      <c r="W2888" t="s">
        <v>159</v>
      </c>
      <c r="X2888" t="s">
        <v>156</v>
      </c>
      <c r="Y2888" t="s">
        <v>110</v>
      </c>
      <c r="Z2888">
        <v>5486</v>
      </c>
      <c r="AA2888">
        <v>23</v>
      </c>
      <c r="AB2888">
        <v>34</v>
      </c>
      <c r="AC2888" t="s">
        <v>461</v>
      </c>
      <c r="AD2888" t="s">
        <v>369</v>
      </c>
      <c r="AE2888" t="s">
        <v>462</v>
      </c>
      <c r="AF2888" t="s">
        <v>5645</v>
      </c>
      <c r="AG2888" t="s">
        <v>5646</v>
      </c>
      <c r="AH2888" t="s">
        <v>5647</v>
      </c>
      <c r="AI2888" t="s">
        <v>466</v>
      </c>
      <c r="AJ2888" s="2">
        <v>45814.741087962961</v>
      </c>
      <c r="AK2888" t="s">
        <v>384</v>
      </c>
      <c r="AL2888" t="s">
        <v>65</v>
      </c>
      <c r="AM2888" s="3">
        <v>1.125</v>
      </c>
      <c r="AN2888" t="s">
        <v>66</v>
      </c>
      <c r="AO2888" t="s">
        <v>67</v>
      </c>
    </row>
    <row r="2889" spans="1:41" x14ac:dyDescent="0.2">
      <c r="A2889">
        <v>360463</v>
      </c>
      <c r="B2889" t="s">
        <v>17631</v>
      </c>
      <c r="C2889" t="s">
        <v>323</v>
      </c>
      <c r="D2889" t="s">
        <v>5058</v>
      </c>
      <c r="E2889" t="s">
        <v>17632</v>
      </c>
      <c r="F2889">
        <v>500749</v>
      </c>
      <c r="G2889" s="1">
        <v>36376</v>
      </c>
      <c r="H2889" s="1">
        <v>45418</v>
      </c>
      <c r="I2889" s="1">
        <v>46037</v>
      </c>
      <c r="J2889" t="s">
        <v>45</v>
      </c>
      <c r="K2889" t="s">
        <v>45</v>
      </c>
      <c r="L2889" t="s">
        <v>72</v>
      </c>
      <c r="M2889" s="1">
        <v>45114</v>
      </c>
      <c r="N2889" t="s">
        <v>47</v>
      </c>
      <c r="O2889" t="s">
        <v>48</v>
      </c>
      <c r="P2889" t="s">
        <v>49</v>
      </c>
      <c r="Q2889" t="s">
        <v>17633</v>
      </c>
      <c r="R2889" t="s">
        <v>17634</v>
      </c>
      <c r="S2889">
        <v>2175</v>
      </c>
      <c r="T2889" t="s">
        <v>92</v>
      </c>
      <c r="U2889" t="s">
        <v>329</v>
      </c>
      <c r="V2889" t="s">
        <v>722</v>
      </c>
      <c r="W2889" t="s">
        <v>723</v>
      </c>
      <c r="X2889" t="s">
        <v>156</v>
      </c>
      <c r="Y2889" t="s">
        <v>110</v>
      </c>
      <c r="Z2889">
        <v>1650</v>
      </c>
      <c r="AA2889">
        <v>42</v>
      </c>
      <c r="AB2889">
        <v>152</v>
      </c>
      <c r="AC2889" t="s">
        <v>5070</v>
      </c>
      <c r="AD2889" t="s">
        <v>5071</v>
      </c>
      <c r="AE2889" t="s">
        <v>462</v>
      </c>
      <c r="AI2889" t="s">
        <v>2409</v>
      </c>
      <c r="AJ2889" s="2">
        <v>45422.802615740744</v>
      </c>
      <c r="AK2889" t="s">
        <v>461</v>
      </c>
      <c r="AL2889" t="s">
        <v>65</v>
      </c>
      <c r="AM2889" s="3">
        <v>2.2291666666666665</v>
      </c>
      <c r="AN2889" t="s">
        <v>66</v>
      </c>
      <c r="AO2889" t="s">
        <v>67</v>
      </c>
    </row>
    <row r="2890" spans="1:41" x14ac:dyDescent="0.2">
      <c r="A2890">
        <v>372516</v>
      </c>
      <c r="B2890" t="s">
        <v>17635</v>
      </c>
      <c r="C2890" t="s">
        <v>167</v>
      </c>
      <c r="D2890" t="s">
        <v>1315</v>
      </c>
      <c r="E2890" t="s">
        <v>17636</v>
      </c>
      <c r="F2890">
        <v>353038</v>
      </c>
      <c r="G2890" s="1">
        <v>35101</v>
      </c>
      <c r="H2890" s="1">
        <v>45509</v>
      </c>
      <c r="I2890" s="1">
        <v>46218</v>
      </c>
      <c r="J2890" t="s">
        <v>45</v>
      </c>
      <c r="K2890" t="s">
        <v>326</v>
      </c>
      <c r="L2890" t="s">
        <v>429</v>
      </c>
      <c r="M2890" s="1">
        <v>45523</v>
      </c>
      <c r="N2890" t="s">
        <v>47</v>
      </c>
      <c r="O2890" t="s">
        <v>48</v>
      </c>
      <c r="P2890" t="s">
        <v>49</v>
      </c>
      <c r="Q2890" t="s">
        <v>17637</v>
      </c>
      <c r="R2890" t="s">
        <v>17638</v>
      </c>
      <c r="S2890">
        <v>3360</v>
      </c>
      <c r="T2890" t="s">
        <v>52</v>
      </c>
      <c r="U2890">
        <v>6</v>
      </c>
      <c r="V2890" t="s">
        <v>3571</v>
      </c>
      <c r="W2890" t="s">
        <v>54</v>
      </c>
      <c r="X2890" t="s">
        <v>76</v>
      </c>
      <c r="Y2890" t="s">
        <v>56</v>
      </c>
      <c r="Z2890">
        <v>855</v>
      </c>
      <c r="AA2890">
        <v>76</v>
      </c>
      <c r="AB2890">
        <v>28</v>
      </c>
      <c r="AC2890" t="s">
        <v>17115</v>
      </c>
      <c r="AD2890" t="s">
        <v>17639</v>
      </c>
      <c r="AE2890" t="s">
        <v>3574</v>
      </c>
      <c r="AF2890" t="s">
        <v>3575</v>
      </c>
      <c r="AG2890" t="s">
        <v>17640</v>
      </c>
      <c r="AH2890" t="s">
        <v>3577</v>
      </c>
      <c r="AI2890" t="s">
        <v>3578</v>
      </c>
      <c r="AJ2890" s="2">
        <v>45841.671331018515</v>
      </c>
      <c r="AK2890" t="s">
        <v>556</v>
      </c>
      <c r="AL2890" t="s">
        <v>65</v>
      </c>
      <c r="AM2890" s="3">
        <v>1.3541666666666667</v>
      </c>
      <c r="AN2890" t="s">
        <v>66</v>
      </c>
      <c r="AO2890" t="s">
        <v>67</v>
      </c>
    </row>
    <row r="2891" spans="1:41" x14ac:dyDescent="0.2">
      <c r="A2891">
        <v>362824</v>
      </c>
      <c r="B2891" t="s">
        <v>17641</v>
      </c>
      <c r="C2891" t="s">
        <v>323</v>
      </c>
      <c r="E2891" t="s">
        <v>17642</v>
      </c>
      <c r="G2891" s="1">
        <v>38518</v>
      </c>
      <c r="H2891" s="1">
        <v>45483</v>
      </c>
      <c r="J2891" t="s">
        <v>72</v>
      </c>
      <c r="K2891" t="s">
        <v>326</v>
      </c>
      <c r="L2891" t="s">
        <v>72</v>
      </c>
      <c r="N2891" t="s">
        <v>47</v>
      </c>
      <c r="O2891" t="s">
        <v>48</v>
      </c>
      <c r="P2891" t="s">
        <v>406</v>
      </c>
      <c r="Q2891" t="s">
        <v>17643</v>
      </c>
      <c r="R2891" t="s">
        <v>17644</v>
      </c>
      <c r="S2891">
        <v>2920</v>
      </c>
      <c r="T2891" t="s">
        <v>257</v>
      </c>
      <c r="U2891" t="s">
        <v>329</v>
      </c>
      <c r="V2891" t="s">
        <v>6178</v>
      </c>
      <c r="W2891" t="s">
        <v>3303</v>
      </c>
      <c r="X2891" t="s">
        <v>257</v>
      </c>
      <c r="Y2891" t="s">
        <v>642</v>
      </c>
      <c r="Z2891">
        <v>2764</v>
      </c>
      <c r="AA2891">
        <v>38</v>
      </c>
      <c r="AB2891">
        <v>172</v>
      </c>
      <c r="AC2891" t="s">
        <v>5079</v>
      </c>
      <c r="AD2891" t="s">
        <v>1165</v>
      </c>
      <c r="AE2891" t="s">
        <v>1166</v>
      </c>
      <c r="AJ2891" s="2">
        <v>45497.021643518521</v>
      </c>
      <c r="AK2891" t="s">
        <v>1164</v>
      </c>
      <c r="AL2891" t="s">
        <v>1168</v>
      </c>
      <c r="AM2891" s="3">
        <v>1.3958333333333333</v>
      </c>
      <c r="AN2891" t="s">
        <v>66</v>
      </c>
      <c r="AO2891" t="s">
        <v>67</v>
      </c>
    </row>
    <row r="2892" spans="1:41" x14ac:dyDescent="0.2">
      <c r="A2892">
        <v>372360</v>
      </c>
      <c r="B2892" t="s">
        <v>17645</v>
      </c>
      <c r="C2892" t="s">
        <v>278</v>
      </c>
      <c r="D2892" t="s">
        <v>279</v>
      </c>
      <c r="E2892" t="s">
        <v>17646</v>
      </c>
      <c r="F2892">
        <v>422608</v>
      </c>
      <c r="G2892" s="1">
        <v>35954</v>
      </c>
      <c r="H2892" s="1">
        <v>45832</v>
      </c>
      <c r="I2892" s="1">
        <v>46174</v>
      </c>
      <c r="J2892" t="s">
        <v>45</v>
      </c>
      <c r="K2892" t="s">
        <v>45</v>
      </c>
      <c r="L2892" t="s">
        <v>429</v>
      </c>
      <c r="M2892" s="1">
        <v>41717</v>
      </c>
      <c r="N2892" t="s">
        <v>47</v>
      </c>
      <c r="O2892" t="s">
        <v>48</v>
      </c>
      <c r="P2892" t="s">
        <v>49</v>
      </c>
      <c r="Q2892" t="s">
        <v>17647</v>
      </c>
      <c r="R2892" t="s">
        <v>17648</v>
      </c>
      <c r="S2892">
        <v>7718</v>
      </c>
      <c r="T2892" t="s">
        <v>52</v>
      </c>
      <c r="U2892">
        <v>4</v>
      </c>
      <c r="V2892" t="s">
        <v>1185</v>
      </c>
      <c r="W2892" t="s">
        <v>54</v>
      </c>
      <c r="X2892" t="s">
        <v>55</v>
      </c>
      <c r="Y2892" t="s">
        <v>56</v>
      </c>
      <c r="Z2892">
        <v>1371</v>
      </c>
      <c r="AA2892">
        <v>45</v>
      </c>
      <c r="AB2892">
        <v>152</v>
      </c>
      <c r="AC2892" t="s">
        <v>1186</v>
      </c>
      <c r="AD2892" t="s">
        <v>1187</v>
      </c>
      <c r="AE2892" t="s">
        <v>1188</v>
      </c>
      <c r="AF2892" t="s">
        <v>1189</v>
      </c>
      <c r="AG2892" t="s">
        <v>1190</v>
      </c>
      <c r="AH2892" t="s">
        <v>1191</v>
      </c>
      <c r="AI2892" t="s">
        <v>1192</v>
      </c>
      <c r="AJ2892" s="2">
        <v>45838.75503472222</v>
      </c>
      <c r="AK2892" t="s">
        <v>307</v>
      </c>
      <c r="AL2892" t="s">
        <v>65</v>
      </c>
      <c r="AM2892" s="4">
        <v>0.44444444444444442</v>
      </c>
      <c r="AN2892" t="s">
        <v>66</v>
      </c>
      <c r="AO2892" t="s">
        <v>67</v>
      </c>
    </row>
    <row r="2893" spans="1:41" x14ac:dyDescent="0.2">
      <c r="A2893">
        <v>361715</v>
      </c>
      <c r="B2893" t="s">
        <v>17649</v>
      </c>
      <c r="C2893" t="s">
        <v>763</v>
      </c>
      <c r="D2893" t="s">
        <v>7573</v>
      </c>
      <c r="E2893" t="s">
        <v>17650</v>
      </c>
      <c r="F2893">
        <v>471801</v>
      </c>
      <c r="G2893" s="1">
        <v>38595</v>
      </c>
      <c r="H2893" s="1">
        <v>45461</v>
      </c>
      <c r="J2893" t="s">
        <v>45</v>
      </c>
      <c r="K2893" t="s">
        <v>45</v>
      </c>
      <c r="L2893" t="s">
        <v>72</v>
      </c>
      <c r="M2893" s="1">
        <v>41890</v>
      </c>
      <c r="N2893" t="s">
        <v>47</v>
      </c>
      <c r="O2893" t="s">
        <v>48</v>
      </c>
      <c r="P2893" t="s">
        <v>49</v>
      </c>
      <c r="Q2893" t="s">
        <v>17651</v>
      </c>
      <c r="R2893" t="s">
        <v>17652</v>
      </c>
      <c r="S2893">
        <v>1535</v>
      </c>
      <c r="T2893" t="s">
        <v>92</v>
      </c>
      <c r="U2893" t="s">
        <v>767</v>
      </c>
      <c r="V2893" t="s">
        <v>768</v>
      </c>
      <c r="W2893" t="s">
        <v>769</v>
      </c>
      <c r="X2893" t="s">
        <v>92</v>
      </c>
      <c r="Y2893" t="s">
        <v>770</v>
      </c>
      <c r="Z2893">
        <v>2623</v>
      </c>
      <c r="AA2893">
        <v>41</v>
      </c>
      <c r="AB2893">
        <v>176</v>
      </c>
      <c r="AC2893" t="s">
        <v>771</v>
      </c>
      <c r="AD2893" t="s">
        <v>772</v>
      </c>
      <c r="AE2893" t="s">
        <v>11944</v>
      </c>
      <c r="AF2893" t="s">
        <v>774</v>
      </c>
      <c r="AG2893" t="s">
        <v>775</v>
      </c>
      <c r="AH2893" t="s">
        <v>776</v>
      </c>
      <c r="AI2893" t="s">
        <v>17653</v>
      </c>
      <c r="AJ2893" s="2">
        <v>45462.879664351851</v>
      </c>
      <c r="AK2893" t="s">
        <v>771</v>
      </c>
      <c r="AL2893" t="s">
        <v>65</v>
      </c>
      <c r="AM2893" s="4">
        <v>0.4236111111111111</v>
      </c>
      <c r="AN2893" t="s">
        <v>66</v>
      </c>
      <c r="AO2893" t="s">
        <v>67</v>
      </c>
    </row>
    <row r="2894" spans="1:41" x14ac:dyDescent="0.2">
      <c r="A2894">
        <v>372992</v>
      </c>
      <c r="B2894" t="s">
        <v>17654</v>
      </c>
      <c r="C2894" t="s">
        <v>2298</v>
      </c>
      <c r="D2894" t="s">
        <v>17655</v>
      </c>
      <c r="E2894" t="s">
        <v>17656</v>
      </c>
      <c r="F2894">
        <v>223701</v>
      </c>
      <c r="G2894" s="1">
        <v>37783</v>
      </c>
      <c r="H2894" s="1">
        <v>45672</v>
      </c>
      <c r="I2894" s="1">
        <v>46037</v>
      </c>
      <c r="J2894" t="s">
        <v>45</v>
      </c>
      <c r="K2894" t="s">
        <v>45</v>
      </c>
      <c r="L2894" t="s">
        <v>4306</v>
      </c>
      <c r="N2894" t="s">
        <v>47</v>
      </c>
      <c r="O2894" t="s">
        <v>48</v>
      </c>
      <c r="P2894" t="s">
        <v>49</v>
      </c>
      <c r="Q2894" t="s">
        <v>17657</v>
      </c>
      <c r="R2894" t="s">
        <v>17658</v>
      </c>
      <c r="S2894">
        <v>550</v>
      </c>
      <c r="T2894" t="s">
        <v>52</v>
      </c>
      <c r="U2894">
        <v>8</v>
      </c>
      <c r="V2894" t="s">
        <v>2302</v>
      </c>
      <c r="W2894" t="s">
        <v>54</v>
      </c>
      <c r="X2894" t="s">
        <v>76</v>
      </c>
      <c r="Y2894" t="s">
        <v>56</v>
      </c>
      <c r="Z2894">
        <v>2386</v>
      </c>
      <c r="AA2894">
        <v>39</v>
      </c>
      <c r="AB2894">
        <v>15</v>
      </c>
      <c r="AC2894" t="s">
        <v>2303</v>
      </c>
      <c r="AD2894" t="s">
        <v>2304</v>
      </c>
      <c r="AE2894" t="s">
        <v>2305</v>
      </c>
      <c r="AF2894" t="s">
        <v>17659</v>
      </c>
      <c r="AG2894" t="s">
        <v>17660</v>
      </c>
      <c r="AH2894" t="s">
        <v>17661</v>
      </c>
      <c r="AI2894" t="s">
        <v>2304</v>
      </c>
      <c r="AJ2894" s="2">
        <v>45855.987349537034</v>
      </c>
      <c r="AK2894" t="s">
        <v>556</v>
      </c>
      <c r="AL2894" t="s">
        <v>65</v>
      </c>
      <c r="AM2894" s="4">
        <v>0.21875</v>
      </c>
      <c r="AN2894" t="s">
        <v>66</v>
      </c>
      <c r="AO2894" t="s">
        <v>101</v>
      </c>
    </row>
    <row r="2895" spans="1:41" x14ac:dyDescent="0.2">
      <c r="A2895">
        <v>368246</v>
      </c>
      <c r="B2895" t="s">
        <v>17662</v>
      </c>
      <c r="C2895" t="s">
        <v>134</v>
      </c>
      <c r="D2895" t="s">
        <v>3560</v>
      </c>
      <c r="E2895" t="s">
        <v>17663</v>
      </c>
      <c r="F2895">
        <v>450121</v>
      </c>
      <c r="G2895" s="1">
        <v>45507</v>
      </c>
      <c r="H2895" s="1">
        <v>45507</v>
      </c>
      <c r="I2895" s="1">
        <v>46218</v>
      </c>
      <c r="J2895" t="s">
        <v>45</v>
      </c>
      <c r="K2895" t="s">
        <v>45</v>
      </c>
      <c r="L2895" t="s">
        <v>72</v>
      </c>
      <c r="M2895" s="1">
        <v>44678</v>
      </c>
      <c r="N2895" t="s">
        <v>47</v>
      </c>
      <c r="O2895" t="s">
        <v>48</v>
      </c>
      <c r="P2895" t="s">
        <v>49</v>
      </c>
      <c r="Q2895" t="s">
        <v>17664</v>
      </c>
      <c r="R2895" t="s">
        <v>17665</v>
      </c>
      <c r="S2895">
        <v>2400</v>
      </c>
      <c r="T2895" t="s">
        <v>52</v>
      </c>
      <c r="U2895">
        <v>6</v>
      </c>
      <c r="V2895" t="s">
        <v>5660</v>
      </c>
      <c r="W2895" t="s">
        <v>54</v>
      </c>
      <c r="X2895" t="s">
        <v>76</v>
      </c>
      <c r="Y2895" t="s">
        <v>56</v>
      </c>
      <c r="Z2895">
        <v>816</v>
      </c>
      <c r="AA2895">
        <v>58</v>
      </c>
      <c r="AB2895">
        <v>30</v>
      </c>
      <c r="AC2895" t="s">
        <v>5661</v>
      </c>
      <c r="AD2895" t="s">
        <v>5662</v>
      </c>
      <c r="AE2895" t="s">
        <v>5663</v>
      </c>
      <c r="AF2895" t="s">
        <v>5664</v>
      </c>
      <c r="AG2895" t="s">
        <v>5665</v>
      </c>
      <c r="AH2895" t="s">
        <v>5666</v>
      </c>
      <c r="AI2895" t="s">
        <v>5667</v>
      </c>
      <c r="AJ2895" s="2">
        <v>45706.862569444442</v>
      </c>
      <c r="AK2895" t="s">
        <v>5661</v>
      </c>
      <c r="AL2895" t="s">
        <v>65</v>
      </c>
      <c r="AM2895" s="3">
        <v>1.0763888888888888</v>
      </c>
      <c r="AN2895" t="s">
        <v>66</v>
      </c>
      <c r="AO2895" t="s">
        <v>67</v>
      </c>
    </row>
    <row r="2896" spans="1:41" x14ac:dyDescent="0.2">
      <c r="A2896">
        <v>370737</v>
      </c>
      <c r="B2896" t="s">
        <v>17666</v>
      </c>
      <c r="C2896" t="s">
        <v>182</v>
      </c>
      <c r="D2896" t="s">
        <v>183</v>
      </c>
      <c r="E2896" t="s">
        <v>17667</v>
      </c>
      <c r="F2896">
        <v>45453</v>
      </c>
      <c r="G2896" s="1">
        <v>38622</v>
      </c>
      <c r="H2896" s="1">
        <v>45782</v>
      </c>
      <c r="I2896" s="1">
        <v>46068</v>
      </c>
      <c r="J2896" t="s">
        <v>45</v>
      </c>
      <c r="K2896" t="s">
        <v>45</v>
      </c>
      <c r="L2896" t="s">
        <v>72</v>
      </c>
      <c r="M2896" s="1">
        <v>45782</v>
      </c>
      <c r="N2896" t="s">
        <v>47</v>
      </c>
      <c r="O2896" t="s">
        <v>48</v>
      </c>
      <c r="P2896" t="s">
        <v>49</v>
      </c>
      <c r="Q2896" t="s">
        <v>17668</v>
      </c>
      <c r="R2896" t="s">
        <v>17669</v>
      </c>
      <c r="S2896">
        <v>1340</v>
      </c>
      <c r="T2896" t="s">
        <v>92</v>
      </c>
      <c r="U2896" t="s">
        <v>187</v>
      </c>
      <c r="V2896" t="s">
        <v>188</v>
      </c>
      <c r="W2896" t="s">
        <v>189</v>
      </c>
      <c r="X2896" t="s">
        <v>92</v>
      </c>
      <c r="Y2896" t="s">
        <v>110</v>
      </c>
      <c r="Z2896">
        <v>2777</v>
      </c>
      <c r="AA2896">
        <v>50</v>
      </c>
      <c r="AB2896">
        <v>38</v>
      </c>
      <c r="AC2896" t="s">
        <v>190</v>
      </c>
      <c r="AD2896" t="s">
        <v>191</v>
      </c>
      <c r="AE2896" t="s">
        <v>192</v>
      </c>
      <c r="AF2896" t="s">
        <v>193</v>
      </c>
      <c r="AG2896" t="s">
        <v>194</v>
      </c>
      <c r="AH2896" t="s">
        <v>195</v>
      </c>
      <c r="AJ2896" s="2">
        <v>45783.730543981481</v>
      </c>
      <c r="AK2896" t="s">
        <v>193</v>
      </c>
      <c r="AL2896" t="s">
        <v>65</v>
      </c>
      <c r="AM2896" s="3">
        <v>2.3888888888888888</v>
      </c>
      <c r="AN2896" t="s">
        <v>66</v>
      </c>
      <c r="AO2896" t="s">
        <v>67</v>
      </c>
    </row>
    <row r="2897" spans="1:41" x14ac:dyDescent="0.2">
      <c r="A2897">
        <v>369922</v>
      </c>
      <c r="B2897" t="s">
        <v>17670</v>
      </c>
      <c r="C2897" t="s">
        <v>118</v>
      </c>
      <c r="D2897" t="s">
        <v>1396</v>
      </c>
      <c r="E2897" t="s">
        <v>17671</v>
      </c>
      <c r="F2897">
        <v>20606</v>
      </c>
      <c r="G2897" s="1">
        <v>33611</v>
      </c>
      <c r="H2897" s="1">
        <v>45685</v>
      </c>
      <c r="I2897" s="1">
        <v>46023</v>
      </c>
      <c r="J2897" t="s">
        <v>45</v>
      </c>
      <c r="K2897" t="s">
        <v>45</v>
      </c>
      <c r="L2897" t="s">
        <v>429</v>
      </c>
      <c r="N2897" t="s">
        <v>47</v>
      </c>
      <c r="O2897" t="s">
        <v>48</v>
      </c>
      <c r="P2897" t="s">
        <v>49</v>
      </c>
      <c r="Q2897" t="s">
        <v>17672</v>
      </c>
      <c r="R2897" t="s">
        <v>17673</v>
      </c>
      <c r="S2897">
        <v>2414</v>
      </c>
      <c r="T2897" t="s">
        <v>52</v>
      </c>
      <c r="U2897">
        <v>3</v>
      </c>
      <c r="V2897" t="s">
        <v>4644</v>
      </c>
      <c r="W2897" t="s">
        <v>54</v>
      </c>
      <c r="X2897" t="s">
        <v>55</v>
      </c>
      <c r="Y2897" t="s">
        <v>56</v>
      </c>
      <c r="Z2897">
        <v>637</v>
      </c>
      <c r="AA2897">
        <v>62</v>
      </c>
      <c r="AB2897">
        <v>166</v>
      </c>
      <c r="AC2897" t="s">
        <v>7997</v>
      </c>
      <c r="AD2897" t="s">
        <v>7998</v>
      </c>
      <c r="AE2897" t="s">
        <v>17674</v>
      </c>
      <c r="AF2897" t="s">
        <v>8057</v>
      </c>
      <c r="AG2897" t="s">
        <v>8058</v>
      </c>
      <c r="AH2897" t="s">
        <v>8059</v>
      </c>
      <c r="AI2897" t="s">
        <v>17675</v>
      </c>
      <c r="AJ2897" s="2">
        <v>45757.748923611114</v>
      </c>
      <c r="AK2897" t="s">
        <v>100</v>
      </c>
      <c r="AL2897" t="s">
        <v>65</v>
      </c>
      <c r="AM2897" s="4">
        <v>0.46527777777777779</v>
      </c>
      <c r="AN2897" t="s">
        <v>66</v>
      </c>
      <c r="AO2897" t="s">
        <v>67</v>
      </c>
    </row>
    <row r="2898" spans="1:41" x14ac:dyDescent="0.2">
      <c r="A2898">
        <v>372737</v>
      </c>
      <c r="B2898" t="s">
        <v>17676</v>
      </c>
      <c r="C2898" t="s">
        <v>118</v>
      </c>
      <c r="D2898" t="s">
        <v>1396</v>
      </c>
      <c r="E2898" t="s">
        <v>17677</v>
      </c>
      <c r="G2898" s="1">
        <v>45852</v>
      </c>
      <c r="H2898" s="1">
        <v>45511</v>
      </c>
      <c r="I2898" s="1">
        <v>46235</v>
      </c>
      <c r="J2898" t="s">
        <v>45</v>
      </c>
      <c r="K2898" t="s">
        <v>45</v>
      </c>
      <c r="L2898" t="s">
        <v>72</v>
      </c>
      <c r="M2898" s="1">
        <v>44784</v>
      </c>
      <c r="N2898" t="s">
        <v>47</v>
      </c>
      <c r="O2898" t="s">
        <v>121</v>
      </c>
      <c r="P2898" t="s">
        <v>49</v>
      </c>
      <c r="Q2898" t="s">
        <v>17678</v>
      </c>
      <c r="R2898" t="s">
        <v>17679</v>
      </c>
      <c r="S2898">
        <v>7749</v>
      </c>
      <c r="T2898" t="s">
        <v>52</v>
      </c>
      <c r="U2898">
        <v>3</v>
      </c>
      <c r="V2898" t="s">
        <v>4644</v>
      </c>
      <c r="W2898" t="s">
        <v>54</v>
      </c>
      <c r="X2898" t="s">
        <v>76</v>
      </c>
      <c r="Y2898" t="s">
        <v>125</v>
      </c>
      <c r="Z2898">
        <v>8706</v>
      </c>
      <c r="AA2898">
        <v>44</v>
      </c>
      <c r="AB2898">
        <v>78</v>
      </c>
      <c r="AC2898" t="s">
        <v>8057</v>
      </c>
      <c r="AD2898" t="s">
        <v>17680</v>
      </c>
      <c r="AE2898" t="s">
        <v>8059</v>
      </c>
      <c r="AF2898" t="s">
        <v>17681</v>
      </c>
      <c r="AG2898" t="s">
        <v>17682</v>
      </c>
      <c r="AH2898" t="s">
        <v>13801</v>
      </c>
      <c r="AJ2898" s="2">
        <v>45852.734907407408</v>
      </c>
      <c r="AK2898" t="s">
        <v>650</v>
      </c>
      <c r="AL2898" t="s">
        <v>65</v>
      </c>
      <c r="AM2898" s="4">
        <v>0.3263888888888889</v>
      </c>
      <c r="AN2898" t="s">
        <v>66</v>
      </c>
      <c r="AO2898" t="s">
        <v>67</v>
      </c>
    </row>
    <row r="2899" spans="1:41" x14ac:dyDescent="0.2">
      <c r="A2899">
        <v>370821</v>
      </c>
      <c r="B2899" t="s">
        <v>17683</v>
      </c>
      <c r="C2899" t="s">
        <v>118</v>
      </c>
      <c r="D2899" t="s">
        <v>1396</v>
      </c>
      <c r="E2899" t="s">
        <v>17684</v>
      </c>
      <c r="G2899" s="1">
        <v>45404</v>
      </c>
      <c r="H2899" s="1">
        <v>45785</v>
      </c>
      <c r="I2899" s="1">
        <v>46023</v>
      </c>
      <c r="J2899" t="s">
        <v>45</v>
      </c>
      <c r="K2899" t="s">
        <v>45</v>
      </c>
      <c r="L2899" t="s">
        <v>72</v>
      </c>
      <c r="N2899" t="s">
        <v>89</v>
      </c>
      <c r="O2899" t="s">
        <v>121</v>
      </c>
      <c r="P2899" t="s">
        <v>49</v>
      </c>
      <c r="Q2899" t="s">
        <v>17685</v>
      </c>
      <c r="R2899" t="s">
        <v>17686</v>
      </c>
      <c r="S2899">
        <v>6609</v>
      </c>
      <c r="T2899" t="s">
        <v>52</v>
      </c>
      <c r="U2899">
        <v>3</v>
      </c>
      <c r="V2899" t="s">
        <v>4644</v>
      </c>
      <c r="W2899" t="s">
        <v>54</v>
      </c>
      <c r="X2899" t="s">
        <v>76</v>
      </c>
      <c r="Y2899" t="s">
        <v>125</v>
      </c>
      <c r="Z2899">
        <v>8707</v>
      </c>
      <c r="AA2899">
        <v>36</v>
      </c>
      <c r="AB2899">
        <v>78</v>
      </c>
      <c r="AC2899" t="s">
        <v>8057</v>
      </c>
      <c r="AD2899" t="s">
        <v>13963</v>
      </c>
      <c r="AE2899" t="s">
        <v>8059</v>
      </c>
      <c r="AF2899" t="s">
        <v>13799</v>
      </c>
      <c r="AG2899" t="s">
        <v>14764</v>
      </c>
      <c r="AH2899" t="s">
        <v>13801</v>
      </c>
      <c r="AJ2899" s="2">
        <v>45785.495706018519</v>
      </c>
      <c r="AK2899" t="s">
        <v>800</v>
      </c>
      <c r="AL2899" t="s">
        <v>65</v>
      </c>
      <c r="AM2899" s="4">
        <v>0.36805555555555558</v>
      </c>
      <c r="AN2899" t="s">
        <v>66</v>
      </c>
      <c r="AO2899" t="s">
        <v>67</v>
      </c>
    </row>
    <row r="2900" spans="1:41" x14ac:dyDescent="0.2">
      <c r="A2900">
        <v>366043</v>
      </c>
      <c r="B2900" t="s">
        <v>17687</v>
      </c>
      <c r="C2900" t="s">
        <v>182</v>
      </c>
      <c r="D2900" t="s">
        <v>183</v>
      </c>
      <c r="E2900" s="5" t="s">
        <v>17688</v>
      </c>
      <c r="F2900">
        <v>45456</v>
      </c>
      <c r="G2900" s="1">
        <v>40694</v>
      </c>
      <c r="H2900" s="1">
        <v>45597</v>
      </c>
      <c r="I2900" s="1">
        <v>45976</v>
      </c>
      <c r="J2900" t="s">
        <v>45</v>
      </c>
      <c r="K2900" t="s">
        <v>45</v>
      </c>
      <c r="L2900" t="s">
        <v>72</v>
      </c>
      <c r="M2900" s="1">
        <v>42613</v>
      </c>
      <c r="N2900" t="s">
        <v>47</v>
      </c>
      <c r="O2900" t="s">
        <v>48</v>
      </c>
      <c r="P2900" t="s">
        <v>49</v>
      </c>
      <c r="Q2900" t="s">
        <v>17689</v>
      </c>
      <c r="R2900" t="s">
        <v>17690</v>
      </c>
      <c r="S2900">
        <v>1600</v>
      </c>
      <c r="T2900" t="s">
        <v>92</v>
      </c>
      <c r="U2900" t="s">
        <v>187</v>
      </c>
      <c r="V2900" t="s">
        <v>188</v>
      </c>
      <c r="W2900" t="s">
        <v>189</v>
      </c>
      <c r="X2900" t="s">
        <v>92</v>
      </c>
      <c r="Y2900" t="s">
        <v>110</v>
      </c>
      <c r="Z2900">
        <v>3097</v>
      </c>
      <c r="AA2900">
        <v>39</v>
      </c>
      <c r="AB2900">
        <v>38</v>
      </c>
      <c r="AC2900" t="s">
        <v>190</v>
      </c>
      <c r="AD2900" t="s">
        <v>191</v>
      </c>
      <c r="AE2900" t="s">
        <v>192</v>
      </c>
      <c r="AF2900" t="s">
        <v>4170</v>
      </c>
      <c r="AG2900" t="s">
        <v>4171</v>
      </c>
      <c r="AH2900" t="s">
        <v>4172</v>
      </c>
      <c r="AJ2900" s="2">
        <v>45601.756678240738</v>
      </c>
      <c r="AK2900" t="s">
        <v>190</v>
      </c>
      <c r="AL2900" t="s">
        <v>65</v>
      </c>
      <c r="AM2900" s="3">
        <v>2.4097222222222223</v>
      </c>
      <c r="AN2900" t="s">
        <v>66</v>
      </c>
      <c r="AO2900" t="s">
        <v>67</v>
      </c>
    </row>
    <row r="2901" spans="1:41" x14ac:dyDescent="0.2">
      <c r="A2901">
        <v>371222</v>
      </c>
      <c r="B2901" t="s">
        <v>17691</v>
      </c>
      <c r="C2901" t="s">
        <v>103</v>
      </c>
      <c r="D2901" t="s">
        <v>5717</v>
      </c>
      <c r="E2901">
        <v>32770282</v>
      </c>
      <c r="F2901">
        <v>313904</v>
      </c>
      <c r="G2901" s="1">
        <v>38800</v>
      </c>
      <c r="H2901" s="1">
        <v>45794</v>
      </c>
      <c r="I2901" s="1">
        <v>46143</v>
      </c>
      <c r="J2901" t="s">
        <v>45</v>
      </c>
      <c r="K2901" t="s">
        <v>45</v>
      </c>
      <c r="L2901" t="s">
        <v>545</v>
      </c>
      <c r="N2901" t="s">
        <v>47</v>
      </c>
      <c r="O2901" t="s">
        <v>48</v>
      </c>
      <c r="P2901" t="s">
        <v>49</v>
      </c>
      <c r="Q2901" t="s">
        <v>17692</v>
      </c>
      <c r="R2901" t="s">
        <v>17693</v>
      </c>
      <c r="S2901">
        <v>3022</v>
      </c>
      <c r="T2901" t="s">
        <v>296</v>
      </c>
      <c r="U2901" t="s">
        <v>3410</v>
      </c>
      <c r="V2901" t="s">
        <v>5721</v>
      </c>
      <c r="W2901" t="s">
        <v>299</v>
      </c>
      <c r="X2901" t="s">
        <v>76</v>
      </c>
      <c r="Y2901" t="s">
        <v>56</v>
      </c>
      <c r="Z2901">
        <v>2580</v>
      </c>
      <c r="AA2901">
        <v>50</v>
      </c>
      <c r="AB2901">
        <v>15</v>
      </c>
      <c r="AC2901" t="s">
        <v>3415</v>
      </c>
      <c r="AD2901" t="s">
        <v>3416</v>
      </c>
      <c r="AE2901" t="s">
        <v>3417</v>
      </c>
      <c r="AF2901" t="s">
        <v>5722</v>
      </c>
      <c r="AG2901" t="s">
        <v>5723</v>
      </c>
      <c r="AH2901" t="s">
        <v>5724</v>
      </c>
      <c r="AI2901" t="s">
        <v>3418</v>
      </c>
      <c r="AJ2901" s="2">
        <v>45798.922592592593</v>
      </c>
      <c r="AK2901" t="s">
        <v>717</v>
      </c>
      <c r="AL2901" t="s">
        <v>65</v>
      </c>
      <c r="AM2901" s="4">
        <v>0.70486111111111116</v>
      </c>
      <c r="AN2901" t="s">
        <v>66</v>
      </c>
      <c r="AO2901" t="s">
        <v>101</v>
      </c>
    </row>
    <row r="2902" spans="1:41" x14ac:dyDescent="0.2">
      <c r="A2902">
        <v>367119</v>
      </c>
      <c r="B2902" t="s">
        <v>17694</v>
      </c>
      <c r="C2902" t="s">
        <v>42</v>
      </c>
      <c r="E2902" t="s">
        <v>17695</v>
      </c>
      <c r="F2902">
        <v>290801</v>
      </c>
      <c r="G2902" s="1">
        <v>36592</v>
      </c>
      <c r="H2902" s="1">
        <v>45660</v>
      </c>
      <c r="I2902" s="1">
        <v>46006</v>
      </c>
      <c r="J2902" t="s">
        <v>45</v>
      </c>
      <c r="K2902" t="s">
        <v>45</v>
      </c>
      <c r="L2902" t="s">
        <v>72</v>
      </c>
      <c r="M2902" s="1">
        <v>44104</v>
      </c>
      <c r="N2902" t="s">
        <v>47</v>
      </c>
      <c r="O2902" t="s">
        <v>48</v>
      </c>
      <c r="P2902" t="s">
        <v>49</v>
      </c>
      <c r="Q2902" t="s">
        <v>17696</v>
      </c>
      <c r="R2902" t="s">
        <v>17697</v>
      </c>
      <c r="S2902">
        <v>6529</v>
      </c>
      <c r="T2902" t="s">
        <v>257</v>
      </c>
      <c r="U2902" t="s">
        <v>283</v>
      </c>
      <c r="V2902" t="s">
        <v>17698</v>
      </c>
      <c r="W2902" t="s">
        <v>260</v>
      </c>
      <c r="X2902" t="s">
        <v>257</v>
      </c>
      <c r="Y2902" t="s">
        <v>110</v>
      </c>
      <c r="Z2902">
        <v>1515</v>
      </c>
      <c r="AA2902">
        <v>43</v>
      </c>
      <c r="AB2902">
        <v>34</v>
      </c>
      <c r="AC2902" t="s">
        <v>17699</v>
      </c>
      <c r="AD2902" t="s">
        <v>17700</v>
      </c>
      <c r="AE2902" t="s">
        <v>17701</v>
      </c>
      <c r="AJ2902" s="2">
        <v>45660.925405092596</v>
      </c>
      <c r="AK2902" t="s">
        <v>17699</v>
      </c>
      <c r="AL2902" t="s">
        <v>65</v>
      </c>
      <c r="AM2902" s="4">
        <v>0.34722222222222221</v>
      </c>
      <c r="AN2902" t="s">
        <v>66</v>
      </c>
      <c r="AO2902" t="s">
        <v>67</v>
      </c>
    </row>
    <row r="2903" spans="1:41" x14ac:dyDescent="0.2">
      <c r="A2903">
        <v>367697</v>
      </c>
      <c r="B2903" t="s">
        <v>17702</v>
      </c>
      <c r="C2903" t="s">
        <v>69</v>
      </c>
      <c r="D2903" t="s">
        <v>3054</v>
      </c>
      <c r="E2903" t="s">
        <v>17703</v>
      </c>
      <c r="F2903">
        <v>101708</v>
      </c>
      <c r="G2903" s="1">
        <v>34458</v>
      </c>
      <c r="H2903" s="1">
        <v>45525</v>
      </c>
      <c r="I2903" s="1">
        <v>46249</v>
      </c>
      <c r="J2903" t="s">
        <v>45</v>
      </c>
      <c r="K2903" t="s">
        <v>45</v>
      </c>
      <c r="L2903" t="s">
        <v>72</v>
      </c>
      <c r="M2903" s="1">
        <v>45685</v>
      </c>
      <c r="N2903" t="s">
        <v>47</v>
      </c>
      <c r="O2903" t="s">
        <v>48</v>
      </c>
      <c r="P2903" t="s">
        <v>49</v>
      </c>
      <c r="Q2903" t="s">
        <v>17704</v>
      </c>
      <c r="R2903" t="s">
        <v>17705</v>
      </c>
      <c r="S2903">
        <v>4645</v>
      </c>
      <c r="T2903" t="s">
        <v>52</v>
      </c>
      <c r="U2903">
        <v>4</v>
      </c>
      <c r="V2903" t="s">
        <v>2010</v>
      </c>
      <c r="W2903" t="s">
        <v>54</v>
      </c>
      <c r="X2903" t="s">
        <v>76</v>
      </c>
      <c r="Y2903" t="s">
        <v>56</v>
      </c>
      <c r="Z2903">
        <v>641</v>
      </c>
      <c r="AA2903">
        <v>58</v>
      </c>
      <c r="AB2903">
        <v>144</v>
      </c>
      <c r="AC2903" t="s">
        <v>2011</v>
      </c>
      <c r="AD2903" t="s">
        <v>2012</v>
      </c>
      <c r="AE2903" t="s">
        <v>2013</v>
      </c>
      <c r="AF2903" t="s">
        <v>3073</v>
      </c>
      <c r="AG2903" t="s">
        <v>17706</v>
      </c>
      <c r="AH2903" t="s">
        <v>17707</v>
      </c>
      <c r="AI2903" t="s">
        <v>179</v>
      </c>
      <c r="AJ2903" s="2">
        <v>45686.672511574077</v>
      </c>
      <c r="AK2903" t="s">
        <v>2011</v>
      </c>
      <c r="AL2903" t="s">
        <v>65</v>
      </c>
      <c r="AM2903" s="4">
        <v>0.8125</v>
      </c>
      <c r="AN2903" t="s">
        <v>66</v>
      </c>
      <c r="AO2903" t="s">
        <v>67</v>
      </c>
    </row>
    <row r="2904" spans="1:41" x14ac:dyDescent="0.2">
      <c r="A2904">
        <v>370035</v>
      </c>
      <c r="B2904" t="s">
        <v>17708</v>
      </c>
      <c r="C2904" t="s">
        <v>118</v>
      </c>
      <c r="E2904" t="s">
        <v>17709</v>
      </c>
      <c r="F2904">
        <v>21105</v>
      </c>
      <c r="G2904" s="1">
        <v>33906</v>
      </c>
      <c r="H2904" s="1">
        <v>45757</v>
      </c>
      <c r="I2904" s="1">
        <v>46127</v>
      </c>
      <c r="J2904" t="s">
        <v>45</v>
      </c>
      <c r="K2904" t="s">
        <v>45</v>
      </c>
      <c r="L2904" t="s">
        <v>429</v>
      </c>
      <c r="M2904" s="1">
        <v>41906</v>
      </c>
      <c r="N2904" t="s">
        <v>47</v>
      </c>
      <c r="O2904" t="s">
        <v>48</v>
      </c>
      <c r="P2904" t="s">
        <v>49</v>
      </c>
      <c r="Q2904" t="s">
        <v>17710</v>
      </c>
      <c r="R2904" t="s">
        <v>17711</v>
      </c>
      <c r="S2904">
        <v>6250</v>
      </c>
      <c r="T2904" t="s">
        <v>52</v>
      </c>
      <c r="U2904">
        <v>3</v>
      </c>
      <c r="V2904" t="s">
        <v>602</v>
      </c>
      <c r="W2904" t="s">
        <v>54</v>
      </c>
      <c r="X2904" t="s">
        <v>55</v>
      </c>
      <c r="Y2904" t="s">
        <v>56</v>
      </c>
      <c r="Z2904">
        <v>605</v>
      </c>
      <c r="AA2904">
        <v>43</v>
      </c>
      <c r="AB2904">
        <v>146</v>
      </c>
      <c r="AC2904" t="s">
        <v>17084</v>
      </c>
      <c r="AD2904" t="s">
        <v>17085</v>
      </c>
      <c r="AE2904" t="s">
        <v>17086</v>
      </c>
      <c r="AF2904" t="s">
        <v>17087</v>
      </c>
      <c r="AG2904" t="s">
        <v>17088</v>
      </c>
      <c r="AH2904" t="s">
        <v>17089</v>
      </c>
      <c r="AI2904" t="s">
        <v>1809</v>
      </c>
      <c r="AJ2904" s="2">
        <v>45762.584513888891</v>
      </c>
      <c r="AK2904" t="s">
        <v>609</v>
      </c>
      <c r="AL2904" t="s">
        <v>65</v>
      </c>
      <c r="AM2904" s="3">
        <v>1.4826388888888888</v>
      </c>
      <c r="AN2904" t="s">
        <v>66</v>
      </c>
      <c r="AO2904" t="s">
        <v>67</v>
      </c>
    </row>
    <row r="2905" spans="1:41" x14ac:dyDescent="0.2">
      <c r="A2905">
        <v>371842</v>
      </c>
      <c r="B2905" t="s">
        <v>17712</v>
      </c>
      <c r="C2905" t="s">
        <v>69</v>
      </c>
      <c r="D2905" t="s">
        <v>3685</v>
      </c>
      <c r="E2905" t="s">
        <v>17713</v>
      </c>
      <c r="F2905">
        <v>104004</v>
      </c>
      <c r="G2905" s="1">
        <v>35573</v>
      </c>
      <c r="H2905" s="1">
        <v>45819</v>
      </c>
      <c r="I2905" s="1">
        <v>46174</v>
      </c>
      <c r="J2905" t="s">
        <v>45</v>
      </c>
      <c r="K2905" t="s">
        <v>45</v>
      </c>
      <c r="L2905" t="s">
        <v>429</v>
      </c>
      <c r="M2905" s="1">
        <v>42537</v>
      </c>
      <c r="N2905" t="s">
        <v>47</v>
      </c>
      <c r="O2905" t="s">
        <v>48</v>
      </c>
      <c r="P2905" t="s">
        <v>49</v>
      </c>
      <c r="Q2905" t="s">
        <v>17714</v>
      </c>
      <c r="R2905" t="s">
        <v>17715</v>
      </c>
      <c r="S2905">
        <v>5700</v>
      </c>
      <c r="T2905" t="s">
        <v>52</v>
      </c>
      <c r="U2905">
        <v>4</v>
      </c>
      <c r="V2905" t="s">
        <v>5619</v>
      </c>
      <c r="W2905" t="s">
        <v>54</v>
      </c>
      <c r="X2905" t="s">
        <v>76</v>
      </c>
      <c r="Y2905" t="s">
        <v>56</v>
      </c>
      <c r="Z2905">
        <v>668</v>
      </c>
      <c r="AA2905">
        <v>61</v>
      </c>
      <c r="AB2905">
        <v>28</v>
      </c>
      <c r="AC2905" t="s">
        <v>5620</v>
      </c>
      <c r="AD2905" t="s">
        <v>5621</v>
      </c>
      <c r="AE2905" t="s">
        <v>5622</v>
      </c>
      <c r="AF2905" t="s">
        <v>3690</v>
      </c>
      <c r="AG2905" t="s">
        <v>3691</v>
      </c>
      <c r="AH2905" t="s">
        <v>3692</v>
      </c>
      <c r="AI2905" t="s">
        <v>12276</v>
      </c>
      <c r="AJ2905" s="2">
        <v>45821.53224537037</v>
      </c>
      <c r="AK2905" t="s">
        <v>568</v>
      </c>
      <c r="AL2905" t="s">
        <v>65</v>
      </c>
      <c r="AM2905" s="3">
        <v>1.8958333333333333</v>
      </c>
      <c r="AN2905" t="s">
        <v>66</v>
      </c>
      <c r="AO2905" t="s">
        <v>67</v>
      </c>
    </row>
    <row r="2906" spans="1:41" x14ac:dyDescent="0.2">
      <c r="A2906">
        <v>358566</v>
      </c>
      <c r="B2906" t="s">
        <v>17716</v>
      </c>
      <c r="C2906" t="s">
        <v>542</v>
      </c>
      <c r="D2906" t="s">
        <v>17717</v>
      </c>
      <c r="E2906" t="s">
        <v>17718</v>
      </c>
      <c r="F2906">
        <v>360771</v>
      </c>
      <c r="G2906" s="1">
        <v>43972</v>
      </c>
      <c r="H2906" s="1">
        <v>45363</v>
      </c>
      <c r="J2906" t="s">
        <v>45</v>
      </c>
      <c r="K2906" t="s">
        <v>45</v>
      </c>
      <c r="L2906" t="s">
        <v>72</v>
      </c>
      <c r="M2906" s="1">
        <v>44371</v>
      </c>
      <c r="N2906" t="s">
        <v>47</v>
      </c>
      <c r="O2906" t="s">
        <v>48</v>
      </c>
      <c r="P2906" t="s">
        <v>49</v>
      </c>
      <c r="Q2906" t="s">
        <v>17719</v>
      </c>
      <c r="R2906" t="s">
        <v>17720</v>
      </c>
      <c r="S2906">
        <v>651</v>
      </c>
      <c r="T2906" t="s">
        <v>92</v>
      </c>
      <c r="U2906" t="s">
        <v>1133</v>
      </c>
      <c r="V2906" t="s">
        <v>1134</v>
      </c>
      <c r="W2906" t="s">
        <v>1135</v>
      </c>
      <c r="X2906" t="s">
        <v>92</v>
      </c>
      <c r="Y2906" t="s">
        <v>770</v>
      </c>
      <c r="Z2906">
        <v>10906</v>
      </c>
      <c r="AA2906">
        <v>11</v>
      </c>
      <c r="AB2906">
        <v>45</v>
      </c>
      <c r="AC2906" t="s">
        <v>1136</v>
      </c>
      <c r="AD2906" t="s">
        <v>1137</v>
      </c>
      <c r="AE2906" t="s">
        <v>1138</v>
      </c>
      <c r="AJ2906" s="2">
        <v>45363.931307870371</v>
      </c>
      <c r="AK2906" t="s">
        <v>1136</v>
      </c>
      <c r="AL2906" t="s">
        <v>65</v>
      </c>
      <c r="AM2906" s="3">
        <v>1.8263888888888888</v>
      </c>
      <c r="AN2906" t="s">
        <v>66</v>
      </c>
      <c r="AO2906" t="s">
        <v>101</v>
      </c>
    </row>
    <row r="2907" spans="1:41" x14ac:dyDescent="0.2">
      <c r="A2907">
        <v>371796</v>
      </c>
      <c r="B2907" t="s">
        <v>17721</v>
      </c>
      <c r="C2907" t="s">
        <v>69</v>
      </c>
      <c r="D2907" t="s">
        <v>3278</v>
      </c>
      <c r="E2907">
        <v>32523136</v>
      </c>
      <c r="F2907">
        <v>103208</v>
      </c>
      <c r="G2907" s="1">
        <v>33016</v>
      </c>
      <c r="H2907" s="1">
        <v>45819</v>
      </c>
      <c r="I2907" s="1">
        <v>46249</v>
      </c>
      <c r="J2907" t="s">
        <v>45</v>
      </c>
      <c r="K2907" t="s">
        <v>45</v>
      </c>
      <c r="L2907" t="s">
        <v>72</v>
      </c>
      <c r="M2907" s="1">
        <v>40039</v>
      </c>
      <c r="N2907" t="s">
        <v>47</v>
      </c>
      <c r="O2907" t="s">
        <v>48</v>
      </c>
      <c r="P2907" t="s">
        <v>49</v>
      </c>
      <c r="Q2907" t="s">
        <v>17722</v>
      </c>
      <c r="R2907" t="s">
        <v>17723</v>
      </c>
      <c r="S2907">
        <v>5270</v>
      </c>
      <c r="T2907" t="s">
        <v>365</v>
      </c>
      <c r="U2907" t="s">
        <v>532</v>
      </c>
      <c r="V2907" t="s">
        <v>3282</v>
      </c>
      <c r="W2907" t="s">
        <v>367</v>
      </c>
      <c r="X2907" t="s">
        <v>76</v>
      </c>
      <c r="Y2907" t="s">
        <v>434</v>
      </c>
      <c r="Z2907">
        <v>157</v>
      </c>
      <c r="AA2907">
        <v>51</v>
      </c>
      <c r="AB2907">
        <v>152</v>
      </c>
      <c r="AC2907" t="s">
        <v>3283</v>
      </c>
      <c r="AD2907" t="s">
        <v>3284</v>
      </c>
      <c r="AE2907" t="s">
        <v>14173</v>
      </c>
      <c r="AI2907" t="s">
        <v>179</v>
      </c>
      <c r="AJ2907" s="2">
        <v>45819.749247685184</v>
      </c>
      <c r="AK2907" t="s">
        <v>1167</v>
      </c>
      <c r="AL2907" t="s">
        <v>65</v>
      </c>
      <c r="AM2907" s="3">
        <v>2.3125</v>
      </c>
      <c r="AN2907" t="s">
        <v>66</v>
      </c>
      <c r="AO2907" t="s">
        <v>67</v>
      </c>
    </row>
    <row r="2908" spans="1:41" x14ac:dyDescent="0.2">
      <c r="A2908">
        <v>371945</v>
      </c>
      <c r="B2908" t="s">
        <v>17724</v>
      </c>
      <c r="C2908" t="s">
        <v>583</v>
      </c>
      <c r="D2908" t="s">
        <v>17725</v>
      </c>
      <c r="E2908" t="s">
        <v>17726</v>
      </c>
      <c r="F2908">
        <v>152001</v>
      </c>
      <c r="G2908" s="1">
        <v>35748</v>
      </c>
      <c r="H2908" s="1">
        <v>45629</v>
      </c>
      <c r="I2908" s="1">
        <v>46266</v>
      </c>
      <c r="J2908" t="s">
        <v>45</v>
      </c>
      <c r="K2908" t="s">
        <v>45</v>
      </c>
      <c r="L2908" t="s">
        <v>4306</v>
      </c>
      <c r="M2908" s="1">
        <v>44299</v>
      </c>
      <c r="N2908" t="s">
        <v>47</v>
      </c>
      <c r="O2908" t="s">
        <v>48</v>
      </c>
      <c r="P2908" t="s">
        <v>49</v>
      </c>
      <c r="Q2908" t="s">
        <v>17727</v>
      </c>
      <c r="R2908" t="s">
        <v>17728</v>
      </c>
      <c r="S2908">
        <v>1364</v>
      </c>
      <c r="T2908" t="s">
        <v>52</v>
      </c>
      <c r="U2908">
        <v>8</v>
      </c>
      <c r="V2908" t="s">
        <v>10460</v>
      </c>
      <c r="W2908" t="s">
        <v>54</v>
      </c>
      <c r="X2908" t="s">
        <v>76</v>
      </c>
      <c r="Y2908" t="s">
        <v>56</v>
      </c>
      <c r="Z2908">
        <v>1467</v>
      </c>
      <c r="AA2908">
        <v>46</v>
      </c>
      <c r="AB2908">
        <v>160</v>
      </c>
      <c r="AC2908" t="s">
        <v>17729</v>
      </c>
      <c r="AD2908" t="s">
        <v>10462</v>
      </c>
      <c r="AE2908" t="s">
        <v>10463</v>
      </c>
      <c r="AF2908" t="s">
        <v>10464</v>
      </c>
      <c r="AG2908" t="s">
        <v>10465</v>
      </c>
      <c r="AH2908" t="s">
        <v>10466</v>
      </c>
      <c r="AI2908" t="s">
        <v>10467</v>
      </c>
      <c r="AJ2908" s="2">
        <v>45825.662418981483</v>
      </c>
      <c r="AK2908" t="s">
        <v>2068</v>
      </c>
      <c r="AL2908" t="s">
        <v>65</v>
      </c>
      <c r="AM2908" s="4">
        <v>9.7222222222222224E-2</v>
      </c>
      <c r="AN2908" t="s">
        <v>66</v>
      </c>
      <c r="AO2908" t="s">
        <v>67</v>
      </c>
    </row>
    <row r="2909" spans="1:41" x14ac:dyDescent="0.2">
      <c r="A2909">
        <v>365092</v>
      </c>
      <c r="B2909" t="s">
        <v>17730</v>
      </c>
      <c r="C2909" t="s">
        <v>134</v>
      </c>
      <c r="D2909" t="s">
        <v>4154</v>
      </c>
      <c r="E2909" t="s">
        <v>17731</v>
      </c>
      <c r="F2909">
        <v>452142</v>
      </c>
      <c r="G2909" s="1">
        <v>45565</v>
      </c>
      <c r="H2909" s="1">
        <v>45562</v>
      </c>
      <c r="J2909" t="s">
        <v>45</v>
      </c>
      <c r="K2909" t="s">
        <v>45</v>
      </c>
      <c r="L2909" t="s">
        <v>46</v>
      </c>
      <c r="N2909" t="s">
        <v>47</v>
      </c>
      <c r="O2909" t="s">
        <v>48</v>
      </c>
      <c r="P2909" t="s">
        <v>49</v>
      </c>
      <c r="Q2909" t="s">
        <v>17732</v>
      </c>
      <c r="R2909" t="s">
        <v>17733</v>
      </c>
      <c r="S2909">
        <v>7158</v>
      </c>
      <c r="T2909" t="s">
        <v>92</v>
      </c>
      <c r="U2909" t="s">
        <v>139</v>
      </c>
      <c r="V2909" t="s">
        <v>140</v>
      </c>
      <c r="W2909" t="s">
        <v>141</v>
      </c>
      <c r="X2909" t="s">
        <v>92</v>
      </c>
      <c r="Y2909" t="s">
        <v>96</v>
      </c>
      <c r="Z2909">
        <v>12177</v>
      </c>
      <c r="AA2909">
        <v>11</v>
      </c>
      <c r="AB2909">
        <v>44</v>
      </c>
      <c r="AC2909" t="s">
        <v>145</v>
      </c>
      <c r="AD2909" t="s">
        <v>146</v>
      </c>
      <c r="AE2909" t="s">
        <v>147</v>
      </c>
      <c r="AF2909" t="s">
        <v>17734</v>
      </c>
      <c r="AG2909" t="s">
        <v>17735</v>
      </c>
      <c r="AH2909" t="s">
        <v>17736</v>
      </c>
      <c r="AJ2909" s="2">
        <v>45568.474409722221</v>
      </c>
      <c r="AK2909" t="s">
        <v>132</v>
      </c>
      <c r="AL2909" t="s">
        <v>65</v>
      </c>
      <c r="AM2909" s="3">
        <v>1.3229166666666667</v>
      </c>
      <c r="AN2909" t="s">
        <v>66</v>
      </c>
      <c r="AO2909" t="s">
        <v>67</v>
      </c>
    </row>
    <row r="2910" spans="1:41" x14ac:dyDescent="0.2">
      <c r="A2910">
        <v>364701</v>
      </c>
      <c r="B2910" t="s">
        <v>17737</v>
      </c>
      <c r="C2910" t="s">
        <v>979</v>
      </c>
      <c r="D2910" t="s">
        <v>4132</v>
      </c>
      <c r="E2910" t="s">
        <v>17738</v>
      </c>
      <c r="F2910">
        <v>30101</v>
      </c>
      <c r="G2910" s="1">
        <v>43388</v>
      </c>
      <c r="H2910" s="1">
        <v>45555</v>
      </c>
      <c r="I2910" s="1">
        <v>45915</v>
      </c>
      <c r="J2910" t="s">
        <v>45</v>
      </c>
      <c r="K2910" t="s">
        <v>45</v>
      </c>
      <c r="L2910" t="s">
        <v>72</v>
      </c>
      <c r="N2910" t="s">
        <v>47</v>
      </c>
      <c r="O2910" t="s">
        <v>48</v>
      </c>
      <c r="P2910" t="s">
        <v>49</v>
      </c>
      <c r="Q2910" t="s">
        <v>17739</v>
      </c>
      <c r="R2910" t="s">
        <v>17740</v>
      </c>
      <c r="S2910">
        <v>1585</v>
      </c>
      <c r="T2910" t="s">
        <v>257</v>
      </c>
      <c r="U2910" t="s">
        <v>258</v>
      </c>
      <c r="V2910" t="s">
        <v>5453</v>
      </c>
      <c r="W2910" t="s">
        <v>260</v>
      </c>
      <c r="Y2910" t="s">
        <v>110</v>
      </c>
      <c r="Z2910">
        <v>9846</v>
      </c>
      <c r="AA2910">
        <v>14</v>
      </c>
      <c r="AB2910">
        <v>78</v>
      </c>
      <c r="AC2910" t="s">
        <v>5454</v>
      </c>
      <c r="AD2910" t="s">
        <v>5455</v>
      </c>
      <c r="AE2910" t="s">
        <v>17741</v>
      </c>
      <c r="AF2910" t="s">
        <v>17742</v>
      </c>
      <c r="AG2910" t="s">
        <v>1540</v>
      </c>
      <c r="AH2910" t="s">
        <v>17743</v>
      </c>
      <c r="AJ2910" s="2">
        <v>45558.549953703703</v>
      </c>
      <c r="AK2910" t="s">
        <v>5458</v>
      </c>
      <c r="AL2910" t="s">
        <v>65</v>
      </c>
      <c r="AM2910" s="3">
        <v>1.7152777777777777</v>
      </c>
      <c r="AN2910" t="s">
        <v>66</v>
      </c>
      <c r="AO2910" t="s">
        <v>67</v>
      </c>
    </row>
    <row r="2911" spans="1:41" x14ac:dyDescent="0.2">
      <c r="A2911">
        <v>369347</v>
      </c>
      <c r="B2911" t="s">
        <v>17744</v>
      </c>
      <c r="C2911" t="s">
        <v>182</v>
      </c>
      <c r="D2911" t="s">
        <v>443</v>
      </c>
      <c r="E2911" t="s">
        <v>17745</v>
      </c>
      <c r="F2911">
        <v>44510</v>
      </c>
      <c r="G2911" s="1">
        <v>38648</v>
      </c>
      <c r="H2911" s="1">
        <v>45728</v>
      </c>
      <c r="I2911" s="1">
        <v>46096</v>
      </c>
      <c r="J2911" t="s">
        <v>45</v>
      </c>
      <c r="K2911" t="s">
        <v>45</v>
      </c>
      <c r="L2911" t="s">
        <v>46</v>
      </c>
      <c r="M2911" s="1">
        <v>44432</v>
      </c>
      <c r="N2911" t="s">
        <v>47</v>
      </c>
      <c r="O2911" t="s">
        <v>48</v>
      </c>
      <c r="P2911" t="s">
        <v>49</v>
      </c>
      <c r="Q2911" t="s">
        <v>17746</v>
      </c>
      <c r="R2911" t="s">
        <v>17747</v>
      </c>
      <c r="S2911">
        <v>1487</v>
      </c>
      <c r="T2911" t="s">
        <v>52</v>
      </c>
      <c r="U2911">
        <v>5</v>
      </c>
      <c r="V2911" t="s">
        <v>1817</v>
      </c>
      <c r="W2911" t="s">
        <v>54</v>
      </c>
      <c r="X2911" t="s">
        <v>493</v>
      </c>
      <c r="Y2911" t="s">
        <v>434</v>
      </c>
      <c r="Z2911">
        <v>1161</v>
      </c>
      <c r="AA2911">
        <v>76</v>
      </c>
      <c r="AB2911">
        <v>144</v>
      </c>
      <c r="AC2911" t="s">
        <v>1821</v>
      </c>
      <c r="AD2911" t="s">
        <v>1822</v>
      </c>
      <c r="AE2911" t="s">
        <v>1823</v>
      </c>
      <c r="AF2911" t="s">
        <v>6403</v>
      </c>
      <c r="AG2911" t="s">
        <v>6404</v>
      </c>
      <c r="AH2911" t="s">
        <v>16545</v>
      </c>
      <c r="AI2911" t="s">
        <v>500</v>
      </c>
      <c r="AJ2911" s="2">
        <v>45735.775567129633</v>
      </c>
      <c r="AK2911" t="s">
        <v>1999</v>
      </c>
      <c r="AL2911" t="s">
        <v>65</v>
      </c>
      <c r="AM2911" s="3">
        <v>2.1805555555555554</v>
      </c>
      <c r="AN2911" t="s">
        <v>66</v>
      </c>
      <c r="AO2911" t="s">
        <v>67</v>
      </c>
    </row>
    <row r="2912" spans="1:41" x14ac:dyDescent="0.2">
      <c r="A2912">
        <v>371960</v>
      </c>
      <c r="B2912" t="s">
        <v>17748</v>
      </c>
      <c r="C2912" t="s">
        <v>182</v>
      </c>
      <c r="D2912" t="s">
        <v>1467</v>
      </c>
      <c r="E2912" t="s">
        <v>17749</v>
      </c>
      <c r="F2912">
        <v>40516</v>
      </c>
      <c r="G2912" s="1">
        <v>37124</v>
      </c>
      <c r="H2912" s="1">
        <v>45822</v>
      </c>
      <c r="J2912" t="s">
        <v>45</v>
      </c>
      <c r="K2912" t="s">
        <v>72</v>
      </c>
      <c r="L2912" t="s">
        <v>72</v>
      </c>
      <c r="M2912" s="1">
        <v>37650</v>
      </c>
      <c r="N2912" t="s">
        <v>47</v>
      </c>
      <c r="O2912" t="s">
        <v>48</v>
      </c>
      <c r="P2912" t="s">
        <v>49</v>
      </c>
      <c r="Q2912" t="s">
        <v>17750</v>
      </c>
      <c r="R2912" t="s">
        <v>17751</v>
      </c>
      <c r="S2912">
        <v>3308</v>
      </c>
      <c r="T2912" t="s">
        <v>92</v>
      </c>
      <c r="U2912" t="s">
        <v>187</v>
      </c>
      <c r="V2912" t="s">
        <v>447</v>
      </c>
      <c r="W2912" t="s">
        <v>448</v>
      </c>
      <c r="X2912" t="s">
        <v>92</v>
      </c>
      <c r="Y2912" t="s">
        <v>450</v>
      </c>
      <c r="Z2912">
        <v>1278</v>
      </c>
      <c r="AA2912">
        <v>51</v>
      </c>
      <c r="AB2912">
        <v>66</v>
      </c>
      <c r="AC2912" t="s">
        <v>451</v>
      </c>
      <c r="AD2912" t="s">
        <v>452</v>
      </c>
      <c r="AE2912" t="s">
        <v>453</v>
      </c>
      <c r="AF2912" t="s">
        <v>454</v>
      </c>
      <c r="AG2912" t="s">
        <v>473</v>
      </c>
      <c r="AH2912" t="s">
        <v>474</v>
      </c>
      <c r="AJ2912" s="2">
        <v>45825.714236111111</v>
      </c>
      <c r="AK2912" t="s">
        <v>456</v>
      </c>
      <c r="AL2912" t="s">
        <v>65</v>
      </c>
      <c r="AM2912" s="3">
        <v>1.1805555555555556</v>
      </c>
      <c r="AN2912" t="s">
        <v>66</v>
      </c>
      <c r="AO2912" t="s">
        <v>67</v>
      </c>
    </row>
    <row r="2913" spans="1:41" x14ac:dyDescent="0.2">
      <c r="A2913">
        <v>368672</v>
      </c>
      <c r="B2913" t="s">
        <v>17752</v>
      </c>
      <c r="C2913" t="s">
        <v>167</v>
      </c>
      <c r="D2913" t="s">
        <v>3504</v>
      </c>
      <c r="E2913" t="s">
        <v>17753</v>
      </c>
      <c r="F2913">
        <v>352552</v>
      </c>
      <c r="G2913" s="1">
        <v>31525</v>
      </c>
      <c r="H2913" s="1">
        <v>45715</v>
      </c>
      <c r="I2913" s="1">
        <v>46054</v>
      </c>
      <c r="J2913" t="s">
        <v>45</v>
      </c>
      <c r="K2913" t="s">
        <v>45</v>
      </c>
      <c r="L2913" t="s">
        <v>72</v>
      </c>
      <c r="M2913" s="1">
        <v>44107</v>
      </c>
      <c r="N2913" t="s">
        <v>47</v>
      </c>
      <c r="O2913" t="s">
        <v>48</v>
      </c>
      <c r="P2913" t="s">
        <v>49</v>
      </c>
      <c r="Q2913" t="s">
        <v>17754</v>
      </c>
      <c r="R2913" t="s">
        <v>17755</v>
      </c>
      <c r="S2913">
        <v>2270</v>
      </c>
      <c r="T2913" t="s">
        <v>365</v>
      </c>
      <c r="U2913" t="s">
        <v>532</v>
      </c>
      <c r="V2913" t="s">
        <v>3508</v>
      </c>
      <c r="W2913" t="s">
        <v>367</v>
      </c>
      <c r="X2913" t="s">
        <v>76</v>
      </c>
      <c r="Y2913" t="s">
        <v>434</v>
      </c>
      <c r="Z2913">
        <v>300</v>
      </c>
      <c r="AA2913">
        <v>93</v>
      </c>
      <c r="AB2913">
        <v>80</v>
      </c>
      <c r="AC2913" t="s">
        <v>3254</v>
      </c>
      <c r="AD2913" t="s">
        <v>3255</v>
      </c>
      <c r="AE2913" t="s">
        <v>3256</v>
      </c>
      <c r="AF2913" t="s">
        <v>17756</v>
      </c>
      <c r="AG2913" t="s">
        <v>17757</v>
      </c>
      <c r="AH2913" t="s">
        <v>17758</v>
      </c>
      <c r="AI2913" t="s">
        <v>17759</v>
      </c>
      <c r="AJ2913" s="2">
        <v>45719.767523148148</v>
      </c>
      <c r="AK2913" t="s">
        <v>704</v>
      </c>
      <c r="AL2913" t="s">
        <v>65</v>
      </c>
      <c r="AM2913" s="4">
        <v>0.60416666666666663</v>
      </c>
      <c r="AN2913" t="s">
        <v>66</v>
      </c>
      <c r="AO2913" t="s">
        <v>67</v>
      </c>
    </row>
    <row r="2914" spans="1:41" x14ac:dyDescent="0.2">
      <c r="A2914">
        <v>372948</v>
      </c>
      <c r="B2914" t="s">
        <v>17760</v>
      </c>
      <c r="C2914" t="s">
        <v>86</v>
      </c>
      <c r="D2914" t="s">
        <v>14588</v>
      </c>
      <c r="E2914" t="s">
        <v>17761</v>
      </c>
      <c r="F2914">
        <v>201506</v>
      </c>
      <c r="G2914" s="1">
        <v>42361</v>
      </c>
      <c r="H2914" s="1">
        <v>45776</v>
      </c>
      <c r="I2914" s="1">
        <v>46157</v>
      </c>
      <c r="J2914" t="s">
        <v>45</v>
      </c>
      <c r="K2914" t="s">
        <v>45</v>
      </c>
      <c r="L2914" t="s">
        <v>46</v>
      </c>
      <c r="M2914" s="1">
        <v>45246</v>
      </c>
      <c r="N2914" t="s">
        <v>47</v>
      </c>
      <c r="O2914" t="s">
        <v>48</v>
      </c>
      <c r="P2914" t="s">
        <v>49</v>
      </c>
      <c r="Q2914" t="s">
        <v>17762</v>
      </c>
      <c r="R2914" t="s">
        <v>17763</v>
      </c>
      <c r="S2914">
        <v>867</v>
      </c>
      <c r="T2914" t="s">
        <v>52</v>
      </c>
      <c r="U2914">
        <v>9</v>
      </c>
      <c r="V2914" t="s">
        <v>1678</v>
      </c>
      <c r="W2914" t="s">
        <v>54</v>
      </c>
      <c r="X2914" t="s">
        <v>76</v>
      </c>
      <c r="Y2914" t="s">
        <v>56</v>
      </c>
      <c r="Z2914">
        <v>7506</v>
      </c>
      <c r="AA2914">
        <v>28</v>
      </c>
      <c r="AB2914">
        <v>37</v>
      </c>
      <c r="AC2914" t="s">
        <v>14592</v>
      </c>
      <c r="AD2914" t="s">
        <v>14593</v>
      </c>
      <c r="AE2914" t="s">
        <v>14594</v>
      </c>
      <c r="AF2914" t="s">
        <v>14595</v>
      </c>
      <c r="AG2914" t="s">
        <v>14596</v>
      </c>
      <c r="AH2914" t="s">
        <v>14597</v>
      </c>
      <c r="AI2914" t="s">
        <v>17764</v>
      </c>
      <c r="AJ2914" s="2">
        <v>45855.942083333335</v>
      </c>
      <c r="AK2914" t="s">
        <v>556</v>
      </c>
      <c r="AL2914" t="s">
        <v>65</v>
      </c>
      <c r="AM2914" s="4">
        <v>0.98611111111111116</v>
      </c>
      <c r="AN2914" t="s">
        <v>66</v>
      </c>
      <c r="AO2914" t="s">
        <v>67</v>
      </c>
    </row>
    <row r="2915" spans="1:41" x14ac:dyDescent="0.2">
      <c r="A2915">
        <v>371206</v>
      </c>
      <c r="B2915" t="s">
        <v>17765</v>
      </c>
      <c r="C2915" t="s">
        <v>735</v>
      </c>
      <c r="D2915" t="s">
        <v>1849</v>
      </c>
      <c r="E2915" t="s">
        <v>17766</v>
      </c>
      <c r="F2915">
        <v>240112</v>
      </c>
      <c r="G2915" s="1">
        <v>32998</v>
      </c>
      <c r="H2915" s="1">
        <v>45520</v>
      </c>
      <c r="I2915" s="1">
        <v>46235</v>
      </c>
      <c r="J2915" t="s">
        <v>45</v>
      </c>
      <c r="K2915" t="s">
        <v>45</v>
      </c>
      <c r="L2915" t="s">
        <v>429</v>
      </c>
      <c r="M2915" s="1">
        <v>45161</v>
      </c>
      <c r="N2915" t="s">
        <v>47</v>
      </c>
      <c r="O2915" t="s">
        <v>48</v>
      </c>
      <c r="P2915" t="s">
        <v>49</v>
      </c>
      <c r="Q2915" t="s">
        <v>17767</v>
      </c>
      <c r="R2915" t="s">
        <v>17768</v>
      </c>
      <c r="S2915">
        <v>2009</v>
      </c>
      <c r="T2915" t="s">
        <v>52</v>
      </c>
      <c r="U2915">
        <v>1</v>
      </c>
      <c r="V2915" t="s">
        <v>1853</v>
      </c>
      <c r="W2915" t="s">
        <v>54</v>
      </c>
      <c r="X2915" t="s">
        <v>76</v>
      </c>
      <c r="Y2915" t="s">
        <v>56</v>
      </c>
      <c r="Z2915">
        <v>968</v>
      </c>
      <c r="AA2915">
        <v>45</v>
      </c>
      <c r="AB2915">
        <v>146</v>
      </c>
      <c r="AC2915" t="s">
        <v>17769</v>
      </c>
      <c r="AD2915" t="s">
        <v>3866</v>
      </c>
      <c r="AE2915" t="s">
        <v>3867</v>
      </c>
      <c r="AF2915" t="s">
        <v>1857</v>
      </c>
      <c r="AG2915" t="s">
        <v>1858</v>
      </c>
      <c r="AH2915" t="s">
        <v>1859</v>
      </c>
      <c r="AI2915" t="s">
        <v>179</v>
      </c>
      <c r="AJ2915" s="2">
        <v>45798.656168981484</v>
      </c>
      <c r="AK2915" t="s">
        <v>1857</v>
      </c>
      <c r="AL2915" t="s">
        <v>65</v>
      </c>
      <c r="AM2915" s="4">
        <v>0.31944444444444442</v>
      </c>
      <c r="AN2915" t="s">
        <v>66</v>
      </c>
      <c r="AO2915" t="s">
        <v>67</v>
      </c>
    </row>
    <row r="2916" spans="1:41" x14ac:dyDescent="0.2">
      <c r="A2916">
        <v>371657</v>
      </c>
      <c r="B2916" t="s">
        <v>17770</v>
      </c>
      <c r="C2916" t="s">
        <v>42</v>
      </c>
      <c r="D2916" t="s">
        <v>2670</v>
      </c>
      <c r="E2916" t="s">
        <v>17771</v>
      </c>
      <c r="F2916">
        <v>290210</v>
      </c>
      <c r="G2916" s="1">
        <v>37182</v>
      </c>
      <c r="H2916" s="1">
        <v>45811</v>
      </c>
      <c r="I2916" s="1">
        <v>46143</v>
      </c>
      <c r="J2916" t="s">
        <v>45</v>
      </c>
      <c r="K2916" t="s">
        <v>45</v>
      </c>
      <c r="L2916" t="s">
        <v>4306</v>
      </c>
      <c r="N2916" t="s">
        <v>47</v>
      </c>
      <c r="O2916" t="s">
        <v>48</v>
      </c>
      <c r="P2916" t="s">
        <v>49</v>
      </c>
      <c r="Q2916" t="s">
        <v>17772</v>
      </c>
      <c r="R2916" t="s">
        <v>17773</v>
      </c>
      <c r="S2916">
        <v>8353</v>
      </c>
      <c r="T2916" t="s">
        <v>52</v>
      </c>
      <c r="U2916">
        <v>3</v>
      </c>
      <c r="V2916" t="s">
        <v>4458</v>
      </c>
      <c r="W2916" t="s">
        <v>54</v>
      </c>
      <c r="X2916" t="s">
        <v>55</v>
      </c>
      <c r="Y2916" t="s">
        <v>56</v>
      </c>
      <c r="Z2916">
        <v>1184</v>
      </c>
      <c r="AA2916">
        <v>49</v>
      </c>
      <c r="AB2916">
        <v>144</v>
      </c>
      <c r="AC2916" t="s">
        <v>5149</v>
      </c>
      <c r="AD2916" t="s">
        <v>5150</v>
      </c>
      <c r="AE2916" t="s">
        <v>5151</v>
      </c>
      <c r="AF2916" t="s">
        <v>1763</v>
      </c>
      <c r="AG2916" t="s">
        <v>1764</v>
      </c>
      <c r="AH2916" t="s">
        <v>1765</v>
      </c>
      <c r="AI2916" t="s">
        <v>1809</v>
      </c>
      <c r="AJ2916" s="2">
        <v>45817.840312499997</v>
      </c>
      <c r="AK2916" t="s">
        <v>609</v>
      </c>
      <c r="AL2916" t="s">
        <v>65</v>
      </c>
      <c r="AM2916" s="4">
        <v>0.46527777777777779</v>
      </c>
      <c r="AN2916" t="s">
        <v>66</v>
      </c>
      <c r="AO2916" t="s">
        <v>67</v>
      </c>
    </row>
    <row r="2917" spans="1:41" x14ac:dyDescent="0.2">
      <c r="A2917">
        <v>369619</v>
      </c>
      <c r="B2917" t="s">
        <v>17774</v>
      </c>
      <c r="C2917" t="s">
        <v>118</v>
      </c>
      <c r="D2917" t="s">
        <v>2713</v>
      </c>
      <c r="E2917" t="s">
        <v>17775</v>
      </c>
      <c r="F2917">
        <v>20120</v>
      </c>
      <c r="G2917" s="1">
        <v>37408</v>
      </c>
      <c r="H2917" s="1">
        <v>45741</v>
      </c>
      <c r="I2917" s="1">
        <v>46082</v>
      </c>
      <c r="J2917" t="s">
        <v>45</v>
      </c>
      <c r="K2917" t="s">
        <v>45</v>
      </c>
      <c r="L2917" t="s">
        <v>46</v>
      </c>
      <c r="N2917" t="s">
        <v>47</v>
      </c>
      <c r="O2917" t="s">
        <v>48</v>
      </c>
      <c r="P2917" t="s">
        <v>49</v>
      </c>
      <c r="Q2917" t="s">
        <v>17776</v>
      </c>
      <c r="R2917" t="s">
        <v>17777</v>
      </c>
      <c r="S2917">
        <v>5304</v>
      </c>
      <c r="T2917" t="s">
        <v>296</v>
      </c>
      <c r="U2917" t="s">
        <v>297</v>
      </c>
      <c r="V2917" t="s">
        <v>1414</v>
      </c>
      <c r="W2917" t="s">
        <v>299</v>
      </c>
      <c r="X2917" t="s">
        <v>55</v>
      </c>
      <c r="Y2917" t="s">
        <v>56</v>
      </c>
      <c r="Z2917">
        <v>2222</v>
      </c>
      <c r="AA2917">
        <v>35</v>
      </c>
      <c r="AB2917">
        <v>160</v>
      </c>
      <c r="AC2917" t="s">
        <v>7740</v>
      </c>
      <c r="AD2917" t="s">
        <v>7741</v>
      </c>
      <c r="AE2917" t="s">
        <v>17778</v>
      </c>
      <c r="AF2917" t="s">
        <v>1415</v>
      </c>
      <c r="AG2917" t="s">
        <v>7743</v>
      </c>
      <c r="AH2917" t="s">
        <v>7744</v>
      </c>
      <c r="AI2917" t="s">
        <v>1404</v>
      </c>
      <c r="AJ2917" s="2">
        <v>45747.670775462961</v>
      </c>
      <c r="AK2917" t="s">
        <v>307</v>
      </c>
      <c r="AL2917" t="s">
        <v>65</v>
      </c>
      <c r="AM2917" s="4">
        <v>0.58333333333333337</v>
      </c>
      <c r="AN2917" t="s">
        <v>66</v>
      </c>
      <c r="AO2917" t="s">
        <v>67</v>
      </c>
    </row>
    <row r="2918" spans="1:41" x14ac:dyDescent="0.2">
      <c r="A2918">
        <v>369722</v>
      </c>
      <c r="B2918" t="s">
        <v>17779</v>
      </c>
      <c r="C2918" t="s">
        <v>754</v>
      </c>
      <c r="D2918" t="s">
        <v>7264</v>
      </c>
      <c r="E2918" t="s">
        <v>17780</v>
      </c>
      <c r="F2918">
        <v>182101</v>
      </c>
      <c r="G2918" s="1">
        <v>39882</v>
      </c>
      <c r="H2918" s="1">
        <v>45617</v>
      </c>
      <c r="J2918" t="s">
        <v>45</v>
      </c>
      <c r="K2918" t="s">
        <v>45</v>
      </c>
      <c r="L2918" t="s">
        <v>72</v>
      </c>
      <c r="N2918" t="s">
        <v>47</v>
      </c>
      <c r="O2918" t="s">
        <v>48</v>
      </c>
      <c r="P2918" t="s">
        <v>49</v>
      </c>
      <c r="Q2918" t="s">
        <v>17781</v>
      </c>
      <c r="R2918" t="s">
        <v>17782</v>
      </c>
      <c r="S2918">
        <v>49</v>
      </c>
      <c r="T2918" t="s">
        <v>92</v>
      </c>
      <c r="U2918" t="s">
        <v>4785</v>
      </c>
      <c r="V2918" t="s">
        <v>768</v>
      </c>
      <c r="W2918" t="s">
        <v>4786</v>
      </c>
      <c r="X2918" t="s">
        <v>449</v>
      </c>
      <c r="Y2918" t="s">
        <v>770</v>
      </c>
      <c r="Z2918">
        <v>3037</v>
      </c>
      <c r="AA2918">
        <v>31</v>
      </c>
      <c r="AB2918">
        <v>80</v>
      </c>
      <c r="AC2918" t="s">
        <v>4787</v>
      </c>
      <c r="AD2918" t="s">
        <v>4788</v>
      </c>
      <c r="AE2918" t="s">
        <v>4789</v>
      </c>
      <c r="AF2918" t="s">
        <v>4790</v>
      </c>
      <c r="AG2918" t="s">
        <v>8301</v>
      </c>
      <c r="AH2918" t="s">
        <v>17783</v>
      </c>
      <c r="AJ2918" s="2">
        <v>45749.916562500002</v>
      </c>
      <c r="AK2918" t="s">
        <v>1167</v>
      </c>
      <c r="AL2918" t="s">
        <v>65</v>
      </c>
      <c r="AM2918" s="4">
        <v>0.66666666666666663</v>
      </c>
      <c r="AN2918" t="s">
        <v>66</v>
      </c>
      <c r="AO2918" t="s">
        <v>67</v>
      </c>
    </row>
    <row r="2919" spans="1:41" x14ac:dyDescent="0.2">
      <c r="A2919">
        <v>372395</v>
      </c>
      <c r="B2919" t="s">
        <v>17784</v>
      </c>
      <c r="C2919" t="s">
        <v>278</v>
      </c>
      <c r="D2919" t="s">
        <v>2618</v>
      </c>
      <c r="E2919" t="s">
        <v>17785</v>
      </c>
      <c r="F2919">
        <v>421806</v>
      </c>
      <c r="G2919" s="1">
        <v>32009</v>
      </c>
      <c r="H2919" s="1">
        <v>45834</v>
      </c>
      <c r="I2919" s="1">
        <v>46096</v>
      </c>
      <c r="J2919" t="s">
        <v>45</v>
      </c>
      <c r="K2919" t="s">
        <v>45</v>
      </c>
      <c r="L2919" t="s">
        <v>429</v>
      </c>
      <c r="M2919" s="1">
        <v>36579</v>
      </c>
      <c r="N2919" t="s">
        <v>47</v>
      </c>
      <c r="O2919" t="s">
        <v>48</v>
      </c>
      <c r="P2919" t="s">
        <v>49</v>
      </c>
      <c r="Q2919" t="s">
        <v>17786</v>
      </c>
      <c r="R2919" t="s">
        <v>17787</v>
      </c>
      <c r="S2919">
        <v>5135</v>
      </c>
      <c r="T2919" t="s">
        <v>365</v>
      </c>
      <c r="U2919" t="s">
        <v>432</v>
      </c>
      <c r="V2919" t="s">
        <v>5393</v>
      </c>
      <c r="W2919" t="s">
        <v>367</v>
      </c>
      <c r="X2919" t="s">
        <v>55</v>
      </c>
      <c r="Y2919" t="s">
        <v>434</v>
      </c>
      <c r="Z2919">
        <v>352</v>
      </c>
      <c r="AA2919">
        <v>51</v>
      </c>
      <c r="AB2919">
        <v>166</v>
      </c>
      <c r="AC2919" t="s">
        <v>9047</v>
      </c>
      <c r="AD2919" t="s">
        <v>9048</v>
      </c>
      <c r="AE2919" t="s">
        <v>9049</v>
      </c>
      <c r="AI2919" t="s">
        <v>179</v>
      </c>
      <c r="AJ2919" s="2">
        <v>45838.869513888887</v>
      </c>
      <c r="AK2919" t="s">
        <v>307</v>
      </c>
      <c r="AL2919" t="s">
        <v>65</v>
      </c>
      <c r="AM2919" s="3">
        <v>1.5347222222222223</v>
      </c>
      <c r="AN2919" t="s">
        <v>66</v>
      </c>
      <c r="AO2919" t="s">
        <v>67</v>
      </c>
    </row>
    <row r="2920" spans="1:41" x14ac:dyDescent="0.2">
      <c r="A2920">
        <v>370591</v>
      </c>
      <c r="B2920" t="s">
        <v>17788</v>
      </c>
      <c r="C2920" t="s">
        <v>167</v>
      </c>
      <c r="D2920" t="s">
        <v>5372</v>
      </c>
      <c r="E2920" t="s">
        <v>17789</v>
      </c>
      <c r="F2920">
        <v>352621</v>
      </c>
      <c r="G2920" s="1">
        <v>38198</v>
      </c>
      <c r="H2920" s="1">
        <v>45778</v>
      </c>
      <c r="I2920" s="1">
        <v>46143</v>
      </c>
      <c r="J2920" t="s">
        <v>45</v>
      </c>
      <c r="K2920" t="s">
        <v>45</v>
      </c>
      <c r="L2920" t="s">
        <v>72</v>
      </c>
      <c r="M2920" s="1">
        <v>43584</v>
      </c>
      <c r="N2920" t="s">
        <v>47</v>
      </c>
      <c r="O2920" t="s">
        <v>48</v>
      </c>
      <c r="P2920" t="s">
        <v>49</v>
      </c>
      <c r="Q2920" t="s">
        <v>17790</v>
      </c>
      <c r="R2920" t="s">
        <v>17791</v>
      </c>
      <c r="S2920">
        <v>3945</v>
      </c>
      <c r="T2920" t="s">
        <v>92</v>
      </c>
      <c r="U2920" t="s">
        <v>3030</v>
      </c>
      <c r="V2920" t="s">
        <v>3031</v>
      </c>
      <c r="W2920" t="s">
        <v>3032</v>
      </c>
      <c r="X2920" t="s">
        <v>92</v>
      </c>
      <c r="Y2920" t="s">
        <v>110</v>
      </c>
      <c r="Z2920">
        <v>2181</v>
      </c>
      <c r="AA2920">
        <v>39</v>
      </c>
      <c r="AB2920">
        <v>176</v>
      </c>
      <c r="AC2920" t="s">
        <v>3033</v>
      </c>
      <c r="AD2920" t="s">
        <v>3034</v>
      </c>
      <c r="AE2920" t="s">
        <v>3035</v>
      </c>
      <c r="AF2920" t="s">
        <v>17792</v>
      </c>
      <c r="AG2920" t="s">
        <v>17793</v>
      </c>
      <c r="AH2920" t="s">
        <v>17794</v>
      </c>
      <c r="AJ2920" s="2">
        <v>45778.962118055555</v>
      </c>
      <c r="AK2920" t="s">
        <v>3039</v>
      </c>
      <c r="AL2920" t="s">
        <v>65</v>
      </c>
      <c r="AM2920" s="4">
        <v>0.59722222222222221</v>
      </c>
      <c r="AN2920" t="s">
        <v>66</v>
      </c>
      <c r="AO2920" t="s">
        <v>67</v>
      </c>
    </row>
    <row r="2921" spans="1:41" x14ac:dyDescent="0.2">
      <c r="A2921">
        <v>358260</v>
      </c>
      <c r="B2921" t="s">
        <v>17795</v>
      </c>
      <c r="C2921" t="s">
        <v>542</v>
      </c>
      <c r="D2921" t="s">
        <v>584</v>
      </c>
      <c r="E2921" t="s">
        <v>17796</v>
      </c>
      <c r="F2921">
        <v>360411</v>
      </c>
      <c r="G2921" s="1">
        <v>43627</v>
      </c>
      <c r="H2921" s="1">
        <v>45351</v>
      </c>
      <c r="J2921" t="s">
        <v>45</v>
      </c>
      <c r="K2921" t="s">
        <v>45</v>
      </c>
      <c r="L2921" t="s">
        <v>72</v>
      </c>
      <c r="M2921" s="1">
        <v>44399</v>
      </c>
      <c r="N2921" t="s">
        <v>47</v>
      </c>
      <c r="O2921" t="s">
        <v>48</v>
      </c>
      <c r="P2921" t="s">
        <v>49</v>
      </c>
      <c r="Q2921" t="s">
        <v>17797</v>
      </c>
      <c r="R2921" t="s">
        <v>17798</v>
      </c>
      <c r="S2921">
        <v>1155</v>
      </c>
      <c r="T2921" t="s">
        <v>92</v>
      </c>
      <c r="U2921" t="s">
        <v>1133</v>
      </c>
      <c r="V2921" t="s">
        <v>1134</v>
      </c>
      <c r="W2921" t="s">
        <v>1135</v>
      </c>
      <c r="X2921" t="s">
        <v>92</v>
      </c>
      <c r="Y2921" t="s">
        <v>770</v>
      </c>
      <c r="Z2921">
        <v>10208</v>
      </c>
      <c r="AA2921">
        <v>23</v>
      </c>
      <c r="AB2921">
        <v>45</v>
      </c>
      <c r="AC2921" t="s">
        <v>1136</v>
      </c>
      <c r="AD2921" t="s">
        <v>1137</v>
      </c>
      <c r="AE2921" t="s">
        <v>1138</v>
      </c>
      <c r="AJ2921" s="2">
        <v>45352.030104166668</v>
      </c>
      <c r="AK2921" t="s">
        <v>1136</v>
      </c>
      <c r="AL2921" t="s">
        <v>65</v>
      </c>
      <c r="AM2921" s="3">
        <v>2.0416666666666665</v>
      </c>
      <c r="AN2921" t="s">
        <v>66</v>
      </c>
      <c r="AO2921" t="s">
        <v>101</v>
      </c>
    </row>
    <row r="2922" spans="1:41" x14ac:dyDescent="0.2">
      <c r="A2922">
        <v>367546</v>
      </c>
      <c r="B2922" t="s">
        <v>17799</v>
      </c>
      <c r="C2922" t="s">
        <v>167</v>
      </c>
      <c r="D2922" t="s">
        <v>17800</v>
      </c>
      <c r="E2922" t="s">
        <v>17801</v>
      </c>
      <c r="F2922">
        <v>351202</v>
      </c>
      <c r="G2922" s="1">
        <v>32509</v>
      </c>
      <c r="H2922" s="1">
        <v>45440</v>
      </c>
      <c r="I2922" s="1">
        <v>46266</v>
      </c>
      <c r="J2922" t="s">
        <v>45</v>
      </c>
      <c r="K2922" t="s">
        <v>45</v>
      </c>
      <c r="L2922" t="s">
        <v>72</v>
      </c>
      <c r="M2922" s="1">
        <v>41220</v>
      </c>
      <c r="N2922" t="s">
        <v>47</v>
      </c>
      <c r="O2922" t="s">
        <v>48</v>
      </c>
      <c r="P2922" t="s">
        <v>49</v>
      </c>
      <c r="Q2922" t="s">
        <v>17802</v>
      </c>
      <c r="R2922" t="s">
        <v>17803</v>
      </c>
      <c r="S2922">
        <v>4260</v>
      </c>
      <c r="T2922" t="s">
        <v>52</v>
      </c>
      <c r="U2922">
        <v>6</v>
      </c>
      <c r="V2922" t="s">
        <v>480</v>
      </c>
      <c r="W2922" t="s">
        <v>54</v>
      </c>
      <c r="X2922" t="s">
        <v>76</v>
      </c>
      <c r="Y2922" t="s">
        <v>56</v>
      </c>
      <c r="Z2922">
        <v>844</v>
      </c>
      <c r="AA2922">
        <v>67</v>
      </c>
      <c r="AB2922">
        <v>166</v>
      </c>
      <c r="AC2922" t="s">
        <v>481</v>
      </c>
      <c r="AD2922" t="s">
        <v>482</v>
      </c>
      <c r="AE2922" t="s">
        <v>483</v>
      </c>
      <c r="AF2922" t="s">
        <v>4485</v>
      </c>
      <c r="AG2922" t="s">
        <v>4486</v>
      </c>
      <c r="AH2922" t="s">
        <v>17804</v>
      </c>
      <c r="AI2922" t="s">
        <v>486</v>
      </c>
      <c r="AJ2922" s="2">
        <v>45680.934386574074</v>
      </c>
      <c r="AK2922" t="s">
        <v>481</v>
      </c>
      <c r="AL2922" t="s">
        <v>65</v>
      </c>
      <c r="AM2922" s="4">
        <v>0.53472222222222221</v>
      </c>
      <c r="AN2922" t="s">
        <v>66</v>
      </c>
      <c r="AO2922" t="s">
        <v>67</v>
      </c>
    </row>
    <row r="2923" spans="1:41" x14ac:dyDescent="0.2">
      <c r="A2923">
        <v>371059</v>
      </c>
      <c r="B2923" t="s">
        <v>17805</v>
      </c>
      <c r="C2923" t="s">
        <v>103</v>
      </c>
      <c r="D2923" t="s">
        <v>17806</v>
      </c>
      <c r="E2923" t="s">
        <v>17807</v>
      </c>
      <c r="F2923">
        <v>319302</v>
      </c>
      <c r="G2923" s="1">
        <v>37398</v>
      </c>
      <c r="H2923" s="1">
        <v>45331</v>
      </c>
      <c r="I2923" s="1">
        <v>46327</v>
      </c>
      <c r="J2923" t="s">
        <v>45</v>
      </c>
      <c r="K2923" t="s">
        <v>45</v>
      </c>
      <c r="L2923" t="s">
        <v>72</v>
      </c>
      <c r="M2923" s="1">
        <v>43325</v>
      </c>
      <c r="N2923" t="s">
        <v>47</v>
      </c>
      <c r="O2923" t="s">
        <v>48</v>
      </c>
      <c r="P2923" t="s">
        <v>49</v>
      </c>
      <c r="Q2923" t="s">
        <v>17808</v>
      </c>
      <c r="R2923" t="s">
        <v>17809</v>
      </c>
      <c r="S2923">
        <v>100</v>
      </c>
      <c r="T2923" t="s">
        <v>92</v>
      </c>
      <c r="U2923" t="s">
        <v>107</v>
      </c>
      <c r="V2923" t="s">
        <v>108</v>
      </c>
      <c r="W2923" t="s">
        <v>109</v>
      </c>
      <c r="X2923" t="s">
        <v>52</v>
      </c>
      <c r="Y2923" t="s">
        <v>110</v>
      </c>
      <c r="Z2923">
        <v>2208</v>
      </c>
      <c r="AA2923">
        <v>30</v>
      </c>
      <c r="AB2923">
        <v>160</v>
      </c>
      <c r="AC2923" t="s">
        <v>1461</v>
      </c>
      <c r="AD2923" t="s">
        <v>1462</v>
      </c>
      <c r="AE2923" t="s">
        <v>1463</v>
      </c>
      <c r="AF2923" t="s">
        <v>1464</v>
      </c>
      <c r="AG2923" t="s">
        <v>4566</v>
      </c>
      <c r="AH2923" t="s">
        <v>1465</v>
      </c>
      <c r="AI2923" t="s">
        <v>1462</v>
      </c>
      <c r="AJ2923" s="2">
        <v>45818.719537037039</v>
      </c>
      <c r="AK2923" t="s">
        <v>100</v>
      </c>
      <c r="AL2923" t="s">
        <v>65</v>
      </c>
      <c r="AM2923" s="4">
        <v>0.78472222222222221</v>
      </c>
      <c r="AN2923" t="s">
        <v>66</v>
      </c>
      <c r="AO2923" t="s">
        <v>67</v>
      </c>
    </row>
    <row r="2924" spans="1:41" x14ac:dyDescent="0.2">
      <c r="A2924">
        <v>357333</v>
      </c>
      <c r="B2924" t="s">
        <v>17810</v>
      </c>
      <c r="C2924" t="s">
        <v>9662</v>
      </c>
      <c r="D2924" t="s">
        <v>17811</v>
      </c>
      <c r="E2924" t="s">
        <v>17812</v>
      </c>
      <c r="F2924">
        <v>172501</v>
      </c>
      <c r="G2924" s="1">
        <v>38506</v>
      </c>
      <c r="H2924" s="1">
        <v>45125</v>
      </c>
      <c r="I2924" s="1">
        <v>46127</v>
      </c>
      <c r="J2924" t="s">
        <v>45</v>
      </c>
      <c r="K2924" t="s">
        <v>45</v>
      </c>
      <c r="L2924" t="s">
        <v>72</v>
      </c>
      <c r="M2924" s="1">
        <v>44477</v>
      </c>
      <c r="N2924" t="s">
        <v>47</v>
      </c>
      <c r="O2924" t="s">
        <v>48</v>
      </c>
      <c r="P2924" t="s">
        <v>49</v>
      </c>
      <c r="Q2924" t="s">
        <v>17813</v>
      </c>
      <c r="R2924" t="s">
        <v>17814</v>
      </c>
      <c r="S2924">
        <v>1280</v>
      </c>
      <c r="T2924" t="s">
        <v>92</v>
      </c>
      <c r="U2924" t="s">
        <v>17815</v>
      </c>
      <c r="V2924" t="s">
        <v>17816</v>
      </c>
      <c r="W2924" t="s">
        <v>17817</v>
      </c>
      <c r="X2924" t="s">
        <v>92</v>
      </c>
      <c r="Y2924" t="s">
        <v>110</v>
      </c>
      <c r="Z2924">
        <v>2719</v>
      </c>
      <c r="AA2924">
        <v>27</v>
      </c>
      <c r="AB2924">
        <v>37</v>
      </c>
      <c r="AC2924" t="s">
        <v>12813</v>
      </c>
      <c r="AD2924" t="s">
        <v>12814</v>
      </c>
      <c r="AE2924" t="s">
        <v>12815</v>
      </c>
      <c r="AI2924" t="s">
        <v>12814</v>
      </c>
      <c r="AJ2924" s="2">
        <v>45330.64130787037</v>
      </c>
      <c r="AK2924" t="s">
        <v>149</v>
      </c>
      <c r="AL2924" t="s">
        <v>65</v>
      </c>
      <c r="AM2924" s="3">
        <v>2.4930555555555554</v>
      </c>
      <c r="AN2924" t="s">
        <v>66</v>
      </c>
      <c r="AO2924" t="s">
        <v>101</v>
      </c>
    </row>
    <row r="2925" spans="1:41" x14ac:dyDescent="0.2">
      <c r="A2925">
        <v>372338</v>
      </c>
      <c r="B2925" t="s">
        <v>17818</v>
      </c>
      <c r="C2925" t="s">
        <v>1013</v>
      </c>
      <c r="D2925" t="s">
        <v>17819</v>
      </c>
      <c r="E2925" t="s">
        <v>17820</v>
      </c>
      <c r="F2925">
        <v>320501</v>
      </c>
      <c r="G2925" s="1">
        <v>39713</v>
      </c>
      <c r="H2925" s="1">
        <v>45833</v>
      </c>
      <c r="I2925" s="1">
        <v>46174</v>
      </c>
      <c r="J2925" t="s">
        <v>45</v>
      </c>
      <c r="K2925" t="s">
        <v>45</v>
      </c>
      <c r="L2925" t="s">
        <v>72</v>
      </c>
      <c r="N2925" t="s">
        <v>47</v>
      </c>
      <c r="O2925" t="s">
        <v>48</v>
      </c>
      <c r="P2925" t="s">
        <v>49</v>
      </c>
      <c r="Q2925" t="s">
        <v>17821</v>
      </c>
      <c r="R2925" t="s">
        <v>17822</v>
      </c>
      <c r="S2925">
        <v>1859</v>
      </c>
      <c r="T2925" t="s">
        <v>296</v>
      </c>
      <c r="U2925" t="s">
        <v>1941</v>
      </c>
      <c r="V2925" t="s">
        <v>17823</v>
      </c>
      <c r="W2925" t="s">
        <v>299</v>
      </c>
      <c r="X2925" t="s">
        <v>76</v>
      </c>
      <c r="Y2925" t="s">
        <v>56</v>
      </c>
      <c r="Z2925">
        <v>3019</v>
      </c>
      <c r="AA2925">
        <v>31</v>
      </c>
      <c r="AB2925">
        <v>142</v>
      </c>
      <c r="AC2925" t="s">
        <v>17824</v>
      </c>
      <c r="AD2925" t="s">
        <v>17825</v>
      </c>
      <c r="AE2925" t="s">
        <v>17826</v>
      </c>
      <c r="AI2925" t="s">
        <v>1946</v>
      </c>
      <c r="AJ2925" s="2">
        <v>45838.617986111109</v>
      </c>
      <c r="AK2925" t="s">
        <v>540</v>
      </c>
      <c r="AL2925" t="s">
        <v>65</v>
      </c>
      <c r="AM2925" s="4">
        <v>0.9375</v>
      </c>
      <c r="AN2925" t="s">
        <v>66</v>
      </c>
      <c r="AO2925" t="s">
        <v>67</v>
      </c>
    </row>
    <row r="2926" spans="1:41" x14ac:dyDescent="0.2">
      <c r="A2926">
        <v>367305</v>
      </c>
      <c r="B2926" t="s">
        <v>17827</v>
      </c>
      <c r="C2926" t="s">
        <v>118</v>
      </c>
      <c r="D2926" t="s">
        <v>1410</v>
      </c>
      <c r="E2926" t="s">
        <v>17828</v>
      </c>
      <c r="F2926">
        <v>20207</v>
      </c>
      <c r="G2926" s="1">
        <v>37230</v>
      </c>
      <c r="H2926" s="1">
        <v>45667</v>
      </c>
      <c r="I2926" s="1">
        <v>46023</v>
      </c>
      <c r="J2926" t="s">
        <v>45</v>
      </c>
      <c r="K2926" t="s">
        <v>45</v>
      </c>
      <c r="L2926" t="s">
        <v>46</v>
      </c>
      <c r="N2926" t="s">
        <v>47</v>
      </c>
      <c r="O2926" t="s">
        <v>48</v>
      </c>
      <c r="P2926" t="s">
        <v>49</v>
      </c>
      <c r="Q2926" t="s">
        <v>17829</v>
      </c>
      <c r="R2926" t="s">
        <v>17830</v>
      </c>
      <c r="S2926">
        <v>6570</v>
      </c>
      <c r="T2926" t="s">
        <v>52</v>
      </c>
      <c r="U2926">
        <v>3</v>
      </c>
      <c r="V2926" t="s">
        <v>6686</v>
      </c>
      <c r="W2926" t="s">
        <v>54</v>
      </c>
      <c r="X2926" t="s">
        <v>55</v>
      </c>
      <c r="Y2926" t="s">
        <v>56</v>
      </c>
      <c r="Z2926">
        <v>1169</v>
      </c>
      <c r="AA2926">
        <v>53</v>
      </c>
      <c r="AB2926">
        <v>176</v>
      </c>
      <c r="AC2926" t="s">
        <v>6766</v>
      </c>
      <c r="AD2926" t="s">
        <v>6767</v>
      </c>
      <c r="AE2926" t="s">
        <v>6768</v>
      </c>
      <c r="AF2926" t="s">
        <v>9979</v>
      </c>
      <c r="AG2926" t="s">
        <v>9980</v>
      </c>
      <c r="AH2926" t="s">
        <v>9981</v>
      </c>
      <c r="AI2926" t="s">
        <v>8313</v>
      </c>
      <c r="AJ2926" s="2">
        <v>45671.585173611114</v>
      </c>
      <c r="AK2926" t="s">
        <v>64</v>
      </c>
      <c r="AL2926" t="s">
        <v>65</v>
      </c>
      <c r="AM2926" s="4">
        <v>0.34722222222222221</v>
      </c>
      <c r="AN2926" t="s">
        <v>809</v>
      </c>
      <c r="AO2926" t="s">
        <v>67</v>
      </c>
    </row>
    <row r="2927" spans="1:41" x14ac:dyDescent="0.2">
      <c r="A2927">
        <v>365420</v>
      </c>
      <c r="B2927" t="s">
        <v>17831</v>
      </c>
      <c r="C2927" t="s">
        <v>221</v>
      </c>
      <c r="D2927" t="s">
        <v>1216</v>
      </c>
      <c r="E2927" t="s">
        <v>17832</v>
      </c>
      <c r="F2927">
        <v>14201</v>
      </c>
      <c r="G2927" s="1">
        <v>35034</v>
      </c>
      <c r="H2927" s="1">
        <v>45573</v>
      </c>
      <c r="I2927" s="1">
        <v>45915</v>
      </c>
      <c r="J2927" t="s">
        <v>45</v>
      </c>
      <c r="K2927" t="s">
        <v>45</v>
      </c>
      <c r="L2927" t="s">
        <v>46</v>
      </c>
      <c r="M2927" s="1">
        <v>45573</v>
      </c>
      <c r="N2927" t="s">
        <v>47</v>
      </c>
      <c r="O2927" t="s">
        <v>48</v>
      </c>
      <c r="P2927" t="s">
        <v>49</v>
      </c>
      <c r="Q2927" t="s">
        <v>17833</v>
      </c>
      <c r="R2927" t="s">
        <v>17834</v>
      </c>
      <c r="S2927">
        <v>509</v>
      </c>
      <c r="T2927" t="s">
        <v>52</v>
      </c>
      <c r="U2927">
        <v>8</v>
      </c>
      <c r="V2927" t="s">
        <v>1648</v>
      </c>
      <c r="W2927" t="s">
        <v>54</v>
      </c>
      <c r="X2927" t="s">
        <v>76</v>
      </c>
      <c r="Y2927" t="s">
        <v>56</v>
      </c>
      <c r="Z2927">
        <v>1205</v>
      </c>
      <c r="AA2927">
        <v>35</v>
      </c>
      <c r="AB2927">
        <v>15</v>
      </c>
      <c r="AC2927" t="s">
        <v>17835</v>
      </c>
      <c r="AD2927" t="s">
        <v>17836</v>
      </c>
      <c r="AE2927" t="s">
        <v>17837</v>
      </c>
      <c r="AF2927" t="s">
        <v>1652</v>
      </c>
      <c r="AG2927" t="s">
        <v>1653</v>
      </c>
      <c r="AH2927" t="s">
        <v>1654</v>
      </c>
      <c r="AI2927" t="s">
        <v>13310</v>
      </c>
      <c r="AJ2927" s="2">
        <v>45581.739965277775</v>
      </c>
      <c r="AK2927" t="s">
        <v>717</v>
      </c>
      <c r="AL2927" t="s">
        <v>65</v>
      </c>
      <c r="AM2927" s="4">
        <v>0.77430555555555558</v>
      </c>
      <c r="AN2927" t="s">
        <v>66</v>
      </c>
      <c r="AO2927" t="s">
        <v>101</v>
      </c>
    </row>
    <row r="2928" spans="1:41" x14ac:dyDescent="0.2">
      <c r="A2928">
        <v>368580</v>
      </c>
      <c r="B2928" t="s">
        <v>17838</v>
      </c>
      <c r="C2928" t="s">
        <v>103</v>
      </c>
      <c r="D2928" t="s">
        <v>17332</v>
      </c>
      <c r="E2928" t="s">
        <v>17839</v>
      </c>
      <c r="F2928">
        <v>315602</v>
      </c>
      <c r="G2928" s="1">
        <v>34394</v>
      </c>
      <c r="H2928" s="1">
        <v>45684</v>
      </c>
      <c r="I2928" s="1">
        <v>46023</v>
      </c>
      <c r="J2928" t="s">
        <v>45</v>
      </c>
      <c r="K2928" t="s">
        <v>45</v>
      </c>
      <c r="L2928" t="s">
        <v>4306</v>
      </c>
      <c r="M2928" s="1">
        <v>41975</v>
      </c>
      <c r="N2928" t="s">
        <v>47</v>
      </c>
      <c r="O2928" t="s">
        <v>48</v>
      </c>
      <c r="P2928" t="s">
        <v>49</v>
      </c>
      <c r="Q2928" t="s">
        <v>17840</v>
      </c>
      <c r="R2928" t="s">
        <v>17841</v>
      </c>
      <c r="S2928">
        <v>1829</v>
      </c>
      <c r="T2928" t="s">
        <v>52</v>
      </c>
      <c r="U2928">
        <v>8</v>
      </c>
      <c r="V2928" t="s">
        <v>3759</v>
      </c>
      <c r="W2928" t="s">
        <v>54</v>
      </c>
      <c r="X2928" t="s">
        <v>76</v>
      </c>
      <c r="Y2928" t="s">
        <v>56</v>
      </c>
      <c r="Z2928">
        <v>1089</v>
      </c>
      <c r="AA2928">
        <v>37</v>
      </c>
      <c r="AB2928">
        <v>189</v>
      </c>
      <c r="AC2928" t="s">
        <v>4921</v>
      </c>
      <c r="AD2928" t="s">
        <v>3761</v>
      </c>
      <c r="AE2928" t="s">
        <v>8172</v>
      </c>
      <c r="AF2928" t="s">
        <v>3760</v>
      </c>
      <c r="AG2928" t="s">
        <v>3761</v>
      </c>
      <c r="AH2928" t="s">
        <v>3762</v>
      </c>
      <c r="AI2928" t="s">
        <v>3761</v>
      </c>
      <c r="AJ2928" s="2">
        <v>45715.665393518517</v>
      </c>
      <c r="AK2928" t="s">
        <v>717</v>
      </c>
      <c r="AL2928" t="s">
        <v>65</v>
      </c>
      <c r="AM2928" s="3">
        <v>1.5590277777777777</v>
      </c>
      <c r="AN2928" t="s">
        <v>66</v>
      </c>
      <c r="AO2928" t="s">
        <v>101</v>
      </c>
    </row>
    <row r="2929" spans="1:41" x14ac:dyDescent="0.2">
      <c r="A2929">
        <v>369308</v>
      </c>
      <c r="B2929" t="s">
        <v>17842</v>
      </c>
      <c r="C2929" t="s">
        <v>118</v>
      </c>
      <c r="D2929" t="s">
        <v>2713</v>
      </c>
      <c r="E2929">
        <v>32595778</v>
      </c>
      <c r="F2929">
        <v>20109</v>
      </c>
      <c r="G2929" s="1">
        <v>35692</v>
      </c>
      <c r="H2929" s="1">
        <v>45566</v>
      </c>
      <c r="I2929" s="1">
        <v>45945</v>
      </c>
      <c r="J2929" t="s">
        <v>45</v>
      </c>
      <c r="K2929" t="s">
        <v>45</v>
      </c>
      <c r="L2929" t="s">
        <v>429</v>
      </c>
      <c r="M2929" s="1">
        <v>39875</v>
      </c>
      <c r="N2929" t="s">
        <v>47</v>
      </c>
      <c r="O2929" t="s">
        <v>48</v>
      </c>
      <c r="P2929" t="s">
        <v>49</v>
      </c>
      <c r="Q2929" t="s">
        <v>17843</v>
      </c>
      <c r="R2929" t="s">
        <v>17844</v>
      </c>
      <c r="S2929">
        <v>5200</v>
      </c>
      <c r="T2929" t="s">
        <v>365</v>
      </c>
      <c r="U2929" t="s">
        <v>815</v>
      </c>
      <c r="V2929" t="s">
        <v>958</v>
      </c>
      <c r="W2929" t="s">
        <v>367</v>
      </c>
      <c r="X2929" t="s">
        <v>55</v>
      </c>
      <c r="Y2929" t="s">
        <v>434</v>
      </c>
      <c r="Z2929">
        <v>44</v>
      </c>
      <c r="AA2929">
        <v>55</v>
      </c>
      <c r="AB2929">
        <v>28</v>
      </c>
      <c r="AC2929" t="s">
        <v>2717</v>
      </c>
      <c r="AD2929" t="s">
        <v>2718</v>
      </c>
      <c r="AE2929" t="s">
        <v>2719</v>
      </c>
      <c r="AF2929" t="s">
        <v>2720</v>
      </c>
      <c r="AG2929" t="s">
        <v>963</v>
      </c>
      <c r="AH2929" t="s">
        <v>2721</v>
      </c>
      <c r="AI2929" t="s">
        <v>179</v>
      </c>
      <c r="AJ2929" s="2">
        <v>45734.536944444444</v>
      </c>
      <c r="AK2929" t="s">
        <v>2717</v>
      </c>
      <c r="AL2929" t="s">
        <v>65</v>
      </c>
      <c r="AM2929" s="3">
        <v>1.4097222222222223</v>
      </c>
      <c r="AN2929" t="s">
        <v>66</v>
      </c>
      <c r="AO2929" t="s">
        <v>67</v>
      </c>
    </row>
    <row r="2930" spans="1:41" x14ac:dyDescent="0.2">
      <c r="A2930">
        <v>370771</v>
      </c>
      <c r="B2930" t="s">
        <v>17845</v>
      </c>
      <c r="C2930" t="s">
        <v>69</v>
      </c>
      <c r="D2930" t="s">
        <v>3278</v>
      </c>
      <c r="E2930" t="s">
        <v>17846</v>
      </c>
      <c r="F2930">
        <v>103209</v>
      </c>
      <c r="G2930" s="1">
        <v>35207</v>
      </c>
      <c r="H2930" s="1">
        <v>45783</v>
      </c>
      <c r="I2930" s="1">
        <v>46249</v>
      </c>
      <c r="J2930" t="s">
        <v>45</v>
      </c>
      <c r="K2930" t="s">
        <v>45</v>
      </c>
      <c r="L2930" t="s">
        <v>429</v>
      </c>
      <c r="M2930" s="1">
        <v>42418</v>
      </c>
      <c r="N2930" t="s">
        <v>47</v>
      </c>
      <c r="O2930" t="s">
        <v>48</v>
      </c>
      <c r="P2930" t="s">
        <v>49</v>
      </c>
      <c r="Q2930" t="s">
        <v>17847</v>
      </c>
      <c r="R2930" t="s">
        <v>17848</v>
      </c>
      <c r="S2930">
        <v>3350</v>
      </c>
      <c r="T2930" t="s">
        <v>365</v>
      </c>
      <c r="U2930" t="s">
        <v>532</v>
      </c>
      <c r="V2930" t="s">
        <v>3282</v>
      </c>
      <c r="W2930" t="s">
        <v>367</v>
      </c>
      <c r="X2930" t="s">
        <v>76</v>
      </c>
      <c r="Y2930" t="s">
        <v>434</v>
      </c>
      <c r="Z2930">
        <v>158</v>
      </c>
      <c r="AA2930">
        <v>63</v>
      </c>
      <c r="AB2930">
        <v>166</v>
      </c>
      <c r="AC2930" t="s">
        <v>3283</v>
      </c>
      <c r="AD2930" t="s">
        <v>3284</v>
      </c>
      <c r="AE2930" t="s">
        <v>14173</v>
      </c>
      <c r="AI2930" t="s">
        <v>179</v>
      </c>
      <c r="AJ2930" s="2">
        <v>45784.536192129628</v>
      </c>
      <c r="AK2930" t="s">
        <v>568</v>
      </c>
      <c r="AL2930" t="s">
        <v>65</v>
      </c>
      <c r="AM2930" s="3">
        <v>2.3055555555555554</v>
      </c>
      <c r="AN2930" t="s">
        <v>66</v>
      </c>
      <c r="AO2930" t="s">
        <v>67</v>
      </c>
    </row>
    <row r="2931" spans="1:41" x14ac:dyDescent="0.2">
      <c r="A2931">
        <v>353387</v>
      </c>
      <c r="B2931" t="s">
        <v>17849</v>
      </c>
      <c r="C2931" t="s">
        <v>182</v>
      </c>
      <c r="D2931" t="s">
        <v>2901</v>
      </c>
      <c r="E2931" t="s">
        <v>17850</v>
      </c>
      <c r="F2931">
        <v>45019</v>
      </c>
      <c r="G2931" s="1">
        <v>39772</v>
      </c>
      <c r="H2931" s="1">
        <v>45201</v>
      </c>
      <c r="J2931" t="s">
        <v>45</v>
      </c>
      <c r="K2931" t="s">
        <v>45</v>
      </c>
      <c r="L2931" t="s">
        <v>72</v>
      </c>
      <c r="M2931" s="1">
        <v>44883</v>
      </c>
      <c r="N2931" t="s">
        <v>47</v>
      </c>
      <c r="O2931" t="s">
        <v>48</v>
      </c>
      <c r="P2931" t="s">
        <v>49</v>
      </c>
      <c r="Q2931" t="s">
        <v>17851</v>
      </c>
      <c r="R2931" t="s">
        <v>17852</v>
      </c>
      <c r="S2931">
        <v>3232</v>
      </c>
      <c r="T2931" t="s">
        <v>92</v>
      </c>
      <c r="U2931" t="s">
        <v>187</v>
      </c>
      <c r="V2931" t="s">
        <v>8218</v>
      </c>
      <c r="W2931" t="s">
        <v>448</v>
      </c>
      <c r="X2931" t="s">
        <v>92</v>
      </c>
      <c r="Y2931" t="s">
        <v>770</v>
      </c>
      <c r="Z2931">
        <v>2899</v>
      </c>
      <c r="AA2931">
        <v>18</v>
      </c>
      <c r="AB2931">
        <v>166</v>
      </c>
      <c r="AC2931" t="s">
        <v>10515</v>
      </c>
      <c r="AD2931" t="s">
        <v>8220</v>
      </c>
      <c r="AE2931" t="s">
        <v>8221</v>
      </c>
      <c r="AJ2931" s="2">
        <v>45203.779444444444</v>
      </c>
      <c r="AK2931" t="s">
        <v>526</v>
      </c>
      <c r="AL2931" t="s">
        <v>65</v>
      </c>
      <c r="AM2931" s="4">
        <v>0.5625</v>
      </c>
      <c r="AN2931" t="s">
        <v>66</v>
      </c>
      <c r="AO2931" t="s">
        <v>67</v>
      </c>
    </row>
    <row r="2932" spans="1:41" x14ac:dyDescent="0.2">
      <c r="A2932">
        <v>369439</v>
      </c>
      <c r="B2932" t="s">
        <v>17853</v>
      </c>
      <c r="C2932" t="s">
        <v>979</v>
      </c>
      <c r="D2932" t="s">
        <v>17854</v>
      </c>
      <c r="E2932" t="s">
        <v>17855</v>
      </c>
      <c r="F2932">
        <v>36901</v>
      </c>
      <c r="G2932" s="1">
        <v>39104</v>
      </c>
      <c r="H2932" s="1">
        <v>45727</v>
      </c>
      <c r="I2932" s="1">
        <v>46082</v>
      </c>
      <c r="J2932" t="s">
        <v>45</v>
      </c>
      <c r="K2932" t="s">
        <v>45</v>
      </c>
      <c r="L2932" t="s">
        <v>72</v>
      </c>
      <c r="M2932" s="1">
        <v>44399</v>
      </c>
      <c r="N2932" t="s">
        <v>47</v>
      </c>
      <c r="O2932" t="s">
        <v>48</v>
      </c>
      <c r="P2932" t="s">
        <v>49</v>
      </c>
      <c r="Q2932" t="s">
        <v>17856</v>
      </c>
      <c r="R2932" t="s">
        <v>17857</v>
      </c>
      <c r="S2932">
        <v>275</v>
      </c>
      <c r="T2932" t="s">
        <v>92</v>
      </c>
      <c r="U2932" t="s">
        <v>2996</v>
      </c>
      <c r="V2932" t="s">
        <v>2997</v>
      </c>
      <c r="W2932" t="s">
        <v>2998</v>
      </c>
      <c r="X2932" t="s">
        <v>92</v>
      </c>
      <c r="Y2932" t="s">
        <v>110</v>
      </c>
      <c r="Z2932">
        <v>2875</v>
      </c>
      <c r="AA2932">
        <v>27</v>
      </c>
      <c r="AB2932">
        <v>146</v>
      </c>
      <c r="AC2932" t="s">
        <v>2999</v>
      </c>
      <c r="AD2932" t="s">
        <v>3000</v>
      </c>
      <c r="AE2932" t="s">
        <v>3001</v>
      </c>
      <c r="AF2932" t="s">
        <v>8436</v>
      </c>
      <c r="AG2932" t="s">
        <v>3003</v>
      </c>
      <c r="AH2932" t="s">
        <v>3004</v>
      </c>
      <c r="AJ2932" s="2">
        <v>45740.815532407411</v>
      </c>
      <c r="AK2932" t="s">
        <v>2999</v>
      </c>
      <c r="AL2932" t="s">
        <v>475</v>
      </c>
      <c r="AM2932" s="4">
        <v>1.3888888888888888E-2</v>
      </c>
      <c r="AN2932" t="s">
        <v>66</v>
      </c>
      <c r="AO2932" t="s">
        <v>67</v>
      </c>
    </row>
    <row r="2933" spans="1:41" x14ac:dyDescent="0.2">
      <c r="A2933">
        <v>366700</v>
      </c>
      <c r="B2933" t="s">
        <v>17858</v>
      </c>
      <c r="C2933" t="s">
        <v>345</v>
      </c>
      <c r="D2933" t="s">
        <v>17859</v>
      </c>
      <c r="E2933" t="s">
        <v>17860</v>
      </c>
      <c r="G2933" s="1">
        <v>45632</v>
      </c>
      <c r="H2933" s="1">
        <v>45635</v>
      </c>
      <c r="I2933" s="1">
        <v>46037</v>
      </c>
      <c r="J2933" t="s">
        <v>45</v>
      </c>
      <c r="K2933" t="s">
        <v>45</v>
      </c>
      <c r="L2933" t="s">
        <v>72</v>
      </c>
      <c r="N2933" t="s">
        <v>89</v>
      </c>
      <c r="O2933" t="s">
        <v>121</v>
      </c>
      <c r="P2933" t="s">
        <v>49</v>
      </c>
      <c r="Q2933" t="s">
        <v>17861</v>
      </c>
      <c r="R2933" t="s">
        <v>17862</v>
      </c>
      <c r="S2933">
        <v>8300</v>
      </c>
      <c r="T2933" t="s">
        <v>365</v>
      </c>
      <c r="U2933" t="s">
        <v>432</v>
      </c>
      <c r="V2933" t="s">
        <v>6159</v>
      </c>
      <c r="W2933" t="s">
        <v>367</v>
      </c>
      <c r="X2933" t="s">
        <v>76</v>
      </c>
      <c r="Y2933" t="s">
        <v>125</v>
      </c>
      <c r="Z2933">
        <v>4226</v>
      </c>
      <c r="AA2933">
        <v>118</v>
      </c>
      <c r="AB2933">
        <v>210</v>
      </c>
      <c r="AC2933" t="s">
        <v>7947</v>
      </c>
      <c r="AD2933" t="s">
        <v>7948</v>
      </c>
      <c r="AE2933" t="s">
        <v>7949</v>
      </c>
      <c r="AF2933" t="s">
        <v>6068</v>
      </c>
      <c r="AG2933" t="s">
        <v>6069</v>
      </c>
      <c r="AH2933" t="s">
        <v>6070</v>
      </c>
      <c r="AJ2933" s="2">
        <v>45635.497569444444</v>
      </c>
      <c r="AK2933" t="s">
        <v>132</v>
      </c>
      <c r="AL2933" t="s">
        <v>65</v>
      </c>
      <c r="AM2933" s="3">
        <v>1.1388888888888888</v>
      </c>
      <c r="AN2933" t="s">
        <v>66</v>
      </c>
      <c r="AO2933" t="s">
        <v>67</v>
      </c>
    </row>
    <row r="2934" spans="1:41" x14ac:dyDescent="0.2">
      <c r="A2934">
        <v>370279</v>
      </c>
      <c r="B2934" t="s">
        <v>17863</v>
      </c>
      <c r="C2934" t="s">
        <v>345</v>
      </c>
      <c r="D2934" t="s">
        <v>6579</v>
      </c>
      <c r="E2934" t="s">
        <v>17864</v>
      </c>
      <c r="G2934" s="1">
        <v>45632</v>
      </c>
      <c r="H2934" s="1">
        <v>45635</v>
      </c>
      <c r="I2934" s="1">
        <v>46023</v>
      </c>
      <c r="J2934" t="s">
        <v>45</v>
      </c>
      <c r="K2934" t="s">
        <v>45</v>
      </c>
      <c r="L2934" t="s">
        <v>72</v>
      </c>
      <c r="N2934" t="s">
        <v>47</v>
      </c>
      <c r="O2934" t="s">
        <v>121</v>
      </c>
      <c r="P2934" t="s">
        <v>49</v>
      </c>
      <c r="Q2934" t="s">
        <v>17865</v>
      </c>
      <c r="R2934" t="s">
        <v>17866</v>
      </c>
      <c r="S2934">
        <v>8320</v>
      </c>
      <c r="T2934" t="s">
        <v>52</v>
      </c>
      <c r="U2934">
        <v>2</v>
      </c>
      <c r="V2934" t="s">
        <v>6064</v>
      </c>
      <c r="W2934" t="s">
        <v>54</v>
      </c>
      <c r="X2934" t="s">
        <v>52</v>
      </c>
      <c r="Y2934" t="s">
        <v>125</v>
      </c>
      <c r="Z2934">
        <v>9706</v>
      </c>
      <c r="AA2934">
        <v>40</v>
      </c>
      <c r="AB2934">
        <v>30</v>
      </c>
      <c r="AC2934" t="s">
        <v>7947</v>
      </c>
      <c r="AD2934" t="s">
        <v>7948</v>
      </c>
      <c r="AE2934" t="s">
        <v>6067</v>
      </c>
      <c r="AF2934" t="s">
        <v>6065</v>
      </c>
      <c r="AG2934" t="s">
        <v>6066</v>
      </c>
      <c r="AH2934" t="s">
        <v>6164</v>
      </c>
      <c r="AJ2934" s="2">
        <v>45769.787870370368</v>
      </c>
      <c r="AK2934" t="s">
        <v>84</v>
      </c>
      <c r="AL2934" t="s">
        <v>65</v>
      </c>
      <c r="AM2934" s="3">
        <v>1.5763888888888888</v>
      </c>
      <c r="AN2934" t="s">
        <v>66</v>
      </c>
      <c r="AO2934" t="s">
        <v>67</v>
      </c>
    </row>
    <row r="2935" spans="1:41" x14ac:dyDescent="0.2">
      <c r="A2935">
        <v>370814</v>
      </c>
      <c r="B2935" t="s">
        <v>17867</v>
      </c>
      <c r="C2935" t="s">
        <v>345</v>
      </c>
      <c r="D2935" t="s">
        <v>17859</v>
      </c>
      <c r="E2935" t="s">
        <v>17868</v>
      </c>
      <c r="G2935" s="1">
        <v>45755</v>
      </c>
      <c r="H2935" s="1">
        <v>45712</v>
      </c>
      <c r="I2935" s="1">
        <v>46037</v>
      </c>
      <c r="J2935" t="s">
        <v>45</v>
      </c>
      <c r="K2935" t="s">
        <v>45</v>
      </c>
      <c r="L2935" t="s">
        <v>72</v>
      </c>
      <c r="N2935" t="s">
        <v>89</v>
      </c>
      <c r="O2935" t="s">
        <v>121</v>
      </c>
      <c r="P2935" t="s">
        <v>49</v>
      </c>
      <c r="Q2935" t="s">
        <v>17869</v>
      </c>
      <c r="R2935" t="s">
        <v>17870</v>
      </c>
      <c r="S2935">
        <v>8301</v>
      </c>
      <c r="T2935" t="s">
        <v>52</v>
      </c>
      <c r="U2935">
        <v>2</v>
      </c>
      <c r="V2935" t="s">
        <v>6064</v>
      </c>
      <c r="W2935" t="s">
        <v>54</v>
      </c>
      <c r="X2935" t="s">
        <v>52</v>
      </c>
      <c r="Y2935" t="s">
        <v>125</v>
      </c>
      <c r="Z2935">
        <v>8447</v>
      </c>
      <c r="AA2935">
        <v>93</v>
      </c>
      <c r="AB2935">
        <v>78</v>
      </c>
      <c r="AC2935" t="s">
        <v>7947</v>
      </c>
      <c r="AD2935" t="s">
        <v>7948</v>
      </c>
      <c r="AE2935" t="s">
        <v>17871</v>
      </c>
      <c r="AF2935" t="s">
        <v>6163</v>
      </c>
      <c r="AG2935" t="s">
        <v>6066</v>
      </c>
      <c r="AH2935" t="s">
        <v>6164</v>
      </c>
      <c r="AJ2935" s="2">
        <v>45784.89675925926</v>
      </c>
      <c r="AK2935" t="s">
        <v>2068</v>
      </c>
      <c r="AL2935" t="s">
        <v>65</v>
      </c>
      <c r="AM2935" s="3">
        <v>1.0347222222222223</v>
      </c>
      <c r="AN2935" t="s">
        <v>66</v>
      </c>
      <c r="AO2935" t="s">
        <v>67</v>
      </c>
    </row>
    <row r="2936" spans="1:41" x14ac:dyDescent="0.2">
      <c r="A2936">
        <v>370153</v>
      </c>
      <c r="B2936" t="s">
        <v>17872</v>
      </c>
      <c r="C2936" t="s">
        <v>182</v>
      </c>
      <c r="D2936" t="s">
        <v>1086</v>
      </c>
      <c r="E2936" t="s">
        <v>17873</v>
      </c>
      <c r="F2936">
        <v>44712</v>
      </c>
      <c r="G2936" s="1">
        <v>35155</v>
      </c>
      <c r="H2936" s="1">
        <v>45761</v>
      </c>
      <c r="I2936" s="1">
        <v>46113</v>
      </c>
      <c r="J2936" t="s">
        <v>45</v>
      </c>
      <c r="K2936" t="s">
        <v>45</v>
      </c>
      <c r="L2936" t="s">
        <v>429</v>
      </c>
      <c r="M2936" s="1">
        <v>41375</v>
      </c>
      <c r="N2936" t="s">
        <v>47</v>
      </c>
      <c r="O2936" t="s">
        <v>48</v>
      </c>
      <c r="P2936" t="s">
        <v>49</v>
      </c>
      <c r="Q2936" t="s">
        <v>17874</v>
      </c>
      <c r="R2936" t="s">
        <v>17875</v>
      </c>
      <c r="S2936">
        <v>3768</v>
      </c>
      <c r="T2936" t="s">
        <v>52</v>
      </c>
      <c r="U2936">
        <v>5</v>
      </c>
      <c r="V2936" t="s">
        <v>2763</v>
      </c>
      <c r="W2936" t="s">
        <v>54</v>
      </c>
      <c r="X2936" t="s">
        <v>493</v>
      </c>
      <c r="Y2936" t="s">
        <v>434</v>
      </c>
      <c r="Z2936">
        <v>1015</v>
      </c>
      <c r="AA2936">
        <v>55</v>
      </c>
      <c r="AB2936">
        <v>158</v>
      </c>
      <c r="AC2936" t="s">
        <v>9848</v>
      </c>
      <c r="AD2936" t="s">
        <v>9849</v>
      </c>
      <c r="AE2936" t="s">
        <v>9850</v>
      </c>
      <c r="AF2936" t="s">
        <v>9851</v>
      </c>
      <c r="AG2936" t="s">
        <v>9852</v>
      </c>
      <c r="AH2936" t="s">
        <v>9853</v>
      </c>
      <c r="AI2936" t="s">
        <v>9854</v>
      </c>
      <c r="AJ2936" s="2">
        <v>45763.989988425928</v>
      </c>
      <c r="AK2936" t="s">
        <v>2668</v>
      </c>
      <c r="AL2936" t="s">
        <v>65</v>
      </c>
      <c r="AM2936" s="3">
        <v>2.4861111111111112</v>
      </c>
      <c r="AN2936" t="s">
        <v>66</v>
      </c>
      <c r="AO2936" t="s">
        <v>67</v>
      </c>
    </row>
    <row r="2937" spans="1:41" x14ac:dyDescent="0.2">
      <c r="A2937">
        <v>369988</v>
      </c>
      <c r="B2937" t="s">
        <v>17876</v>
      </c>
      <c r="C2937" t="s">
        <v>278</v>
      </c>
      <c r="D2937" t="s">
        <v>278</v>
      </c>
      <c r="E2937">
        <v>33360206</v>
      </c>
      <c r="F2937">
        <v>421091</v>
      </c>
      <c r="G2937" s="1">
        <v>45527</v>
      </c>
      <c r="H2937" s="1">
        <v>45757</v>
      </c>
      <c r="I2937" s="1">
        <v>46082</v>
      </c>
      <c r="J2937" t="s">
        <v>45</v>
      </c>
      <c r="K2937" t="s">
        <v>45</v>
      </c>
      <c r="L2937" t="s">
        <v>72</v>
      </c>
      <c r="N2937" t="s">
        <v>89</v>
      </c>
      <c r="O2937" t="s">
        <v>121</v>
      </c>
      <c r="P2937" t="s">
        <v>49</v>
      </c>
      <c r="Q2937" t="s">
        <v>17877</v>
      </c>
      <c r="R2937" t="s">
        <v>17878</v>
      </c>
      <c r="S2937">
        <v>7353</v>
      </c>
      <c r="T2937" t="s">
        <v>52</v>
      </c>
      <c r="U2937">
        <v>4</v>
      </c>
      <c r="V2937" t="s">
        <v>1991</v>
      </c>
      <c r="W2937" t="s">
        <v>54</v>
      </c>
      <c r="X2937" t="s">
        <v>52</v>
      </c>
      <c r="Y2937" t="s">
        <v>125</v>
      </c>
      <c r="Z2937">
        <v>2581</v>
      </c>
      <c r="AA2937">
        <v>72</v>
      </c>
      <c r="AB2937">
        <v>144</v>
      </c>
      <c r="AC2937" t="s">
        <v>1992</v>
      </c>
      <c r="AD2937" t="s">
        <v>1993</v>
      </c>
      <c r="AE2937" t="s">
        <v>1994</v>
      </c>
      <c r="AF2937" t="s">
        <v>1995</v>
      </c>
      <c r="AG2937" t="s">
        <v>1996</v>
      </c>
      <c r="AH2937" t="s">
        <v>1997</v>
      </c>
      <c r="AJ2937" s="2">
        <v>45761.515821759262</v>
      </c>
      <c r="AK2937" t="s">
        <v>800</v>
      </c>
      <c r="AL2937" t="s">
        <v>65</v>
      </c>
      <c r="AM2937" s="3">
        <v>1.8888888888888888</v>
      </c>
      <c r="AN2937" t="s">
        <v>66</v>
      </c>
      <c r="AO2937" t="s">
        <v>67</v>
      </c>
    </row>
    <row r="2938" spans="1:41" x14ac:dyDescent="0.2">
      <c r="A2938">
        <v>372160</v>
      </c>
      <c r="B2938" t="s">
        <v>17879</v>
      </c>
      <c r="C2938" t="s">
        <v>309</v>
      </c>
      <c r="D2938" t="s">
        <v>8509</v>
      </c>
      <c r="E2938" t="s">
        <v>17880</v>
      </c>
      <c r="G2938" s="1">
        <v>45798</v>
      </c>
      <c r="H2938" s="1">
        <v>45792</v>
      </c>
      <c r="J2938" t="s">
        <v>45</v>
      </c>
      <c r="K2938" t="s">
        <v>45</v>
      </c>
      <c r="L2938" t="s">
        <v>46</v>
      </c>
      <c r="N2938" t="s">
        <v>47</v>
      </c>
      <c r="O2938" t="s">
        <v>48</v>
      </c>
      <c r="P2938" t="s">
        <v>49</v>
      </c>
      <c r="Q2938" t="s">
        <v>17881</v>
      </c>
      <c r="R2938" t="s">
        <v>17882</v>
      </c>
      <c r="S2938">
        <v>280</v>
      </c>
      <c r="T2938" t="s">
        <v>92</v>
      </c>
      <c r="U2938" t="s">
        <v>313</v>
      </c>
      <c r="V2938" t="s">
        <v>314</v>
      </c>
      <c r="W2938" t="s">
        <v>315</v>
      </c>
      <c r="X2938" t="s">
        <v>92</v>
      </c>
      <c r="Y2938" t="s">
        <v>96</v>
      </c>
      <c r="Z2938">
        <v>12313</v>
      </c>
      <c r="AA2938">
        <v>5</v>
      </c>
      <c r="AB2938">
        <v>44</v>
      </c>
      <c r="AC2938" t="s">
        <v>316</v>
      </c>
      <c r="AD2938" t="s">
        <v>317</v>
      </c>
      <c r="AE2938" t="s">
        <v>318</v>
      </c>
      <c r="AF2938" t="s">
        <v>8548</v>
      </c>
      <c r="AG2938" t="s">
        <v>8549</v>
      </c>
      <c r="AH2938" t="s">
        <v>8550</v>
      </c>
      <c r="AJ2938" s="2">
        <v>45832.815474537034</v>
      </c>
      <c r="AK2938" t="s">
        <v>132</v>
      </c>
      <c r="AL2938" t="s">
        <v>65</v>
      </c>
      <c r="AM2938" s="3">
        <v>1.1770833333333333</v>
      </c>
      <c r="AN2938" t="s">
        <v>66</v>
      </c>
      <c r="AO2938" t="s">
        <v>67</v>
      </c>
    </row>
    <row r="2939" spans="1:41" x14ac:dyDescent="0.2">
      <c r="A2939">
        <v>366137</v>
      </c>
      <c r="B2939" t="s">
        <v>17883</v>
      </c>
      <c r="C2939" t="s">
        <v>167</v>
      </c>
      <c r="D2939" t="s">
        <v>17800</v>
      </c>
      <c r="E2939">
        <v>83744612</v>
      </c>
      <c r="F2939">
        <v>351316</v>
      </c>
      <c r="G2939" s="1">
        <v>37413</v>
      </c>
      <c r="H2939" s="1">
        <v>45603</v>
      </c>
      <c r="I2939" s="1">
        <v>45976</v>
      </c>
      <c r="J2939" t="s">
        <v>45</v>
      </c>
      <c r="K2939" t="s">
        <v>45</v>
      </c>
      <c r="L2939" t="s">
        <v>72</v>
      </c>
      <c r="M2939" s="1">
        <v>44007</v>
      </c>
      <c r="N2939" t="s">
        <v>47</v>
      </c>
      <c r="O2939" t="s">
        <v>48</v>
      </c>
      <c r="P2939" t="s">
        <v>49</v>
      </c>
      <c r="Q2939" t="s">
        <v>17884</v>
      </c>
      <c r="R2939" t="s">
        <v>17885</v>
      </c>
      <c r="S2939">
        <v>270</v>
      </c>
      <c r="T2939" t="s">
        <v>156</v>
      </c>
      <c r="U2939" t="s">
        <v>4608</v>
      </c>
      <c r="V2939" t="s">
        <v>17886</v>
      </c>
      <c r="W2939" t="s">
        <v>159</v>
      </c>
      <c r="X2939" t="s">
        <v>156</v>
      </c>
      <c r="Y2939" t="s">
        <v>110</v>
      </c>
      <c r="Z2939">
        <v>2214</v>
      </c>
      <c r="AA2939">
        <v>37</v>
      </c>
      <c r="AB2939">
        <v>158</v>
      </c>
      <c r="AC2939" t="s">
        <v>13554</v>
      </c>
      <c r="AD2939" t="s">
        <v>13555</v>
      </c>
      <c r="AE2939" t="s">
        <v>13556</v>
      </c>
      <c r="AF2939" t="s">
        <v>4613</v>
      </c>
      <c r="AG2939" t="s">
        <v>4614</v>
      </c>
      <c r="AH2939" t="s">
        <v>4615</v>
      </c>
      <c r="AI2939" t="s">
        <v>17887</v>
      </c>
      <c r="AJ2939" s="2">
        <v>45603.942106481481</v>
      </c>
      <c r="AK2939" t="s">
        <v>13554</v>
      </c>
      <c r="AL2939" t="s">
        <v>65</v>
      </c>
      <c r="AM2939" s="3">
        <v>1.2361111111111112</v>
      </c>
      <c r="AN2939" t="s">
        <v>66</v>
      </c>
      <c r="AO2939" t="s">
        <v>67</v>
      </c>
    </row>
    <row r="2940" spans="1:41" x14ac:dyDescent="0.2">
      <c r="A2940">
        <v>368709</v>
      </c>
      <c r="B2940" t="s">
        <v>17888</v>
      </c>
      <c r="C2940" t="s">
        <v>167</v>
      </c>
      <c r="D2940" t="s">
        <v>3018</v>
      </c>
      <c r="E2940" t="s">
        <v>17889</v>
      </c>
      <c r="F2940">
        <v>351318</v>
      </c>
      <c r="G2940" s="1">
        <v>45407</v>
      </c>
      <c r="H2940" s="1">
        <v>45720</v>
      </c>
      <c r="I2940" s="1">
        <v>46235</v>
      </c>
      <c r="J2940" t="s">
        <v>45</v>
      </c>
      <c r="K2940" t="s">
        <v>45</v>
      </c>
      <c r="L2940" t="s">
        <v>72</v>
      </c>
      <c r="M2940" s="1">
        <v>42835</v>
      </c>
      <c r="N2940" t="s">
        <v>89</v>
      </c>
      <c r="O2940" t="s">
        <v>121</v>
      </c>
      <c r="P2940" t="s">
        <v>49</v>
      </c>
      <c r="Q2940" t="s">
        <v>17890</v>
      </c>
      <c r="R2940" t="s">
        <v>17891</v>
      </c>
      <c r="S2940">
        <v>4400</v>
      </c>
      <c r="T2940" t="s">
        <v>52</v>
      </c>
      <c r="U2940">
        <v>6</v>
      </c>
      <c r="V2940" t="s">
        <v>480</v>
      </c>
      <c r="W2940" t="s">
        <v>54</v>
      </c>
      <c r="X2940" t="s">
        <v>52</v>
      </c>
      <c r="Y2940" t="s">
        <v>125</v>
      </c>
      <c r="Z2940">
        <v>2784</v>
      </c>
      <c r="AA2940">
        <v>82</v>
      </c>
      <c r="AB2940">
        <v>160</v>
      </c>
      <c r="AC2940" t="s">
        <v>481</v>
      </c>
      <c r="AD2940" t="s">
        <v>482</v>
      </c>
      <c r="AE2940" t="s">
        <v>483</v>
      </c>
      <c r="AF2940" t="s">
        <v>4485</v>
      </c>
      <c r="AG2940" t="s">
        <v>4486</v>
      </c>
      <c r="AH2940" t="s">
        <v>17804</v>
      </c>
      <c r="AI2940" t="s">
        <v>482</v>
      </c>
      <c r="AJ2940" s="2">
        <v>45720.478692129633</v>
      </c>
      <c r="AK2940" t="s">
        <v>800</v>
      </c>
      <c r="AL2940" t="s">
        <v>65</v>
      </c>
      <c r="AM2940" s="3">
        <v>1.1597222222222223</v>
      </c>
      <c r="AN2940" t="s">
        <v>66</v>
      </c>
      <c r="AO2940" t="s">
        <v>67</v>
      </c>
    </row>
    <row r="2941" spans="1:41" x14ac:dyDescent="0.2">
      <c r="A2941">
        <v>370526</v>
      </c>
      <c r="B2941" t="s">
        <v>17892</v>
      </c>
      <c r="C2941" t="s">
        <v>167</v>
      </c>
      <c r="D2941" t="s">
        <v>2264</v>
      </c>
      <c r="E2941" t="s">
        <v>17893</v>
      </c>
      <c r="G2941" s="1">
        <v>45176</v>
      </c>
      <c r="H2941" s="1">
        <v>45777</v>
      </c>
      <c r="I2941" s="1">
        <v>45915</v>
      </c>
      <c r="J2941" t="s">
        <v>45</v>
      </c>
      <c r="K2941" t="s">
        <v>45</v>
      </c>
      <c r="L2941" t="s">
        <v>72</v>
      </c>
      <c r="N2941" t="s">
        <v>89</v>
      </c>
      <c r="O2941" t="s">
        <v>121</v>
      </c>
      <c r="P2941" t="s">
        <v>49</v>
      </c>
      <c r="Q2941" t="s">
        <v>17894</v>
      </c>
      <c r="R2941" t="s">
        <v>17895</v>
      </c>
      <c r="S2941">
        <v>4057</v>
      </c>
      <c r="T2941" t="s">
        <v>52</v>
      </c>
      <c r="U2941">
        <v>6</v>
      </c>
      <c r="V2941" t="s">
        <v>480</v>
      </c>
      <c r="W2941" t="s">
        <v>54</v>
      </c>
      <c r="X2941" t="s">
        <v>52</v>
      </c>
      <c r="Y2941" t="s">
        <v>125</v>
      </c>
      <c r="Z2941">
        <v>9026</v>
      </c>
      <c r="AA2941">
        <v>19</v>
      </c>
      <c r="AB2941">
        <v>28</v>
      </c>
      <c r="AC2941" t="s">
        <v>481</v>
      </c>
      <c r="AD2941" t="s">
        <v>482</v>
      </c>
      <c r="AE2941" t="s">
        <v>483</v>
      </c>
      <c r="AF2941" t="s">
        <v>4485</v>
      </c>
      <c r="AG2941" t="s">
        <v>4486</v>
      </c>
      <c r="AH2941" t="s">
        <v>17804</v>
      </c>
      <c r="AI2941" t="s">
        <v>482</v>
      </c>
      <c r="AJ2941" s="2">
        <v>45777.659062500003</v>
      </c>
      <c r="AK2941" t="s">
        <v>800</v>
      </c>
      <c r="AL2941" t="s">
        <v>65</v>
      </c>
      <c r="AM2941" s="4">
        <v>0.51388888888888884</v>
      </c>
      <c r="AN2941" t="s">
        <v>66</v>
      </c>
      <c r="AO2941" t="s">
        <v>67</v>
      </c>
    </row>
    <row r="2942" spans="1:41" x14ac:dyDescent="0.2">
      <c r="A2942">
        <v>356565</v>
      </c>
      <c r="B2942" t="s">
        <v>17896</v>
      </c>
      <c r="C2942" t="s">
        <v>323</v>
      </c>
      <c r="D2942" t="s">
        <v>361</v>
      </c>
      <c r="E2942" t="s">
        <v>17897</v>
      </c>
      <c r="F2942">
        <v>500104</v>
      </c>
      <c r="G2942" s="1">
        <v>39344</v>
      </c>
      <c r="H2942" s="1">
        <v>42204</v>
      </c>
      <c r="J2942" t="s">
        <v>326</v>
      </c>
      <c r="K2942" t="s">
        <v>326</v>
      </c>
      <c r="L2942" t="s">
        <v>72</v>
      </c>
      <c r="N2942" t="s">
        <v>47</v>
      </c>
      <c r="O2942" t="s">
        <v>48</v>
      </c>
      <c r="P2942" t="s">
        <v>406</v>
      </c>
      <c r="Q2942" t="s">
        <v>17898</v>
      </c>
      <c r="R2942" t="s">
        <v>17899</v>
      </c>
      <c r="S2942">
        <v>267</v>
      </c>
      <c r="T2942" t="s">
        <v>365</v>
      </c>
      <c r="U2942" t="s">
        <v>366</v>
      </c>
      <c r="V2942" t="s">
        <v>330</v>
      </c>
      <c r="W2942" t="s">
        <v>409</v>
      </c>
      <c r="Y2942" t="s">
        <v>410</v>
      </c>
      <c r="Z2942">
        <v>2728</v>
      </c>
      <c r="AA2942">
        <v>35</v>
      </c>
      <c r="AB2942">
        <v>158</v>
      </c>
      <c r="AC2942" t="s">
        <v>9387</v>
      </c>
      <c r="AD2942" t="s">
        <v>9388</v>
      </c>
      <c r="AE2942" t="s">
        <v>17900</v>
      </c>
      <c r="AJ2942" s="2">
        <v>45313.640208333331</v>
      </c>
      <c r="AK2942" t="s">
        <v>149</v>
      </c>
      <c r="AL2942" t="s">
        <v>65</v>
      </c>
      <c r="AM2942" s="4">
        <v>0.99305555555555558</v>
      </c>
      <c r="AN2942" t="s">
        <v>66</v>
      </c>
      <c r="AO2942" t="s">
        <v>67</v>
      </c>
    </row>
    <row r="2943" spans="1:41" x14ac:dyDescent="0.2">
      <c r="A2943">
        <v>370964</v>
      </c>
      <c r="B2943" t="s">
        <v>17901</v>
      </c>
      <c r="C2943" t="s">
        <v>167</v>
      </c>
      <c r="D2943" t="s">
        <v>1315</v>
      </c>
      <c r="E2943" t="s">
        <v>17902</v>
      </c>
      <c r="G2943" s="1">
        <v>45791</v>
      </c>
      <c r="H2943" s="1">
        <v>45754</v>
      </c>
      <c r="I2943" s="1">
        <v>46127</v>
      </c>
      <c r="J2943" t="s">
        <v>45</v>
      </c>
      <c r="K2943" t="s">
        <v>45</v>
      </c>
      <c r="L2943" t="s">
        <v>72</v>
      </c>
      <c r="M2943" s="1">
        <v>42647</v>
      </c>
      <c r="N2943" t="s">
        <v>47</v>
      </c>
      <c r="O2943" t="s">
        <v>121</v>
      </c>
      <c r="P2943" t="s">
        <v>49</v>
      </c>
      <c r="Q2943" t="s">
        <v>17903</v>
      </c>
      <c r="R2943" t="s">
        <v>17904</v>
      </c>
      <c r="S2943">
        <v>3269</v>
      </c>
      <c r="T2943" t="s">
        <v>52</v>
      </c>
      <c r="U2943">
        <v>6</v>
      </c>
      <c r="V2943" t="s">
        <v>3571</v>
      </c>
      <c r="W2943" t="s">
        <v>54</v>
      </c>
      <c r="X2943" t="s">
        <v>52</v>
      </c>
      <c r="Y2943" t="s">
        <v>125</v>
      </c>
      <c r="Z2943">
        <v>6886</v>
      </c>
      <c r="AA2943">
        <v>71</v>
      </c>
      <c r="AB2943">
        <v>78</v>
      </c>
      <c r="AC2943" t="s">
        <v>3572</v>
      </c>
      <c r="AD2943" t="s">
        <v>3573</v>
      </c>
      <c r="AE2943" t="s">
        <v>3574</v>
      </c>
      <c r="AF2943" t="s">
        <v>3575</v>
      </c>
      <c r="AG2943" t="s">
        <v>3576</v>
      </c>
      <c r="AH2943" t="s">
        <v>3577</v>
      </c>
      <c r="AJ2943" s="2">
        <v>45791.824108796296</v>
      </c>
      <c r="AK2943" t="s">
        <v>132</v>
      </c>
      <c r="AL2943" t="s">
        <v>65</v>
      </c>
      <c r="AM2943" s="4">
        <v>0.80555555555555558</v>
      </c>
      <c r="AN2943" t="s">
        <v>66</v>
      </c>
      <c r="AO2943" t="s">
        <v>67</v>
      </c>
    </row>
    <row r="2944" spans="1:41" x14ac:dyDescent="0.2">
      <c r="A2944">
        <v>371208</v>
      </c>
      <c r="B2944" t="s">
        <v>17905</v>
      </c>
      <c r="C2944" t="s">
        <v>167</v>
      </c>
      <c r="D2944" t="s">
        <v>1315</v>
      </c>
      <c r="E2944" t="s">
        <v>17906</v>
      </c>
      <c r="G2944" s="1">
        <v>45798</v>
      </c>
      <c r="H2944" s="1">
        <v>45769</v>
      </c>
      <c r="I2944" s="1">
        <v>46143</v>
      </c>
      <c r="J2944" t="s">
        <v>45</v>
      </c>
      <c r="K2944" t="s">
        <v>45</v>
      </c>
      <c r="L2944" t="s">
        <v>72</v>
      </c>
      <c r="N2944" t="s">
        <v>47</v>
      </c>
      <c r="O2944" t="s">
        <v>121</v>
      </c>
      <c r="P2944" t="s">
        <v>49</v>
      </c>
      <c r="Q2944" t="s">
        <v>17907</v>
      </c>
      <c r="R2944" t="s">
        <v>17908</v>
      </c>
      <c r="S2944">
        <v>3650</v>
      </c>
      <c r="T2944" t="s">
        <v>52</v>
      </c>
      <c r="U2944">
        <v>6</v>
      </c>
      <c r="V2944" t="s">
        <v>3571</v>
      </c>
      <c r="W2944" t="s">
        <v>54</v>
      </c>
      <c r="X2944" t="s">
        <v>52</v>
      </c>
      <c r="Y2944" t="s">
        <v>125</v>
      </c>
      <c r="Z2944">
        <v>10266</v>
      </c>
      <c r="AA2944">
        <v>36</v>
      </c>
      <c r="AB2944">
        <v>76</v>
      </c>
      <c r="AC2944" t="s">
        <v>3572</v>
      </c>
      <c r="AD2944" t="s">
        <v>3573</v>
      </c>
      <c r="AE2944" t="s">
        <v>3574</v>
      </c>
      <c r="AF2944" t="s">
        <v>3575</v>
      </c>
      <c r="AG2944" t="s">
        <v>3576</v>
      </c>
      <c r="AH2944" t="s">
        <v>17909</v>
      </c>
      <c r="AI2944" t="s">
        <v>3573</v>
      </c>
      <c r="AJ2944" s="2">
        <v>45798.829907407409</v>
      </c>
      <c r="AK2944" t="s">
        <v>650</v>
      </c>
      <c r="AL2944" t="s">
        <v>65</v>
      </c>
      <c r="AM2944" s="4">
        <v>0.39583333333333331</v>
      </c>
      <c r="AN2944" t="s">
        <v>66</v>
      </c>
      <c r="AO2944" t="s">
        <v>67</v>
      </c>
    </row>
    <row r="2945" spans="1:41" x14ac:dyDescent="0.2">
      <c r="A2945">
        <v>367179</v>
      </c>
      <c r="B2945" t="s">
        <v>17910</v>
      </c>
      <c r="C2945" t="s">
        <v>134</v>
      </c>
      <c r="D2945" t="s">
        <v>17911</v>
      </c>
      <c r="E2945" t="s">
        <v>17912</v>
      </c>
      <c r="J2945" t="s">
        <v>45</v>
      </c>
      <c r="K2945" t="s">
        <v>45</v>
      </c>
      <c r="L2945" t="s">
        <v>72</v>
      </c>
      <c r="N2945" t="s">
        <v>89</v>
      </c>
      <c r="O2945" t="s">
        <v>48</v>
      </c>
      <c r="P2945" t="s">
        <v>49</v>
      </c>
      <c r="Q2945" t="s">
        <v>17913</v>
      </c>
      <c r="R2945" t="s">
        <v>17914</v>
      </c>
      <c r="S2945">
        <v>391</v>
      </c>
      <c r="T2945" t="s">
        <v>92</v>
      </c>
      <c r="U2945" t="s">
        <v>139</v>
      </c>
      <c r="V2945" t="s">
        <v>140</v>
      </c>
      <c r="W2945" t="s">
        <v>141</v>
      </c>
      <c r="X2945" t="s">
        <v>92</v>
      </c>
      <c r="Y2945" t="s">
        <v>110</v>
      </c>
      <c r="Z2945">
        <v>9949</v>
      </c>
      <c r="AA2945">
        <v>4</v>
      </c>
      <c r="AB2945">
        <v>78</v>
      </c>
      <c r="AC2945" t="s">
        <v>17915</v>
      </c>
      <c r="AD2945" t="s">
        <v>17916</v>
      </c>
      <c r="AE2945" t="s">
        <v>17917</v>
      </c>
      <c r="AF2945" t="s">
        <v>17918</v>
      </c>
      <c r="AG2945" t="s">
        <v>17919</v>
      </c>
      <c r="AH2945" t="s">
        <v>17920</v>
      </c>
      <c r="AJ2945" s="2">
        <v>45664.706226851849</v>
      </c>
      <c r="AK2945" t="s">
        <v>149</v>
      </c>
      <c r="AL2945" t="s">
        <v>65</v>
      </c>
      <c r="AM2945" s="3">
        <v>1.75</v>
      </c>
      <c r="AN2945" t="s">
        <v>66</v>
      </c>
      <c r="AO2945" t="s">
        <v>67</v>
      </c>
    </row>
    <row r="2946" spans="1:41" x14ac:dyDescent="0.2">
      <c r="A2946">
        <v>371009</v>
      </c>
      <c r="B2946" t="s">
        <v>17921</v>
      </c>
      <c r="C2946" t="s">
        <v>182</v>
      </c>
      <c r="D2946" t="s">
        <v>1467</v>
      </c>
      <c r="E2946">
        <v>32748398</v>
      </c>
      <c r="F2946">
        <v>40519</v>
      </c>
      <c r="G2946" s="1">
        <v>37489</v>
      </c>
      <c r="H2946" s="1">
        <v>45788</v>
      </c>
      <c r="I2946" s="1">
        <v>46157</v>
      </c>
      <c r="J2946" t="s">
        <v>45</v>
      </c>
      <c r="K2946" t="s">
        <v>45</v>
      </c>
      <c r="L2946" t="s">
        <v>429</v>
      </c>
      <c r="M2946" s="1">
        <v>42568</v>
      </c>
      <c r="N2946" t="s">
        <v>47</v>
      </c>
      <c r="O2946" t="s">
        <v>48</v>
      </c>
      <c r="P2946" t="s">
        <v>49</v>
      </c>
      <c r="Q2946" t="s">
        <v>17922</v>
      </c>
      <c r="R2946" t="s">
        <v>17923</v>
      </c>
      <c r="S2946">
        <v>2625</v>
      </c>
      <c r="T2946" t="s">
        <v>52</v>
      </c>
      <c r="U2946">
        <v>5</v>
      </c>
      <c r="V2946" t="s">
        <v>3513</v>
      </c>
      <c r="W2946" t="s">
        <v>54</v>
      </c>
      <c r="X2946" t="s">
        <v>493</v>
      </c>
      <c r="Y2946" t="s">
        <v>434</v>
      </c>
      <c r="Z2946">
        <v>1828</v>
      </c>
      <c r="AA2946">
        <v>69</v>
      </c>
      <c r="AB2946">
        <v>138</v>
      </c>
      <c r="AC2946" t="s">
        <v>3514</v>
      </c>
      <c r="AD2946" t="s">
        <v>3515</v>
      </c>
      <c r="AE2946" t="s">
        <v>3516</v>
      </c>
      <c r="AF2946" t="s">
        <v>3517</v>
      </c>
      <c r="AG2946" t="s">
        <v>3518</v>
      </c>
      <c r="AH2946" t="s">
        <v>3519</v>
      </c>
      <c r="AI2946" t="s">
        <v>17924</v>
      </c>
      <c r="AJ2946" s="2">
        <v>45792.751400462963</v>
      </c>
      <c r="AK2946" t="s">
        <v>1472</v>
      </c>
      <c r="AL2946" t="s">
        <v>65</v>
      </c>
      <c r="AM2946" s="3">
        <v>1.0208333333333333</v>
      </c>
      <c r="AN2946" t="s">
        <v>66</v>
      </c>
      <c r="AO2946" t="s">
        <v>67</v>
      </c>
    </row>
    <row r="2947" spans="1:41" x14ac:dyDescent="0.2">
      <c r="A2947">
        <v>369621</v>
      </c>
      <c r="B2947" t="s">
        <v>17925</v>
      </c>
      <c r="C2947" t="s">
        <v>118</v>
      </c>
      <c r="D2947" t="s">
        <v>2713</v>
      </c>
      <c r="E2947" s="5">
        <v>32596200</v>
      </c>
      <c r="F2947">
        <v>20116</v>
      </c>
      <c r="G2947" s="1">
        <v>34470</v>
      </c>
      <c r="H2947" s="1">
        <v>45742</v>
      </c>
      <c r="I2947" s="1">
        <v>46096</v>
      </c>
      <c r="J2947" t="s">
        <v>45</v>
      </c>
      <c r="K2947" t="s">
        <v>45</v>
      </c>
      <c r="L2947" t="s">
        <v>429</v>
      </c>
      <c r="M2947" s="1">
        <v>43941</v>
      </c>
      <c r="N2947" t="s">
        <v>47</v>
      </c>
      <c r="O2947" t="s">
        <v>48</v>
      </c>
      <c r="P2947" t="s">
        <v>49</v>
      </c>
      <c r="Q2947" t="s">
        <v>17926</v>
      </c>
      <c r="R2947" t="s">
        <v>17927</v>
      </c>
      <c r="S2947">
        <v>3590</v>
      </c>
      <c r="T2947" t="s">
        <v>365</v>
      </c>
      <c r="U2947" t="s">
        <v>815</v>
      </c>
      <c r="V2947" t="s">
        <v>8067</v>
      </c>
      <c r="W2947" t="s">
        <v>367</v>
      </c>
      <c r="X2947" t="s">
        <v>55</v>
      </c>
      <c r="Y2947" t="s">
        <v>434</v>
      </c>
      <c r="Z2947">
        <v>57</v>
      </c>
      <c r="AA2947">
        <v>55</v>
      </c>
      <c r="AB2947">
        <v>166</v>
      </c>
      <c r="AC2947" t="s">
        <v>8068</v>
      </c>
      <c r="AD2947" t="s">
        <v>8069</v>
      </c>
      <c r="AE2947" t="s">
        <v>8070</v>
      </c>
      <c r="AF2947" t="s">
        <v>8071</v>
      </c>
      <c r="AG2947" t="s">
        <v>8072</v>
      </c>
      <c r="AH2947" t="s">
        <v>8073</v>
      </c>
      <c r="AI2947" t="s">
        <v>179</v>
      </c>
      <c r="AJ2947" s="2">
        <v>45747.671817129631</v>
      </c>
      <c r="AK2947" t="s">
        <v>307</v>
      </c>
      <c r="AL2947" t="s">
        <v>65</v>
      </c>
      <c r="AM2947" s="3">
        <v>2.1895833333333332</v>
      </c>
      <c r="AN2947" t="s">
        <v>66</v>
      </c>
      <c r="AO2947" t="s">
        <v>67</v>
      </c>
    </row>
    <row r="2948" spans="1:41" x14ac:dyDescent="0.2">
      <c r="A2948">
        <v>371520</v>
      </c>
      <c r="B2948" t="s">
        <v>17928</v>
      </c>
      <c r="C2948" t="s">
        <v>323</v>
      </c>
      <c r="E2948" t="s">
        <v>17929</v>
      </c>
      <c r="G2948" s="1">
        <v>38568</v>
      </c>
      <c r="H2948" s="1">
        <v>45799</v>
      </c>
      <c r="J2948" t="s">
        <v>72</v>
      </c>
      <c r="K2948" t="s">
        <v>326</v>
      </c>
      <c r="L2948" t="s">
        <v>72</v>
      </c>
      <c r="N2948" t="s">
        <v>47</v>
      </c>
      <c r="O2948" t="s">
        <v>48</v>
      </c>
      <c r="P2948" t="s">
        <v>406</v>
      </c>
      <c r="Q2948" t="s">
        <v>17930</v>
      </c>
      <c r="R2948" t="s">
        <v>17931</v>
      </c>
      <c r="S2948">
        <v>3655</v>
      </c>
      <c r="T2948" t="s">
        <v>257</v>
      </c>
      <c r="U2948" t="s">
        <v>329</v>
      </c>
      <c r="V2948" t="s">
        <v>2150</v>
      </c>
      <c r="W2948" t="s">
        <v>3303</v>
      </c>
      <c r="X2948" t="s">
        <v>257</v>
      </c>
      <c r="Y2948" t="s">
        <v>642</v>
      </c>
      <c r="Z2948">
        <v>2770</v>
      </c>
      <c r="AA2948">
        <v>39</v>
      </c>
      <c r="AB2948">
        <v>152</v>
      </c>
      <c r="AC2948" t="s">
        <v>5079</v>
      </c>
      <c r="AD2948" t="s">
        <v>1165</v>
      </c>
      <c r="AE2948" t="s">
        <v>9106</v>
      </c>
      <c r="AF2948" t="s">
        <v>4983</v>
      </c>
      <c r="AG2948" t="s">
        <v>4984</v>
      </c>
      <c r="AH2948" t="s">
        <v>4985</v>
      </c>
      <c r="AJ2948" s="2">
        <v>45813.935752314814</v>
      </c>
      <c r="AK2948" t="s">
        <v>1164</v>
      </c>
      <c r="AL2948" t="s">
        <v>1168</v>
      </c>
      <c r="AM2948" s="3">
        <v>1.5902777777777777</v>
      </c>
      <c r="AN2948" t="s">
        <v>66</v>
      </c>
      <c r="AO2948" t="s">
        <v>67</v>
      </c>
    </row>
    <row r="2949" spans="1:41" x14ac:dyDescent="0.2">
      <c r="A2949">
        <v>361708</v>
      </c>
      <c r="B2949" t="s">
        <v>17932</v>
      </c>
      <c r="C2949" t="s">
        <v>278</v>
      </c>
      <c r="D2949" t="s">
        <v>950</v>
      </c>
      <c r="E2949" t="s">
        <v>17933</v>
      </c>
      <c r="F2949">
        <v>421406</v>
      </c>
      <c r="G2949" s="1">
        <v>35649</v>
      </c>
      <c r="H2949" s="1">
        <v>45461</v>
      </c>
      <c r="I2949" s="1">
        <v>46235</v>
      </c>
      <c r="J2949" t="s">
        <v>45</v>
      </c>
      <c r="K2949" t="s">
        <v>45</v>
      </c>
      <c r="L2949" t="s">
        <v>72</v>
      </c>
      <c r="M2949" s="1">
        <v>40775</v>
      </c>
      <c r="N2949" t="s">
        <v>47</v>
      </c>
      <c r="O2949" t="s">
        <v>48</v>
      </c>
      <c r="P2949" t="s">
        <v>49</v>
      </c>
      <c r="Q2949" t="s">
        <v>17934</v>
      </c>
      <c r="R2949" t="s">
        <v>17935</v>
      </c>
      <c r="S2949">
        <v>8269</v>
      </c>
      <c r="T2949" t="s">
        <v>365</v>
      </c>
      <c r="U2949" t="s">
        <v>432</v>
      </c>
      <c r="V2949" t="s">
        <v>6362</v>
      </c>
      <c r="W2949" t="s">
        <v>367</v>
      </c>
      <c r="X2949" t="s">
        <v>55</v>
      </c>
      <c r="Y2949" t="s">
        <v>434</v>
      </c>
      <c r="Z2949">
        <v>362</v>
      </c>
      <c r="AA2949">
        <v>59</v>
      </c>
      <c r="AB2949">
        <v>78</v>
      </c>
      <c r="AC2949" t="s">
        <v>3498</v>
      </c>
      <c r="AD2949" t="s">
        <v>2393</v>
      </c>
      <c r="AE2949" t="s">
        <v>2394</v>
      </c>
      <c r="AI2949" t="s">
        <v>179</v>
      </c>
      <c r="AJ2949" s="2">
        <v>45462.154074074075</v>
      </c>
      <c r="AK2949" t="s">
        <v>4471</v>
      </c>
      <c r="AL2949" t="s">
        <v>65</v>
      </c>
      <c r="AM2949" s="3">
        <v>1.1458333333333333</v>
      </c>
      <c r="AN2949" t="s">
        <v>66</v>
      </c>
      <c r="AO2949" t="s">
        <v>67</v>
      </c>
    </row>
    <row r="2950" spans="1:41" x14ac:dyDescent="0.2">
      <c r="A2950">
        <v>361710</v>
      </c>
      <c r="B2950" t="s">
        <v>17936</v>
      </c>
      <c r="C2950" t="s">
        <v>278</v>
      </c>
      <c r="D2950" t="s">
        <v>6358</v>
      </c>
      <c r="E2950" t="s">
        <v>17937</v>
      </c>
      <c r="F2950">
        <v>421410</v>
      </c>
      <c r="G2950" s="1">
        <v>35647</v>
      </c>
      <c r="H2950" s="1">
        <v>45461</v>
      </c>
      <c r="I2950" s="1">
        <v>46235</v>
      </c>
      <c r="J2950" t="s">
        <v>45</v>
      </c>
      <c r="K2950" t="s">
        <v>45</v>
      </c>
      <c r="L2950" t="s">
        <v>72</v>
      </c>
      <c r="M2950" s="1">
        <v>44391</v>
      </c>
      <c r="N2950" t="s">
        <v>47</v>
      </c>
      <c r="O2950" t="s">
        <v>48</v>
      </c>
      <c r="P2950" t="s">
        <v>49</v>
      </c>
      <c r="Q2950" t="s">
        <v>17938</v>
      </c>
      <c r="R2950" t="s">
        <v>17939</v>
      </c>
      <c r="S2950">
        <v>6469</v>
      </c>
      <c r="T2950" t="s">
        <v>365</v>
      </c>
      <c r="U2950" t="s">
        <v>432</v>
      </c>
      <c r="V2950" t="s">
        <v>6362</v>
      </c>
      <c r="W2950" t="s">
        <v>367</v>
      </c>
      <c r="X2950" t="s">
        <v>55</v>
      </c>
      <c r="Y2950" t="s">
        <v>434</v>
      </c>
      <c r="Z2950">
        <v>365</v>
      </c>
      <c r="AA2950">
        <v>69</v>
      </c>
      <c r="AB2950">
        <v>78</v>
      </c>
      <c r="AC2950" t="s">
        <v>6363</v>
      </c>
      <c r="AD2950" t="s">
        <v>6364</v>
      </c>
      <c r="AE2950" t="s">
        <v>6365</v>
      </c>
      <c r="AF2950" t="s">
        <v>3498</v>
      </c>
      <c r="AG2950" t="s">
        <v>2393</v>
      </c>
      <c r="AH2950" t="s">
        <v>2394</v>
      </c>
      <c r="AI2950" t="s">
        <v>179</v>
      </c>
      <c r="AJ2950" s="2">
        <v>45462.164976851855</v>
      </c>
      <c r="AK2950" t="s">
        <v>4471</v>
      </c>
      <c r="AL2950" t="s">
        <v>65</v>
      </c>
      <c r="AM2950" s="3">
        <v>1.1527777777777777</v>
      </c>
      <c r="AN2950" t="s">
        <v>66</v>
      </c>
      <c r="AO2950" t="s">
        <v>67</v>
      </c>
    </row>
    <row r="2951" spans="1:41" x14ac:dyDescent="0.2">
      <c r="A2951">
        <v>368556</v>
      </c>
      <c r="B2951" t="s">
        <v>17940</v>
      </c>
      <c r="C2951" t="s">
        <v>1244</v>
      </c>
      <c r="D2951" t="s">
        <v>17941</v>
      </c>
      <c r="E2951" t="s">
        <v>17942</v>
      </c>
      <c r="F2951">
        <v>463501</v>
      </c>
      <c r="G2951" s="1">
        <v>38595</v>
      </c>
      <c r="H2951" s="1">
        <v>45639</v>
      </c>
      <c r="J2951" t="s">
        <v>45</v>
      </c>
      <c r="K2951" t="s">
        <v>45</v>
      </c>
      <c r="L2951" t="s">
        <v>72</v>
      </c>
      <c r="M2951" s="1">
        <v>42815</v>
      </c>
      <c r="N2951" t="s">
        <v>47</v>
      </c>
      <c r="O2951" t="s">
        <v>48</v>
      </c>
      <c r="P2951" t="s">
        <v>49</v>
      </c>
      <c r="Q2951" t="s">
        <v>17943</v>
      </c>
      <c r="R2951" t="s">
        <v>17944</v>
      </c>
      <c r="S2951">
        <v>1705</v>
      </c>
      <c r="T2951" t="s">
        <v>92</v>
      </c>
      <c r="U2951" t="s">
        <v>1249</v>
      </c>
      <c r="V2951" t="s">
        <v>1250</v>
      </c>
      <c r="W2951" t="s">
        <v>1251</v>
      </c>
      <c r="X2951" t="s">
        <v>92</v>
      </c>
      <c r="Y2951" t="s">
        <v>770</v>
      </c>
      <c r="Z2951">
        <v>2701</v>
      </c>
      <c r="AA2951">
        <v>29</v>
      </c>
      <c r="AB2951">
        <v>144</v>
      </c>
      <c r="AC2951" t="s">
        <v>1252</v>
      </c>
      <c r="AD2951" t="s">
        <v>1253</v>
      </c>
      <c r="AE2951" t="s">
        <v>1254</v>
      </c>
      <c r="AF2951" t="s">
        <v>1255</v>
      </c>
      <c r="AG2951" t="s">
        <v>1256</v>
      </c>
      <c r="AH2951" t="s">
        <v>1257</v>
      </c>
      <c r="AI2951" t="s">
        <v>1256</v>
      </c>
      <c r="AJ2951" s="2">
        <v>45715.023831018516</v>
      </c>
      <c r="AK2951" t="s">
        <v>1255</v>
      </c>
      <c r="AL2951" t="s">
        <v>65</v>
      </c>
      <c r="AM2951" s="4">
        <v>0.74305555555555558</v>
      </c>
      <c r="AN2951" t="s">
        <v>66</v>
      </c>
      <c r="AO2951" t="s">
        <v>67</v>
      </c>
    </row>
    <row r="2952" spans="1:41" x14ac:dyDescent="0.2">
      <c r="A2952">
        <v>371251</v>
      </c>
      <c r="B2952" t="s">
        <v>17945</v>
      </c>
      <c r="C2952" t="s">
        <v>412</v>
      </c>
      <c r="D2952" t="s">
        <v>516</v>
      </c>
      <c r="E2952" t="s">
        <v>17946</v>
      </c>
      <c r="F2952">
        <v>300712</v>
      </c>
      <c r="G2952" s="1">
        <v>39470</v>
      </c>
      <c r="H2952" s="1">
        <v>45743</v>
      </c>
      <c r="I2952" s="1">
        <v>46054</v>
      </c>
      <c r="J2952" t="s">
        <v>45</v>
      </c>
      <c r="K2952" t="s">
        <v>45</v>
      </c>
      <c r="L2952" t="s">
        <v>72</v>
      </c>
      <c r="M2952" s="1">
        <v>45743</v>
      </c>
      <c r="N2952" t="s">
        <v>47</v>
      </c>
      <c r="O2952" t="s">
        <v>48</v>
      </c>
      <c r="P2952" t="s">
        <v>49</v>
      </c>
      <c r="Q2952" t="s">
        <v>17947</v>
      </c>
      <c r="R2952" t="s">
        <v>17948</v>
      </c>
      <c r="S2952">
        <v>922</v>
      </c>
      <c r="T2952" t="s">
        <v>1328</v>
      </c>
      <c r="U2952" t="s">
        <v>3114</v>
      </c>
      <c r="V2952" t="s">
        <v>17949</v>
      </c>
      <c r="W2952" t="s">
        <v>3116</v>
      </c>
      <c r="X2952" t="s">
        <v>1328</v>
      </c>
      <c r="Y2952" t="s">
        <v>110</v>
      </c>
      <c r="Z2952">
        <v>2980</v>
      </c>
      <c r="AA2952">
        <v>34</v>
      </c>
      <c r="AB2952">
        <v>166</v>
      </c>
      <c r="AC2952" t="s">
        <v>17950</v>
      </c>
      <c r="AD2952" t="s">
        <v>17951</v>
      </c>
      <c r="AE2952" t="s">
        <v>17952</v>
      </c>
      <c r="AF2952" t="s">
        <v>17953</v>
      </c>
      <c r="AG2952" t="s">
        <v>17954</v>
      </c>
      <c r="AH2952" t="s">
        <v>17955</v>
      </c>
      <c r="AJ2952" s="2">
        <v>45800.802499999998</v>
      </c>
      <c r="AK2952" t="s">
        <v>17956</v>
      </c>
      <c r="AL2952" t="s">
        <v>65</v>
      </c>
      <c r="AM2952" s="3">
        <v>2.3263888888888888</v>
      </c>
      <c r="AN2952" t="s">
        <v>66</v>
      </c>
      <c r="AO2952" t="s">
        <v>67</v>
      </c>
    </row>
    <row r="2953" spans="1:41" x14ac:dyDescent="0.2">
      <c r="A2953">
        <v>369066</v>
      </c>
      <c r="B2953" t="s">
        <v>17957</v>
      </c>
      <c r="C2953" t="s">
        <v>345</v>
      </c>
      <c r="E2953" t="s">
        <v>17958</v>
      </c>
      <c r="F2953">
        <v>56301</v>
      </c>
      <c r="G2953" s="1">
        <v>38801</v>
      </c>
      <c r="H2953" s="1">
        <v>45721</v>
      </c>
      <c r="I2953" s="1">
        <v>45931</v>
      </c>
      <c r="J2953" t="s">
        <v>45</v>
      </c>
      <c r="K2953" t="s">
        <v>45</v>
      </c>
      <c r="L2953" t="s">
        <v>429</v>
      </c>
      <c r="M2953" s="1">
        <v>42836</v>
      </c>
      <c r="N2953" t="s">
        <v>47</v>
      </c>
      <c r="O2953" t="s">
        <v>48</v>
      </c>
      <c r="P2953" t="s">
        <v>49</v>
      </c>
      <c r="Q2953" t="s">
        <v>17959</v>
      </c>
      <c r="R2953" t="s">
        <v>17960</v>
      </c>
      <c r="S2953">
        <v>4372</v>
      </c>
      <c r="T2953" t="s">
        <v>52</v>
      </c>
      <c r="U2953">
        <v>2</v>
      </c>
      <c r="V2953" t="s">
        <v>1522</v>
      </c>
      <c r="W2953" t="s">
        <v>54</v>
      </c>
      <c r="X2953" t="s">
        <v>55</v>
      </c>
      <c r="Y2953" t="s">
        <v>56</v>
      </c>
      <c r="Z2953">
        <v>2713</v>
      </c>
      <c r="AA2953">
        <v>37</v>
      </c>
      <c r="AB2953">
        <v>158</v>
      </c>
      <c r="AC2953" t="s">
        <v>1526</v>
      </c>
      <c r="AD2953" t="s">
        <v>1527</v>
      </c>
      <c r="AE2953" t="s">
        <v>1528</v>
      </c>
      <c r="AF2953" t="s">
        <v>5142</v>
      </c>
      <c r="AG2953" t="s">
        <v>5143</v>
      </c>
      <c r="AH2953" t="s">
        <v>5144</v>
      </c>
      <c r="AI2953" t="s">
        <v>17961</v>
      </c>
      <c r="AJ2953" s="2">
        <v>45726.799849537034</v>
      </c>
      <c r="AK2953" t="s">
        <v>64</v>
      </c>
      <c r="AL2953" t="s">
        <v>65</v>
      </c>
      <c r="AM2953" s="3">
        <v>2.4930555555555554</v>
      </c>
      <c r="AN2953" t="s">
        <v>66</v>
      </c>
      <c r="AO2953" t="s">
        <v>67</v>
      </c>
    </row>
    <row r="2954" spans="1:41" x14ac:dyDescent="0.2">
      <c r="A2954">
        <v>369818</v>
      </c>
      <c r="B2954" t="s">
        <v>17962</v>
      </c>
      <c r="C2954" t="s">
        <v>278</v>
      </c>
      <c r="D2954" t="s">
        <v>14809</v>
      </c>
      <c r="E2954" t="s">
        <v>17963</v>
      </c>
      <c r="G2954" s="1">
        <v>45754</v>
      </c>
      <c r="H2954" s="1">
        <v>45714</v>
      </c>
      <c r="I2954" s="1">
        <v>46082</v>
      </c>
      <c r="J2954" t="s">
        <v>45</v>
      </c>
      <c r="K2954" t="s">
        <v>45</v>
      </c>
      <c r="L2954" t="s">
        <v>72</v>
      </c>
      <c r="N2954" t="s">
        <v>47</v>
      </c>
      <c r="O2954" t="s">
        <v>121</v>
      </c>
      <c r="P2954" t="s">
        <v>49</v>
      </c>
      <c r="Q2954" t="s">
        <v>17964</v>
      </c>
      <c r="R2954" t="s">
        <v>17965</v>
      </c>
      <c r="S2954">
        <v>9200</v>
      </c>
      <c r="T2954" t="s">
        <v>52</v>
      </c>
      <c r="U2954">
        <v>4</v>
      </c>
      <c r="V2954" t="s">
        <v>1991</v>
      </c>
      <c r="W2954" t="s">
        <v>54</v>
      </c>
      <c r="X2954" t="s">
        <v>52</v>
      </c>
      <c r="Y2954" t="s">
        <v>125</v>
      </c>
      <c r="Z2954">
        <v>2602</v>
      </c>
      <c r="AA2954">
        <v>62</v>
      </c>
      <c r="AB2954">
        <v>160</v>
      </c>
      <c r="AC2954" t="s">
        <v>14085</v>
      </c>
      <c r="AD2954" t="s">
        <v>1993</v>
      </c>
      <c r="AE2954" t="s">
        <v>17966</v>
      </c>
      <c r="AF2954" t="s">
        <v>1995</v>
      </c>
      <c r="AG2954" t="s">
        <v>1996</v>
      </c>
      <c r="AH2954" t="s">
        <v>1997</v>
      </c>
      <c r="AI2954" t="s">
        <v>1993</v>
      </c>
      <c r="AJ2954" s="2">
        <v>45754.89371527778</v>
      </c>
      <c r="AK2954" t="s">
        <v>800</v>
      </c>
      <c r="AL2954" t="s">
        <v>65</v>
      </c>
      <c r="AM2954" s="3">
        <v>1.4722222222222223</v>
      </c>
      <c r="AN2954" t="s">
        <v>66</v>
      </c>
      <c r="AO2954" t="s">
        <v>67</v>
      </c>
    </row>
    <row r="2955" spans="1:41" x14ac:dyDescent="0.2">
      <c r="A2955">
        <v>368029</v>
      </c>
      <c r="B2955" t="s">
        <v>17967</v>
      </c>
      <c r="C2955" t="s">
        <v>103</v>
      </c>
      <c r="D2955" t="s">
        <v>5488</v>
      </c>
      <c r="E2955">
        <v>33350508</v>
      </c>
      <c r="F2955">
        <v>317001</v>
      </c>
      <c r="G2955" s="1">
        <v>33298</v>
      </c>
      <c r="H2955" s="1">
        <v>45691</v>
      </c>
      <c r="I2955" s="1">
        <v>46082</v>
      </c>
      <c r="J2955" t="s">
        <v>45</v>
      </c>
      <c r="K2955" t="s">
        <v>45</v>
      </c>
      <c r="L2955" t="s">
        <v>545</v>
      </c>
      <c r="M2955" s="1">
        <v>42758</v>
      </c>
      <c r="N2955" t="s">
        <v>47</v>
      </c>
      <c r="O2955" t="s">
        <v>48</v>
      </c>
      <c r="P2955" t="s">
        <v>49</v>
      </c>
      <c r="Q2955" t="s">
        <v>17968</v>
      </c>
      <c r="R2955" t="s">
        <v>17969</v>
      </c>
      <c r="S2955">
        <v>540</v>
      </c>
      <c r="T2955" t="s">
        <v>52</v>
      </c>
      <c r="U2955">
        <v>8</v>
      </c>
      <c r="V2955" t="s">
        <v>3759</v>
      </c>
      <c r="W2955" t="s">
        <v>54</v>
      </c>
      <c r="X2955" t="s">
        <v>76</v>
      </c>
      <c r="Y2955" t="s">
        <v>56</v>
      </c>
      <c r="Z2955">
        <v>1084</v>
      </c>
      <c r="AA2955">
        <v>44</v>
      </c>
      <c r="AB2955">
        <v>160</v>
      </c>
      <c r="AC2955" t="s">
        <v>4921</v>
      </c>
      <c r="AD2955" t="s">
        <v>5874</v>
      </c>
      <c r="AE2955" t="s">
        <v>8172</v>
      </c>
      <c r="AF2955" t="s">
        <v>3760</v>
      </c>
      <c r="AG2955" t="s">
        <v>5874</v>
      </c>
      <c r="AH2955" t="s">
        <v>3762</v>
      </c>
      <c r="AJ2955" s="2">
        <v>45698.935335648152</v>
      </c>
      <c r="AK2955" t="s">
        <v>717</v>
      </c>
      <c r="AL2955" t="s">
        <v>65</v>
      </c>
      <c r="AM2955" s="4">
        <v>0.2013888888888889</v>
      </c>
      <c r="AN2955" t="s">
        <v>66</v>
      </c>
      <c r="AO2955" t="s">
        <v>67</v>
      </c>
    </row>
    <row r="2956" spans="1:41" x14ac:dyDescent="0.2">
      <c r="A2956">
        <v>369695</v>
      </c>
      <c r="B2956" t="s">
        <v>17970</v>
      </c>
      <c r="C2956" t="s">
        <v>252</v>
      </c>
      <c r="D2956" t="s">
        <v>11892</v>
      </c>
      <c r="E2956" t="s">
        <v>17971</v>
      </c>
      <c r="F2956">
        <v>250402</v>
      </c>
      <c r="G2956" s="1">
        <v>37537</v>
      </c>
      <c r="H2956" s="1">
        <v>45555</v>
      </c>
      <c r="J2956" t="s">
        <v>45</v>
      </c>
      <c r="K2956" t="s">
        <v>45</v>
      </c>
      <c r="L2956" t="s">
        <v>72</v>
      </c>
      <c r="M2956" s="1">
        <v>44840</v>
      </c>
      <c r="N2956" t="s">
        <v>47</v>
      </c>
      <c r="O2956" t="s">
        <v>48</v>
      </c>
      <c r="P2956" t="s">
        <v>49</v>
      </c>
      <c r="Q2956" t="s">
        <v>17972</v>
      </c>
      <c r="R2956" t="s">
        <v>17973</v>
      </c>
      <c r="S2956">
        <v>2927</v>
      </c>
      <c r="T2956" t="s">
        <v>156</v>
      </c>
      <c r="U2956" t="s">
        <v>1018</v>
      </c>
      <c r="V2956" t="s">
        <v>17974</v>
      </c>
      <c r="W2956" t="s">
        <v>159</v>
      </c>
      <c r="X2956" t="s">
        <v>156</v>
      </c>
      <c r="Y2956" t="s">
        <v>450</v>
      </c>
      <c r="Z2956">
        <v>1895</v>
      </c>
      <c r="AA2956">
        <v>62</v>
      </c>
      <c r="AB2956">
        <v>158</v>
      </c>
      <c r="AC2956" t="s">
        <v>5841</v>
      </c>
      <c r="AD2956" t="s">
        <v>5842</v>
      </c>
      <c r="AE2956" t="s">
        <v>5843</v>
      </c>
      <c r="AF2956" t="s">
        <v>5844</v>
      </c>
      <c r="AG2956" t="s">
        <v>5845</v>
      </c>
      <c r="AH2956" t="s">
        <v>5846</v>
      </c>
      <c r="AI2956" t="s">
        <v>17975</v>
      </c>
      <c r="AJ2956" s="2">
        <v>45749.59034722222</v>
      </c>
      <c r="AK2956" t="s">
        <v>1024</v>
      </c>
      <c r="AL2956" t="s">
        <v>65</v>
      </c>
      <c r="AM2956" s="4">
        <v>0.58333333333333337</v>
      </c>
      <c r="AN2956" t="s">
        <v>66</v>
      </c>
      <c r="AO2956" t="s">
        <v>67</v>
      </c>
    </row>
    <row r="2957" spans="1:41" x14ac:dyDescent="0.2">
      <c r="A2957">
        <v>370006</v>
      </c>
      <c r="B2957" t="s">
        <v>17976</v>
      </c>
      <c r="C2957" t="s">
        <v>182</v>
      </c>
      <c r="D2957" t="s">
        <v>610</v>
      </c>
      <c r="E2957" t="s">
        <v>17977</v>
      </c>
      <c r="F2957">
        <v>45734</v>
      </c>
      <c r="G2957" s="1">
        <v>32509</v>
      </c>
      <c r="H2957" s="1">
        <v>45619</v>
      </c>
      <c r="J2957" t="s">
        <v>45</v>
      </c>
      <c r="K2957" t="s">
        <v>72</v>
      </c>
      <c r="L2957" t="s">
        <v>72</v>
      </c>
      <c r="N2957" t="s">
        <v>47</v>
      </c>
      <c r="O2957" t="s">
        <v>48</v>
      </c>
      <c r="P2957" t="s">
        <v>49</v>
      </c>
      <c r="Q2957" t="s">
        <v>17978</v>
      </c>
      <c r="R2957" t="s">
        <v>17979</v>
      </c>
      <c r="S2957">
        <v>1483</v>
      </c>
      <c r="T2957" t="s">
        <v>92</v>
      </c>
      <c r="U2957" t="s">
        <v>187</v>
      </c>
      <c r="V2957" t="s">
        <v>447</v>
      </c>
      <c r="W2957" t="s">
        <v>448</v>
      </c>
      <c r="X2957" t="s">
        <v>92</v>
      </c>
      <c r="Y2957" t="s">
        <v>450</v>
      </c>
      <c r="Z2957">
        <v>1279</v>
      </c>
      <c r="AA2957">
        <v>49</v>
      </c>
      <c r="AB2957">
        <v>38</v>
      </c>
      <c r="AC2957" t="s">
        <v>451</v>
      </c>
      <c r="AD2957" t="s">
        <v>452</v>
      </c>
      <c r="AE2957" t="s">
        <v>453</v>
      </c>
      <c r="AF2957" t="s">
        <v>454</v>
      </c>
      <c r="AG2957" t="s">
        <v>473</v>
      </c>
      <c r="AH2957" t="s">
        <v>474</v>
      </c>
      <c r="AJ2957" s="2">
        <v>45761.743935185186</v>
      </c>
      <c r="AK2957" t="s">
        <v>650</v>
      </c>
      <c r="AL2957" t="s">
        <v>65</v>
      </c>
      <c r="AM2957" s="4">
        <v>0.59027777777777779</v>
      </c>
      <c r="AN2957" t="s">
        <v>66</v>
      </c>
      <c r="AO2957" t="s">
        <v>67</v>
      </c>
    </row>
    <row r="2958" spans="1:41" x14ac:dyDescent="0.2">
      <c r="A2958">
        <v>366733</v>
      </c>
      <c r="B2958" t="s">
        <v>17980</v>
      </c>
      <c r="C2958" t="s">
        <v>182</v>
      </c>
      <c r="D2958" t="s">
        <v>183</v>
      </c>
      <c r="E2958" t="s">
        <v>17981</v>
      </c>
      <c r="F2958">
        <v>45423</v>
      </c>
      <c r="G2958" s="1">
        <v>37529</v>
      </c>
      <c r="H2958" s="1">
        <v>45629</v>
      </c>
      <c r="I2958" s="1">
        <v>46127</v>
      </c>
      <c r="J2958" t="s">
        <v>45</v>
      </c>
      <c r="K2958" t="s">
        <v>326</v>
      </c>
      <c r="L2958" t="s">
        <v>46</v>
      </c>
      <c r="M2958" s="1">
        <v>40981</v>
      </c>
      <c r="N2958" t="s">
        <v>47</v>
      </c>
      <c r="O2958" t="s">
        <v>48</v>
      </c>
      <c r="P2958" t="s">
        <v>49</v>
      </c>
      <c r="Q2958" t="s">
        <v>17982</v>
      </c>
      <c r="R2958" t="s">
        <v>17983</v>
      </c>
      <c r="S2958">
        <v>3780</v>
      </c>
      <c r="T2958" t="s">
        <v>52</v>
      </c>
      <c r="U2958">
        <v>5</v>
      </c>
      <c r="V2958" t="s">
        <v>2432</v>
      </c>
      <c r="W2958" t="s">
        <v>54</v>
      </c>
      <c r="X2958" t="s">
        <v>493</v>
      </c>
      <c r="Y2958" t="s">
        <v>434</v>
      </c>
      <c r="Z2958">
        <v>2183</v>
      </c>
      <c r="AA2958">
        <v>43</v>
      </c>
      <c r="AB2958">
        <v>160</v>
      </c>
      <c r="AC2958" t="s">
        <v>5001</v>
      </c>
      <c r="AD2958" t="s">
        <v>5002</v>
      </c>
      <c r="AE2958" t="s">
        <v>2435</v>
      </c>
      <c r="AF2958" t="s">
        <v>2436</v>
      </c>
      <c r="AG2958" t="s">
        <v>2437</v>
      </c>
      <c r="AH2958" t="s">
        <v>2438</v>
      </c>
      <c r="AI2958" t="s">
        <v>500</v>
      </c>
      <c r="AJ2958" s="2">
        <v>45635.805173611108</v>
      </c>
      <c r="AK2958" t="s">
        <v>717</v>
      </c>
      <c r="AL2958" t="s">
        <v>65</v>
      </c>
      <c r="AM2958" s="3">
        <v>2.2638888888888888</v>
      </c>
      <c r="AN2958" t="s">
        <v>66</v>
      </c>
      <c r="AO2958" t="s">
        <v>67</v>
      </c>
    </row>
    <row r="2959" spans="1:41" x14ac:dyDescent="0.2">
      <c r="A2959">
        <v>372305</v>
      </c>
      <c r="B2959" t="s">
        <v>17984</v>
      </c>
      <c r="C2959" t="s">
        <v>182</v>
      </c>
      <c r="D2959" t="s">
        <v>1064</v>
      </c>
      <c r="E2959" t="s">
        <v>17985</v>
      </c>
      <c r="F2959">
        <v>40243</v>
      </c>
      <c r="G2959" s="1">
        <v>36511</v>
      </c>
      <c r="H2959" s="1">
        <v>45835</v>
      </c>
      <c r="I2959" s="1">
        <v>46143</v>
      </c>
      <c r="J2959" t="s">
        <v>45</v>
      </c>
      <c r="K2959" t="s">
        <v>45</v>
      </c>
      <c r="L2959" t="s">
        <v>429</v>
      </c>
      <c r="M2959" s="1">
        <v>44658</v>
      </c>
      <c r="N2959" t="s">
        <v>47</v>
      </c>
      <c r="O2959" t="s">
        <v>48</v>
      </c>
      <c r="P2959" t="s">
        <v>49</v>
      </c>
      <c r="Q2959" t="s">
        <v>17986</v>
      </c>
      <c r="R2959" t="s">
        <v>17987</v>
      </c>
      <c r="S2959">
        <v>5303</v>
      </c>
      <c r="T2959" t="s">
        <v>52</v>
      </c>
      <c r="U2959">
        <v>5</v>
      </c>
      <c r="V2959" t="s">
        <v>2947</v>
      </c>
      <c r="W2959" t="s">
        <v>54</v>
      </c>
      <c r="X2959" t="s">
        <v>493</v>
      </c>
      <c r="Y2959" t="s">
        <v>434</v>
      </c>
      <c r="Z2959">
        <v>699</v>
      </c>
      <c r="AA2959">
        <v>56</v>
      </c>
      <c r="AB2959">
        <v>28</v>
      </c>
      <c r="AC2959" t="s">
        <v>9891</v>
      </c>
      <c r="AD2959" t="s">
        <v>9892</v>
      </c>
      <c r="AE2959" t="s">
        <v>9893</v>
      </c>
      <c r="AF2959" t="s">
        <v>9894</v>
      </c>
      <c r="AG2959" t="s">
        <v>9895</v>
      </c>
      <c r="AH2959" t="s">
        <v>9896</v>
      </c>
      <c r="AI2959" t="s">
        <v>500</v>
      </c>
      <c r="AJ2959" s="2">
        <v>45837.911921296298</v>
      </c>
      <c r="AK2959" t="s">
        <v>180</v>
      </c>
      <c r="AL2959" t="s">
        <v>65</v>
      </c>
      <c r="AM2959" s="3">
        <v>1.3194444444444444</v>
      </c>
      <c r="AN2959" t="s">
        <v>66</v>
      </c>
      <c r="AO2959" t="s">
        <v>67</v>
      </c>
    </row>
    <row r="2960" spans="1:41" x14ac:dyDescent="0.2">
      <c r="A2960">
        <v>369428</v>
      </c>
      <c r="B2960" t="s">
        <v>17988</v>
      </c>
      <c r="C2960" t="s">
        <v>182</v>
      </c>
      <c r="D2960" t="s">
        <v>4421</v>
      </c>
      <c r="E2960" t="s">
        <v>17989</v>
      </c>
      <c r="F2960">
        <v>45220</v>
      </c>
      <c r="G2960" s="1">
        <v>37344</v>
      </c>
      <c r="H2960" s="1">
        <v>45735</v>
      </c>
      <c r="I2960" s="1">
        <v>46113</v>
      </c>
      <c r="J2960" t="s">
        <v>45</v>
      </c>
      <c r="K2960" t="s">
        <v>326</v>
      </c>
      <c r="L2960" t="s">
        <v>429</v>
      </c>
      <c r="M2960" s="1">
        <v>42580</v>
      </c>
      <c r="N2960" t="s">
        <v>47</v>
      </c>
      <c r="O2960" t="s">
        <v>48</v>
      </c>
      <c r="P2960" t="s">
        <v>49</v>
      </c>
      <c r="Q2960" t="s">
        <v>17990</v>
      </c>
      <c r="R2960" t="s">
        <v>17991</v>
      </c>
      <c r="S2960">
        <v>1017</v>
      </c>
      <c r="T2960" t="s">
        <v>52</v>
      </c>
      <c r="U2960">
        <v>5</v>
      </c>
      <c r="V2960" t="s">
        <v>1030</v>
      </c>
      <c r="W2960" t="s">
        <v>54</v>
      </c>
      <c r="X2960" t="s">
        <v>493</v>
      </c>
      <c r="Y2960" t="s">
        <v>434</v>
      </c>
      <c r="Z2960">
        <v>2058</v>
      </c>
      <c r="AA2960">
        <v>47</v>
      </c>
      <c r="AB2960">
        <v>34</v>
      </c>
      <c r="AC2960" t="s">
        <v>17992</v>
      </c>
      <c r="AD2960" t="s">
        <v>17993</v>
      </c>
      <c r="AE2960" t="s">
        <v>17994</v>
      </c>
      <c r="AF2960" t="s">
        <v>1034</v>
      </c>
      <c r="AG2960" t="s">
        <v>1035</v>
      </c>
      <c r="AH2960" t="s">
        <v>1036</v>
      </c>
      <c r="AI2960" t="s">
        <v>500</v>
      </c>
      <c r="AJ2960" s="2">
        <v>45740.749282407407</v>
      </c>
      <c r="AK2960" t="s">
        <v>2668</v>
      </c>
      <c r="AL2960" t="s">
        <v>65</v>
      </c>
      <c r="AM2960" s="4">
        <v>0.92361111111111116</v>
      </c>
      <c r="AN2960" t="s">
        <v>66</v>
      </c>
      <c r="AO2960" t="s">
        <v>67</v>
      </c>
    </row>
    <row r="2961" spans="1:41" x14ac:dyDescent="0.2">
      <c r="A2961">
        <v>371881</v>
      </c>
      <c r="B2961" t="s">
        <v>17995</v>
      </c>
      <c r="C2961" t="s">
        <v>182</v>
      </c>
      <c r="D2961" t="s">
        <v>4421</v>
      </c>
      <c r="E2961" t="s">
        <v>17996</v>
      </c>
      <c r="G2961" s="1">
        <v>44448</v>
      </c>
      <c r="H2961" s="1">
        <v>45790</v>
      </c>
      <c r="I2961" s="1">
        <v>46068</v>
      </c>
      <c r="J2961" t="s">
        <v>45</v>
      </c>
      <c r="K2961" t="s">
        <v>326</v>
      </c>
      <c r="L2961" t="s">
        <v>72</v>
      </c>
      <c r="M2961" s="1">
        <v>45790</v>
      </c>
      <c r="N2961" t="s">
        <v>47</v>
      </c>
      <c r="O2961" t="s">
        <v>121</v>
      </c>
      <c r="P2961" t="s">
        <v>49</v>
      </c>
      <c r="Q2961" t="s">
        <v>17997</v>
      </c>
      <c r="R2961" t="s">
        <v>17998</v>
      </c>
      <c r="S2961">
        <v>200</v>
      </c>
      <c r="T2961" t="s">
        <v>1328</v>
      </c>
      <c r="U2961" t="s">
        <v>1329</v>
      </c>
      <c r="V2961" t="s">
        <v>17999</v>
      </c>
      <c r="W2961" t="s">
        <v>1331</v>
      </c>
      <c r="X2961" t="s">
        <v>1328</v>
      </c>
      <c r="Y2961" t="s">
        <v>110</v>
      </c>
      <c r="Z2961">
        <v>8646</v>
      </c>
      <c r="AA2961">
        <v>71</v>
      </c>
      <c r="AB2961">
        <v>78</v>
      </c>
      <c r="AC2961" t="s">
        <v>17992</v>
      </c>
      <c r="AD2961" t="s">
        <v>17993</v>
      </c>
      <c r="AE2961" t="s">
        <v>17994</v>
      </c>
      <c r="AF2961" t="s">
        <v>18000</v>
      </c>
      <c r="AG2961" t="s">
        <v>18001</v>
      </c>
      <c r="AH2961" t="s">
        <v>18002</v>
      </c>
      <c r="AJ2961" s="2">
        <v>45821.876655092594</v>
      </c>
      <c r="AK2961" t="s">
        <v>17992</v>
      </c>
      <c r="AL2961" t="s">
        <v>65</v>
      </c>
      <c r="AM2961" s="3">
        <v>1.4375</v>
      </c>
      <c r="AN2961" t="s">
        <v>66</v>
      </c>
      <c r="AO2961" t="s">
        <v>67</v>
      </c>
    </row>
    <row r="2962" spans="1:41" x14ac:dyDescent="0.2">
      <c r="A2962">
        <v>371047</v>
      </c>
      <c r="B2962" t="s">
        <v>18003</v>
      </c>
      <c r="C2962" t="s">
        <v>118</v>
      </c>
      <c r="D2962" t="s">
        <v>4931</v>
      </c>
      <c r="E2962" t="s">
        <v>18004</v>
      </c>
      <c r="F2962">
        <v>20503</v>
      </c>
      <c r="G2962" s="1">
        <v>34278</v>
      </c>
      <c r="H2962" s="1">
        <v>45534</v>
      </c>
      <c r="I2962" s="1">
        <v>46235</v>
      </c>
      <c r="J2962" t="s">
        <v>45</v>
      </c>
      <c r="K2962" t="s">
        <v>45</v>
      </c>
      <c r="L2962" t="s">
        <v>429</v>
      </c>
      <c r="M2962" s="1">
        <v>43738</v>
      </c>
      <c r="N2962" t="s">
        <v>47</v>
      </c>
      <c r="O2962" t="s">
        <v>48</v>
      </c>
      <c r="P2962" t="s">
        <v>49</v>
      </c>
      <c r="Q2962" t="s">
        <v>18005</v>
      </c>
      <c r="R2962" t="s">
        <v>18006</v>
      </c>
      <c r="S2962">
        <v>3101</v>
      </c>
      <c r="T2962" t="s">
        <v>52</v>
      </c>
      <c r="U2962">
        <v>3</v>
      </c>
      <c r="V2962" t="s">
        <v>4935</v>
      </c>
      <c r="W2962" t="s">
        <v>54</v>
      </c>
      <c r="X2962" t="s">
        <v>55</v>
      </c>
      <c r="Y2962" t="s">
        <v>56</v>
      </c>
      <c r="Z2962">
        <v>632</v>
      </c>
      <c r="AA2962">
        <v>59</v>
      </c>
      <c r="AB2962">
        <v>152</v>
      </c>
      <c r="AC2962" t="s">
        <v>4936</v>
      </c>
      <c r="AD2962" t="s">
        <v>4937</v>
      </c>
      <c r="AE2962" t="s">
        <v>4938</v>
      </c>
      <c r="AI2962" t="s">
        <v>1809</v>
      </c>
      <c r="AJ2962" s="2">
        <v>45793.648738425924</v>
      </c>
      <c r="AK2962" t="s">
        <v>100</v>
      </c>
      <c r="AL2962" t="s">
        <v>65</v>
      </c>
      <c r="AM2962" s="4">
        <v>0.21527777777777779</v>
      </c>
      <c r="AN2962" t="s">
        <v>66</v>
      </c>
      <c r="AO2962" t="s">
        <v>67</v>
      </c>
    </row>
    <row r="2963" spans="1:41" x14ac:dyDescent="0.2">
      <c r="A2963">
        <v>367799</v>
      </c>
      <c r="B2963" t="s">
        <v>18007</v>
      </c>
      <c r="C2963" t="s">
        <v>1687</v>
      </c>
      <c r="D2963" t="s">
        <v>6573</v>
      </c>
      <c r="E2963" t="s">
        <v>18008</v>
      </c>
      <c r="F2963">
        <v>162302</v>
      </c>
      <c r="G2963" s="1">
        <v>36281</v>
      </c>
      <c r="H2963" s="1">
        <v>45687</v>
      </c>
      <c r="I2963" s="1">
        <v>46054</v>
      </c>
      <c r="J2963" t="s">
        <v>45</v>
      </c>
      <c r="K2963" t="s">
        <v>45</v>
      </c>
      <c r="L2963" t="s">
        <v>72</v>
      </c>
      <c r="M2963" s="1">
        <v>44180</v>
      </c>
      <c r="N2963" t="s">
        <v>47</v>
      </c>
      <c r="O2963" t="s">
        <v>48</v>
      </c>
      <c r="P2963" t="s">
        <v>49</v>
      </c>
      <c r="Q2963" t="s">
        <v>18009</v>
      </c>
      <c r="R2963" t="s">
        <v>18010</v>
      </c>
      <c r="S2963">
        <v>350</v>
      </c>
      <c r="T2963" t="s">
        <v>52</v>
      </c>
      <c r="U2963">
        <v>8</v>
      </c>
      <c r="V2963" t="s">
        <v>4309</v>
      </c>
      <c r="W2963" t="s">
        <v>54</v>
      </c>
      <c r="X2963" t="s">
        <v>76</v>
      </c>
      <c r="Y2963" t="s">
        <v>56</v>
      </c>
      <c r="Z2963">
        <v>1079</v>
      </c>
      <c r="AA2963">
        <v>45</v>
      </c>
      <c r="AB2963">
        <v>166</v>
      </c>
      <c r="AC2963" t="s">
        <v>4310</v>
      </c>
      <c r="AD2963" t="s">
        <v>4311</v>
      </c>
      <c r="AE2963" t="s">
        <v>4312</v>
      </c>
      <c r="AF2963" t="s">
        <v>4313</v>
      </c>
      <c r="AG2963" t="s">
        <v>4314</v>
      </c>
      <c r="AH2963" t="s">
        <v>4315</v>
      </c>
      <c r="AJ2963" s="2">
        <v>45691.719293981485</v>
      </c>
      <c r="AK2963" t="s">
        <v>1999</v>
      </c>
      <c r="AL2963" t="s">
        <v>65</v>
      </c>
      <c r="AM2963" s="3">
        <v>2.4583333333333335</v>
      </c>
      <c r="AN2963" t="s">
        <v>66</v>
      </c>
      <c r="AO2963" t="s">
        <v>67</v>
      </c>
    </row>
    <row r="2964" spans="1:41" x14ac:dyDescent="0.2">
      <c r="A2964">
        <v>367009</v>
      </c>
      <c r="B2964" t="s">
        <v>18007</v>
      </c>
      <c r="C2964" t="s">
        <v>278</v>
      </c>
      <c r="D2964" t="s">
        <v>870</v>
      </c>
      <c r="E2964">
        <v>32572580</v>
      </c>
      <c r="F2964">
        <v>420908</v>
      </c>
      <c r="G2964" s="1">
        <v>33122</v>
      </c>
      <c r="H2964" s="1">
        <v>45583</v>
      </c>
      <c r="I2964" s="1">
        <v>45945</v>
      </c>
      <c r="J2964" t="s">
        <v>45</v>
      </c>
      <c r="K2964" t="s">
        <v>45</v>
      </c>
      <c r="L2964" t="s">
        <v>429</v>
      </c>
      <c r="M2964" s="1">
        <v>39944</v>
      </c>
      <c r="N2964" t="s">
        <v>47</v>
      </c>
      <c r="O2964" t="s">
        <v>48</v>
      </c>
      <c r="P2964" t="s">
        <v>49</v>
      </c>
      <c r="Q2964" t="s">
        <v>18011</v>
      </c>
      <c r="R2964" t="s">
        <v>18012</v>
      </c>
      <c r="S2964">
        <v>5639</v>
      </c>
      <c r="T2964" t="s">
        <v>365</v>
      </c>
      <c r="U2964" t="s">
        <v>432</v>
      </c>
      <c r="V2964" t="s">
        <v>874</v>
      </c>
      <c r="W2964" t="s">
        <v>367</v>
      </c>
      <c r="X2964" t="s">
        <v>76</v>
      </c>
      <c r="Y2964" t="s">
        <v>434</v>
      </c>
      <c r="Z2964">
        <v>358</v>
      </c>
      <c r="AA2964">
        <v>50</v>
      </c>
      <c r="AB2964">
        <v>158</v>
      </c>
      <c r="AC2964" t="s">
        <v>875</v>
      </c>
      <c r="AD2964" t="s">
        <v>876</v>
      </c>
      <c r="AE2964" t="s">
        <v>4759</v>
      </c>
      <c r="AF2964" t="s">
        <v>3172</v>
      </c>
      <c r="AG2964" t="s">
        <v>879</v>
      </c>
      <c r="AH2964" t="s">
        <v>880</v>
      </c>
      <c r="AI2964" t="s">
        <v>179</v>
      </c>
      <c r="AJ2964" s="2">
        <v>45652.869953703703</v>
      </c>
      <c r="AK2964" t="s">
        <v>556</v>
      </c>
      <c r="AL2964" t="s">
        <v>65</v>
      </c>
      <c r="AM2964" s="3">
        <v>1.7638888888888888</v>
      </c>
      <c r="AN2964" t="s">
        <v>66</v>
      </c>
      <c r="AO2964" t="s">
        <v>67</v>
      </c>
    </row>
    <row r="2965" spans="1:41" x14ac:dyDescent="0.2">
      <c r="A2965">
        <v>368046</v>
      </c>
      <c r="B2965" t="s">
        <v>18013</v>
      </c>
      <c r="C2965" t="s">
        <v>167</v>
      </c>
      <c r="D2965" t="s">
        <v>5415</v>
      </c>
      <c r="E2965" t="s">
        <v>18014</v>
      </c>
      <c r="F2965">
        <v>350310</v>
      </c>
      <c r="G2965" s="1">
        <v>45401</v>
      </c>
      <c r="H2965" s="1">
        <v>45401</v>
      </c>
      <c r="J2965" t="s">
        <v>45</v>
      </c>
      <c r="K2965" t="s">
        <v>45</v>
      </c>
      <c r="L2965" t="s">
        <v>46</v>
      </c>
      <c r="M2965" s="1">
        <v>45401</v>
      </c>
      <c r="N2965" t="s">
        <v>47</v>
      </c>
      <c r="O2965" t="s">
        <v>48</v>
      </c>
      <c r="P2965" t="s">
        <v>49</v>
      </c>
      <c r="Q2965" t="s">
        <v>18015</v>
      </c>
      <c r="R2965" t="s">
        <v>18016</v>
      </c>
      <c r="S2965">
        <v>674</v>
      </c>
      <c r="T2965" t="s">
        <v>92</v>
      </c>
      <c r="U2965" t="s">
        <v>3030</v>
      </c>
      <c r="V2965" t="s">
        <v>3031</v>
      </c>
      <c r="W2965" t="s">
        <v>3032</v>
      </c>
      <c r="X2965" t="s">
        <v>92</v>
      </c>
      <c r="Y2965" t="s">
        <v>96</v>
      </c>
      <c r="Z2965">
        <v>12156</v>
      </c>
      <c r="AA2965">
        <v>15</v>
      </c>
      <c r="AB2965">
        <v>44</v>
      </c>
      <c r="AC2965" t="s">
        <v>5419</v>
      </c>
      <c r="AD2965" t="s">
        <v>5420</v>
      </c>
      <c r="AE2965" t="s">
        <v>18017</v>
      </c>
      <c r="AF2965" t="s">
        <v>5419</v>
      </c>
      <c r="AG2965" t="s">
        <v>5420</v>
      </c>
      <c r="AH2965" t="s">
        <v>5421</v>
      </c>
      <c r="AI2965" t="s">
        <v>5420</v>
      </c>
      <c r="AJ2965" s="2">
        <v>45699.671412037038</v>
      </c>
      <c r="AK2965" t="s">
        <v>5419</v>
      </c>
      <c r="AL2965" t="s">
        <v>65</v>
      </c>
      <c r="AM2965" s="4">
        <v>0.94097222222222221</v>
      </c>
      <c r="AN2965" t="s">
        <v>66</v>
      </c>
      <c r="AO2965" t="s">
        <v>67</v>
      </c>
    </row>
    <row r="2966" spans="1:41" x14ac:dyDescent="0.2">
      <c r="A2966">
        <v>366559</v>
      </c>
      <c r="B2966" t="s">
        <v>18018</v>
      </c>
      <c r="C2966" t="s">
        <v>2962</v>
      </c>
      <c r="D2966" t="s">
        <v>18019</v>
      </c>
      <c r="E2966">
        <v>11111111</v>
      </c>
      <c r="H2966" s="1">
        <v>44911</v>
      </c>
      <c r="I2966" s="1">
        <v>46006</v>
      </c>
      <c r="J2966" t="s">
        <v>45</v>
      </c>
      <c r="K2966" t="s">
        <v>326</v>
      </c>
      <c r="L2966" t="s">
        <v>72</v>
      </c>
      <c r="N2966" t="s">
        <v>89</v>
      </c>
      <c r="O2966" t="s">
        <v>121</v>
      </c>
      <c r="P2966" t="s">
        <v>1752</v>
      </c>
      <c r="T2966" t="s">
        <v>52</v>
      </c>
      <c r="U2966">
        <v>9</v>
      </c>
      <c r="W2966" t="s">
        <v>54</v>
      </c>
      <c r="X2966" t="s">
        <v>52</v>
      </c>
      <c r="Y2966" t="s">
        <v>125</v>
      </c>
      <c r="Z2966">
        <v>12140</v>
      </c>
      <c r="AA2966">
        <v>10</v>
      </c>
      <c r="AC2966" t="s">
        <v>18020</v>
      </c>
      <c r="AD2966" t="s">
        <v>6085</v>
      </c>
      <c r="AE2966" t="s">
        <v>18021</v>
      </c>
      <c r="AF2966" t="s">
        <v>6081</v>
      </c>
      <c r="AG2966" t="s">
        <v>6082</v>
      </c>
      <c r="AH2966" t="s">
        <v>6083</v>
      </c>
      <c r="AJ2966" s="2">
        <v>45626.58861111111</v>
      </c>
      <c r="AK2966" t="s">
        <v>132</v>
      </c>
      <c r="AL2966" t="s">
        <v>475</v>
      </c>
      <c r="AM2966" s="4">
        <v>0</v>
      </c>
      <c r="AN2966" t="s">
        <v>66</v>
      </c>
      <c r="AO2966" t="s">
        <v>67</v>
      </c>
    </row>
    <row r="2967" spans="1:41" x14ac:dyDescent="0.2">
      <c r="A2967">
        <v>370467</v>
      </c>
      <c r="B2967" t="s">
        <v>18022</v>
      </c>
      <c r="C2967" t="s">
        <v>3878</v>
      </c>
      <c r="E2967" t="s">
        <v>18023</v>
      </c>
      <c r="F2967">
        <v>517501</v>
      </c>
      <c r="G2967" s="1">
        <v>39161</v>
      </c>
      <c r="H2967" s="1">
        <v>45769</v>
      </c>
      <c r="J2967" t="s">
        <v>45</v>
      </c>
      <c r="K2967" t="s">
        <v>72</v>
      </c>
      <c r="L2967" t="s">
        <v>72</v>
      </c>
      <c r="N2967" t="s">
        <v>47</v>
      </c>
      <c r="O2967" t="s">
        <v>48</v>
      </c>
      <c r="P2967" t="s">
        <v>49</v>
      </c>
      <c r="Q2967" t="s">
        <v>18024</v>
      </c>
      <c r="R2967" t="s">
        <v>18025</v>
      </c>
      <c r="S2967">
        <v>37</v>
      </c>
      <c r="T2967" t="s">
        <v>156</v>
      </c>
      <c r="U2967" t="s">
        <v>157</v>
      </c>
      <c r="W2967" t="s">
        <v>159</v>
      </c>
      <c r="X2967" t="s">
        <v>156</v>
      </c>
      <c r="Y2967" t="s">
        <v>450</v>
      </c>
      <c r="Z2967">
        <v>2913</v>
      </c>
      <c r="AA2967">
        <v>26</v>
      </c>
      <c r="AB2967">
        <v>79</v>
      </c>
      <c r="AC2967" t="s">
        <v>3882</v>
      </c>
      <c r="AD2967" t="s">
        <v>3883</v>
      </c>
      <c r="AE2967" t="s">
        <v>18026</v>
      </c>
      <c r="AJ2967" s="2">
        <v>45776.623182870368</v>
      </c>
      <c r="AK2967" t="s">
        <v>526</v>
      </c>
      <c r="AL2967" t="s">
        <v>65</v>
      </c>
      <c r="AM2967" s="4">
        <v>0.47222222222222221</v>
      </c>
      <c r="AN2967" t="s">
        <v>66</v>
      </c>
      <c r="AO2967" t="s">
        <v>101</v>
      </c>
    </row>
    <row r="2968" spans="1:41" x14ac:dyDescent="0.2">
      <c r="A2968">
        <v>362549</v>
      </c>
      <c r="B2968" t="s">
        <v>18027</v>
      </c>
      <c r="C2968" t="s">
        <v>134</v>
      </c>
      <c r="D2968" t="s">
        <v>4154</v>
      </c>
      <c r="E2968" t="s">
        <v>18028</v>
      </c>
      <c r="F2968">
        <v>452128</v>
      </c>
      <c r="G2968" s="1">
        <v>31995</v>
      </c>
      <c r="H2968" s="1">
        <v>45489</v>
      </c>
      <c r="I2968" s="1">
        <v>46204</v>
      </c>
      <c r="J2968" t="s">
        <v>45</v>
      </c>
      <c r="K2968" t="s">
        <v>45</v>
      </c>
      <c r="L2968" t="s">
        <v>429</v>
      </c>
      <c r="M2968" s="1">
        <v>44719</v>
      </c>
      <c r="N2968" t="s">
        <v>47</v>
      </c>
      <c r="O2968" t="s">
        <v>48</v>
      </c>
      <c r="P2968" t="s">
        <v>49</v>
      </c>
      <c r="Q2968" t="s">
        <v>18029</v>
      </c>
      <c r="R2968" t="s">
        <v>18030</v>
      </c>
      <c r="S2968">
        <v>3695</v>
      </c>
      <c r="T2968" t="s">
        <v>52</v>
      </c>
      <c r="U2968">
        <v>6</v>
      </c>
      <c r="V2968" t="s">
        <v>4158</v>
      </c>
      <c r="W2968" t="s">
        <v>54</v>
      </c>
      <c r="X2968" t="s">
        <v>76</v>
      </c>
      <c r="Y2968" t="s">
        <v>434</v>
      </c>
      <c r="Z2968">
        <v>856</v>
      </c>
      <c r="AA2968">
        <v>68</v>
      </c>
      <c r="AB2968">
        <v>158</v>
      </c>
      <c r="AC2968" t="s">
        <v>4159</v>
      </c>
      <c r="AD2968" t="s">
        <v>4160</v>
      </c>
      <c r="AE2968" t="s">
        <v>4161</v>
      </c>
      <c r="AF2968" t="s">
        <v>6636</v>
      </c>
      <c r="AG2968" t="s">
        <v>6637</v>
      </c>
      <c r="AH2968" t="s">
        <v>6638</v>
      </c>
      <c r="AI2968" t="s">
        <v>6639</v>
      </c>
      <c r="AJ2968" s="2">
        <v>45490.037222222221</v>
      </c>
      <c r="AK2968" t="s">
        <v>2517</v>
      </c>
      <c r="AL2968" t="s">
        <v>65</v>
      </c>
      <c r="AM2968" s="4">
        <v>0.16666666666666666</v>
      </c>
      <c r="AN2968" t="s">
        <v>66</v>
      </c>
      <c r="AO2968" t="s">
        <v>67</v>
      </c>
    </row>
    <row r="2969" spans="1:41" x14ac:dyDescent="0.2">
      <c r="A2969">
        <v>372913</v>
      </c>
      <c r="B2969" t="s">
        <v>18031</v>
      </c>
      <c r="C2969" t="s">
        <v>167</v>
      </c>
      <c r="D2969" t="s">
        <v>3504</v>
      </c>
      <c r="E2969" t="s">
        <v>18032</v>
      </c>
      <c r="F2969">
        <v>352547</v>
      </c>
      <c r="G2969" s="1">
        <v>30789</v>
      </c>
      <c r="H2969" s="1">
        <v>45715</v>
      </c>
      <c r="I2969" s="1">
        <v>46054</v>
      </c>
      <c r="J2969" t="s">
        <v>45</v>
      </c>
      <c r="K2969" t="s">
        <v>45</v>
      </c>
      <c r="L2969" t="s">
        <v>429</v>
      </c>
      <c r="M2969" s="1">
        <v>43130</v>
      </c>
      <c r="N2969" t="s">
        <v>47</v>
      </c>
      <c r="O2969" t="s">
        <v>48</v>
      </c>
      <c r="P2969" t="s">
        <v>49</v>
      </c>
      <c r="Q2969" t="s">
        <v>18033</v>
      </c>
      <c r="R2969" t="s">
        <v>18034</v>
      </c>
      <c r="S2969">
        <v>1487</v>
      </c>
      <c r="T2969" t="s">
        <v>365</v>
      </c>
      <c r="U2969" t="s">
        <v>532</v>
      </c>
      <c r="V2969" t="s">
        <v>3508</v>
      </c>
      <c r="W2969" t="s">
        <v>367</v>
      </c>
      <c r="X2969" t="s">
        <v>76</v>
      </c>
      <c r="Y2969" t="s">
        <v>434</v>
      </c>
      <c r="Z2969">
        <v>302</v>
      </c>
      <c r="AA2969">
        <v>73</v>
      </c>
      <c r="AB2969">
        <v>38</v>
      </c>
      <c r="AC2969" t="s">
        <v>3254</v>
      </c>
      <c r="AD2969" t="s">
        <v>3255</v>
      </c>
      <c r="AE2969" t="s">
        <v>3256</v>
      </c>
      <c r="AI2969" t="s">
        <v>179</v>
      </c>
      <c r="AJ2969" s="2">
        <v>45855.894317129627</v>
      </c>
      <c r="AK2969" t="s">
        <v>556</v>
      </c>
      <c r="AL2969" t="s">
        <v>65</v>
      </c>
      <c r="AM2969" s="3">
        <v>2.2361111111111112</v>
      </c>
      <c r="AN2969" t="s">
        <v>66</v>
      </c>
      <c r="AO2969" t="s">
        <v>67</v>
      </c>
    </row>
    <row r="2970" spans="1:41" x14ac:dyDescent="0.2">
      <c r="A2970">
        <v>373013</v>
      </c>
      <c r="B2970" t="s">
        <v>18035</v>
      </c>
      <c r="C2970" t="s">
        <v>2962</v>
      </c>
      <c r="D2970" t="s">
        <v>18036</v>
      </c>
      <c r="E2970" t="s">
        <v>18037</v>
      </c>
      <c r="F2970">
        <v>338201</v>
      </c>
      <c r="G2970" s="1">
        <v>40990</v>
      </c>
      <c r="H2970" s="1">
        <v>45593</v>
      </c>
      <c r="I2970" s="1">
        <v>45945</v>
      </c>
      <c r="J2970" t="s">
        <v>45</v>
      </c>
      <c r="K2970" t="s">
        <v>45</v>
      </c>
      <c r="L2970" t="s">
        <v>46</v>
      </c>
      <c r="M2970" s="1">
        <v>41072</v>
      </c>
      <c r="N2970" t="s">
        <v>47</v>
      </c>
      <c r="O2970" t="s">
        <v>48</v>
      </c>
      <c r="P2970" t="s">
        <v>49</v>
      </c>
      <c r="Q2970" t="s">
        <v>18038</v>
      </c>
      <c r="R2970" t="s">
        <v>18039</v>
      </c>
      <c r="S2970">
        <v>920</v>
      </c>
      <c r="T2970" t="s">
        <v>52</v>
      </c>
      <c r="U2970">
        <v>9</v>
      </c>
      <c r="V2970" t="s">
        <v>6080</v>
      </c>
      <c r="W2970" t="s">
        <v>54</v>
      </c>
      <c r="X2970" t="s">
        <v>76</v>
      </c>
      <c r="Y2970" t="s">
        <v>56</v>
      </c>
      <c r="Z2970">
        <v>4846</v>
      </c>
      <c r="AA2970">
        <v>38</v>
      </c>
      <c r="AB2970">
        <v>37</v>
      </c>
      <c r="AC2970" t="s">
        <v>6084</v>
      </c>
      <c r="AD2970" t="s">
        <v>6085</v>
      </c>
      <c r="AE2970" t="s">
        <v>18021</v>
      </c>
      <c r="AF2970" t="s">
        <v>6081</v>
      </c>
      <c r="AG2970" t="s">
        <v>6082</v>
      </c>
      <c r="AH2970" t="s">
        <v>6083</v>
      </c>
      <c r="AJ2970" s="2">
        <v>45856.015972222223</v>
      </c>
      <c r="AK2970" t="s">
        <v>556</v>
      </c>
      <c r="AL2970" t="s">
        <v>65</v>
      </c>
      <c r="AM2970" s="4">
        <v>0.73611111111111116</v>
      </c>
      <c r="AN2970" t="s">
        <v>66</v>
      </c>
      <c r="AO2970" t="s">
        <v>101</v>
      </c>
    </row>
    <row r="2971" spans="1:41" x14ac:dyDescent="0.2">
      <c r="A2971">
        <v>370242</v>
      </c>
      <c r="B2971" t="s">
        <v>18040</v>
      </c>
      <c r="C2971" t="s">
        <v>182</v>
      </c>
      <c r="D2971" t="s">
        <v>183</v>
      </c>
      <c r="E2971" t="s">
        <v>18041</v>
      </c>
      <c r="G2971" s="1">
        <v>45402</v>
      </c>
      <c r="H2971" s="1">
        <v>45762</v>
      </c>
      <c r="I2971" s="1">
        <v>46113</v>
      </c>
      <c r="J2971" t="s">
        <v>45</v>
      </c>
      <c r="K2971" t="s">
        <v>45</v>
      </c>
      <c r="L2971" t="s">
        <v>46</v>
      </c>
      <c r="N2971" t="s">
        <v>47</v>
      </c>
      <c r="O2971" t="s">
        <v>48</v>
      </c>
      <c r="P2971" t="s">
        <v>49</v>
      </c>
      <c r="Q2971" t="s">
        <v>18042</v>
      </c>
      <c r="R2971" t="s">
        <v>18043</v>
      </c>
      <c r="S2971">
        <v>1898</v>
      </c>
      <c r="T2971" t="s">
        <v>1328</v>
      </c>
      <c r="U2971" t="s">
        <v>6905</v>
      </c>
      <c r="V2971" t="s">
        <v>6906</v>
      </c>
      <c r="W2971" t="s">
        <v>6907</v>
      </c>
      <c r="X2971" t="s">
        <v>493</v>
      </c>
      <c r="Y2971" t="s">
        <v>434</v>
      </c>
      <c r="Z2971">
        <v>5766</v>
      </c>
      <c r="AA2971">
        <v>26</v>
      </c>
      <c r="AB2971">
        <v>66</v>
      </c>
      <c r="AC2971" t="s">
        <v>6908</v>
      </c>
      <c r="AD2971" t="s">
        <v>17257</v>
      </c>
      <c r="AE2971" t="s">
        <v>6910</v>
      </c>
      <c r="AF2971" t="s">
        <v>6911</v>
      </c>
      <c r="AG2971" t="s">
        <v>6912</v>
      </c>
      <c r="AH2971" t="s">
        <v>6913</v>
      </c>
      <c r="AJ2971" s="2">
        <v>45768.605787037035</v>
      </c>
      <c r="AK2971" t="s">
        <v>1472</v>
      </c>
      <c r="AL2971" t="s">
        <v>65</v>
      </c>
      <c r="AM2971" s="4">
        <v>0.77083333333333337</v>
      </c>
      <c r="AN2971" t="s">
        <v>66</v>
      </c>
      <c r="AO2971" t="s">
        <v>67</v>
      </c>
    </row>
    <row r="2972" spans="1:41" x14ac:dyDescent="0.2">
      <c r="A2972">
        <v>369936</v>
      </c>
      <c r="B2972" t="s">
        <v>18044</v>
      </c>
      <c r="C2972" t="s">
        <v>182</v>
      </c>
      <c r="D2972" t="s">
        <v>779</v>
      </c>
      <c r="E2972" t="s">
        <v>18045</v>
      </c>
      <c r="F2972">
        <v>45612</v>
      </c>
      <c r="G2972" s="1">
        <v>39730</v>
      </c>
      <c r="H2972" s="1">
        <v>45713</v>
      </c>
      <c r="I2972" s="1">
        <v>46082</v>
      </c>
      <c r="J2972" t="s">
        <v>45</v>
      </c>
      <c r="K2972" t="s">
        <v>45</v>
      </c>
      <c r="L2972" t="s">
        <v>46</v>
      </c>
      <c r="M2972" s="1">
        <v>44686</v>
      </c>
      <c r="N2972" t="s">
        <v>47</v>
      </c>
      <c r="O2972" t="s">
        <v>48</v>
      </c>
      <c r="P2972" t="s">
        <v>49</v>
      </c>
      <c r="Q2972" t="s">
        <v>18046</v>
      </c>
      <c r="R2972" t="s">
        <v>18047</v>
      </c>
      <c r="S2972">
        <v>4906</v>
      </c>
      <c r="T2972" t="s">
        <v>52</v>
      </c>
      <c r="U2972">
        <v>5</v>
      </c>
      <c r="V2972" t="s">
        <v>1665</v>
      </c>
      <c r="W2972" t="s">
        <v>54</v>
      </c>
      <c r="X2972" t="s">
        <v>493</v>
      </c>
      <c r="Y2972" t="s">
        <v>434</v>
      </c>
      <c r="Z2972">
        <v>2972</v>
      </c>
      <c r="AA2972">
        <v>39</v>
      </c>
      <c r="AB2972">
        <v>176</v>
      </c>
      <c r="AC2972" t="s">
        <v>1666</v>
      </c>
      <c r="AD2972" t="s">
        <v>1667</v>
      </c>
      <c r="AE2972" t="s">
        <v>1668</v>
      </c>
      <c r="AF2972" t="s">
        <v>10178</v>
      </c>
      <c r="AG2972" t="s">
        <v>5811</v>
      </c>
      <c r="AH2972" t="s">
        <v>5812</v>
      </c>
      <c r="AI2972" t="s">
        <v>5813</v>
      </c>
      <c r="AJ2972" s="2">
        <v>45757.978715277779</v>
      </c>
      <c r="AK2972" t="s">
        <v>1871</v>
      </c>
      <c r="AL2972" t="s">
        <v>65</v>
      </c>
      <c r="AM2972" s="4">
        <v>4.1666666666666664E-2</v>
      </c>
      <c r="AN2972" t="s">
        <v>66</v>
      </c>
      <c r="AO2972" t="s">
        <v>67</v>
      </c>
    </row>
    <row r="2973" spans="1:41" x14ac:dyDescent="0.2">
      <c r="A2973">
        <v>370375</v>
      </c>
      <c r="B2973" t="s">
        <v>18048</v>
      </c>
      <c r="C2973" t="s">
        <v>182</v>
      </c>
      <c r="D2973" t="s">
        <v>4517</v>
      </c>
      <c r="E2973" t="s">
        <v>18049</v>
      </c>
      <c r="F2973">
        <v>45336</v>
      </c>
      <c r="G2973" s="1">
        <v>44216</v>
      </c>
      <c r="H2973" s="1">
        <v>45414</v>
      </c>
      <c r="I2973" s="1">
        <v>46068</v>
      </c>
      <c r="J2973" t="s">
        <v>45</v>
      </c>
      <c r="K2973" t="s">
        <v>45</v>
      </c>
      <c r="L2973" t="s">
        <v>72</v>
      </c>
      <c r="N2973" t="s">
        <v>89</v>
      </c>
      <c r="O2973" t="s">
        <v>121</v>
      </c>
      <c r="P2973" t="s">
        <v>49</v>
      </c>
      <c r="Q2973" t="s">
        <v>18050</v>
      </c>
      <c r="R2973" t="s">
        <v>18051</v>
      </c>
      <c r="S2973">
        <v>1110</v>
      </c>
      <c r="T2973" t="s">
        <v>92</v>
      </c>
      <c r="U2973" t="s">
        <v>187</v>
      </c>
      <c r="V2973" t="s">
        <v>8597</v>
      </c>
      <c r="W2973" t="s">
        <v>8598</v>
      </c>
      <c r="X2973" t="s">
        <v>92</v>
      </c>
      <c r="Y2973" t="s">
        <v>110</v>
      </c>
      <c r="Z2973">
        <v>10246</v>
      </c>
      <c r="AA2973">
        <v>15</v>
      </c>
      <c r="AB2973">
        <v>76</v>
      </c>
      <c r="AC2973" t="s">
        <v>8605</v>
      </c>
      <c r="AD2973" t="s">
        <v>8603</v>
      </c>
      <c r="AE2973" t="s">
        <v>12167</v>
      </c>
      <c r="AF2973" t="s">
        <v>8602</v>
      </c>
      <c r="AG2973" t="s">
        <v>8603</v>
      </c>
      <c r="AH2973" t="s">
        <v>12168</v>
      </c>
      <c r="AI2973" t="s">
        <v>8603</v>
      </c>
      <c r="AJ2973" s="2">
        <v>45772.746759259258</v>
      </c>
      <c r="AK2973" t="s">
        <v>100</v>
      </c>
      <c r="AL2973" t="s">
        <v>65</v>
      </c>
      <c r="AM2973" s="4">
        <v>0.375</v>
      </c>
      <c r="AN2973" t="s">
        <v>66</v>
      </c>
      <c r="AO2973" t="s">
        <v>67</v>
      </c>
    </row>
    <row r="2974" spans="1:41" x14ac:dyDescent="0.2">
      <c r="A2974">
        <v>362404</v>
      </c>
      <c r="B2974" t="s">
        <v>18052</v>
      </c>
      <c r="C2974" t="s">
        <v>182</v>
      </c>
      <c r="D2974" t="s">
        <v>4517</v>
      </c>
      <c r="E2974" t="s">
        <v>18053</v>
      </c>
      <c r="G2974" s="1">
        <v>45467</v>
      </c>
      <c r="H2974" s="1">
        <v>45444</v>
      </c>
      <c r="J2974" t="s">
        <v>45</v>
      </c>
      <c r="K2974" t="s">
        <v>45</v>
      </c>
      <c r="L2974" t="s">
        <v>4306</v>
      </c>
      <c r="N2974" t="s">
        <v>47</v>
      </c>
      <c r="O2974" t="s">
        <v>48</v>
      </c>
      <c r="P2974" t="s">
        <v>49</v>
      </c>
      <c r="Q2974" t="s">
        <v>18054</v>
      </c>
      <c r="R2974" t="s">
        <v>18055</v>
      </c>
      <c r="S2974">
        <v>720</v>
      </c>
      <c r="T2974" t="s">
        <v>92</v>
      </c>
      <c r="U2974" t="s">
        <v>187</v>
      </c>
      <c r="V2974" t="s">
        <v>8597</v>
      </c>
      <c r="W2974" t="s">
        <v>8598</v>
      </c>
      <c r="X2974" t="s">
        <v>92</v>
      </c>
      <c r="Y2974" t="s">
        <v>96</v>
      </c>
      <c r="Z2974">
        <v>12250</v>
      </c>
      <c r="AA2974">
        <v>6</v>
      </c>
      <c r="AB2974">
        <v>76</v>
      </c>
      <c r="AC2974" t="s">
        <v>8599</v>
      </c>
      <c r="AD2974" t="s">
        <v>18056</v>
      </c>
      <c r="AE2974" t="s">
        <v>8601</v>
      </c>
      <c r="AF2974" t="s">
        <v>18057</v>
      </c>
      <c r="AG2974" t="s">
        <v>8603</v>
      </c>
      <c r="AH2974" t="s">
        <v>8604</v>
      </c>
      <c r="AI2974" t="s">
        <v>8603</v>
      </c>
      <c r="AJ2974" s="2">
        <v>45485.683923611112</v>
      </c>
      <c r="AK2974" t="s">
        <v>8605</v>
      </c>
      <c r="AL2974" t="s">
        <v>65</v>
      </c>
      <c r="AM2974" s="4">
        <v>0.21875</v>
      </c>
      <c r="AN2974" t="s">
        <v>66</v>
      </c>
      <c r="AO2974" t="s">
        <v>67</v>
      </c>
    </row>
    <row r="2975" spans="1:41" x14ac:dyDescent="0.2">
      <c r="A2975">
        <v>362211</v>
      </c>
      <c r="B2975" t="s">
        <v>18058</v>
      </c>
      <c r="C2975" t="s">
        <v>182</v>
      </c>
      <c r="D2975" t="s">
        <v>4517</v>
      </c>
      <c r="E2975" t="s">
        <v>18059</v>
      </c>
      <c r="G2975" s="1">
        <v>45467</v>
      </c>
      <c r="H2975" s="1">
        <v>45444</v>
      </c>
      <c r="J2975" t="s">
        <v>45</v>
      </c>
      <c r="K2975" t="s">
        <v>45</v>
      </c>
      <c r="L2975" t="s">
        <v>46</v>
      </c>
      <c r="N2975" t="s">
        <v>47</v>
      </c>
      <c r="O2975" t="s">
        <v>48</v>
      </c>
      <c r="P2975" t="s">
        <v>49</v>
      </c>
      <c r="Q2975" t="s">
        <v>18060</v>
      </c>
      <c r="R2975" t="s">
        <v>18061</v>
      </c>
      <c r="S2975">
        <v>10</v>
      </c>
      <c r="T2975" t="s">
        <v>92</v>
      </c>
      <c r="U2975" t="s">
        <v>187</v>
      </c>
      <c r="V2975" t="s">
        <v>8597</v>
      </c>
      <c r="W2975" t="s">
        <v>8598</v>
      </c>
      <c r="X2975" t="s">
        <v>92</v>
      </c>
      <c r="Y2975" t="s">
        <v>96</v>
      </c>
      <c r="Z2975">
        <v>12251</v>
      </c>
      <c r="AA2975">
        <v>5</v>
      </c>
      <c r="AB2975">
        <v>76</v>
      </c>
      <c r="AC2975" t="s">
        <v>8599</v>
      </c>
      <c r="AD2975" t="s">
        <v>18056</v>
      </c>
      <c r="AE2975" t="s">
        <v>8601</v>
      </c>
      <c r="AF2975" t="s">
        <v>18057</v>
      </c>
      <c r="AG2975" t="s">
        <v>8603</v>
      </c>
      <c r="AH2975" t="s">
        <v>8604</v>
      </c>
      <c r="AJ2975" s="2">
        <v>45478.844467592593</v>
      </c>
      <c r="AK2975" t="s">
        <v>100</v>
      </c>
      <c r="AL2975" t="s">
        <v>65</v>
      </c>
      <c r="AM2975" s="4">
        <v>0.22222222222222221</v>
      </c>
      <c r="AN2975" t="s">
        <v>66</v>
      </c>
      <c r="AO2975" t="s">
        <v>67</v>
      </c>
    </row>
    <row r="2976" spans="1:41" x14ac:dyDescent="0.2">
      <c r="A2976">
        <v>362212</v>
      </c>
      <c r="B2976" t="s">
        <v>18062</v>
      </c>
      <c r="C2976" t="s">
        <v>182</v>
      </c>
      <c r="D2976" t="s">
        <v>4517</v>
      </c>
      <c r="E2976" t="s">
        <v>18063</v>
      </c>
      <c r="G2976" s="1">
        <v>45467</v>
      </c>
      <c r="H2976" s="1">
        <v>45444</v>
      </c>
      <c r="J2976" t="s">
        <v>45</v>
      </c>
      <c r="K2976" t="s">
        <v>45</v>
      </c>
      <c r="L2976" t="s">
        <v>46</v>
      </c>
      <c r="N2976" t="s">
        <v>47</v>
      </c>
      <c r="O2976" t="s">
        <v>48</v>
      </c>
      <c r="P2976" t="s">
        <v>49</v>
      </c>
      <c r="Q2976" t="s">
        <v>18064</v>
      </c>
      <c r="R2976" t="s">
        <v>18065</v>
      </c>
      <c r="S2976">
        <v>147</v>
      </c>
      <c r="T2976" t="s">
        <v>92</v>
      </c>
      <c r="U2976" t="s">
        <v>187</v>
      </c>
      <c r="V2976" t="s">
        <v>8597</v>
      </c>
      <c r="W2976" t="s">
        <v>8598</v>
      </c>
      <c r="X2976" t="s">
        <v>92</v>
      </c>
      <c r="Y2976" t="s">
        <v>96</v>
      </c>
      <c r="Z2976">
        <v>12252</v>
      </c>
      <c r="AA2976">
        <v>5</v>
      </c>
      <c r="AB2976">
        <v>76</v>
      </c>
      <c r="AC2976" t="s">
        <v>8599</v>
      </c>
      <c r="AD2976" t="s">
        <v>18056</v>
      </c>
      <c r="AE2976" t="s">
        <v>8601</v>
      </c>
      <c r="AF2976" t="s">
        <v>18057</v>
      </c>
      <c r="AG2976" t="s">
        <v>8603</v>
      </c>
      <c r="AH2976" t="s">
        <v>8604</v>
      </c>
      <c r="AJ2976" s="2">
        <v>45478.845416666663</v>
      </c>
      <c r="AK2976" t="s">
        <v>100</v>
      </c>
      <c r="AL2976" t="s">
        <v>65</v>
      </c>
      <c r="AM2976" s="4">
        <v>0.22569444444444445</v>
      </c>
      <c r="AN2976" t="s">
        <v>66</v>
      </c>
      <c r="AO2976" t="s">
        <v>67</v>
      </c>
    </row>
    <row r="2977" spans="1:41" x14ac:dyDescent="0.2">
      <c r="A2977">
        <v>371891</v>
      </c>
      <c r="B2977" t="s">
        <v>18066</v>
      </c>
      <c r="C2977" t="s">
        <v>323</v>
      </c>
      <c r="D2977" t="s">
        <v>372</v>
      </c>
      <c r="E2977" s="5" t="s">
        <v>18067</v>
      </c>
      <c r="F2977">
        <v>500420</v>
      </c>
      <c r="G2977" s="1">
        <v>40298</v>
      </c>
      <c r="H2977" s="1">
        <v>45776</v>
      </c>
      <c r="I2977" s="1">
        <v>46037</v>
      </c>
      <c r="J2977" t="s">
        <v>45</v>
      </c>
      <c r="K2977" t="s">
        <v>45</v>
      </c>
      <c r="L2977" t="s">
        <v>72</v>
      </c>
      <c r="N2977" t="s">
        <v>47</v>
      </c>
      <c r="O2977" t="s">
        <v>48</v>
      </c>
      <c r="P2977" t="s">
        <v>49</v>
      </c>
      <c r="Q2977" t="s">
        <v>18068</v>
      </c>
      <c r="R2977" t="s">
        <v>18069</v>
      </c>
      <c r="S2977">
        <v>490</v>
      </c>
      <c r="T2977" t="s">
        <v>156</v>
      </c>
      <c r="U2977" t="s">
        <v>460</v>
      </c>
      <c r="V2977" t="s">
        <v>330</v>
      </c>
      <c r="W2977" t="s">
        <v>159</v>
      </c>
      <c r="X2977" t="s">
        <v>76</v>
      </c>
      <c r="Y2977" t="s">
        <v>110</v>
      </c>
      <c r="Z2977">
        <v>910</v>
      </c>
      <c r="AA2977">
        <v>46</v>
      </c>
      <c r="AB2977">
        <v>158</v>
      </c>
      <c r="AC2977" t="s">
        <v>368</v>
      </c>
      <c r="AD2977" t="s">
        <v>369</v>
      </c>
      <c r="AE2977" t="s">
        <v>370</v>
      </c>
      <c r="AF2977" t="s">
        <v>463</v>
      </c>
      <c r="AG2977" t="s">
        <v>464</v>
      </c>
      <c r="AH2977" t="s">
        <v>465</v>
      </c>
      <c r="AI2977" t="s">
        <v>466</v>
      </c>
      <c r="AJ2977" s="2">
        <v>45822.86445601852</v>
      </c>
      <c r="AK2977" t="s">
        <v>727</v>
      </c>
      <c r="AL2977" t="s">
        <v>65</v>
      </c>
      <c r="AM2977" s="4">
        <v>0.92361111111111116</v>
      </c>
      <c r="AN2977" t="s">
        <v>66</v>
      </c>
      <c r="AO2977" t="s">
        <v>67</v>
      </c>
    </row>
    <row r="2978" spans="1:41" x14ac:dyDescent="0.2">
      <c r="A2978">
        <v>372576</v>
      </c>
      <c r="B2978" t="s">
        <v>18070</v>
      </c>
      <c r="C2978" t="s">
        <v>134</v>
      </c>
      <c r="D2978" t="s">
        <v>3459</v>
      </c>
      <c r="E2978" t="s">
        <v>18071</v>
      </c>
      <c r="G2978" s="1">
        <v>45478</v>
      </c>
      <c r="H2978" s="1">
        <v>45845</v>
      </c>
      <c r="I2978" s="1">
        <v>46266</v>
      </c>
      <c r="J2978" t="s">
        <v>45</v>
      </c>
      <c r="K2978" t="s">
        <v>45</v>
      </c>
      <c r="L2978" t="s">
        <v>72</v>
      </c>
      <c r="N2978" t="s">
        <v>89</v>
      </c>
      <c r="O2978" t="s">
        <v>121</v>
      </c>
      <c r="P2978" t="s">
        <v>49</v>
      </c>
      <c r="Q2978" t="s">
        <v>18072</v>
      </c>
      <c r="R2978" t="s">
        <v>18073</v>
      </c>
      <c r="S2978">
        <v>2610</v>
      </c>
      <c r="T2978" t="s">
        <v>296</v>
      </c>
      <c r="U2978" t="s">
        <v>2267</v>
      </c>
      <c r="V2978" t="s">
        <v>8036</v>
      </c>
      <c r="W2978" t="s">
        <v>299</v>
      </c>
      <c r="X2978" t="s">
        <v>296</v>
      </c>
      <c r="Y2978" t="s">
        <v>125</v>
      </c>
      <c r="Z2978">
        <v>21</v>
      </c>
      <c r="AA2978">
        <v>103</v>
      </c>
      <c r="AB2978">
        <v>146</v>
      </c>
      <c r="AC2978" t="s">
        <v>8037</v>
      </c>
      <c r="AD2978" t="s">
        <v>8038</v>
      </c>
      <c r="AE2978" t="s">
        <v>8039</v>
      </c>
      <c r="AF2978" t="s">
        <v>8040</v>
      </c>
      <c r="AG2978" t="s">
        <v>8041</v>
      </c>
      <c r="AH2978" t="s">
        <v>8042</v>
      </c>
      <c r="AI2978" t="s">
        <v>2274</v>
      </c>
      <c r="AJ2978" s="2">
        <v>45845.91033564815</v>
      </c>
      <c r="AK2978" t="s">
        <v>800</v>
      </c>
      <c r="AL2978" t="s">
        <v>65</v>
      </c>
      <c r="AM2978" s="3">
        <v>2.4888888888888889</v>
      </c>
      <c r="AN2978" t="s">
        <v>66</v>
      </c>
      <c r="AO2978" t="s">
        <v>67</v>
      </c>
    </row>
    <row r="2979" spans="1:41" x14ac:dyDescent="0.2">
      <c r="A2979">
        <v>370590</v>
      </c>
      <c r="B2979" t="s">
        <v>18074</v>
      </c>
      <c r="C2979" t="s">
        <v>134</v>
      </c>
      <c r="D2979" t="s">
        <v>214</v>
      </c>
      <c r="E2979" t="s">
        <v>18075</v>
      </c>
      <c r="F2979">
        <v>452042</v>
      </c>
      <c r="G2979" s="1">
        <v>45758</v>
      </c>
      <c r="H2979" s="1">
        <v>45716</v>
      </c>
      <c r="I2979" s="1">
        <v>46082</v>
      </c>
      <c r="J2979" t="s">
        <v>45</v>
      </c>
      <c r="K2979" t="s">
        <v>45</v>
      </c>
      <c r="L2979" t="s">
        <v>72</v>
      </c>
      <c r="N2979" t="s">
        <v>89</v>
      </c>
      <c r="O2979" t="s">
        <v>121</v>
      </c>
      <c r="P2979" t="s">
        <v>49</v>
      </c>
      <c r="Q2979" t="s">
        <v>18076</v>
      </c>
      <c r="R2979" t="s">
        <v>18077</v>
      </c>
      <c r="S2979">
        <v>2999</v>
      </c>
      <c r="T2979" t="s">
        <v>52</v>
      </c>
      <c r="U2979">
        <v>6</v>
      </c>
      <c r="V2979" t="s">
        <v>3463</v>
      </c>
      <c r="W2979" t="s">
        <v>54</v>
      </c>
      <c r="X2979" t="s">
        <v>76</v>
      </c>
      <c r="Y2979" t="s">
        <v>125</v>
      </c>
      <c r="Z2979">
        <v>5066</v>
      </c>
      <c r="AA2979">
        <v>67</v>
      </c>
      <c r="AB2979">
        <v>34</v>
      </c>
      <c r="AC2979" t="s">
        <v>11389</v>
      </c>
      <c r="AD2979" t="s">
        <v>11390</v>
      </c>
      <c r="AE2979" t="s">
        <v>11391</v>
      </c>
      <c r="AF2979" t="s">
        <v>13865</v>
      </c>
      <c r="AG2979" t="s">
        <v>11393</v>
      </c>
      <c r="AH2979" t="s">
        <v>11394</v>
      </c>
      <c r="AI2979" t="s">
        <v>11395</v>
      </c>
      <c r="AJ2979" s="2">
        <v>45778.938900462963</v>
      </c>
      <c r="AK2979" t="s">
        <v>800</v>
      </c>
      <c r="AL2979" t="s">
        <v>65</v>
      </c>
      <c r="AM2979" s="4">
        <v>0.1111111111111111</v>
      </c>
      <c r="AN2979" t="s">
        <v>66</v>
      </c>
      <c r="AO2979" t="s">
        <v>67</v>
      </c>
    </row>
    <row r="2980" spans="1:41" x14ac:dyDescent="0.2">
      <c r="A2980">
        <v>371296</v>
      </c>
      <c r="B2980" t="s">
        <v>18078</v>
      </c>
      <c r="C2980" t="s">
        <v>167</v>
      </c>
      <c r="D2980" t="s">
        <v>570</v>
      </c>
      <c r="E2980" s="5">
        <v>3.2560000000000001E+267</v>
      </c>
      <c r="F2980">
        <v>353512</v>
      </c>
      <c r="G2980" s="1">
        <v>33086</v>
      </c>
      <c r="H2980" s="1">
        <v>45796</v>
      </c>
      <c r="I2980" s="1">
        <v>46157</v>
      </c>
      <c r="J2980" t="s">
        <v>45</v>
      </c>
      <c r="K2980" t="s">
        <v>45</v>
      </c>
      <c r="L2980" t="s">
        <v>429</v>
      </c>
      <c r="M2980" s="1">
        <v>41569</v>
      </c>
      <c r="N2980" t="s">
        <v>47</v>
      </c>
      <c r="O2980" t="s">
        <v>48</v>
      </c>
      <c r="P2980" t="s">
        <v>49</v>
      </c>
      <c r="Q2980" t="s">
        <v>18079</v>
      </c>
      <c r="R2980" t="s">
        <v>18080</v>
      </c>
      <c r="S2980">
        <v>6420</v>
      </c>
      <c r="T2980" t="s">
        <v>365</v>
      </c>
      <c r="U2980" t="s">
        <v>532</v>
      </c>
      <c r="V2980" t="s">
        <v>1611</v>
      </c>
      <c r="W2980" t="s">
        <v>367</v>
      </c>
      <c r="X2980" t="s">
        <v>76</v>
      </c>
      <c r="Y2980" t="s">
        <v>434</v>
      </c>
      <c r="Z2980">
        <v>294</v>
      </c>
      <c r="AA2980">
        <v>56</v>
      </c>
      <c r="AB2980">
        <v>166</v>
      </c>
      <c r="AC2980" t="s">
        <v>575</v>
      </c>
      <c r="AD2980" t="s">
        <v>576</v>
      </c>
      <c r="AE2980" t="s">
        <v>577</v>
      </c>
      <c r="AF2980" t="s">
        <v>1612</v>
      </c>
      <c r="AG2980" t="s">
        <v>1613</v>
      </c>
      <c r="AI2980" t="s">
        <v>179</v>
      </c>
      <c r="AJ2980" s="2">
        <v>45804.690370370372</v>
      </c>
      <c r="AK2980" t="s">
        <v>568</v>
      </c>
      <c r="AL2980" t="s">
        <v>65</v>
      </c>
      <c r="AM2980" s="3">
        <v>1.8194444444444444</v>
      </c>
      <c r="AN2980" t="s">
        <v>66</v>
      </c>
      <c r="AO2980" t="s">
        <v>67</v>
      </c>
    </row>
    <row r="2981" spans="1:41" x14ac:dyDescent="0.2">
      <c r="A2981">
        <v>363131</v>
      </c>
      <c r="B2981" t="s">
        <v>18081</v>
      </c>
      <c r="C2981" t="s">
        <v>69</v>
      </c>
      <c r="D2981" t="s">
        <v>6123</v>
      </c>
      <c r="E2981" t="s">
        <v>18082</v>
      </c>
      <c r="F2981">
        <v>102712</v>
      </c>
      <c r="G2981" s="1">
        <v>37925</v>
      </c>
      <c r="H2981" s="1">
        <v>45504</v>
      </c>
      <c r="I2981" s="1">
        <v>46249</v>
      </c>
      <c r="J2981" t="s">
        <v>45</v>
      </c>
      <c r="K2981" t="s">
        <v>45</v>
      </c>
      <c r="L2981" t="s">
        <v>429</v>
      </c>
      <c r="M2981" s="1">
        <v>43620</v>
      </c>
      <c r="N2981" t="s">
        <v>47</v>
      </c>
      <c r="O2981" t="s">
        <v>48</v>
      </c>
      <c r="P2981" t="s">
        <v>49</v>
      </c>
      <c r="Q2981" t="s">
        <v>18083</v>
      </c>
      <c r="R2981" t="s">
        <v>18084</v>
      </c>
      <c r="S2981">
        <v>6172</v>
      </c>
      <c r="T2981" t="s">
        <v>52</v>
      </c>
      <c r="U2981">
        <v>4</v>
      </c>
      <c r="V2981" t="s">
        <v>2010</v>
      </c>
      <c r="W2981" t="s">
        <v>54</v>
      </c>
      <c r="X2981" t="s">
        <v>76</v>
      </c>
      <c r="Y2981" t="s">
        <v>56</v>
      </c>
      <c r="Z2981">
        <v>2423</v>
      </c>
      <c r="AA2981">
        <v>45</v>
      </c>
      <c r="AB2981">
        <v>160</v>
      </c>
      <c r="AC2981" t="s">
        <v>2011</v>
      </c>
      <c r="AD2981" t="s">
        <v>2012</v>
      </c>
      <c r="AE2981" t="s">
        <v>2013</v>
      </c>
      <c r="AF2981" t="s">
        <v>3073</v>
      </c>
      <c r="AG2981" t="s">
        <v>3074</v>
      </c>
      <c r="AH2981" t="s">
        <v>18085</v>
      </c>
      <c r="AI2981" t="s">
        <v>179</v>
      </c>
      <c r="AJ2981" s="2">
        <v>45504.936145833337</v>
      </c>
      <c r="AK2981" t="s">
        <v>717</v>
      </c>
      <c r="AL2981" t="s">
        <v>65</v>
      </c>
      <c r="AM2981" s="4">
        <v>0.38194444444444442</v>
      </c>
      <c r="AN2981" t="s">
        <v>66</v>
      </c>
      <c r="AO2981" t="s">
        <v>67</v>
      </c>
    </row>
    <row r="2982" spans="1:41" x14ac:dyDescent="0.2">
      <c r="A2982">
        <v>365178</v>
      </c>
      <c r="B2982" t="s">
        <v>18086</v>
      </c>
      <c r="C2982" t="s">
        <v>1107</v>
      </c>
      <c r="D2982" t="s">
        <v>18087</v>
      </c>
      <c r="E2982" t="s">
        <v>18088</v>
      </c>
      <c r="F2982">
        <v>235901</v>
      </c>
      <c r="G2982" s="1">
        <v>41757</v>
      </c>
      <c r="H2982" s="1">
        <v>45554</v>
      </c>
      <c r="I2982" s="1">
        <v>45931</v>
      </c>
      <c r="J2982" t="s">
        <v>45</v>
      </c>
      <c r="K2982" t="s">
        <v>45</v>
      </c>
      <c r="L2982" t="s">
        <v>72</v>
      </c>
      <c r="M2982" s="1">
        <v>45554</v>
      </c>
      <c r="N2982" t="s">
        <v>47</v>
      </c>
      <c r="O2982" t="s">
        <v>48</v>
      </c>
      <c r="P2982" t="s">
        <v>49</v>
      </c>
      <c r="Q2982" t="s">
        <v>18089</v>
      </c>
      <c r="R2982" t="s">
        <v>18090</v>
      </c>
      <c r="S2982">
        <v>945</v>
      </c>
      <c r="T2982" t="s">
        <v>92</v>
      </c>
      <c r="U2982" t="s">
        <v>1111</v>
      </c>
      <c r="V2982" t="s">
        <v>1112</v>
      </c>
      <c r="W2982" t="s">
        <v>1113</v>
      </c>
      <c r="X2982" t="s">
        <v>92</v>
      </c>
      <c r="Y2982" t="s">
        <v>110</v>
      </c>
      <c r="Z2982">
        <v>6866</v>
      </c>
      <c r="AA2982">
        <v>13</v>
      </c>
      <c r="AB2982">
        <v>210</v>
      </c>
      <c r="AC2982" t="s">
        <v>1114</v>
      </c>
      <c r="AD2982" t="s">
        <v>4143</v>
      </c>
      <c r="AE2982" t="s">
        <v>1116</v>
      </c>
      <c r="AJ2982" s="2">
        <v>45572.854456018518</v>
      </c>
      <c r="AK2982" t="s">
        <v>1114</v>
      </c>
      <c r="AL2982" t="s">
        <v>65</v>
      </c>
      <c r="AM2982" s="3">
        <v>1.1666666666666667</v>
      </c>
      <c r="AN2982" t="s">
        <v>66</v>
      </c>
      <c r="AO2982" t="s">
        <v>67</v>
      </c>
    </row>
    <row r="2983" spans="1:41" x14ac:dyDescent="0.2">
      <c r="A2983">
        <v>372141</v>
      </c>
      <c r="B2983" t="s">
        <v>18091</v>
      </c>
      <c r="C2983" t="s">
        <v>309</v>
      </c>
      <c r="D2983" t="s">
        <v>6367</v>
      </c>
      <c r="E2983" t="s">
        <v>18092</v>
      </c>
      <c r="F2983">
        <v>492012</v>
      </c>
      <c r="G2983" s="1">
        <v>37728</v>
      </c>
      <c r="H2983" s="1">
        <v>45828</v>
      </c>
      <c r="I2983" s="1">
        <v>46096</v>
      </c>
      <c r="J2983" t="s">
        <v>45</v>
      </c>
      <c r="K2983" t="s">
        <v>45</v>
      </c>
      <c r="L2983" t="s">
        <v>72</v>
      </c>
      <c r="M2983" s="1">
        <v>44228</v>
      </c>
      <c r="N2983" t="s">
        <v>47</v>
      </c>
      <c r="O2983" t="s">
        <v>48</v>
      </c>
      <c r="P2983" t="s">
        <v>49</v>
      </c>
      <c r="Q2983" t="s">
        <v>18093</v>
      </c>
      <c r="R2983" t="s">
        <v>18094</v>
      </c>
      <c r="S2983">
        <v>866</v>
      </c>
      <c r="T2983" t="s">
        <v>92</v>
      </c>
      <c r="U2983" t="s">
        <v>313</v>
      </c>
      <c r="V2983" t="s">
        <v>314</v>
      </c>
      <c r="W2983" t="s">
        <v>315</v>
      </c>
      <c r="X2983" t="s">
        <v>52</v>
      </c>
      <c r="Y2983" t="s">
        <v>110</v>
      </c>
      <c r="Z2983">
        <v>2315</v>
      </c>
      <c r="AA2983">
        <v>44</v>
      </c>
      <c r="AB2983">
        <v>176</v>
      </c>
      <c r="AC2983" t="s">
        <v>10029</v>
      </c>
      <c r="AD2983" t="s">
        <v>10030</v>
      </c>
      <c r="AE2983" t="s">
        <v>10031</v>
      </c>
      <c r="AF2983" t="s">
        <v>18095</v>
      </c>
      <c r="AG2983" t="s">
        <v>13683</v>
      </c>
      <c r="AH2983" t="s">
        <v>18096</v>
      </c>
      <c r="AI2983" t="s">
        <v>317</v>
      </c>
      <c r="AJ2983" s="2">
        <v>45832.124571759261</v>
      </c>
      <c r="AK2983" t="s">
        <v>316</v>
      </c>
      <c r="AL2983" t="s">
        <v>65</v>
      </c>
      <c r="AM2983" s="3">
        <v>1.55</v>
      </c>
      <c r="AN2983" t="s">
        <v>66</v>
      </c>
      <c r="AO2983" t="s">
        <v>67</v>
      </c>
    </row>
    <row r="2984" spans="1:41" x14ac:dyDescent="0.2">
      <c r="A2984">
        <v>371429</v>
      </c>
      <c r="B2984" t="s">
        <v>18097</v>
      </c>
      <c r="C2984" t="s">
        <v>309</v>
      </c>
      <c r="D2984" t="s">
        <v>8509</v>
      </c>
      <c r="E2984" t="s">
        <v>18098</v>
      </c>
      <c r="G2984" s="1">
        <v>45805</v>
      </c>
      <c r="H2984" s="1">
        <v>45792</v>
      </c>
      <c r="J2984" t="s">
        <v>45</v>
      </c>
      <c r="K2984" t="s">
        <v>45</v>
      </c>
      <c r="L2984" t="s">
        <v>46</v>
      </c>
      <c r="N2984" t="s">
        <v>89</v>
      </c>
      <c r="O2984" t="s">
        <v>48</v>
      </c>
      <c r="P2984" t="s">
        <v>49</v>
      </c>
      <c r="Q2984" t="s">
        <v>18099</v>
      </c>
      <c r="R2984" t="s">
        <v>18100</v>
      </c>
      <c r="S2984">
        <v>3830</v>
      </c>
      <c r="T2984" t="s">
        <v>92</v>
      </c>
      <c r="U2984" t="s">
        <v>313</v>
      </c>
      <c r="V2984" t="s">
        <v>314</v>
      </c>
      <c r="W2984" t="s">
        <v>315</v>
      </c>
      <c r="X2984" t="s">
        <v>92</v>
      </c>
      <c r="Y2984" t="s">
        <v>96</v>
      </c>
      <c r="Z2984">
        <v>12311</v>
      </c>
      <c r="AA2984">
        <v>3</v>
      </c>
      <c r="AB2984">
        <v>44</v>
      </c>
      <c r="AC2984" t="s">
        <v>316</v>
      </c>
      <c r="AD2984" t="s">
        <v>317</v>
      </c>
      <c r="AE2984" t="s">
        <v>318</v>
      </c>
      <c r="AF2984" t="s">
        <v>8548</v>
      </c>
      <c r="AG2984" t="s">
        <v>8549</v>
      </c>
      <c r="AH2984" t="s">
        <v>8550</v>
      </c>
      <c r="AJ2984" s="2">
        <v>45810.871446759258</v>
      </c>
      <c r="AK2984" t="s">
        <v>100</v>
      </c>
      <c r="AL2984" t="s">
        <v>65</v>
      </c>
      <c r="AM2984" s="3">
        <v>1.1076388888888888</v>
      </c>
      <c r="AN2984" t="s">
        <v>66</v>
      </c>
      <c r="AO2984" t="s">
        <v>67</v>
      </c>
    </row>
    <row r="2985" spans="1:41" x14ac:dyDescent="0.2">
      <c r="A2985">
        <v>369783</v>
      </c>
      <c r="B2985" t="s">
        <v>18101</v>
      </c>
      <c r="C2985" t="s">
        <v>309</v>
      </c>
      <c r="D2985" t="s">
        <v>8509</v>
      </c>
      <c r="E2985" t="s">
        <v>18102</v>
      </c>
      <c r="G2985" s="1">
        <v>45751</v>
      </c>
      <c r="H2985" s="1">
        <v>45566</v>
      </c>
      <c r="J2985" t="s">
        <v>45</v>
      </c>
      <c r="K2985" t="s">
        <v>45</v>
      </c>
      <c r="L2985" t="s">
        <v>46</v>
      </c>
      <c r="N2985" t="s">
        <v>47</v>
      </c>
      <c r="O2985" t="s">
        <v>48</v>
      </c>
      <c r="P2985" t="s">
        <v>49</v>
      </c>
      <c r="Q2985" t="s">
        <v>18103</v>
      </c>
      <c r="R2985" t="s">
        <v>18104</v>
      </c>
      <c r="S2985">
        <v>870</v>
      </c>
      <c r="T2985" t="s">
        <v>92</v>
      </c>
      <c r="U2985" t="s">
        <v>313</v>
      </c>
      <c r="V2985" t="s">
        <v>314</v>
      </c>
      <c r="W2985" t="s">
        <v>315</v>
      </c>
      <c r="X2985" t="s">
        <v>92</v>
      </c>
      <c r="Y2985" t="s">
        <v>96</v>
      </c>
      <c r="Z2985">
        <v>12296</v>
      </c>
      <c r="AA2985">
        <v>4</v>
      </c>
      <c r="AB2985">
        <v>44</v>
      </c>
      <c r="AC2985" t="s">
        <v>316</v>
      </c>
      <c r="AD2985" t="s">
        <v>317</v>
      </c>
      <c r="AE2985" t="s">
        <v>318</v>
      </c>
      <c r="AF2985" t="s">
        <v>8548</v>
      </c>
      <c r="AG2985" t="s">
        <v>8549</v>
      </c>
      <c r="AH2985" t="s">
        <v>8550</v>
      </c>
      <c r="AJ2985" s="2">
        <v>45751.871400462966</v>
      </c>
      <c r="AK2985" t="s">
        <v>132</v>
      </c>
      <c r="AL2985" t="s">
        <v>65</v>
      </c>
      <c r="AM2985" s="3">
        <v>2.0104166666666665</v>
      </c>
      <c r="AN2985" t="s">
        <v>66</v>
      </c>
      <c r="AO2985" t="s">
        <v>67</v>
      </c>
    </row>
    <row r="2986" spans="1:41" x14ac:dyDescent="0.2">
      <c r="A2986">
        <v>369652</v>
      </c>
      <c r="B2986" t="s">
        <v>18105</v>
      </c>
      <c r="C2986" t="s">
        <v>309</v>
      </c>
      <c r="D2986" t="s">
        <v>309</v>
      </c>
      <c r="E2986" t="s">
        <v>18106</v>
      </c>
      <c r="F2986">
        <v>496032</v>
      </c>
      <c r="G2986" s="1">
        <v>39869</v>
      </c>
      <c r="H2986" s="1">
        <v>45736</v>
      </c>
      <c r="I2986" s="1">
        <v>45992</v>
      </c>
      <c r="J2986" t="s">
        <v>45</v>
      </c>
      <c r="K2986" t="s">
        <v>45</v>
      </c>
      <c r="L2986" t="s">
        <v>72</v>
      </c>
      <c r="N2986" t="s">
        <v>47</v>
      </c>
      <c r="O2986" t="s">
        <v>48</v>
      </c>
      <c r="P2986" t="s">
        <v>49</v>
      </c>
      <c r="Q2986" t="s">
        <v>18107</v>
      </c>
      <c r="R2986" t="s">
        <v>18108</v>
      </c>
      <c r="S2986">
        <v>977</v>
      </c>
      <c r="T2986" t="s">
        <v>92</v>
      </c>
      <c r="U2986" t="s">
        <v>313</v>
      </c>
      <c r="V2986" t="s">
        <v>314</v>
      </c>
      <c r="W2986" t="s">
        <v>315</v>
      </c>
      <c r="X2986" t="s">
        <v>92</v>
      </c>
      <c r="Y2986" t="s">
        <v>110</v>
      </c>
      <c r="Z2986">
        <v>3054</v>
      </c>
      <c r="AA2986">
        <v>24</v>
      </c>
      <c r="AB2986">
        <v>80</v>
      </c>
      <c r="AC2986" t="s">
        <v>8870</v>
      </c>
      <c r="AD2986" t="s">
        <v>8871</v>
      </c>
      <c r="AE2986" t="s">
        <v>8872</v>
      </c>
      <c r="AF2986" t="s">
        <v>319</v>
      </c>
      <c r="AG2986" t="s">
        <v>320</v>
      </c>
      <c r="AH2986" t="s">
        <v>8873</v>
      </c>
      <c r="AI2986" t="s">
        <v>321</v>
      </c>
      <c r="AJ2986" s="2">
        <v>45747.987835648149</v>
      </c>
      <c r="AK2986" t="s">
        <v>316</v>
      </c>
      <c r="AL2986" t="s">
        <v>65</v>
      </c>
      <c r="AM2986" s="3">
        <v>1.4861111111111112</v>
      </c>
      <c r="AN2986" t="s">
        <v>66</v>
      </c>
      <c r="AO2986" t="s">
        <v>67</v>
      </c>
    </row>
    <row r="2987" spans="1:41" x14ac:dyDescent="0.2">
      <c r="A2987">
        <v>364541</v>
      </c>
      <c r="B2987" t="s">
        <v>18109</v>
      </c>
      <c r="C2987" t="s">
        <v>309</v>
      </c>
      <c r="D2987" t="s">
        <v>8539</v>
      </c>
      <c r="E2987" t="s">
        <v>18110</v>
      </c>
      <c r="F2987">
        <v>495008</v>
      </c>
      <c r="G2987" s="1">
        <v>39875</v>
      </c>
      <c r="H2987" s="1">
        <v>45547</v>
      </c>
      <c r="I2987" s="1">
        <v>46204</v>
      </c>
      <c r="J2987" t="s">
        <v>45</v>
      </c>
      <c r="K2987" t="s">
        <v>72</v>
      </c>
      <c r="L2987" t="s">
        <v>72</v>
      </c>
      <c r="N2987" t="s">
        <v>47</v>
      </c>
      <c r="O2987" t="s">
        <v>48</v>
      </c>
      <c r="P2987" t="s">
        <v>49</v>
      </c>
      <c r="Q2987" t="s">
        <v>18111</v>
      </c>
      <c r="R2987" t="s">
        <v>18112</v>
      </c>
      <c r="S2987">
        <v>524</v>
      </c>
      <c r="T2987" t="s">
        <v>92</v>
      </c>
      <c r="U2987" t="s">
        <v>313</v>
      </c>
      <c r="V2987" t="s">
        <v>314</v>
      </c>
      <c r="W2987" t="s">
        <v>315</v>
      </c>
      <c r="X2987" t="s">
        <v>92</v>
      </c>
      <c r="Y2987" t="s">
        <v>110</v>
      </c>
      <c r="Z2987">
        <v>3055</v>
      </c>
      <c r="AA2987">
        <v>22</v>
      </c>
      <c r="AB2987">
        <v>80</v>
      </c>
      <c r="AC2987" t="s">
        <v>316</v>
      </c>
      <c r="AD2987" t="s">
        <v>317</v>
      </c>
      <c r="AE2987" t="s">
        <v>10530</v>
      </c>
      <c r="AF2987" t="s">
        <v>10022</v>
      </c>
      <c r="AG2987" t="s">
        <v>10023</v>
      </c>
      <c r="AH2987" t="s">
        <v>10024</v>
      </c>
      <c r="AI2987" t="s">
        <v>317</v>
      </c>
      <c r="AJ2987" s="2">
        <v>45551.747233796297</v>
      </c>
      <c r="AK2987" t="s">
        <v>10022</v>
      </c>
      <c r="AL2987" t="s">
        <v>475</v>
      </c>
      <c r="AM2987" s="3">
        <v>1.4652777777777777</v>
      </c>
      <c r="AN2987" t="s">
        <v>66</v>
      </c>
      <c r="AO2987" t="s">
        <v>67</v>
      </c>
    </row>
    <row r="2988" spans="1:41" x14ac:dyDescent="0.2">
      <c r="A2988">
        <v>372095</v>
      </c>
      <c r="B2988" t="s">
        <v>18113</v>
      </c>
      <c r="C2988" t="s">
        <v>86</v>
      </c>
      <c r="D2988" t="s">
        <v>18114</v>
      </c>
      <c r="E2988" t="s">
        <v>18115</v>
      </c>
      <c r="F2988">
        <v>200102</v>
      </c>
      <c r="G2988" s="1">
        <v>34851</v>
      </c>
      <c r="H2988" s="1">
        <v>45814</v>
      </c>
      <c r="I2988" s="1">
        <v>46143</v>
      </c>
      <c r="J2988" t="s">
        <v>45</v>
      </c>
      <c r="K2988" t="s">
        <v>45</v>
      </c>
      <c r="L2988" t="s">
        <v>72</v>
      </c>
      <c r="N2988" t="s">
        <v>47</v>
      </c>
      <c r="O2988" t="s">
        <v>48</v>
      </c>
      <c r="P2988" t="s">
        <v>49</v>
      </c>
      <c r="Q2988" t="s">
        <v>18116</v>
      </c>
      <c r="R2988" t="s">
        <v>18117</v>
      </c>
      <c r="S2988">
        <v>1200</v>
      </c>
      <c r="T2988" t="s">
        <v>92</v>
      </c>
      <c r="U2988" t="s">
        <v>93</v>
      </c>
      <c r="V2988" t="s">
        <v>506</v>
      </c>
      <c r="W2988" t="s">
        <v>507</v>
      </c>
      <c r="X2988" t="s">
        <v>92</v>
      </c>
      <c r="Y2988" t="s">
        <v>110</v>
      </c>
      <c r="Z2988">
        <v>1960</v>
      </c>
      <c r="AA2988">
        <v>35</v>
      </c>
      <c r="AB2988">
        <v>144</v>
      </c>
      <c r="AC2988" t="s">
        <v>508</v>
      </c>
      <c r="AD2988" t="s">
        <v>509</v>
      </c>
      <c r="AE2988" t="s">
        <v>510</v>
      </c>
      <c r="AF2988" t="s">
        <v>13834</v>
      </c>
      <c r="AG2988" t="s">
        <v>13835</v>
      </c>
      <c r="AH2988" t="s">
        <v>13836</v>
      </c>
      <c r="AI2988" t="s">
        <v>509</v>
      </c>
      <c r="AJ2988" s="2">
        <v>45830.05914351852</v>
      </c>
      <c r="AK2988" t="s">
        <v>508</v>
      </c>
      <c r="AL2988" t="s">
        <v>65</v>
      </c>
      <c r="AM2988" s="4">
        <v>4.1666666666666664E-2</v>
      </c>
      <c r="AN2988" t="s">
        <v>66</v>
      </c>
      <c r="AO2988" t="s">
        <v>67</v>
      </c>
    </row>
    <row r="2989" spans="1:41" x14ac:dyDescent="0.2">
      <c r="A2989">
        <v>367648</v>
      </c>
      <c r="B2989" t="s">
        <v>18118</v>
      </c>
      <c r="C2989" t="s">
        <v>788</v>
      </c>
      <c r="D2989" t="s">
        <v>15431</v>
      </c>
      <c r="E2989" t="s">
        <v>18119</v>
      </c>
      <c r="G2989" s="1">
        <v>45685</v>
      </c>
      <c r="H2989" s="1">
        <v>45523</v>
      </c>
      <c r="I2989" s="1">
        <v>46235</v>
      </c>
      <c r="J2989" t="s">
        <v>45</v>
      </c>
      <c r="K2989" t="s">
        <v>45</v>
      </c>
      <c r="L2989" t="s">
        <v>72</v>
      </c>
      <c r="M2989" s="1">
        <v>42672</v>
      </c>
      <c r="N2989" t="s">
        <v>47</v>
      </c>
      <c r="O2989" t="s">
        <v>121</v>
      </c>
      <c r="P2989" t="s">
        <v>49</v>
      </c>
      <c r="Q2989" t="s">
        <v>18120</v>
      </c>
      <c r="R2989" t="s">
        <v>18121</v>
      </c>
      <c r="S2989">
        <v>69</v>
      </c>
      <c r="T2989" t="s">
        <v>52</v>
      </c>
      <c r="U2989">
        <v>8</v>
      </c>
      <c r="V2989" t="s">
        <v>793</v>
      </c>
      <c r="W2989" t="s">
        <v>54</v>
      </c>
      <c r="X2989" t="s">
        <v>76</v>
      </c>
      <c r="Y2989" t="s">
        <v>125</v>
      </c>
      <c r="Z2989">
        <v>2782</v>
      </c>
      <c r="AA2989">
        <v>388</v>
      </c>
      <c r="AB2989">
        <v>45</v>
      </c>
      <c r="AC2989" t="s">
        <v>2863</v>
      </c>
      <c r="AD2989" t="s">
        <v>2864</v>
      </c>
      <c r="AE2989" t="s">
        <v>2865</v>
      </c>
      <c r="AF2989" t="s">
        <v>2866</v>
      </c>
      <c r="AG2989" t="s">
        <v>18122</v>
      </c>
      <c r="AH2989" t="s">
        <v>18123</v>
      </c>
      <c r="AJ2989" s="2">
        <v>45685.754583333335</v>
      </c>
      <c r="AK2989" t="s">
        <v>375</v>
      </c>
      <c r="AL2989" t="s">
        <v>65</v>
      </c>
      <c r="AM2989" s="4">
        <v>0.77083333333333337</v>
      </c>
      <c r="AN2989" t="s">
        <v>66</v>
      </c>
      <c r="AO2989" t="s">
        <v>101</v>
      </c>
    </row>
    <row r="2990" spans="1:41" x14ac:dyDescent="0.2">
      <c r="A2990">
        <v>368952</v>
      </c>
      <c r="B2990" t="s">
        <v>18124</v>
      </c>
      <c r="C2990" t="s">
        <v>182</v>
      </c>
      <c r="D2990" t="s">
        <v>2179</v>
      </c>
      <c r="E2990">
        <v>32729020</v>
      </c>
      <c r="F2990">
        <v>43707</v>
      </c>
      <c r="G2990" s="1">
        <v>36991</v>
      </c>
      <c r="H2990" s="1">
        <v>45527</v>
      </c>
      <c r="I2990" s="1">
        <v>46127</v>
      </c>
      <c r="J2990" t="s">
        <v>45</v>
      </c>
      <c r="K2990" t="s">
        <v>45</v>
      </c>
      <c r="L2990" t="s">
        <v>429</v>
      </c>
      <c r="M2990" s="1">
        <v>42285</v>
      </c>
      <c r="N2990" t="s">
        <v>47</v>
      </c>
      <c r="O2990" t="s">
        <v>48</v>
      </c>
      <c r="P2990" t="s">
        <v>49</v>
      </c>
      <c r="Q2990" t="s">
        <v>18125</v>
      </c>
      <c r="R2990" t="s">
        <v>18126</v>
      </c>
      <c r="S2990">
        <v>5440</v>
      </c>
      <c r="T2990" t="s">
        <v>52</v>
      </c>
      <c r="U2990">
        <v>4</v>
      </c>
      <c r="V2990" t="s">
        <v>1271</v>
      </c>
      <c r="W2990" t="s">
        <v>54</v>
      </c>
      <c r="X2990" t="s">
        <v>493</v>
      </c>
      <c r="Y2990" t="s">
        <v>56</v>
      </c>
      <c r="Z2990">
        <v>1709</v>
      </c>
      <c r="AA2990">
        <v>47</v>
      </c>
      <c r="AB2990">
        <v>210</v>
      </c>
      <c r="AC2990" t="s">
        <v>18127</v>
      </c>
      <c r="AD2990" t="s">
        <v>8458</v>
      </c>
      <c r="AE2990" t="s">
        <v>8461</v>
      </c>
      <c r="AF2990" t="s">
        <v>18128</v>
      </c>
      <c r="AG2990" t="s">
        <v>3390</v>
      </c>
      <c r="AI2990" t="s">
        <v>18129</v>
      </c>
      <c r="AJ2990" s="2">
        <v>45722.92287037037</v>
      </c>
      <c r="AK2990" t="s">
        <v>1472</v>
      </c>
      <c r="AL2990" t="s">
        <v>65</v>
      </c>
      <c r="AM2990" s="3">
        <v>2.0277777777777777</v>
      </c>
      <c r="AN2990" t="s">
        <v>66</v>
      </c>
      <c r="AO2990" t="s">
        <v>67</v>
      </c>
    </row>
    <row r="2991" spans="1:41" x14ac:dyDescent="0.2">
      <c r="A2991">
        <v>368889</v>
      </c>
      <c r="B2991" t="s">
        <v>18130</v>
      </c>
      <c r="C2991" t="s">
        <v>182</v>
      </c>
      <c r="D2991" t="s">
        <v>2901</v>
      </c>
      <c r="E2991" t="s">
        <v>18131</v>
      </c>
      <c r="F2991">
        <v>45014</v>
      </c>
      <c r="G2991" s="1">
        <v>33520</v>
      </c>
      <c r="H2991" s="1">
        <v>45643</v>
      </c>
      <c r="I2991" s="1">
        <v>45915</v>
      </c>
      <c r="J2991" t="s">
        <v>45</v>
      </c>
      <c r="K2991" t="s">
        <v>45</v>
      </c>
      <c r="L2991" t="s">
        <v>429</v>
      </c>
      <c r="M2991" s="1">
        <v>42488</v>
      </c>
      <c r="N2991" t="s">
        <v>47</v>
      </c>
      <c r="O2991" t="s">
        <v>48</v>
      </c>
      <c r="P2991" t="s">
        <v>49</v>
      </c>
      <c r="Q2991" t="s">
        <v>18132</v>
      </c>
      <c r="R2991" t="s">
        <v>18133</v>
      </c>
      <c r="S2991">
        <v>5572</v>
      </c>
      <c r="T2991" t="s">
        <v>365</v>
      </c>
      <c r="U2991" t="s">
        <v>562</v>
      </c>
      <c r="V2991" t="s">
        <v>1980</v>
      </c>
      <c r="W2991" t="s">
        <v>367</v>
      </c>
      <c r="X2991" t="s">
        <v>493</v>
      </c>
      <c r="Y2991" t="s">
        <v>434</v>
      </c>
      <c r="Z2991">
        <v>77</v>
      </c>
      <c r="AA2991">
        <v>49</v>
      </c>
      <c r="AB2991">
        <v>176</v>
      </c>
      <c r="AC2991" t="s">
        <v>1981</v>
      </c>
      <c r="AD2991" t="s">
        <v>1982</v>
      </c>
      <c r="AE2991" t="s">
        <v>1983</v>
      </c>
      <c r="AI2991" t="s">
        <v>500</v>
      </c>
      <c r="AJ2991" s="2">
        <v>45722.893043981479</v>
      </c>
      <c r="AK2991" t="s">
        <v>501</v>
      </c>
      <c r="AL2991" t="s">
        <v>65</v>
      </c>
      <c r="AM2991" s="4">
        <v>0</v>
      </c>
      <c r="AN2991" t="s">
        <v>66</v>
      </c>
      <c r="AO2991" t="s">
        <v>67</v>
      </c>
    </row>
    <row r="2992" spans="1:41" x14ac:dyDescent="0.2">
      <c r="A2992">
        <v>366352</v>
      </c>
      <c r="B2992" t="s">
        <v>18134</v>
      </c>
      <c r="C2992" t="s">
        <v>676</v>
      </c>
      <c r="D2992" t="s">
        <v>2910</v>
      </c>
      <c r="E2992" t="s">
        <v>18135</v>
      </c>
      <c r="F2992">
        <v>305803</v>
      </c>
      <c r="G2992" s="1">
        <v>43395</v>
      </c>
      <c r="H2992" s="1">
        <v>45615</v>
      </c>
      <c r="I2992" s="1">
        <v>45976</v>
      </c>
      <c r="J2992" t="s">
        <v>45</v>
      </c>
      <c r="K2992" t="s">
        <v>45</v>
      </c>
      <c r="L2992" t="s">
        <v>72</v>
      </c>
      <c r="M2992" s="1">
        <v>45308</v>
      </c>
      <c r="N2992" t="s">
        <v>47</v>
      </c>
      <c r="O2992" t="s">
        <v>48</v>
      </c>
      <c r="P2992" t="s">
        <v>49</v>
      </c>
      <c r="Q2992" t="s">
        <v>18136</v>
      </c>
      <c r="R2992" t="s">
        <v>18137</v>
      </c>
      <c r="S2992">
        <v>278</v>
      </c>
      <c r="T2992" t="s">
        <v>156</v>
      </c>
      <c r="U2992" t="s">
        <v>1446</v>
      </c>
      <c r="V2992" t="s">
        <v>18134</v>
      </c>
      <c r="W2992" t="s">
        <v>159</v>
      </c>
      <c r="X2992" t="s">
        <v>156</v>
      </c>
      <c r="Y2992" t="s">
        <v>110</v>
      </c>
      <c r="Z2992">
        <v>1546</v>
      </c>
      <c r="AA2992">
        <v>58</v>
      </c>
      <c r="AB2992">
        <v>45</v>
      </c>
      <c r="AC2992" t="s">
        <v>6881</v>
      </c>
      <c r="AD2992" t="s">
        <v>2808</v>
      </c>
      <c r="AE2992" t="s">
        <v>2809</v>
      </c>
      <c r="AF2992" t="s">
        <v>6878</v>
      </c>
      <c r="AG2992" t="s">
        <v>6879</v>
      </c>
      <c r="AH2992" t="s">
        <v>6880</v>
      </c>
      <c r="AI2992" t="s">
        <v>18138</v>
      </c>
      <c r="AJ2992" s="2">
        <v>45615.803425925929</v>
      </c>
      <c r="AK2992" t="s">
        <v>6881</v>
      </c>
      <c r="AL2992" t="s">
        <v>65</v>
      </c>
      <c r="AM2992" s="3">
        <v>2.3680555555555554</v>
      </c>
      <c r="AN2992" t="s">
        <v>66</v>
      </c>
      <c r="AO2992" t="s">
        <v>101</v>
      </c>
    </row>
    <row r="2993" spans="1:41" x14ac:dyDescent="0.2">
      <c r="A2993">
        <v>365918</v>
      </c>
      <c r="B2993" t="s">
        <v>18139</v>
      </c>
      <c r="C2993" t="s">
        <v>151</v>
      </c>
      <c r="D2993" t="s">
        <v>15593</v>
      </c>
      <c r="E2993" t="s">
        <v>18140</v>
      </c>
      <c r="F2993">
        <v>384601</v>
      </c>
      <c r="G2993" s="1">
        <v>41592</v>
      </c>
      <c r="H2993" s="1">
        <v>45581</v>
      </c>
      <c r="I2993" s="1">
        <v>45945</v>
      </c>
      <c r="J2993" t="s">
        <v>45</v>
      </c>
      <c r="K2993" t="s">
        <v>45</v>
      </c>
      <c r="L2993" t="s">
        <v>72</v>
      </c>
      <c r="N2993" t="s">
        <v>47</v>
      </c>
      <c r="O2993" t="s">
        <v>48</v>
      </c>
      <c r="P2993" t="s">
        <v>49</v>
      </c>
      <c r="Q2993" t="s">
        <v>18141</v>
      </c>
      <c r="R2993" t="s">
        <v>18142</v>
      </c>
      <c r="S2993">
        <v>99</v>
      </c>
      <c r="T2993" t="s">
        <v>92</v>
      </c>
      <c r="U2993" t="s">
        <v>6005</v>
      </c>
      <c r="V2993" t="s">
        <v>5510</v>
      </c>
      <c r="W2993" t="s">
        <v>6006</v>
      </c>
      <c r="X2993" t="s">
        <v>52</v>
      </c>
      <c r="Y2993" t="s">
        <v>110</v>
      </c>
      <c r="Z2993">
        <v>2287</v>
      </c>
      <c r="AA2993">
        <v>25</v>
      </c>
      <c r="AB2993">
        <v>28</v>
      </c>
      <c r="AC2993" t="s">
        <v>6007</v>
      </c>
      <c r="AD2993" t="s">
        <v>6008</v>
      </c>
      <c r="AE2993" t="s">
        <v>9028</v>
      </c>
      <c r="AF2993" t="s">
        <v>13505</v>
      </c>
      <c r="AG2993" t="s">
        <v>13506</v>
      </c>
      <c r="AH2993" t="s">
        <v>18143</v>
      </c>
      <c r="AI2993" t="s">
        <v>6008</v>
      </c>
      <c r="AJ2993" s="2">
        <v>45595.764641203707</v>
      </c>
      <c r="AK2993" t="s">
        <v>6007</v>
      </c>
      <c r="AL2993" t="s">
        <v>65</v>
      </c>
      <c r="AM2993" s="4">
        <v>0.2986111111111111</v>
      </c>
      <c r="AN2993" t="s">
        <v>66</v>
      </c>
      <c r="AO2993" t="s">
        <v>67</v>
      </c>
    </row>
    <row r="2994" spans="1:41" x14ac:dyDescent="0.2">
      <c r="A2994">
        <v>372969</v>
      </c>
      <c r="B2994" t="s">
        <v>18144</v>
      </c>
      <c r="C2994" t="s">
        <v>151</v>
      </c>
      <c r="D2994" t="s">
        <v>152</v>
      </c>
      <c r="E2994" t="s">
        <v>18145</v>
      </c>
      <c r="F2994">
        <v>384102</v>
      </c>
      <c r="G2994" s="1">
        <v>41242</v>
      </c>
      <c r="H2994" s="1">
        <v>45692</v>
      </c>
      <c r="I2994" s="1">
        <v>46082</v>
      </c>
      <c r="J2994" t="s">
        <v>45</v>
      </c>
      <c r="K2994" t="s">
        <v>45</v>
      </c>
      <c r="L2994" t="s">
        <v>46</v>
      </c>
      <c r="N2994" t="s">
        <v>47</v>
      </c>
      <c r="O2994" t="s">
        <v>48</v>
      </c>
      <c r="P2994" t="s">
        <v>49</v>
      </c>
      <c r="Q2994" t="s">
        <v>18146</v>
      </c>
      <c r="R2994" t="s">
        <v>18147</v>
      </c>
      <c r="S2994">
        <v>19</v>
      </c>
      <c r="T2994" t="s">
        <v>52</v>
      </c>
      <c r="U2994">
        <v>8</v>
      </c>
      <c r="V2994" t="s">
        <v>710</v>
      </c>
      <c r="W2994" t="s">
        <v>54</v>
      </c>
      <c r="X2994" t="s">
        <v>76</v>
      </c>
      <c r="Y2994" t="s">
        <v>56</v>
      </c>
      <c r="Z2994">
        <v>1077</v>
      </c>
      <c r="AA2994">
        <v>49</v>
      </c>
      <c r="AB2994">
        <v>45</v>
      </c>
      <c r="AC2994" t="s">
        <v>11310</v>
      </c>
      <c r="AD2994" t="s">
        <v>11311</v>
      </c>
      <c r="AE2994" t="s">
        <v>11312</v>
      </c>
      <c r="AF2994" t="s">
        <v>18148</v>
      </c>
      <c r="AG2994" t="s">
        <v>18149</v>
      </c>
      <c r="AH2994" t="s">
        <v>18150</v>
      </c>
      <c r="AI2994" t="s">
        <v>18151</v>
      </c>
      <c r="AJ2994" s="2">
        <v>45855.965254629627</v>
      </c>
      <c r="AK2994" t="s">
        <v>556</v>
      </c>
      <c r="AL2994" t="s">
        <v>65</v>
      </c>
      <c r="AM2994" s="3">
        <v>1.9652777777777777</v>
      </c>
      <c r="AN2994" t="s">
        <v>66</v>
      </c>
      <c r="AO2994" t="s">
        <v>101</v>
      </c>
    </row>
    <row r="2995" spans="1:41" x14ac:dyDescent="0.2">
      <c r="A2995">
        <v>372791</v>
      </c>
      <c r="B2995" t="s">
        <v>18152</v>
      </c>
      <c r="C2995" t="s">
        <v>167</v>
      </c>
      <c r="D2995" t="s">
        <v>8708</v>
      </c>
      <c r="E2995" t="s">
        <v>18153</v>
      </c>
      <c r="F2995">
        <v>350913</v>
      </c>
      <c r="G2995" s="1">
        <v>41396</v>
      </c>
      <c r="H2995" s="1">
        <v>45826</v>
      </c>
      <c r="I2995" s="1">
        <v>46174</v>
      </c>
      <c r="J2995" t="s">
        <v>45</v>
      </c>
      <c r="K2995" t="s">
        <v>45</v>
      </c>
      <c r="L2995" t="s">
        <v>46</v>
      </c>
      <c r="M2995" s="1">
        <v>44159</v>
      </c>
      <c r="N2995" t="s">
        <v>47</v>
      </c>
      <c r="O2995" t="s">
        <v>48</v>
      </c>
      <c r="P2995" t="s">
        <v>49</v>
      </c>
      <c r="Q2995" t="s">
        <v>18154</v>
      </c>
      <c r="R2995" t="s">
        <v>18155</v>
      </c>
      <c r="S2995">
        <v>3292</v>
      </c>
      <c r="T2995" t="s">
        <v>52</v>
      </c>
      <c r="U2995">
        <v>6</v>
      </c>
      <c r="V2995" t="s">
        <v>11237</v>
      </c>
      <c r="W2995" t="s">
        <v>54</v>
      </c>
      <c r="X2995" t="s">
        <v>76</v>
      </c>
      <c r="Y2995" t="s">
        <v>56</v>
      </c>
      <c r="Z2995">
        <v>789</v>
      </c>
      <c r="AA2995">
        <v>51</v>
      </c>
      <c r="AB2995">
        <v>144</v>
      </c>
      <c r="AC2995" t="s">
        <v>3548</v>
      </c>
      <c r="AD2995" t="s">
        <v>3549</v>
      </c>
      <c r="AE2995" t="s">
        <v>3550</v>
      </c>
      <c r="AF2995" t="s">
        <v>4330</v>
      </c>
      <c r="AG2995" t="s">
        <v>3552</v>
      </c>
      <c r="AH2995" t="s">
        <v>3553</v>
      </c>
      <c r="AI2995" t="s">
        <v>179</v>
      </c>
      <c r="AJ2995" s="2">
        <v>45853.76421296296</v>
      </c>
      <c r="AK2995" t="s">
        <v>3554</v>
      </c>
      <c r="AL2995" t="s">
        <v>65</v>
      </c>
      <c r="AM2995" s="4">
        <v>0.66666666666666663</v>
      </c>
      <c r="AN2995" t="s">
        <v>66</v>
      </c>
      <c r="AO2995" t="s">
        <v>67</v>
      </c>
    </row>
    <row r="2996" spans="1:41" x14ac:dyDescent="0.2">
      <c r="A2996">
        <v>367479</v>
      </c>
      <c r="B2996" t="s">
        <v>18156</v>
      </c>
      <c r="C2996" t="s">
        <v>558</v>
      </c>
      <c r="D2996" t="s">
        <v>70</v>
      </c>
      <c r="E2996" t="s">
        <v>18157</v>
      </c>
      <c r="F2996">
        <v>261710</v>
      </c>
      <c r="G2996" s="1">
        <v>42599</v>
      </c>
      <c r="H2996" s="1">
        <v>45672</v>
      </c>
      <c r="I2996" s="1">
        <v>46006</v>
      </c>
      <c r="J2996" t="s">
        <v>45</v>
      </c>
      <c r="K2996" t="s">
        <v>45</v>
      </c>
      <c r="L2996" t="s">
        <v>72</v>
      </c>
      <c r="N2996" t="s">
        <v>47</v>
      </c>
      <c r="O2996" t="s">
        <v>48</v>
      </c>
      <c r="P2996" t="s">
        <v>49</v>
      </c>
      <c r="Q2996" t="s">
        <v>18158</v>
      </c>
      <c r="R2996" t="s">
        <v>18159</v>
      </c>
      <c r="S2996">
        <v>6027</v>
      </c>
      <c r="T2996" t="s">
        <v>156</v>
      </c>
      <c r="U2996" t="s">
        <v>1079</v>
      </c>
      <c r="V2996" t="s">
        <v>6245</v>
      </c>
      <c r="W2996" t="s">
        <v>159</v>
      </c>
      <c r="X2996" t="s">
        <v>156</v>
      </c>
      <c r="Y2996" t="s">
        <v>110</v>
      </c>
      <c r="Z2996">
        <v>2134</v>
      </c>
      <c r="AA2996">
        <v>38</v>
      </c>
      <c r="AB2996">
        <v>158</v>
      </c>
      <c r="AC2996" t="s">
        <v>1081</v>
      </c>
      <c r="AD2996" t="s">
        <v>1082</v>
      </c>
      <c r="AE2996" t="s">
        <v>1083</v>
      </c>
      <c r="AI2996" t="s">
        <v>1084</v>
      </c>
      <c r="AJ2996" s="2">
        <v>45678.800995370373</v>
      </c>
      <c r="AK2996" t="s">
        <v>1081</v>
      </c>
      <c r="AL2996" t="s">
        <v>65</v>
      </c>
      <c r="AM2996" s="3">
        <v>1.2569444444444444</v>
      </c>
      <c r="AN2996" t="s">
        <v>66</v>
      </c>
      <c r="AO2996" t="s">
        <v>67</v>
      </c>
    </row>
    <row r="2997" spans="1:41" x14ac:dyDescent="0.2">
      <c r="A2997">
        <v>364029</v>
      </c>
      <c r="B2997" t="s">
        <v>18160</v>
      </c>
      <c r="C2997" t="s">
        <v>412</v>
      </c>
      <c r="D2997" t="s">
        <v>3328</v>
      </c>
      <c r="E2997">
        <v>62504662</v>
      </c>
      <c r="F2997">
        <v>300891</v>
      </c>
      <c r="G2997" s="1">
        <v>38170</v>
      </c>
      <c r="H2997" s="1">
        <v>45483</v>
      </c>
      <c r="J2997" t="s">
        <v>45</v>
      </c>
      <c r="K2997" t="s">
        <v>72</v>
      </c>
      <c r="L2997" t="s">
        <v>72</v>
      </c>
      <c r="M2997" s="1">
        <v>42454</v>
      </c>
      <c r="N2997" t="s">
        <v>47</v>
      </c>
      <c r="O2997" t="s">
        <v>48</v>
      </c>
      <c r="P2997" t="s">
        <v>49</v>
      </c>
      <c r="Q2997" t="s">
        <v>18161</v>
      </c>
      <c r="R2997" t="s">
        <v>18162</v>
      </c>
      <c r="S2997">
        <v>1500</v>
      </c>
      <c r="T2997" t="s">
        <v>92</v>
      </c>
      <c r="U2997" t="s">
        <v>417</v>
      </c>
      <c r="V2997" t="s">
        <v>418</v>
      </c>
      <c r="W2997" t="s">
        <v>419</v>
      </c>
      <c r="X2997" t="s">
        <v>92</v>
      </c>
      <c r="Y2997" t="s">
        <v>410</v>
      </c>
      <c r="Z2997">
        <v>2559</v>
      </c>
      <c r="AA2997">
        <v>32</v>
      </c>
      <c r="AB2997">
        <v>158</v>
      </c>
      <c r="AC2997" t="s">
        <v>420</v>
      </c>
      <c r="AD2997" t="s">
        <v>421</v>
      </c>
      <c r="AE2997" t="s">
        <v>422</v>
      </c>
      <c r="AF2997" t="s">
        <v>11437</v>
      </c>
      <c r="AG2997" t="s">
        <v>11438</v>
      </c>
      <c r="AH2997" t="s">
        <v>11439</v>
      </c>
      <c r="AJ2997" s="2">
        <v>45848.64607638889</v>
      </c>
      <c r="AK2997" t="s">
        <v>100</v>
      </c>
      <c r="AL2997" t="s">
        <v>65</v>
      </c>
      <c r="AM2997" s="4">
        <v>4.8611111111111112E-2</v>
      </c>
      <c r="AN2997" t="s">
        <v>66</v>
      </c>
      <c r="AO2997" t="s">
        <v>67</v>
      </c>
    </row>
    <row r="2998" spans="1:41" x14ac:dyDescent="0.2">
      <c r="A2998">
        <v>372792</v>
      </c>
      <c r="B2998" t="s">
        <v>18163</v>
      </c>
      <c r="C2998" t="s">
        <v>167</v>
      </c>
      <c r="D2998" t="s">
        <v>6822</v>
      </c>
      <c r="E2998">
        <v>32407056</v>
      </c>
      <c r="F2998">
        <v>350726</v>
      </c>
      <c r="G2998" s="1">
        <v>31199</v>
      </c>
      <c r="H2998" s="1">
        <v>45825</v>
      </c>
      <c r="I2998" s="1">
        <v>46174</v>
      </c>
      <c r="J2998" t="s">
        <v>45</v>
      </c>
      <c r="K2998" t="s">
        <v>45</v>
      </c>
      <c r="L2998" t="s">
        <v>429</v>
      </c>
      <c r="M2998" s="1">
        <v>44370</v>
      </c>
      <c r="N2998" t="s">
        <v>47</v>
      </c>
      <c r="O2998" t="s">
        <v>48</v>
      </c>
      <c r="P2998" t="s">
        <v>49</v>
      </c>
      <c r="Q2998" t="s">
        <v>18164</v>
      </c>
      <c r="R2998" t="s">
        <v>18165</v>
      </c>
      <c r="S2998">
        <v>4274</v>
      </c>
      <c r="T2998" t="s">
        <v>52</v>
      </c>
      <c r="U2998">
        <v>6</v>
      </c>
      <c r="V2998" t="s">
        <v>11237</v>
      </c>
      <c r="W2998" t="s">
        <v>54</v>
      </c>
      <c r="X2998" t="s">
        <v>76</v>
      </c>
      <c r="Y2998" t="s">
        <v>56</v>
      </c>
      <c r="Z2998">
        <v>791</v>
      </c>
      <c r="AA2998">
        <v>43</v>
      </c>
      <c r="AB2998">
        <v>160</v>
      </c>
      <c r="AC2998" t="s">
        <v>3548</v>
      </c>
      <c r="AD2998" t="s">
        <v>3549</v>
      </c>
      <c r="AE2998" t="s">
        <v>3550</v>
      </c>
      <c r="AF2998" t="s">
        <v>4330</v>
      </c>
      <c r="AG2998" t="s">
        <v>3552</v>
      </c>
      <c r="AH2998" t="s">
        <v>3553</v>
      </c>
      <c r="AI2998" t="s">
        <v>179</v>
      </c>
      <c r="AJ2998" s="2">
        <v>45853.764733796299</v>
      </c>
      <c r="AK2998" t="s">
        <v>3554</v>
      </c>
      <c r="AL2998" t="s">
        <v>65</v>
      </c>
      <c r="AM2998" s="4">
        <v>0.3263888888888889</v>
      </c>
      <c r="AN2998" t="s">
        <v>66</v>
      </c>
      <c r="AO2998" t="s">
        <v>67</v>
      </c>
    </row>
    <row r="2999" spans="1:41" x14ac:dyDescent="0.2">
      <c r="A2999">
        <v>369863</v>
      </c>
      <c r="B2999" t="s">
        <v>18166</v>
      </c>
      <c r="C2999" t="s">
        <v>134</v>
      </c>
      <c r="D2999" t="s">
        <v>214</v>
      </c>
      <c r="E2999" t="s">
        <v>18167</v>
      </c>
      <c r="F2999">
        <v>452141</v>
      </c>
      <c r="G2999" s="1">
        <v>45384</v>
      </c>
      <c r="H2999" s="1">
        <v>45754</v>
      </c>
      <c r="I2999" s="1">
        <v>46127</v>
      </c>
      <c r="J2999" t="s">
        <v>45</v>
      </c>
      <c r="K2999" t="s">
        <v>45</v>
      </c>
      <c r="L2999" t="s">
        <v>72</v>
      </c>
      <c r="N2999" t="s">
        <v>89</v>
      </c>
      <c r="O2999" t="s">
        <v>121</v>
      </c>
      <c r="P2999" t="s">
        <v>49</v>
      </c>
      <c r="Q2999" t="s">
        <v>18168</v>
      </c>
      <c r="R2999" t="s">
        <v>18169</v>
      </c>
      <c r="S2999">
        <v>3700</v>
      </c>
      <c r="T2999" t="s">
        <v>52</v>
      </c>
      <c r="U2999">
        <v>6</v>
      </c>
      <c r="V2999" t="s">
        <v>4158</v>
      </c>
      <c r="W2999" t="s">
        <v>54</v>
      </c>
      <c r="X2999" t="s">
        <v>52</v>
      </c>
      <c r="Y2999" t="s">
        <v>125</v>
      </c>
      <c r="Z2999">
        <v>6408</v>
      </c>
      <c r="AA2999">
        <v>51</v>
      </c>
      <c r="AB2999">
        <v>78</v>
      </c>
      <c r="AC2999" t="s">
        <v>4159</v>
      </c>
      <c r="AD2999" t="s">
        <v>4160</v>
      </c>
      <c r="AE2999" t="s">
        <v>4161</v>
      </c>
      <c r="AF2999" t="s">
        <v>18170</v>
      </c>
      <c r="AG2999" t="s">
        <v>18171</v>
      </c>
      <c r="AH2999" t="s">
        <v>18172</v>
      </c>
      <c r="AJ2999" s="2">
        <v>45756.457916666666</v>
      </c>
      <c r="AK2999" t="s">
        <v>800</v>
      </c>
      <c r="AL2999" t="s">
        <v>65</v>
      </c>
      <c r="AM2999" s="3">
        <v>1.2708333333333333</v>
      </c>
      <c r="AN2999" t="s">
        <v>66</v>
      </c>
      <c r="AO2999" t="s">
        <v>67</v>
      </c>
    </row>
    <row r="3000" spans="1:41" x14ac:dyDescent="0.2">
      <c r="A3000">
        <v>368241</v>
      </c>
      <c r="B3000" t="s">
        <v>18173</v>
      </c>
      <c r="C3000" t="s">
        <v>134</v>
      </c>
      <c r="D3000" t="s">
        <v>4154</v>
      </c>
      <c r="E3000" t="s">
        <v>18174</v>
      </c>
      <c r="F3000">
        <v>452139</v>
      </c>
      <c r="G3000" s="1">
        <v>45363</v>
      </c>
      <c r="H3000" s="1">
        <v>45301</v>
      </c>
      <c r="I3000" s="1">
        <v>45992</v>
      </c>
      <c r="J3000" t="s">
        <v>45</v>
      </c>
      <c r="K3000" t="s">
        <v>45</v>
      </c>
      <c r="L3000" t="s">
        <v>72</v>
      </c>
      <c r="M3000" s="1">
        <v>42486</v>
      </c>
      <c r="N3000" t="s">
        <v>89</v>
      </c>
      <c r="O3000" t="s">
        <v>121</v>
      </c>
      <c r="P3000" t="s">
        <v>49</v>
      </c>
      <c r="Q3000" t="s">
        <v>18175</v>
      </c>
      <c r="R3000" t="s">
        <v>18176</v>
      </c>
      <c r="S3000">
        <v>3321</v>
      </c>
      <c r="T3000" t="s">
        <v>52</v>
      </c>
      <c r="U3000">
        <v>6</v>
      </c>
      <c r="V3000" t="s">
        <v>4158</v>
      </c>
      <c r="W3000" t="s">
        <v>54</v>
      </c>
      <c r="X3000" t="s">
        <v>52</v>
      </c>
      <c r="Y3000" t="s">
        <v>125</v>
      </c>
      <c r="Z3000">
        <v>6409</v>
      </c>
      <c r="AA3000">
        <v>63</v>
      </c>
      <c r="AB3000">
        <v>78</v>
      </c>
      <c r="AC3000" t="s">
        <v>4159</v>
      </c>
      <c r="AD3000" t="s">
        <v>4160</v>
      </c>
      <c r="AE3000" t="s">
        <v>4161</v>
      </c>
      <c r="AF3000" t="s">
        <v>18177</v>
      </c>
      <c r="AG3000" t="s">
        <v>18178</v>
      </c>
      <c r="AH3000" t="s">
        <v>18179</v>
      </c>
      <c r="AI3000" t="s">
        <v>18180</v>
      </c>
      <c r="AJ3000" s="2">
        <v>45706.84747685185</v>
      </c>
      <c r="AK3000" t="s">
        <v>100</v>
      </c>
      <c r="AL3000" t="s">
        <v>65</v>
      </c>
      <c r="AM3000" s="3">
        <v>1.2638888888888888</v>
      </c>
      <c r="AN3000" t="s">
        <v>66</v>
      </c>
      <c r="AO3000" t="s">
        <v>67</v>
      </c>
    </row>
    <row r="3001" spans="1:41" x14ac:dyDescent="0.2">
      <c r="A3001">
        <v>372080</v>
      </c>
      <c r="B3001" t="s">
        <v>18181</v>
      </c>
      <c r="C3001" t="s">
        <v>134</v>
      </c>
      <c r="D3001" t="s">
        <v>13857</v>
      </c>
      <c r="E3001" t="s">
        <v>18182</v>
      </c>
      <c r="F3001">
        <v>452222</v>
      </c>
      <c r="G3001" s="1">
        <v>45042</v>
      </c>
      <c r="H3001" s="1">
        <v>45828</v>
      </c>
      <c r="I3001" s="1">
        <v>46082</v>
      </c>
      <c r="J3001" t="s">
        <v>45</v>
      </c>
      <c r="K3001" t="s">
        <v>45</v>
      </c>
      <c r="L3001" t="s">
        <v>72</v>
      </c>
      <c r="N3001" t="s">
        <v>89</v>
      </c>
      <c r="O3001" t="s">
        <v>121</v>
      </c>
      <c r="P3001" t="s">
        <v>49</v>
      </c>
      <c r="Q3001" t="s">
        <v>18183</v>
      </c>
      <c r="R3001" t="s">
        <v>18184</v>
      </c>
      <c r="S3001">
        <v>3416</v>
      </c>
      <c r="T3001" t="s">
        <v>52</v>
      </c>
      <c r="U3001">
        <v>6</v>
      </c>
      <c r="V3001" t="s">
        <v>4158</v>
      </c>
      <c r="W3001" t="s">
        <v>54</v>
      </c>
      <c r="X3001" t="s">
        <v>52</v>
      </c>
      <c r="Y3001" t="s">
        <v>125</v>
      </c>
      <c r="Z3001">
        <v>5067</v>
      </c>
      <c r="AA3001">
        <v>53</v>
      </c>
      <c r="AB3001">
        <v>34</v>
      </c>
      <c r="AC3001" t="s">
        <v>4159</v>
      </c>
      <c r="AD3001" t="s">
        <v>4160</v>
      </c>
      <c r="AE3001" t="s">
        <v>4161</v>
      </c>
      <c r="AF3001" t="s">
        <v>18185</v>
      </c>
      <c r="AG3001" t="s">
        <v>18186</v>
      </c>
      <c r="AH3001" t="s">
        <v>18187</v>
      </c>
      <c r="AI3001" t="s">
        <v>18188</v>
      </c>
      <c r="AJ3001" s="2">
        <v>45828.831655092596</v>
      </c>
      <c r="AK3001" t="s">
        <v>800</v>
      </c>
      <c r="AL3001" t="s">
        <v>65</v>
      </c>
      <c r="AM3001" s="4">
        <v>0.11805555555555555</v>
      </c>
      <c r="AN3001" t="s">
        <v>66</v>
      </c>
      <c r="AO3001" t="s">
        <v>67</v>
      </c>
    </row>
    <row r="3002" spans="1:41" x14ac:dyDescent="0.2">
      <c r="A3002">
        <v>370927</v>
      </c>
      <c r="B3002" t="s">
        <v>18189</v>
      </c>
      <c r="C3002" t="s">
        <v>134</v>
      </c>
      <c r="D3002" t="s">
        <v>214</v>
      </c>
      <c r="E3002" t="s">
        <v>18190</v>
      </c>
      <c r="F3002">
        <v>452041</v>
      </c>
      <c r="G3002" s="1">
        <v>45754</v>
      </c>
      <c r="H3002" s="1">
        <v>45625</v>
      </c>
      <c r="I3002" s="1">
        <v>45962</v>
      </c>
      <c r="J3002" t="s">
        <v>45</v>
      </c>
      <c r="K3002" t="s">
        <v>45</v>
      </c>
      <c r="L3002" t="s">
        <v>72</v>
      </c>
      <c r="N3002" t="s">
        <v>89</v>
      </c>
      <c r="O3002" t="s">
        <v>121</v>
      </c>
      <c r="P3002" t="s">
        <v>49</v>
      </c>
      <c r="Q3002" t="s">
        <v>18191</v>
      </c>
      <c r="R3002" t="s">
        <v>18192</v>
      </c>
      <c r="S3002">
        <v>3808</v>
      </c>
      <c r="T3002" t="s">
        <v>52</v>
      </c>
      <c r="U3002">
        <v>6</v>
      </c>
      <c r="V3002" t="s">
        <v>4158</v>
      </c>
      <c r="W3002" t="s">
        <v>54</v>
      </c>
      <c r="X3002" t="s">
        <v>52</v>
      </c>
      <c r="Y3002" t="s">
        <v>125</v>
      </c>
      <c r="Z3002">
        <v>5547</v>
      </c>
      <c r="AA3002">
        <v>52</v>
      </c>
      <c r="AB3002">
        <v>34</v>
      </c>
      <c r="AC3002" t="s">
        <v>4159</v>
      </c>
      <c r="AD3002" t="s">
        <v>4160</v>
      </c>
      <c r="AE3002" t="s">
        <v>4161</v>
      </c>
      <c r="AF3002" t="s">
        <v>6568</v>
      </c>
      <c r="AG3002" t="s">
        <v>6569</v>
      </c>
      <c r="AH3002" t="s">
        <v>6570</v>
      </c>
      <c r="AI3002" t="s">
        <v>18193</v>
      </c>
      <c r="AJ3002" s="2">
        <v>45790.793923611112</v>
      </c>
      <c r="AK3002" t="s">
        <v>800</v>
      </c>
      <c r="AL3002" t="s">
        <v>65</v>
      </c>
      <c r="AM3002" s="3">
        <v>1.4097222222222223</v>
      </c>
      <c r="AN3002" t="s">
        <v>66</v>
      </c>
      <c r="AO3002" t="s">
        <v>67</v>
      </c>
    </row>
    <row r="3003" spans="1:41" x14ac:dyDescent="0.2">
      <c r="A3003">
        <v>370892</v>
      </c>
      <c r="B3003" t="s">
        <v>18194</v>
      </c>
      <c r="C3003" t="s">
        <v>134</v>
      </c>
      <c r="D3003" t="s">
        <v>4154</v>
      </c>
      <c r="E3003">
        <v>32692798</v>
      </c>
      <c r="F3003">
        <v>452140</v>
      </c>
      <c r="G3003" s="1">
        <v>45785</v>
      </c>
      <c r="H3003" s="1">
        <v>45594</v>
      </c>
      <c r="I3003" s="1">
        <v>45962</v>
      </c>
      <c r="J3003" t="s">
        <v>45</v>
      </c>
      <c r="K3003" t="s">
        <v>45</v>
      </c>
      <c r="L3003" t="s">
        <v>72</v>
      </c>
      <c r="N3003" t="s">
        <v>47</v>
      </c>
      <c r="O3003" t="s">
        <v>121</v>
      </c>
      <c r="P3003" t="s">
        <v>49</v>
      </c>
      <c r="Q3003" t="s">
        <v>18195</v>
      </c>
      <c r="R3003" t="s">
        <v>18196</v>
      </c>
      <c r="S3003">
        <v>3720</v>
      </c>
      <c r="T3003" t="s">
        <v>52</v>
      </c>
      <c r="U3003">
        <v>6</v>
      </c>
      <c r="V3003" t="s">
        <v>4158</v>
      </c>
      <c r="W3003" t="s">
        <v>54</v>
      </c>
      <c r="X3003" t="s">
        <v>52</v>
      </c>
      <c r="Y3003" t="s">
        <v>125</v>
      </c>
      <c r="Z3003">
        <v>5926</v>
      </c>
      <c r="AA3003">
        <v>92</v>
      </c>
      <c r="AB3003">
        <v>28</v>
      </c>
      <c r="AC3003" t="s">
        <v>4159</v>
      </c>
      <c r="AD3003" t="s">
        <v>4160</v>
      </c>
      <c r="AE3003" t="s">
        <v>4161</v>
      </c>
      <c r="AF3003" t="s">
        <v>7116</v>
      </c>
      <c r="AG3003" t="s">
        <v>7117</v>
      </c>
      <c r="AH3003" t="s">
        <v>7118</v>
      </c>
      <c r="AI3003" t="s">
        <v>18197</v>
      </c>
      <c r="AJ3003" s="2">
        <v>45789.757280092592</v>
      </c>
      <c r="AK3003" t="s">
        <v>1167</v>
      </c>
      <c r="AL3003" t="s">
        <v>65</v>
      </c>
      <c r="AM3003" s="3">
        <v>1.0347222222222223</v>
      </c>
      <c r="AN3003" t="s">
        <v>66</v>
      </c>
      <c r="AO3003" t="s">
        <v>67</v>
      </c>
    </row>
    <row r="3004" spans="1:41" x14ac:dyDescent="0.2">
      <c r="A3004">
        <v>371026</v>
      </c>
      <c r="B3004" t="s">
        <v>18198</v>
      </c>
      <c r="C3004" t="s">
        <v>134</v>
      </c>
      <c r="D3004" t="s">
        <v>4154</v>
      </c>
      <c r="E3004" t="s">
        <v>18199</v>
      </c>
      <c r="F3004">
        <v>452137</v>
      </c>
      <c r="G3004" s="1">
        <v>45785</v>
      </c>
      <c r="H3004" s="1">
        <v>45775</v>
      </c>
      <c r="I3004" s="1">
        <v>46143</v>
      </c>
      <c r="J3004" t="s">
        <v>45</v>
      </c>
      <c r="K3004" t="s">
        <v>45</v>
      </c>
      <c r="L3004" t="s">
        <v>72</v>
      </c>
      <c r="N3004" t="s">
        <v>89</v>
      </c>
      <c r="O3004" t="s">
        <v>121</v>
      </c>
      <c r="P3004" t="s">
        <v>49</v>
      </c>
      <c r="Q3004" t="s">
        <v>18200</v>
      </c>
      <c r="R3004" t="s">
        <v>18201</v>
      </c>
      <c r="S3004">
        <v>4500</v>
      </c>
      <c r="T3004" t="s">
        <v>52</v>
      </c>
      <c r="U3004">
        <v>6</v>
      </c>
      <c r="V3004" t="s">
        <v>4158</v>
      </c>
      <c r="W3004" t="s">
        <v>54</v>
      </c>
      <c r="X3004" t="s">
        <v>52</v>
      </c>
      <c r="Y3004" t="s">
        <v>125</v>
      </c>
      <c r="Z3004">
        <v>5546</v>
      </c>
      <c r="AA3004">
        <v>59</v>
      </c>
      <c r="AB3004">
        <v>34</v>
      </c>
      <c r="AC3004" t="s">
        <v>18202</v>
      </c>
      <c r="AD3004" t="s">
        <v>18203</v>
      </c>
      <c r="AE3004" t="s">
        <v>18204</v>
      </c>
      <c r="AF3004" t="s">
        <v>4159</v>
      </c>
      <c r="AG3004" t="s">
        <v>4160</v>
      </c>
      <c r="AH3004" t="s">
        <v>18205</v>
      </c>
      <c r="AI3004" t="s">
        <v>18206</v>
      </c>
      <c r="AJ3004" s="2">
        <v>45792.819502314815</v>
      </c>
      <c r="AK3004" t="s">
        <v>375</v>
      </c>
      <c r="AL3004" t="s">
        <v>65</v>
      </c>
      <c r="AM3004" s="3">
        <v>1.4166666666666667</v>
      </c>
      <c r="AN3004" t="s">
        <v>66</v>
      </c>
      <c r="AO3004" t="s">
        <v>67</v>
      </c>
    </row>
    <row r="3005" spans="1:41" x14ac:dyDescent="0.2">
      <c r="A3005">
        <v>372703</v>
      </c>
      <c r="B3005" t="s">
        <v>18207</v>
      </c>
      <c r="C3005" t="s">
        <v>134</v>
      </c>
      <c r="D3005" t="s">
        <v>8818</v>
      </c>
      <c r="E3005" t="s">
        <v>18208</v>
      </c>
      <c r="F3005">
        <v>452320</v>
      </c>
      <c r="G3005" s="1">
        <v>44622</v>
      </c>
      <c r="H3005" s="1">
        <v>45762</v>
      </c>
      <c r="I3005" s="1">
        <v>46127</v>
      </c>
      <c r="J3005" t="s">
        <v>45</v>
      </c>
      <c r="K3005" t="s">
        <v>45</v>
      </c>
      <c r="L3005" t="s">
        <v>72</v>
      </c>
      <c r="N3005" t="s">
        <v>89</v>
      </c>
      <c r="O3005" t="s">
        <v>121</v>
      </c>
      <c r="P3005" t="s">
        <v>49</v>
      </c>
      <c r="Q3005" t="s">
        <v>18209</v>
      </c>
      <c r="R3005" t="s">
        <v>18210</v>
      </c>
      <c r="S3005">
        <v>6100</v>
      </c>
      <c r="T3005" t="s">
        <v>52</v>
      </c>
      <c r="U3005">
        <v>6</v>
      </c>
      <c r="V3005" t="s">
        <v>4158</v>
      </c>
      <c r="W3005" t="s">
        <v>54</v>
      </c>
      <c r="X3005" t="s">
        <v>52</v>
      </c>
      <c r="Y3005" t="s">
        <v>125</v>
      </c>
      <c r="Z3005">
        <v>5927</v>
      </c>
      <c r="AA3005">
        <v>32</v>
      </c>
      <c r="AB3005">
        <v>28</v>
      </c>
      <c r="AC3005" t="s">
        <v>4159</v>
      </c>
      <c r="AD3005" t="s">
        <v>4160</v>
      </c>
      <c r="AE3005" t="s">
        <v>4161</v>
      </c>
      <c r="AF3005" t="s">
        <v>18211</v>
      </c>
      <c r="AG3005" t="s">
        <v>18212</v>
      </c>
      <c r="AH3005" t="s">
        <v>18213</v>
      </c>
      <c r="AI3005" t="s">
        <v>15621</v>
      </c>
      <c r="AJ3005" s="2">
        <v>45851.525740740741</v>
      </c>
      <c r="AK3005" t="s">
        <v>132</v>
      </c>
      <c r="AL3005" t="s">
        <v>65</v>
      </c>
      <c r="AM3005" s="3">
        <v>1.0416666666666667</v>
      </c>
      <c r="AN3005" t="s">
        <v>66</v>
      </c>
      <c r="AO3005" t="s">
        <v>67</v>
      </c>
    </row>
    <row r="3006" spans="1:41" x14ac:dyDescent="0.2">
      <c r="A3006">
        <v>368969</v>
      </c>
      <c r="B3006" t="s">
        <v>18214</v>
      </c>
      <c r="C3006" t="s">
        <v>182</v>
      </c>
      <c r="D3006" t="s">
        <v>183</v>
      </c>
      <c r="E3006" t="s">
        <v>18215</v>
      </c>
      <c r="F3006">
        <v>45426</v>
      </c>
      <c r="G3006" s="1">
        <v>35619</v>
      </c>
      <c r="H3006" s="1">
        <v>45542</v>
      </c>
      <c r="I3006" s="1">
        <v>46157</v>
      </c>
      <c r="J3006" t="s">
        <v>45</v>
      </c>
      <c r="K3006" t="s">
        <v>45</v>
      </c>
      <c r="L3006" t="s">
        <v>46</v>
      </c>
      <c r="M3006" s="1">
        <v>41467</v>
      </c>
      <c r="N3006" t="s">
        <v>47</v>
      </c>
      <c r="O3006" t="s">
        <v>48</v>
      </c>
      <c r="P3006" t="s">
        <v>49</v>
      </c>
      <c r="Q3006" t="s">
        <v>18216</v>
      </c>
      <c r="R3006" t="s">
        <v>18217</v>
      </c>
      <c r="S3006">
        <v>4930</v>
      </c>
      <c r="T3006" t="s">
        <v>52</v>
      </c>
      <c r="U3006">
        <v>5</v>
      </c>
      <c r="V3006" t="s">
        <v>2432</v>
      </c>
      <c r="W3006" t="s">
        <v>54</v>
      </c>
      <c r="X3006" t="s">
        <v>493</v>
      </c>
      <c r="Y3006" t="s">
        <v>434</v>
      </c>
      <c r="Z3006">
        <v>679</v>
      </c>
      <c r="AA3006">
        <v>57</v>
      </c>
      <c r="AB3006">
        <v>144</v>
      </c>
      <c r="AC3006" t="s">
        <v>18218</v>
      </c>
      <c r="AD3006" t="s">
        <v>5002</v>
      </c>
      <c r="AE3006" t="s">
        <v>18219</v>
      </c>
      <c r="AI3006" t="s">
        <v>500</v>
      </c>
      <c r="AJ3006" s="2">
        <v>45722.932847222219</v>
      </c>
      <c r="AK3006" t="s">
        <v>501</v>
      </c>
      <c r="AL3006" t="s">
        <v>65</v>
      </c>
      <c r="AM3006" s="3">
        <v>2.2222222222222223</v>
      </c>
      <c r="AN3006" t="s">
        <v>66</v>
      </c>
      <c r="AO3006" t="s">
        <v>67</v>
      </c>
    </row>
    <row r="3007" spans="1:41" x14ac:dyDescent="0.2">
      <c r="A3007">
        <v>372045</v>
      </c>
      <c r="B3007" t="s">
        <v>18220</v>
      </c>
      <c r="C3007" t="s">
        <v>167</v>
      </c>
      <c r="D3007" t="s">
        <v>1050</v>
      </c>
      <c r="E3007" t="s">
        <v>18221</v>
      </c>
      <c r="F3007">
        <v>352108</v>
      </c>
      <c r="G3007" s="1">
        <v>39959</v>
      </c>
      <c r="H3007" s="1">
        <v>45827</v>
      </c>
      <c r="I3007" s="1">
        <v>46174</v>
      </c>
      <c r="J3007" t="s">
        <v>45</v>
      </c>
      <c r="K3007" t="s">
        <v>45</v>
      </c>
      <c r="L3007" t="s">
        <v>46</v>
      </c>
      <c r="N3007" t="s">
        <v>47</v>
      </c>
      <c r="O3007" t="s">
        <v>48</v>
      </c>
      <c r="P3007" t="s">
        <v>49</v>
      </c>
      <c r="Q3007" t="s">
        <v>18222</v>
      </c>
      <c r="R3007" t="s">
        <v>18223</v>
      </c>
      <c r="S3007">
        <v>1563</v>
      </c>
      <c r="T3007" t="s">
        <v>296</v>
      </c>
      <c r="U3007" t="s">
        <v>2267</v>
      </c>
      <c r="V3007" t="s">
        <v>8712</v>
      </c>
      <c r="W3007" t="s">
        <v>299</v>
      </c>
      <c r="X3007" t="s">
        <v>76</v>
      </c>
      <c r="Y3007" t="s">
        <v>56</v>
      </c>
      <c r="Z3007">
        <v>3031</v>
      </c>
      <c r="AA3007">
        <v>37</v>
      </c>
      <c r="AB3007">
        <v>80</v>
      </c>
      <c r="AC3007" t="s">
        <v>8713</v>
      </c>
      <c r="AD3007" t="s">
        <v>8714</v>
      </c>
      <c r="AE3007" t="s">
        <v>8715</v>
      </c>
      <c r="AF3007" t="s">
        <v>8716</v>
      </c>
      <c r="AG3007" t="s">
        <v>8717</v>
      </c>
      <c r="AH3007" t="s">
        <v>18224</v>
      </c>
      <c r="AI3007" t="s">
        <v>2274</v>
      </c>
      <c r="AJ3007" s="2">
        <v>45828.233124999999</v>
      </c>
      <c r="AK3007" t="s">
        <v>717</v>
      </c>
      <c r="AL3007" t="s">
        <v>65</v>
      </c>
      <c r="AM3007" s="4">
        <v>0.39583333333333331</v>
      </c>
      <c r="AN3007" t="s">
        <v>66</v>
      </c>
      <c r="AO3007" t="s">
        <v>67</v>
      </c>
    </row>
    <row r="3008" spans="1:41" x14ac:dyDescent="0.2">
      <c r="A3008">
        <v>366201</v>
      </c>
      <c r="B3008" t="s">
        <v>18225</v>
      </c>
      <c r="C3008" t="s">
        <v>118</v>
      </c>
      <c r="D3008" t="s">
        <v>1410</v>
      </c>
      <c r="E3008" t="s">
        <v>18226</v>
      </c>
      <c r="F3008">
        <v>20216</v>
      </c>
      <c r="G3008" s="1">
        <v>36144</v>
      </c>
      <c r="H3008" s="1">
        <v>45600</v>
      </c>
      <c r="I3008" s="1">
        <v>45962</v>
      </c>
      <c r="J3008" t="s">
        <v>45</v>
      </c>
      <c r="K3008" t="s">
        <v>326</v>
      </c>
      <c r="L3008" t="s">
        <v>429</v>
      </c>
      <c r="M3008" s="1">
        <v>41423</v>
      </c>
      <c r="N3008" t="s">
        <v>47</v>
      </c>
      <c r="O3008" t="s">
        <v>48</v>
      </c>
      <c r="P3008" t="s">
        <v>49</v>
      </c>
      <c r="Q3008" t="s">
        <v>18227</v>
      </c>
      <c r="R3008" t="s">
        <v>18228</v>
      </c>
      <c r="S3008">
        <v>7953</v>
      </c>
      <c r="T3008" t="s">
        <v>52</v>
      </c>
      <c r="U3008">
        <v>3</v>
      </c>
      <c r="V3008" t="s">
        <v>6686</v>
      </c>
      <c r="W3008" t="s">
        <v>54</v>
      </c>
      <c r="X3008" t="s">
        <v>55</v>
      </c>
      <c r="Y3008" t="s">
        <v>56</v>
      </c>
      <c r="Z3008">
        <v>624</v>
      </c>
      <c r="AA3008">
        <v>51</v>
      </c>
      <c r="AB3008">
        <v>210</v>
      </c>
      <c r="AC3008" t="s">
        <v>6687</v>
      </c>
      <c r="AD3008" t="s">
        <v>6688</v>
      </c>
      <c r="AE3008" t="s">
        <v>6689</v>
      </c>
      <c r="AF3008" t="s">
        <v>3402</v>
      </c>
      <c r="AG3008" t="s">
        <v>3403</v>
      </c>
      <c r="AH3008" t="s">
        <v>6690</v>
      </c>
      <c r="AI3008" t="s">
        <v>18229</v>
      </c>
      <c r="AJ3008" s="2">
        <v>45608.956469907411</v>
      </c>
      <c r="AK3008" t="s">
        <v>6692</v>
      </c>
      <c r="AL3008" t="s">
        <v>65</v>
      </c>
      <c r="AM3008" s="3">
        <v>1.9791666666666667</v>
      </c>
      <c r="AN3008" t="s">
        <v>809</v>
      </c>
      <c r="AO3008" t="s">
        <v>67</v>
      </c>
    </row>
    <row r="3009" spans="1:41" x14ac:dyDescent="0.2">
      <c r="A3009">
        <v>372943</v>
      </c>
      <c r="B3009" t="s">
        <v>18230</v>
      </c>
      <c r="C3009" t="s">
        <v>1911</v>
      </c>
      <c r="D3009" t="s">
        <v>16495</v>
      </c>
      <c r="E3009" t="s">
        <v>18231</v>
      </c>
      <c r="F3009">
        <v>270091</v>
      </c>
      <c r="G3009" s="1">
        <v>44145</v>
      </c>
      <c r="H3009" s="1">
        <v>45779</v>
      </c>
      <c r="I3009" s="1">
        <v>46143</v>
      </c>
      <c r="J3009" t="s">
        <v>45</v>
      </c>
      <c r="K3009" t="s">
        <v>45</v>
      </c>
      <c r="L3009" t="s">
        <v>46</v>
      </c>
      <c r="M3009" s="1">
        <v>44945</v>
      </c>
      <c r="N3009" t="s">
        <v>47</v>
      </c>
      <c r="O3009" t="s">
        <v>48</v>
      </c>
      <c r="P3009" t="s">
        <v>49</v>
      </c>
      <c r="Q3009" t="s">
        <v>18232</v>
      </c>
      <c r="R3009" t="s">
        <v>18233</v>
      </c>
      <c r="S3009">
        <v>743</v>
      </c>
      <c r="T3009" t="s">
        <v>92</v>
      </c>
      <c r="U3009" t="s">
        <v>1916</v>
      </c>
      <c r="V3009" t="s">
        <v>1917</v>
      </c>
      <c r="W3009" t="s">
        <v>1918</v>
      </c>
      <c r="X3009" t="s">
        <v>76</v>
      </c>
      <c r="Y3009" t="s">
        <v>56</v>
      </c>
      <c r="Z3009">
        <v>11386</v>
      </c>
      <c r="AA3009">
        <v>22</v>
      </c>
      <c r="AB3009">
        <v>45</v>
      </c>
      <c r="AC3009" t="s">
        <v>1919</v>
      </c>
      <c r="AD3009" t="s">
        <v>1920</v>
      </c>
      <c r="AE3009" t="s">
        <v>1921</v>
      </c>
      <c r="AF3009" t="s">
        <v>1922</v>
      </c>
      <c r="AG3009" t="s">
        <v>18234</v>
      </c>
      <c r="AH3009" t="s">
        <v>12323</v>
      </c>
      <c r="AI3009" t="s">
        <v>18235</v>
      </c>
      <c r="AJ3009" s="2">
        <v>45855.933842592596</v>
      </c>
      <c r="AK3009" t="s">
        <v>556</v>
      </c>
      <c r="AL3009" t="s">
        <v>65</v>
      </c>
      <c r="AM3009" s="3">
        <v>2.25</v>
      </c>
      <c r="AN3009" t="s">
        <v>66</v>
      </c>
      <c r="AO3009" t="s">
        <v>101</v>
      </c>
    </row>
    <row r="3010" spans="1:41" x14ac:dyDescent="0.2">
      <c r="A3010">
        <v>371069</v>
      </c>
      <c r="B3010" t="s">
        <v>18236</v>
      </c>
      <c r="C3010" t="s">
        <v>103</v>
      </c>
      <c r="D3010" t="s">
        <v>10306</v>
      </c>
      <c r="E3010" t="s">
        <v>18237</v>
      </c>
      <c r="F3010">
        <v>311001</v>
      </c>
      <c r="G3010" s="1">
        <v>41572</v>
      </c>
      <c r="H3010" s="1">
        <v>45336</v>
      </c>
      <c r="I3010" s="1">
        <v>46327</v>
      </c>
      <c r="J3010" t="s">
        <v>45</v>
      </c>
      <c r="K3010" t="s">
        <v>45</v>
      </c>
      <c r="L3010" t="s">
        <v>72</v>
      </c>
      <c r="M3010" s="1">
        <v>44950</v>
      </c>
      <c r="N3010" t="s">
        <v>47</v>
      </c>
      <c r="O3010" t="s">
        <v>48</v>
      </c>
      <c r="P3010" t="s">
        <v>49</v>
      </c>
      <c r="Q3010" t="s">
        <v>18238</v>
      </c>
      <c r="R3010" t="s">
        <v>18239</v>
      </c>
      <c r="S3010">
        <v>435</v>
      </c>
      <c r="T3010" t="s">
        <v>92</v>
      </c>
      <c r="U3010" t="s">
        <v>107</v>
      </c>
      <c r="V3010" t="s">
        <v>108</v>
      </c>
      <c r="W3010" t="s">
        <v>109</v>
      </c>
      <c r="X3010" t="s">
        <v>52</v>
      </c>
      <c r="Y3010" t="s">
        <v>110</v>
      </c>
      <c r="Z3010">
        <v>2232</v>
      </c>
      <c r="AA3010">
        <v>47</v>
      </c>
      <c r="AB3010">
        <v>37</v>
      </c>
      <c r="AC3010" t="s">
        <v>7404</v>
      </c>
      <c r="AD3010" t="s">
        <v>7405</v>
      </c>
      <c r="AE3010" t="s">
        <v>7406</v>
      </c>
      <c r="AF3010" t="s">
        <v>7407</v>
      </c>
      <c r="AG3010" t="s">
        <v>7408</v>
      </c>
      <c r="AH3010" t="s">
        <v>7409</v>
      </c>
      <c r="AI3010" t="s">
        <v>7408</v>
      </c>
      <c r="AJ3010" s="2">
        <v>45818.719537037039</v>
      </c>
      <c r="AK3010" t="s">
        <v>100</v>
      </c>
      <c r="AL3010" t="s">
        <v>65</v>
      </c>
      <c r="AM3010" s="3">
        <v>1.21875</v>
      </c>
      <c r="AN3010" t="s">
        <v>66</v>
      </c>
      <c r="AO3010" t="s">
        <v>101</v>
      </c>
    </row>
    <row r="3011" spans="1:41" x14ac:dyDescent="0.2">
      <c r="A3011">
        <v>370593</v>
      </c>
      <c r="B3011" t="s">
        <v>18240</v>
      </c>
      <c r="C3011" t="s">
        <v>167</v>
      </c>
      <c r="D3011" t="s">
        <v>8708</v>
      </c>
      <c r="E3011" t="s">
        <v>18241</v>
      </c>
      <c r="F3011">
        <v>350919</v>
      </c>
      <c r="G3011" s="1">
        <v>38198</v>
      </c>
      <c r="H3011" s="1">
        <v>45769</v>
      </c>
      <c r="I3011" s="1">
        <v>46113</v>
      </c>
      <c r="J3011" t="s">
        <v>45</v>
      </c>
      <c r="K3011" t="s">
        <v>45</v>
      </c>
      <c r="L3011" t="s">
        <v>72</v>
      </c>
      <c r="M3011" s="1">
        <v>43594</v>
      </c>
      <c r="N3011" t="s">
        <v>47</v>
      </c>
      <c r="O3011" t="s">
        <v>48</v>
      </c>
      <c r="P3011" t="s">
        <v>49</v>
      </c>
      <c r="Q3011" t="s">
        <v>18242</v>
      </c>
      <c r="R3011" t="s">
        <v>18243</v>
      </c>
      <c r="S3011">
        <v>2336</v>
      </c>
      <c r="T3011" t="s">
        <v>92</v>
      </c>
      <c r="U3011" t="s">
        <v>3030</v>
      </c>
      <c r="V3011" t="s">
        <v>3031</v>
      </c>
      <c r="W3011" t="s">
        <v>3032</v>
      </c>
      <c r="X3011" t="s">
        <v>52</v>
      </c>
      <c r="Y3011" t="s">
        <v>110</v>
      </c>
      <c r="Z3011">
        <v>1559</v>
      </c>
      <c r="AA3011">
        <v>40</v>
      </c>
      <c r="AB3011">
        <v>176</v>
      </c>
      <c r="AC3011" t="s">
        <v>18244</v>
      </c>
      <c r="AD3011" t="s">
        <v>3034</v>
      </c>
      <c r="AE3011" t="s">
        <v>3035</v>
      </c>
      <c r="AF3011" t="s">
        <v>3039</v>
      </c>
      <c r="AG3011" t="s">
        <v>12080</v>
      </c>
      <c r="AJ3011" s="2">
        <v>45778.967627314814</v>
      </c>
      <c r="AK3011" t="s">
        <v>3039</v>
      </c>
      <c r="AL3011" t="s">
        <v>65</v>
      </c>
      <c r="AM3011" s="4">
        <v>0.58333333333333337</v>
      </c>
      <c r="AN3011" t="s">
        <v>66</v>
      </c>
      <c r="AO3011" t="s">
        <v>67</v>
      </c>
    </row>
    <row r="3012" spans="1:41" x14ac:dyDescent="0.2">
      <c r="A3012">
        <v>372949</v>
      </c>
      <c r="B3012" t="s">
        <v>18245</v>
      </c>
      <c r="C3012" t="s">
        <v>763</v>
      </c>
      <c r="D3012" t="s">
        <v>1714</v>
      </c>
      <c r="E3012" t="s">
        <v>18246</v>
      </c>
      <c r="F3012">
        <v>470207</v>
      </c>
      <c r="G3012" s="1">
        <v>34865</v>
      </c>
      <c r="H3012" s="1">
        <v>45757</v>
      </c>
      <c r="I3012" s="1">
        <v>46127</v>
      </c>
      <c r="J3012" t="s">
        <v>45</v>
      </c>
      <c r="K3012" t="s">
        <v>45</v>
      </c>
      <c r="L3012" t="s">
        <v>545</v>
      </c>
      <c r="M3012" s="1">
        <v>45218</v>
      </c>
      <c r="N3012" t="s">
        <v>47</v>
      </c>
      <c r="O3012" t="s">
        <v>48</v>
      </c>
      <c r="P3012" t="s">
        <v>49</v>
      </c>
      <c r="Q3012" t="s">
        <v>18247</v>
      </c>
      <c r="R3012" t="s">
        <v>18248</v>
      </c>
      <c r="S3012">
        <v>1260</v>
      </c>
      <c r="T3012" t="s">
        <v>52</v>
      </c>
      <c r="U3012">
        <v>9</v>
      </c>
      <c r="V3012" t="s">
        <v>5182</v>
      </c>
      <c r="W3012" t="s">
        <v>54</v>
      </c>
      <c r="X3012" t="s">
        <v>76</v>
      </c>
      <c r="Y3012" t="s">
        <v>56</v>
      </c>
      <c r="Z3012">
        <v>1110</v>
      </c>
      <c r="AA3012">
        <v>47</v>
      </c>
      <c r="AB3012">
        <v>97</v>
      </c>
      <c r="AC3012" t="s">
        <v>5183</v>
      </c>
      <c r="AD3012" t="s">
        <v>5184</v>
      </c>
      <c r="AE3012" t="s">
        <v>5185</v>
      </c>
      <c r="AF3012" t="s">
        <v>5186</v>
      </c>
      <c r="AG3012" t="s">
        <v>5187</v>
      </c>
      <c r="AH3012" t="s">
        <v>5188</v>
      </c>
      <c r="AI3012" t="s">
        <v>5184</v>
      </c>
      <c r="AJ3012" s="2">
        <v>45855.94699074074</v>
      </c>
      <c r="AK3012" t="s">
        <v>556</v>
      </c>
      <c r="AL3012" t="s">
        <v>65</v>
      </c>
      <c r="AM3012" s="3">
        <v>1.3090277777777777</v>
      </c>
      <c r="AN3012" t="s">
        <v>66</v>
      </c>
      <c r="AO3012" t="s">
        <v>101</v>
      </c>
    </row>
    <row r="3013" spans="1:41" x14ac:dyDescent="0.2">
      <c r="A3013">
        <v>368074</v>
      </c>
      <c r="B3013" t="s">
        <v>139</v>
      </c>
      <c r="C3013" t="s">
        <v>197</v>
      </c>
      <c r="D3013" t="s">
        <v>14854</v>
      </c>
      <c r="E3013">
        <v>31005780</v>
      </c>
      <c r="F3013">
        <v>93501</v>
      </c>
      <c r="G3013" s="1">
        <v>37712</v>
      </c>
      <c r="H3013" s="1">
        <v>45561</v>
      </c>
      <c r="I3013" s="1">
        <v>45945</v>
      </c>
      <c r="J3013" t="s">
        <v>45</v>
      </c>
      <c r="K3013" t="s">
        <v>45</v>
      </c>
      <c r="L3013" t="s">
        <v>72</v>
      </c>
      <c r="N3013" t="s">
        <v>47</v>
      </c>
      <c r="O3013" t="s">
        <v>48</v>
      </c>
      <c r="P3013" t="s">
        <v>49</v>
      </c>
      <c r="Q3013" t="s">
        <v>18249</v>
      </c>
      <c r="R3013" t="s">
        <v>18250</v>
      </c>
      <c r="S3013">
        <v>616</v>
      </c>
      <c r="T3013" t="s">
        <v>92</v>
      </c>
      <c r="U3013" t="s">
        <v>202</v>
      </c>
      <c r="V3013" t="s">
        <v>203</v>
      </c>
      <c r="W3013" t="s">
        <v>204</v>
      </c>
      <c r="X3013" t="s">
        <v>52</v>
      </c>
      <c r="Y3013" t="s">
        <v>110</v>
      </c>
      <c r="Z3013">
        <v>2142</v>
      </c>
      <c r="AA3013">
        <v>31</v>
      </c>
      <c r="AB3013">
        <v>144</v>
      </c>
      <c r="AC3013" t="s">
        <v>205</v>
      </c>
      <c r="AD3013" t="s">
        <v>206</v>
      </c>
      <c r="AE3013" t="s">
        <v>18251</v>
      </c>
      <c r="AF3013" t="s">
        <v>3373</v>
      </c>
      <c r="AG3013" t="s">
        <v>3374</v>
      </c>
      <c r="AH3013" t="s">
        <v>3375</v>
      </c>
      <c r="AI3013" t="s">
        <v>211</v>
      </c>
      <c r="AJ3013" s="2">
        <v>45699.780150462961</v>
      </c>
      <c r="AK3013" t="s">
        <v>149</v>
      </c>
      <c r="AL3013" t="s">
        <v>65</v>
      </c>
      <c r="AM3013" s="4">
        <v>0.11805555555555555</v>
      </c>
      <c r="AN3013" t="s">
        <v>66</v>
      </c>
      <c r="AO3013" t="s">
        <v>67</v>
      </c>
    </row>
    <row r="3014" spans="1:41" x14ac:dyDescent="0.2">
      <c r="A3014">
        <v>365300</v>
      </c>
      <c r="B3014" t="s">
        <v>18252</v>
      </c>
      <c r="C3014" t="s">
        <v>42</v>
      </c>
      <c r="D3014" t="s">
        <v>427</v>
      </c>
      <c r="E3014" t="s">
        <v>18253</v>
      </c>
      <c r="F3014">
        <v>290101</v>
      </c>
      <c r="G3014" s="1">
        <v>37944</v>
      </c>
      <c r="H3014" s="1">
        <v>45574</v>
      </c>
      <c r="I3014" s="1">
        <v>46249</v>
      </c>
      <c r="J3014" t="s">
        <v>45</v>
      </c>
      <c r="K3014" t="s">
        <v>45</v>
      </c>
      <c r="L3014" t="s">
        <v>46</v>
      </c>
      <c r="N3014" t="s">
        <v>47</v>
      </c>
      <c r="O3014" t="s">
        <v>48</v>
      </c>
      <c r="P3014" t="s">
        <v>49</v>
      </c>
      <c r="Q3014" t="s">
        <v>18254</v>
      </c>
      <c r="R3014" t="s">
        <v>18255</v>
      </c>
      <c r="S3014">
        <v>9384</v>
      </c>
      <c r="T3014" t="s">
        <v>296</v>
      </c>
      <c r="U3014" t="s">
        <v>1389</v>
      </c>
      <c r="V3014" t="s">
        <v>1390</v>
      </c>
      <c r="W3014" t="s">
        <v>299</v>
      </c>
      <c r="X3014" t="s">
        <v>55</v>
      </c>
      <c r="Y3014" t="s">
        <v>56</v>
      </c>
      <c r="Z3014">
        <v>2465</v>
      </c>
      <c r="AA3014">
        <v>39</v>
      </c>
      <c r="AB3014">
        <v>160</v>
      </c>
      <c r="AC3014" t="s">
        <v>12734</v>
      </c>
      <c r="AD3014" t="s">
        <v>12735</v>
      </c>
      <c r="AE3014" t="s">
        <v>12736</v>
      </c>
      <c r="AF3014" t="s">
        <v>18256</v>
      </c>
      <c r="AG3014" t="s">
        <v>14021</v>
      </c>
      <c r="AH3014" t="s">
        <v>14022</v>
      </c>
      <c r="AI3014" t="s">
        <v>1394</v>
      </c>
      <c r="AJ3014" s="2">
        <v>45576.566168981481</v>
      </c>
      <c r="AK3014" t="s">
        <v>609</v>
      </c>
      <c r="AL3014" t="s">
        <v>65</v>
      </c>
      <c r="AM3014" s="3">
        <v>1.7152777777777777</v>
      </c>
      <c r="AN3014" t="s">
        <v>66</v>
      </c>
      <c r="AO3014" t="s">
        <v>67</v>
      </c>
    </row>
    <row r="3015" spans="1:41" x14ac:dyDescent="0.2">
      <c r="A3015">
        <v>370708</v>
      </c>
      <c r="B3015" t="s">
        <v>18257</v>
      </c>
      <c r="C3015" t="s">
        <v>134</v>
      </c>
      <c r="D3015" t="s">
        <v>3543</v>
      </c>
      <c r="E3015" t="s">
        <v>18258</v>
      </c>
      <c r="F3015">
        <v>499909</v>
      </c>
      <c r="G3015" s="1">
        <v>45775</v>
      </c>
      <c r="H3015" s="1">
        <v>45729</v>
      </c>
      <c r="I3015" s="1">
        <v>46054</v>
      </c>
      <c r="J3015" t="s">
        <v>45</v>
      </c>
      <c r="K3015" t="s">
        <v>45</v>
      </c>
      <c r="L3015" t="s">
        <v>72</v>
      </c>
      <c r="N3015" t="s">
        <v>47</v>
      </c>
      <c r="O3015" t="s">
        <v>121</v>
      </c>
      <c r="P3015" t="s">
        <v>49</v>
      </c>
      <c r="Q3015" t="s">
        <v>18259</v>
      </c>
      <c r="R3015" t="s">
        <v>18260</v>
      </c>
      <c r="S3015">
        <v>1924</v>
      </c>
      <c r="T3015" t="s">
        <v>92</v>
      </c>
      <c r="U3015" t="s">
        <v>139</v>
      </c>
      <c r="V3015" t="s">
        <v>140</v>
      </c>
      <c r="W3015" t="s">
        <v>141</v>
      </c>
      <c r="X3015" t="s">
        <v>92</v>
      </c>
      <c r="Y3015" t="s">
        <v>110</v>
      </c>
      <c r="Z3015">
        <v>8946</v>
      </c>
      <c r="AA3015">
        <v>46</v>
      </c>
      <c r="AB3015">
        <v>160</v>
      </c>
      <c r="AC3015" t="s">
        <v>18261</v>
      </c>
      <c r="AD3015" t="s">
        <v>18262</v>
      </c>
      <c r="AE3015" t="s">
        <v>18263</v>
      </c>
      <c r="AF3015" t="s">
        <v>145</v>
      </c>
      <c r="AG3015" t="s">
        <v>146</v>
      </c>
      <c r="AH3015" t="s">
        <v>147</v>
      </c>
      <c r="AI3015" t="s">
        <v>148</v>
      </c>
      <c r="AJ3015" s="2">
        <v>45783.567650462966</v>
      </c>
      <c r="AK3015" t="s">
        <v>18261</v>
      </c>
      <c r="AL3015" t="s">
        <v>65</v>
      </c>
      <c r="AM3015" s="3">
        <v>2.0486111111111112</v>
      </c>
      <c r="AN3015" t="s">
        <v>66</v>
      </c>
      <c r="AO3015" t="s">
        <v>67</v>
      </c>
    </row>
    <row r="3016" spans="1:41" x14ac:dyDescent="0.2">
      <c r="A3016">
        <v>368483</v>
      </c>
      <c r="B3016" t="s">
        <v>18264</v>
      </c>
      <c r="C3016" t="s">
        <v>134</v>
      </c>
      <c r="D3016" t="s">
        <v>13857</v>
      </c>
      <c r="E3016" t="s">
        <v>18265</v>
      </c>
      <c r="G3016" s="1">
        <v>45456</v>
      </c>
      <c r="H3016" s="1">
        <v>45390</v>
      </c>
      <c r="I3016" s="1">
        <v>46054</v>
      </c>
      <c r="J3016" t="s">
        <v>45</v>
      </c>
      <c r="K3016" t="s">
        <v>45</v>
      </c>
      <c r="L3016" t="s">
        <v>72</v>
      </c>
      <c r="N3016" t="s">
        <v>47</v>
      </c>
      <c r="O3016" t="s">
        <v>121</v>
      </c>
      <c r="P3016" t="s">
        <v>49</v>
      </c>
      <c r="Q3016" t="s">
        <v>18266</v>
      </c>
      <c r="R3016" t="s">
        <v>18267</v>
      </c>
      <c r="S3016">
        <v>2927</v>
      </c>
      <c r="T3016" t="s">
        <v>92</v>
      </c>
      <c r="U3016" t="s">
        <v>139</v>
      </c>
      <c r="V3016" t="s">
        <v>140</v>
      </c>
      <c r="W3016" t="s">
        <v>141</v>
      </c>
      <c r="X3016" t="s">
        <v>92</v>
      </c>
      <c r="Y3016" t="s">
        <v>110</v>
      </c>
      <c r="Z3016">
        <v>8986</v>
      </c>
      <c r="AA3016">
        <v>39</v>
      </c>
      <c r="AB3016">
        <v>78</v>
      </c>
      <c r="AC3016" t="s">
        <v>18261</v>
      </c>
      <c r="AD3016" t="s">
        <v>18262</v>
      </c>
      <c r="AE3016" t="s">
        <v>18263</v>
      </c>
      <c r="AF3016" t="s">
        <v>145</v>
      </c>
      <c r="AG3016" t="s">
        <v>146</v>
      </c>
      <c r="AH3016" t="s">
        <v>147</v>
      </c>
      <c r="AI3016" t="s">
        <v>18268</v>
      </c>
      <c r="AJ3016" s="2">
        <v>45713.713182870371</v>
      </c>
      <c r="AK3016" t="s">
        <v>145</v>
      </c>
      <c r="AL3016" t="s">
        <v>65</v>
      </c>
      <c r="AM3016" s="3">
        <v>1.6111111111111112</v>
      </c>
      <c r="AN3016" t="s">
        <v>66</v>
      </c>
      <c r="AO3016" t="s">
        <v>67</v>
      </c>
    </row>
    <row r="3017" spans="1:41" x14ac:dyDescent="0.2">
      <c r="A3017">
        <v>372870</v>
      </c>
      <c r="B3017" t="s">
        <v>18269</v>
      </c>
      <c r="C3017" t="s">
        <v>134</v>
      </c>
      <c r="D3017" t="s">
        <v>13857</v>
      </c>
      <c r="E3017" t="s">
        <v>18270</v>
      </c>
      <c r="G3017" s="1">
        <v>45853</v>
      </c>
      <c r="H3017" s="1">
        <v>45727</v>
      </c>
      <c r="I3017" s="1">
        <v>46054</v>
      </c>
      <c r="J3017" t="s">
        <v>45</v>
      </c>
      <c r="K3017" t="s">
        <v>45</v>
      </c>
      <c r="L3017" t="s">
        <v>72</v>
      </c>
      <c r="N3017" t="s">
        <v>47</v>
      </c>
      <c r="O3017" t="s">
        <v>121</v>
      </c>
      <c r="P3017" t="s">
        <v>49</v>
      </c>
      <c r="Q3017" t="s">
        <v>18271</v>
      </c>
      <c r="R3017" t="s">
        <v>18272</v>
      </c>
      <c r="S3017">
        <v>3833</v>
      </c>
      <c r="T3017" t="s">
        <v>92</v>
      </c>
      <c r="U3017" t="s">
        <v>139</v>
      </c>
      <c r="V3017" t="s">
        <v>140</v>
      </c>
      <c r="W3017" t="s">
        <v>141</v>
      </c>
      <c r="X3017" t="s">
        <v>92</v>
      </c>
      <c r="Y3017" t="s">
        <v>110</v>
      </c>
      <c r="Z3017">
        <v>8987</v>
      </c>
      <c r="AA3017">
        <v>38</v>
      </c>
      <c r="AB3017">
        <v>28</v>
      </c>
      <c r="AC3017" t="s">
        <v>18261</v>
      </c>
      <c r="AD3017" t="s">
        <v>18261</v>
      </c>
      <c r="AE3017" t="s">
        <v>18263</v>
      </c>
      <c r="AF3017" t="s">
        <v>145</v>
      </c>
      <c r="AG3017" t="s">
        <v>146</v>
      </c>
      <c r="AH3017" t="s">
        <v>147</v>
      </c>
      <c r="AI3017" t="s">
        <v>148</v>
      </c>
      <c r="AJ3017" s="2">
        <v>45855.624293981484</v>
      </c>
      <c r="AK3017" t="s">
        <v>84</v>
      </c>
      <c r="AL3017" t="s">
        <v>65</v>
      </c>
      <c r="AM3017" s="4">
        <v>0.49305555555555558</v>
      </c>
      <c r="AN3017" t="s">
        <v>66</v>
      </c>
      <c r="AO3017" t="s">
        <v>67</v>
      </c>
    </row>
    <row r="3018" spans="1:41" x14ac:dyDescent="0.2">
      <c r="A3018">
        <v>371213</v>
      </c>
      <c r="B3018" t="s">
        <v>18273</v>
      </c>
      <c r="C3018" t="s">
        <v>134</v>
      </c>
      <c r="D3018" t="s">
        <v>214</v>
      </c>
      <c r="E3018" t="s">
        <v>18274</v>
      </c>
      <c r="G3018" s="1">
        <v>45750</v>
      </c>
      <c r="H3018" s="1">
        <v>45728</v>
      </c>
      <c r="I3018" s="1">
        <v>46054</v>
      </c>
      <c r="J3018" t="s">
        <v>45</v>
      </c>
      <c r="K3018" t="s">
        <v>45</v>
      </c>
      <c r="L3018" t="s">
        <v>72</v>
      </c>
      <c r="M3018" s="1">
        <v>45124</v>
      </c>
      <c r="N3018" t="s">
        <v>89</v>
      </c>
      <c r="O3018" t="s">
        <v>121</v>
      </c>
      <c r="P3018" t="s">
        <v>49</v>
      </c>
      <c r="Q3018" t="s">
        <v>18275</v>
      </c>
      <c r="R3018" t="s">
        <v>18276</v>
      </c>
      <c r="S3018">
        <v>3896</v>
      </c>
      <c r="T3018" t="s">
        <v>92</v>
      </c>
      <c r="U3018" t="s">
        <v>139</v>
      </c>
      <c r="V3018" t="s">
        <v>140</v>
      </c>
      <c r="W3018" t="s">
        <v>141</v>
      </c>
      <c r="X3018" t="s">
        <v>92</v>
      </c>
      <c r="Y3018" t="s">
        <v>110</v>
      </c>
      <c r="Z3018">
        <v>8988</v>
      </c>
      <c r="AA3018">
        <v>35</v>
      </c>
      <c r="AB3018">
        <v>28</v>
      </c>
      <c r="AC3018" t="s">
        <v>18261</v>
      </c>
      <c r="AD3018" t="s">
        <v>18262</v>
      </c>
      <c r="AE3018" t="s">
        <v>18263</v>
      </c>
      <c r="AF3018" t="s">
        <v>145</v>
      </c>
      <c r="AG3018" t="s">
        <v>146</v>
      </c>
      <c r="AH3018" t="s">
        <v>147</v>
      </c>
      <c r="AI3018" t="s">
        <v>148</v>
      </c>
      <c r="AJ3018" s="2">
        <v>45798.852546296293</v>
      </c>
      <c r="AK3018" t="s">
        <v>650</v>
      </c>
      <c r="AL3018" t="s">
        <v>65</v>
      </c>
      <c r="AM3018" s="4">
        <v>0.5</v>
      </c>
      <c r="AN3018" t="s">
        <v>66</v>
      </c>
      <c r="AO3018" t="s">
        <v>67</v>
      </c>
    </row>
    <row r="3019" spans="1:41" x14ac:dyDescent="0.2">
      <c r="A3019">
        <v>371172</v>
      </c>
      <c r="B3019" t="s">
        <v>18277</v>
      </c>
      <c r="C3019" t="s">
        <v>1000</v>
      </c>
      <c r="D3019" t="s">
        <v>18278</v>
      </c>
      <c r="E3019" t="s">
        <v>18279</v>
      </c>
      <c r="F3019">
        <v>403604</v>
      </c>
      <c r="G3019" s="1">
        <v>39874</v>
      </c>
      <c r="H3019" s="1">
        <v>45790</v>
      </c>
      <c r="I3019" s="1">
        <v>46143</v>
      </c>
      <c r="J3019" t="s">
        <v>45</v>
      </c>
      <c r="K3019" t="s">
        <v>45</v>
      </c>
      <c r="L3019" t="s">
        <v>46</v>
      </c>
      <c r="M3019" s="1">
        <v>45197</v>
      </c>
      <c r="N3019" t="s">
        <v>47</v>
      </c>
      <c r="O3019" t="s">
        <v>48</v>
      </c>
      <c r="P3019" t="s">
        <v>49</v>
      </c>
      <c r="Q3019" t="s">
        <v>18280</v>
      </c>
      <c r="R3019" t="s">
        <v>18281</v>
      </c>
      <c r="S3019">
        <v>2830</v>
      </c>
      <c r="T3019" t="s">
        <v>52</v>
      </c>
      <c r="U3019">
        <v>8</v>
      </c>
      <c r="V3019" t="s">
        <v>12959</v>
      </c>
      <c r="W3019" t="s">
        <v>54</v>
      </c>
      <c r="X3019" t="s">
        <v>76</v>
      </c>
      <c r="Y3019" t="s">
        <v>56</v>
      </c>
      <c r="Z3019">
        <v>3011</v>
      </c>
      <c r="AA3019">
        <v>49</v>
      </c>
      <c r="AB3019">
        <v>15</v>
      </c>
      <c r="AC3019" t="s">
        <v>12960</v>
      </c>
      <c r="AD3019" t="s">
        <v>12961</v>
      </c>
      <c r="AE3019" t="s">
        <v>12962</v>
      </c>
      <c r="AF3019" t="s">
        <v>12963</v>
      </c>
      <c r="AG3019" t="s">
        <v>12964</v>
      </c>
      <c r="AH3019" t="s">
        <v>18282</v>
      </c>
      <c r="AJ3019" s="2">
        <v>45797.853495370371</v>
      </c>
      <c r="AK3019" t="s">
        <v>717</v>
      </c>
      <c r="AL3019" t="s">
        <v>65</v>
      </c>
      <c r="AM3019" s="4">
        <v>0.69791666666666663</v>
      </c>
      <c r="AN3019" t="s">
        <v>66</v>
      </c>
      <c r="AO3019" t="s">
        <v>101</v>
      </c>
    </row>
    <row r="3020" spans="1:41" x14ac:dyDescent="0.2">
      <c r="A3020">
        <v>370025</v>
      </c>
      <c r="B3020" t="s">
        <v>18283</v>
      </c>
      <c r="C3020" t="s">
        <v>86</v>
      </c>
      <c r="D3020" t="s">
        <v>18114</v>
      </c>
      <c r="E3020" t="s">
        <v>18284</v>
      </c>
      <c r="F3020">
        <v>200103</v>
      </c>
      <c r="G3020" s="1">
        <v>34973</v>
      </c>
      <c r="H3020" s="1">
        <v>45756</v>
      </c>
      <c r="I3020" s="1">
        <v>46127</v>
      </c>
      <c r="J3020" t="s">
        <v>45</v>
      </c>
      <c r="K3020" t="s">
        <v>45</v>
      </c>
      <c r="L3020" t="s">
        <v>545</v>
      </c>
      <c r="M3020" s="1">
        <v>45483</v>
      </c>
      <c r="N3020" t="s">
        <v>47</v>
      </c>
      <c r="O3020" t="s">
        <v>48</v>
      </c>
      <c r="P3020" t="s">
        <v>49</v>
      </c>
      <c r="Q3020" t="s">
        <v>18285</v>
      </c>
      <c r="R3020" t="s">
        <v>18286</v>
      </c>
      <c r="S3020">
        <v>1492</v>
      </c>
      <c r="T3020" t="s">
        <v>52</v>
      </c>
      <c r="U3020">
        <v>9</v>
      </c>
      <c r="V3020" t="s">
        <v>1678</v>
      </c>
      <c r="W3020" t="s">
        <v>54</v>
      </c>
      <c r="X3020" t="s">
        <v>76</v>
      </c>
      <c r="Y3020" t="s">
        <v>56</v>
      </c>
      <c r="Z3020">
        <v>1101</v>
      </c>
      <c r="AA3020">
        <v>45</v>
      </c>
      <c r="AB3020">
        <v>97</v>
      </c>
      <c r="AC3020" t="s">
        <v>1679</v>
      </c>
      <c r="AD3020" t="s">
        <v>1680</v>
      </c>
      <c r="AE3020" t="s">
        <v>1681</v>
      </c>
      <c r="AF3020" t="s">
        <v>1682</v>
      </c>
      <c r="AG3020" t="s">
        <v>1683</v>
      </c>
      <c r="AH3020" t="s">
        <v>1684</v>
      </c>
      <c r="AI3020" t="s">
        <v>1685</v>
      </c>
      <c r="AJ3020" s="2">
        <v>45761.829247685186</v>
      </c>
      <c r="AK3020" t="s">
        <v>540</v>
      </c>
      <c r="AL3020" t="s">
        <v>65</v>
      </c>
      <c r="AM3020" s="3">
        <v>1.2604166666666667</v>
      </c>
      <c r="AN3020" t="s">
        <v>66</v>
      </c>
      <c r="AO3020" t="s">
        <v>101</v>
      </c>
    </row>
    <row r="3021" spans="1:41" x14ac:dyDescent="0.2">
      <c r="A3021">
        <v>372328</v>
      </c>
      <c r="B3021" t="s">
        <v>18287</v>
      </c>
      <c r="C3021" t="s">
        <v>1013</v>
      </c>
      <c r="D3021" t="s">
        <v>18288</v>
      </c>
      <c r="E3021">
        <v>32549100</v>
      </c>
      <c r="F3021">
        <v>321703</v>
      </c>
      <c r="G3021" s="1">
        <v>35642</v>
      </c>
      <c r="H3021" s="1">
        <v>45832</v>
      </c>
      <c r="I3021" s="1">
        <v>46174</v>
      </c>
      <c r="J3021" t="s">
        <v>45</v>
      </c>
      <c r="K3021" t="s">
        <v>45</v>
      </c>
      <c r="L3021" t="s">
        <v>72</v>
      </c>
      <c r="M3021" s="1">
        <v>42878</v>
      </c>
      <c r="N3021" t="s">
        <v>47</v>
      </c>
      <c r="O3021" t="s">
        <v>48</v>
      </c>
      <c r="P3021" t="s">
        <v>49</v>
      </c>
      <c r="Q3021" t="s">
        <v>18289</v>
      </c>
      <c r="R3021" t="s">
        <v>18290</v>
      </c>
      <c r="S3021">
        <v>2385</v>
      </c>
      <c r="T3021" t="s">
        <v>365</v>
      </c>
      <c r="U3021" t="s">
        <v>969</v>
      </c>
      <c r="V3021" t="s">
        <v>15444</v>
      </c>
      <c r="W3021" t="s">
        <v>367</v>
      </c>
      <c r="X3021" t="s">
        <v>76</v>
      </c>
      <c r="Y3021" t="s">
        <v>434</v>
      </c>
      <c r="Z3021">
        <v>1325</v>
      </c>
      <c r="AA3021">
        <v>62</v>
      </c>
      <c r="AB3021">
        <v>166</v>
      </c>
      <c r="AC3021" t="s">
        <v>15937</v>
      </c>
      <c r="AD3021" t="s">
        <v>15446</v>
      </c>
      <c r="AE3021" t="s">
        <v>15447</v>
      </c>
      <c r="AI3021" t="s">
        <v>179</v>
      </c>
      <c r="AJ3021" s="2">
        <v>45838.584652777776</v>
      </c>
      <c r="AK3021" t="s">
        <v>540</v>
      </c>
      <c r="AL3021" t="s">
        <v>65</v>
      </c>
      <c r="AM3021" s="3">
        <v>2.0486111111111112</v>
      </c>
      <c r="AN3021" t="s">
        <v>66</v>
      </c>
      <c r="AO3021" t="s">
        <v>67</v>
      </c>
    </row>
    <row r="3022" spans="1:41" x14ac:dyDescent="0.2">
      <c r="A3022">
        <v>368071</v>
      </c>
      <c r="B3022" t="s">
        <v>18291</v>
      </c>
      <c r="C3022" t="s">
        <v>197</v>
      </c>
      <c r="D3022" t="s">
        <v>8359</v>
      </c>
      <c r="E3022">
        <v>31003266</v>
      </c>
      <c r="F3022">
        <v>92702</v>
      </c>
      <c r="G3022" s="1">
        <v>37712</v>
      </c>
      <c r="H3022" s="1">
        <v>45561</v>
      </c>
      <c r="I3022" s="1">
        <v>45945</v>
      </c>
      <c r="J3022" t="s">
        <v>45</v>
      </c>
      <c r="K3022" t="s">
        <v>45</v>
      </c>
      <c r="L3022" t="s">
        <v>72</v>
      </c>
      <c r="N3022" t="s">
        <v>47</v>
      </c>
      <c r="O3022" t="s">
        <v>48</v>
      </c>
      <c r="P3022" t="s">
        <v>49</v>
      </c>
      <c r="Q3022" t="s">
        <v>18292</v>
      </c>
      <c r="R3022" t="s">
        <v>18293</v>
      </c>
      <c r="S3022">
        <v>785</v>
      </c>
      <c r="T3022" t="s">
        <v>92</v>
      </c>
      <c r="U3022" t="s">
        <v>202</v>
      </c>
      <c r="V3022" t="s">
        <v>203</v>
      </c>
      <c r="W3022" t="s">
        <v>204</v>
      </c>
      <c r="X3022" t="s">
        <v>52</v>
      </c>
      <c r="Y3022" t="s">
        <v>110</v>
      </c>
      <c r="Z3022">
        <v>2140</v>
      </c>
      <c r="AA3022">
        <v>35</v>
      </c>
      <c r="AB3022">
        <v>144</v>
      </c>
      <c r="AC3022" t="s">
        <v>205</v>
      </c>
      <c r="AD3022" t="s">
        <v>206</v>
      </c>
      <c r="AE3022" t="s">
        <v>1547</v>
      </c>
      <c r="AF3022" t="s">
        <v>3373</v>
      </c>
      <c r="AG3022" t="s">
        <v>3374</v>
      </c>
      <c r="AH3022" t="s">
        <v>3375</v>
      </c>
      <c r="AI3022" t="s">
        <v>211</v>
      </c>
      <c r="AJ3022" s="2">
        <v>45699.778368055559</v>
      </c>
      <c r="AK3022" t="s">
        <v>149</v>
      </c>
      <c r="AL3022" t="s">
        <v>65</v>
      </c>
      <c r="AM3022" s="4">
        <v>0.10416666666666667</v>
      </c>
      <c r="AN3022" t="s">
        <v>66</v>
      </c>
      <c r="AO3022" t="s">
        <v>67</v>
      </c>
    </row>
    <row r="3023" spans="1:41" x14ac:dyDescent="0.2">
      <c r="A3023">
        <v>372986</v>
      </c>
      <c r="B3023" t="s">
        <v>18294</v>
      </c>
      <c r="C3023" t="s">
        <v>2298</v>
      </c>
      <c r="D3023" t="s">
        <v>2095</v>
      </c>
      <c r="E3023" t="s">
        <v>18295</v>
      </c>
      <c r="F3023">
        <v>226702</v>
      </c>
      <c r="G3023" s="1">
        <v>34090</v>
      </c>
      <c r="H3023" s="1">
        <v>45674</v>
      </c>
      <c r="I3023" s="1">
        <v>46037</v>
      </c>
      <c r="J3023" t="s">
        <v>45</v>
      </c>
      <c r="K3023" t="s">
        <v>45</v>
      </c>
      <c r="L3023" t="s">
        <v>46</v>
      </c>
      <c r="M3023" s="1">
        <v>44735</v>
      </c>
      <c r="N3023" t="s">
        <v>47</v>
      </c>
      <c r="O3023" t="s">
        <v>48</v>
      </c>
      <c r="P3023" t="s">
        <v>49</v>
      </c>
      <c r="Q3023" t="s">
        <v>18296</v>
      </c>
      <c r="R3023" t="s">
        <v>18297</v>
      </c>
      <c r="S3023">
        <v>316</v>
      </c>
      <c r="T3023" t="s">
        <v>52</v>
      </c>
      <c r="U3023">
        <v>8</v>
      </c>
      <c r="V3023" t="s">
        <v>2302</v>
      </c>
      <c r="W3023" t="s">
        <v>54</v>
      </c>
      <c r="X3023" t="s">
        <v>76</v>
      </c>
      <c r="Y3023" t="s">
        <v>56</v>
      </c>
      <c r="Z3023">
        <v>1050</v>
      </c>
      <c r="AA3023">
        <v>58</v>
      </c>
      <c r="AB3023">
        <v>189</v>
      </c>
      <c r="AC3023" t="s">
        <v>18298</v>
      </c>
      <c r="AD3023" t="s">
        <v>2304</v>
      </c>
      <c r="AE3023" t="s">
        <v>2305</v>
      </c>
      <c r="AF3023" t="s">
        <v>18299</v>
      </c>
      <c r="AG3023" t="s">
        <v>18300</v>
      </c>
      <c r="AH3023" t="s">
        <v>18301</v>
      </c>
      <c r="AI3023" t="s">
        <v>2304</v>
      </c>
      <c r="AJ3023" s="2">
        <v>45855.980833333335</v>
      </c>
      <c r="AK3023" t="s">
        <v>556</v>
      </c>
      <c r="AL3023" t="s">
        <v>65</v>
      </c>
      <c r="AM3023" s="3">
        <v>1.5034722222222223</v>
      </c>
      <c r="AN3023" t="s">
        <v>66</v>
      </c>
      <c r="AO3023" t="s">
        <v>101</v>
      </c>
    </row>
    <row r="3024" spans="1:41" x14ac:dyDescent="0.2">
      <c r="A3024">
        <v>373066</v>
      </c>
      <c r="B3024" t="s">
        <v>18302</v>
      </c>
      <c r="C3024" t="s">
        <v>763</v>
      </c>
      <c r="D3024" t="s">
        <v>18303</v>
      </c>
      <c r="E3024" t="s">
        <v>18304</v>
      </c>
      <c r="F3024">
        <v>471301</v>
      </c>
      <c r="G3024" s="1">
        <v>38596</v>
      </c>
      <c r="H3024" s="1">
        <v>45856</v>
      </c>
      <c r="J3024" t="s">
        <v>45</v>
      </c>
      <c r="K3024" t="s">
        <v>45</v>
      </c>
      <c r="L3024" t="s">
        <v>72</v>
      </c>
      <c r="M3024" s="1">
        <v>45274</v>
      </c>
      <c r="N3024" t="s">
        <v>47</v>
      </c>
      <c r="O3024" t="s">
        <v>48</v>
      </c>
      <c r="P3024" t="s">
        <v>49</v>
      </c>
      <c r="Q3024" t="s">
        <v>18305</v>
      </c>
      <c r="R3024" t="s">
        <v>18306</v>
      </c>
      <c r="S3024">
        <v>763</v>
      </c>
      <c r="T3024" t="s">
        <v>92</v>
      </c>
      <c r="U3024" t="s">
        <v>767</v>
      </c>
      <c r="V3024" t="s">
        <v>768</v>
      </c>
      <c r="W3024" t="s">
        <v>769</v>
      </c>
      <c r="X3024" t="s">
        <v>92</v>
      </c>
      <c r="Y3024" t="s">
        <v>770</v>
      </c>
      <c r="Z3024">
        <v>2633</v>
      </c>
      <c r="AA3024">
        <v>45</v>
      </c>
      <c r="AB3024">
        <v>146</v>
      </c>
      <c r="AC3024" t="s">
        <v>771</v>
      </c>
      <c r="AD3024" t="s">
        <v>772</v>
      </c>
      <c r="AE3024" t="s">
        <v>11944</v>
      </c>
      <c r="AF3024" t="s">
        <v>774</v>
      </c>
      <c r="AG3024" t="s">
        <v>775</v>
      </c>
      <c r="AH3024" t="s">
        <v>776</v>
      </c>
      <c r="AI3024" t="s">
        <v>17653</v>
      </c>
      <c r="AJ3024" s="2">
        <v>45856.626770833333</v>
      </c>
      <c r="AK3024" t="s">
        <v>771</v>
      </c>
      <c r="AL3024" t="s">
        <v>65</v>
      </c>
      <c r="AM3024" s="4">
        <v>0.24305555555555555</v>
      </c>
      <c r="AN3024" t="s">
        <v>66</v>
      </c>
      <c r="AO3024" t="s">
        <v>67</v>
      </c>
    </row>
    <row r="3025" spans="1:41" x14ac:dyDescent="0.2">
      <c r="A3025">
        <v>367061</v>
      </c>
      <c r="B3025" t="s">
        <v>18307</v>
      </c>
      <c r="C3025" t="s">
        <v>763</v>
      </c>
      <c r="D3025" t="s">
        <v>18308</v>
      </c>
      <c r="E3025" t="s">
        <v>18309</v>
      </c>
      <c r="F3025">
        <v>474201</v>
      </c>
      <c r="G3025" s="1">
        <v>38594</v>
      </c>
      <c r="H3025" s="1">
        <v>45376</v>
      </c>
      <c r="J3025" t="s">
        <v>45</v>
      </c>
      <c r="K3025" t="s">
        <v>45</v>
      </c>
      <c r="L3025" t="s">
        <v>72</v>
      </c>
      <c r="M3025" s="1">
        <v>41906</v>
      </c>
      <c r="N3025" t="s">
        <v>47</v>
      </c>
      <c r="O3025" t="s">
        <v>48</v>
      </c>
      <c r="P3025" t="s">
        <v>49</v>
      </c>
      <c r="Q3025" t="s">
        <v>18310</v>
      </c>
      <c r="R3025" t="s">
        <v>18311</v>
      </c>
      <c r="S3025">
        <v>791</v>
      </c>
      <c r="T3025" t="s">
        <v>92</v>
      </c>
      <c r="U3025" t="s">
        <v>767</v>
      </c>
      <c r="V3025" t="s">
        <v>768</v>
      </c>
      <c r="W3025" t="s">
        <v>769</v>
      </c>
      <c r="X3025" t="s">
        <v>92</v>
      </c>
      <c r="Y3025" t="s">
        <v>770</v>
      </c>
      <c r="Z3025">
        <v>2636</v>
      </c>
      <c r="AA3025">
        <v>47</v>
      </c>
      <c r="AB3025">
        <v>176</v>
      </c>
      <c r="AC3025" t="s">
        <v>3210</v>
      </c>
      <c r="AD3025" t="s">
        <v>3211</v>
      </c>
      <c r="AE3025" t="s">
        <v>3212</v>
      </c>
      <c r="AF3025" t="s">
        <v>774</v>
      </c>
      <c r="AG3025" t="s">
        <v>775</v>
      </c>
      <c r="AH3025" t="s">
        <v>776</v>
      </c>
      <c r="AI3025" t="s">
        <v>3213</v>
      </c>
      <c r="AJ3025" s="2">
        <v>45659.883576388886</v>
      </c>
      <c r="AK3025" t="s">
        <v>3214</v>
      </c>
      <c r="AL3025" t="s">
        <v>65</v>
      </c>
      <c r="AM3025" s="4">
        <v>0.5</v>
      </c>
      <c r="AN3025" t="s">
        <v>66</v>
      </c>
      <c r="AO3025" t="s">
        <v>67</v>
      </c>
    </row>
    <row r="3026" spans="1:41" x14ac:dyDescent="0.2">
      <c r="A3026">
        <v>368934</v>
      </c>
      <c r="B3026" t="s">
        <v>18312</v>
      </c>
      <c r="C3026" t="s">
        <v>182</v>
      </c>
      <c r="D3026" t="s">
        <v>4083</v>
      </c>
      <c r="E3026" t="s">
        <v>18313</v>
      </c>
      <c r="F3026">
        <v>44109</v>
      </c>
      <c r="G3026" s="1">
        <v>38874</v>
      </c>
      <c r="H3026" s="1">
        <v>45544</v>
      </c>
      <c r="I3026" s="1">
        <v>46174</v>
      </c>
      <c r="J3026" t="s">
        <v>45</v>
      </c>
      <c r="K3026" t="s">
        <v>45</v>
      </c>
      <c r="L3026" t="s">
        <v>429</v>
      </c>
      <c r="M3026" s="1">
        <v>42165</v>
      </c>
      <c r="N3026" t="s">
        <v>47</v>
      </c>
      <c r="O3026" t="s">
        <v>48</v>
      </c>
      <c r="P3026" t="s">
        <v>49</v>
      </c>
      <c r="Q3026" t="s">
        <v>18314</v>
      </c>
      <c r="R3026" t="s">
        <v>18315</v>
      </c>
      <c r="S3026">
        <v>4309</v>
      </c>
      <c r="T3026" t="s">
        <v>257</v>
      </c>
      <c r="U3026" t="s">
        <v>640</v>
      </c>
      <c r="V3026" t="s">
        <v>5789</v>
      </c>
      <c r="W3026" t="s">
        <v>260</v>
      </c>
      <c r="X3026" t="s">
        <v>493</v>
      </c>
      <c r="Y3026" t="s">
        <v>56</v>
      </c>
      <c r="Z3026">
        <v>2849</v>
      </c>
      <c r="AA3026">
        <v>43</v>
      </c>
      <c r="AB3026">
        <v>158</v>
      </c>
      <c r="AC3026" t="s">
        <v>5790</v>
      </c>
      <c r="AD3026" t="s">
        <v>5791</v>
      </c>
      <c r="AE3026" t="s">
        <v>5792</v>
      </c>
      <c r="AF3026" t="s">
        <v>5793</v>
      </c>
      <c r="AG3026" t="s">
        <v>5794</v>
      </c>
      <c r="AH3026" t="s">
        <v>5795</v>
      </c>
      <c r="AI3026" t="s">
        <v>5796</v>
      </c>
      <c r="AJ3026" s="2">
        <v>45722.916516203702</v>
      </c>
      <c r="AK3026" t="s">
        <v>501</v>
      </c>
      <c r="AL3026" t="s">
        <v>65</v>
      </c>
      <c r="AM3026" s="3">
        <v>2.1458333333333335</v>
      </c>
      <c r="AN3026" t="s">
        <v>66</v>
      </c>
      <c r="AO3026" t="s">
        <v>67</v>
      </c>
    </row>
    <row r="3027" spans="1:41" x14ac:dyDescent="0.2">
      <c r="A3027">
        <v>368072</v>
      </c>
      <c r="B3027" t="s">
        <v>18316</v>
      </c>
      <c r="C3027" t="s">
        <v>197</v>
      </c>
      <c r="D3027" t="s">
        <v>18317</v>
      </c>
      <c r="E3027">
        <v>31011670</v>
      </c>
      <c r="F3027">
        <v>99701</v>
      </c>
      <c r="G3027" s="1">
        <v>37706</v>
      </c>
      <c r="H3027" s="1">
        <v>45575</v>
      </c>
      <c r="I3027" s="1">
        <v>45915</v>
      </c>
      <c r="J3027" t="s">
        <v>45</v>
      </c>
      <c r="K3027" t="s">
        <v>45</v>
      </c>
      <c r="L3027" t="s">
        <v>72</v>
      </c>
      <c r="N3027" t="s">
        <v>47</v>
      </c>
      <c r="O3027" t="s">
        <v>48</v>
      </c>
      <c r="P3027" t="s">
        <v>49</v>
      </c>
      <c r="Q3027" t="s">
        <v>18318</v>
      </c>
      <c r="R3027" t="s">
        <v>18319</v>
      </c>
      <c r="S3027">
        <v>136</v>
      </c>
      <c r="T3027" t="s">
        <v>92</v>
      </c>
      <c r="U3027" t="s">
        <v>202</v>
      </c>
      <c r="V3027" t="s">
        <v>203</v>
      </c>
      <c r="W3027" t="s">
        <v>204</v>
      </c>
      <c r="X3027" t="s">
        <v>52</v>
      </c>
      <c r="Y3027" t="s">
        <v>110</v>
      </c>
      <c r="Z3027">
        <v>2154</v>
      </c>
      <c r="AA3027">
        <v>35</v>
      </c>
      <c r="AB3027">
        <v>144</v>
      </c>
      <c r="AC3027" t="s">
        <v>205</v>
      </c>
      <c r="AD3027" t="s">
        <v>206</v>
      </c>
      <c r="AE3027" t="s">
        <v>207</v>
      </c>
      <c r="AF3027" t="s">
        <v>1548</v>
      </c>
      <c r="AG3027" t="s">
        <v>1549</v>
      </c>
      <c r="AH3027" t="s">
        <v>210</v>
      </c>
      <c r="AI3027" t="s">
        <v>211</v>
      </c>
      <c r="AJ3027" s="2">
        <v>45699.778715277775</v>
      </c>
      <c r="AK3027" t="s">
        <v>149</v>
      </c>
      <c r="AL3027" t="s">
        <v>65</v>
      </c>
      <c r="AM3027" s="4">
        <v>0.2013888888888889</v>
      </c>
      <c r="AN3027" t="s">
        <v>66</v>
      </c>
      <c r="AO3027" t="s">
        <v>67</v>
      </c>
    </row>
    <row r="3028" spans="1:41" x14ac:dyDescent="0.2">
      <c r="A3028">
        <v>369990</v>
      </c>
      <c r="B3028" t="s">
        <v>18320</v>
      </c>
      <c r="C3028" t="s">
        <v>278</v>
      </c>
      <c r="D3028" t="s">
        <v>18321</v>
      </c>
      <c r="E3028">
        <v>33361170</v>
      </c>
      <c r="F3028">
        <v>421092</v>
      </c>
      <c r="G3028" s="1">
        <v>45510</v>
      </c>
      <c r="H3028" s="1">
        <v>45757</v>
      </c>
      <c r="I3028" s="1">
        <v>46082</v>
      </c>
      <c r="J3028" t="s">
        <v>45</v>
      </c>
      <c r="K3028" t="s">
        <v>45</v>
      </c>
      <c r="L3028" t="s">
        <v>72</v>
      </c>
      <c r="N3028" t="s">
        <v>89</v>
      </c>
      <c r="O3028" t="s">
        <v>121</v>
      </c>
      <c r="P3028" t="s">
        <v>49</v>
      </c>
      <c r="Q3028" t="s">
        <v>18322</v>
      </c>
      <c r="R3028" t="s">
        <v>18323</v>
      </c>
      <c r="S3028">
        <v>9898</v>
      </c>
      <c r="T3028" t="s">
        <v>52</v>
      </c>
      <c r="U3028">
        <v>4</v>
      </c>
      <c r="V3028" t="s">
        <v>1991</v>
      </c>
      <c r="W3028" t="s">
        <v>54</v>
      </c>
      <c r="X3028" t="s">
        <v>52</v>
      </c>
      <c r="Y3028" t="s">
        <v>125</v>
      </c>
      <c r="Z3028">
        <v>2583</v>
      </c>
      <c r="AA3028">
        <v>76</v>
      </c>
      <c r="AB3028">
        <v>144</v>
      </c>
      <c r="AC3028" t="s">
        <v>1992</v>
      </c>
      <c r="AD3028" t="s">
        <v>1993</v>
      </c>
      <c r="AE3028" t="s">
        <v>1994</v>
      </c>
      <c r="AF3028" t="s">
        <v>1995</v>
      </c>
      <c r="AG3028" t="s">
        <v>1996</v>
      </c>
      <c r="AH3028" t="s">
        <v>1997</v>
      </c>
      <c r="AJ3028" s="2">
        <v>45761.521273148152</v>
      </c>
      <c r="AK3028" t="s">
        <v>800</v>
      </c>
      <c r="AL3028" t="s">
        <v>65</v>
      </c>
      <c r="AM3028" s="3">
        <v>1.8958333333333333</v>
      </c>
      <c r="AN3028" t="s">
        <v>66</v>
      </c>
      <c r="AO3028" t="s">
        <v>67</v>
      </c>
    </row>
    <row r="3029" spans="1:41" x14ac:dyDescent="0.2">
      <c r="A3029">
        <v>372990</v>
      </c>
      <c r="B3029" t="s">
        <v>18324</v>
      </c>
      <c r="C3029" t="s">
        <v>979</v>
      </c>
      <c r="D3029" t="s">
        <v>4132</v>
      </c>
      <c r="E3029" t="s">
        <v>18325</v>
      </c>
      <c r="F3029">
        <v>30901</v>
      </c>
      <c r="G3029" s="1">
        <v>43803</v>
      </c>
      <c r="H3029" s="1">
        <v>45673</v>
      </c>
      <c r="I3029" s="1">
        <v>46037</v>
      </c>
      <c r="J3029" t="s">
        <v>45</v>
      </c>
      <c r="K3029" t="s">
        <v>45</v>
      </c>
      <c r="L3029" t="s">
        <v>46</v>
      </c>
      <c r="M3029" s="1">
        <v>43993</v>
      </c>
      <c r="N3029" t="s">
        <v>47</v>
      </c>
      <c r="O3029" t="s">
        <v>48</v>
      </c>
      <c r="P3029" t="s">
        <v>49</v>
      </c>
      <c r="Q3029" t="s">
        <v>18326</v>
      </c>
      <c r="R3029" t="s">
        <v>18327</v>
      </c>
      <c r="S3029">
        <v>1286</v>
      </c>
      <c r="T3029" t="s">
        <v>52</v>
      </c>
      <c r="U3029">
        <v>8</v>
      </c>
      <c r="V3029" t="s">
        <v>984</v>
      </c>
      <c r="W3029" t="s">
        <v>54</v>
      </c>
      <c r="X3029" t="s">
        <v>76</v>
      </c>
      <c r="Y3029" t="s">
        <v>56</v>
      </c>
      <c r="Z3029">
        <v>1360</v>
      </c>
      <c r="AA3029">
        <v>62</v>
      </c>
      <c r="AB3029">
        <v>176</v>
      </c>
      <c r="AC3029" t="s">
        <v>985</v>
      </c>
      <c r="AD3029" t="s">
        <v>986</v>
      </c>
      <c r="AE3029" t="s">
        <v>987</v>
      </c>
      <c r="AI3029" t="s">
        <v>13583</v>
      </c>
      <c r="AJ3029" s="2">
        <v>45855.983912037038</v>
      </c>
      <c r="AK3029" t="s">
        <v>556</v>
      </c>
      <c r="AL3029" t="s">
        <v>65</v>
      </c>
      <c r="AM3029" s="4">
        <v>0.40277777777777779</v>
      </c>
      <c r="AN3029" t="s">
        <v>66</v>
      </c>
      <c r="AO3029" t="s">
        <v>67</v>
      </c>
    </row>
    <row r="3030" spans="1:41" x14ac:dyDescent="0.2">
      <c r="A3030">
        <v>371961</v>
      </c>
      <c r="B3030" t="s">
        <v>18328</v>
      </c>
      <c r="C3030" t="s">
        <v>182</v>
      </c>
      <c r="D3030" t="s">
        <v>1064</v>
      </c>
      <c r="E3030" t="s">
        <v>18329</v>
      </c>
      <c r="F3030">
        <v>40228</v>
      </c>
      <c r="G3030" s="1">
        <v>32509</v>
      </c>
      <c r="H3030" s="1">
        <v>45823</v>
      </c>
      <c r="J3030" t="s">
        <v>45</v>
      </c>
      <c r="K3030" t="s">
        <v>72</v>
      </c>
      <c r="L3030" t="s">
        <v>72</v>
      </c>
      <c r="N3030" t="s">
        <v>47</v>
      </c>
      <c r="O3030" t="s">
        <v>48</v>
      </c>
      <c r="P3030" t="s">
        <v>49</v>
      </c>
      <c r="Q3030" t="s">
        <v>18330</v>
      </c>
      <c r="R3030" t="s">
        <v>18331</v>
      </c>
      <c r="S3030">
        <v>2929</v>
      </c>
      <c r="T3030" t="s">
        <v>92</v>
      </c>
      <c r="U3030" t="s">
        <v>187</v>
      </c>
      <c r="V3030" t="s">
        <v>447</v>
      </c>
      <c r="W3030" t="s">
        <v>448</v>
      </c>
      <c r="X3030" t="s">
        <v>92</v>
      </c>
      <c r="Y3030" t="s">
        <v>450</v>
      </c>
      <c r="Z3030">
        <v>1280</v>
      </c>
      <c r="AA3030">
        <v>43</v>
      </c>
      <c r="AB3030">
        <v>144</v>
      </c>
      <c r="AC3030" t="s">
        <v>451</v>
      </c>
      <c r="AD3030" t="s">
        <v>452</v>
      </c>
      <c r="AE3030" t="s">
        <v>453</v>
      </c>
      <c r="AF3030" t="s">
        <v>454</v>
      </c>
      <c r="AG3030" t="s">
        <v>473</v>
      </c>
      <c r="AH3030" t="s">
        <v>474</v>
      </c>
      <c r="AJ3030" s="2">
        <v>45825.715150462966</v>
      </c>
      <c r="AK3030" t="s">
        <v>456</v>
      </c>
      <c r="AL3030" t="s">
        <v>475</v>
      </c>
      <c r="AM3030" s="3">
        <v>2.0069444444444446</v>
      </c>
      <c r="AN3030" t="s">
        <v>66</v>
      </c>
      <c r="AO3030" t="s">
        <v>67</v>
      </c>
    </row>
    <row r="3031" spans="1:41" x14ac:dyDescent="0.2">
      <c r="A3031">
        <v>371674</v>
      </c>
      <c r="B3031" t="s">
        <v>18332</v>
      </c>
      <c r="C3031" t="s">
        <v>323</v>
      </c>
      <c r="D3031" t="s">
        <v>6174</v>
      </c>
      <c r="E3031" t="s">
        <v>18333</v>
      </c>
      <c r="F3031">
        <v>500715</v>
      </c>
      <c r="G3031" s="1">
        <v>32509</v>
      </c>
      <c r="H3031" s="1">
        <v>45801</v>
      </c>
      <c r="I3031" s="1">
        <v>46037</v>
      </c>
      <c r="J3031" t="s">
        <v>45</v>
      </c>
      <c r="K3031" t="s">
        <v>326</v>
      </c>
      <c r="L3031" t="s">
        <v>72</v>
      </c>
      <c r="M3031" s="1">
        <v>45814</v>
      </c>
      <c r="N3031" t="s">
        <v>47</v>
      </c>
      <c r="O3031" t="s">
        <v>48</v>
      </c>
      <c r="P3031" t="s">
        <v>49</v>
      </c>
      <c r="Q3031" t="s">
        <v>18334</v>
      </c>
      <c r="R3031" t="s">
        <v>18335</v>
      </c>
      <c r="S3031">
        <v>1110</v>
      </c>
      <c r="T3031" t="s">
        <v>365</v>
      </c>
      <c r="U3031" t="s">
        <v>366</v>
      </c>
      <c r="V3031" t="s">
        <v>330</v>
      </c>
      <c r="W3031" t="s">
        <v>367</v>
      </c>
      <c r="X3031" t="s">
        <v>76</v>
      </c>
      <c r="Y3031" t="s">
        <v>110</v>
      </c>
      <c r="Z3031">
        <v>29</v>
      </c>
      <c r="AA3031">
        <v>47</v>
      </c>
      <c r="AB3031">
        <v>160</v>
      </c>
      <c r="AC3031" t="s">
        <v>368</v>
      </c>
      <c r="AD3031" t="s">
        <v>369</v>
      </c>
      <c r="AE3031" t="s">
        <v>370</v>
      </c>
      <c r="AF3031" t="s">
        <v>384</v>
      </c>
      <c r="AG3031" t="s">
        <v>385</v>
      </c>
      <c r="AH3031" t="s">
        <v>386</v>
      </c>
      <c r="AJ3031" s="2">
        <v>45817.906643518516</v>
      </c>
      <c r="AK3031" t="s">
        <v>727</v>
      </c>
      <c r="AL3031" t="s">
        <v>475</v>
      </c>
      <c r="AM3031" s="4">
        <v>0.4375</v>
      </c>
      <c r="AN3031" t="s">
        <v>66</v>
      </c>
      <c r="AO3031" t="s">
        <v>67</v>
      </c>
    </row>
    <row r="3032" spans="1:41" x14ac:dyDescent="0.2">
      <c r="A3032">
        <v>365997</v>
      </c>
      <c r="B3032" t="s">
        <v>18336</v>
      </c>
      <c r="C3032" t="s">
        <v>151</v>
      </c>
      <c r="D3032" t="s">
        <v>5476</v>
      </c>
      <c r="E3032" t="s">
        <v>18337</v>
      </c>
      <c r="F3032">
        <v>382604</v>
      </c>
      <c r="G3032" s="1">
        <v>40785</v>
      </c>
      <c r="H3032" s="1">
        <v>45447</v>
      </c>
      <c r="J3032" t="s">
        <v>45</v>
      </c>
      <c r="K3032" t="s">
        <v>45</v>
      </c>
      <c r="L3032" t="s">
        <v>72</v>
      </c>
      <c r="N3032" t="s">
        <v>47</v>
      </c>
      <c r="O3032" t="s">
        <v>48</v>
      </c>
      <c r="P3032" t="s">
        <v>49</v>
      </c>
      <c r="Q3032" t="s">
        <v>18338</v>
      </c>
      <c r="R3032" t="s">
        <v>18339</v>
      </c>
      <c r="S3032">
        <v>548</v>
      </c>
      <c r="T3032" t="s">
        <v>1328</v>
      </c>
      <c r="U3032" t="s">
        <v>3114</v>
      </c>
      <c r="V3032" t="s">
        <v>18340</v>
      </c>
      <c r="W3032" t="s">
        <v>3116</v>
      </c>
      <c r="X3032" t="s">
        <v>1328</v>
      </c>
      <c r="Y3032" t="s">
        <v>770</v>
      </c>
      <c r="Z3032">
        <v>2344</v>
      </c>
      <c r="AA3032">
        <v>14</v>
      </c>
      <c r="AB3032">
        <v>210</v>
      </c>
      <c r="AC3032" t="s">
        <v>18341</v>
      </c>
      <c r="AD3032" t="s">
        <v>18342</v>
      </c>
      <c r="AE3032" t="s">
        <v>18343</v>
      </c>
      <c r="AI3032" t="s">
        <v>18342</v>
      </c>
      <c r="AJ3032" s="2">
        <v>45600.66878472222</v>
      </c>
      <c r="AK3032" t="s">
        <v>18341</v>
      </c>
      <c r="AL3032" t="s">
        <v>65</v>
      </c>
      <c r="AM3032" s="3">
        <v>2.1319444444444446</v>
      </c>
      <c r="AN3032" t="s">
        <v>66</v>
      </c>
      <c r="AO3032" t="s">
        <v>67</v>
      </c>
    </row>
    <row r="3033" spans="1:41" x14ac:dyDescent="0.2">
      <c r="A3033">
        <v>370972</v>
      </c>
      <c r="B3033" t="s">
        <v>18344</v>
      </c>
      <c r="C3033" t="s">
        <v>69</v>
      </c>
      <c r="D3033" t="s">
        <v>1039</v>
      </c>
      <c r="E3033" t="s">
        <v>18345</v>
      </c>
      <c r="F3033">
        <v>101108</v>
      </c>
      <c r="G3033" s="1">
        <v>34841</v>
      </c>
      <c r="H3033" s="1">
        <v>45790</v>
      </c>
      <c r="I3033" s="1">
        <v>46174</v>
      </c>
      <c r="J3033" t="s">
        <v>45</v>
      </c>
      <c r="K3033" t="s">
        <v>45</v>
      </c>
      <c r="L3033" t="s">
        <v>72</v>
      </c>
      <c r="M3033" s="1">
        <v>42550</v>
      </c>
      <c r="N3033" t="s">
        <v>47</v>
      </c>
      <c r="O3033" t="s">
        <v>48</v>
      </c>
      <c r="P3033" t="s">
        <v>49</v>
      </c>
      <c r="Q3033" t="s">
        <v>18346</v>
      </c>
      <c r="R3033" t="s">
        <v>18347</v>
      </c>
      <c r="S3033">
        <v>3804</v>
      </c>
      <c r="T3033" t="s">
        <v>52</v>
      </c>
      <c r="U3033">
        <v>4</v>
      </c>
      <c r="V3033" t="s">
        <v>10138</v>
      </c>
      <c r="W3033" t="s">
        <v>54</v>
      </c>
      <c r="X3033" t="s">
        <v>76</v>
      </c>
      <c r="Y3033" t="s">
        <v>56</v>
      </c>
      <c r="Z3033">
        <v>660</v>
      </c>
      <c r="AA3033">
        <v>61</v>
      </c>
      <c r="AB3033">
        <v>142</v>
      </c>
      <c r="AC3033" t="s">
        <v>11193</v>
      </c>
      <c r="AD3033" t="s">
        <v>10140</v>
      </c>
      <c r="AE3033" t="s">
        <v>10141</v>
      </c>
      <c r="AF3033" t="s">
        <v>10142</v>
      </c>
      <c r="AG3033" t="s">
        <v>10143</v>
      </c>
      <c r="AH3033" t="s">
        <v>10144</v>
      </c>
      <c r="AI3033" t="s">
        <v>10145</v>
      </c>
      <c r="AJ3033" s="2">
        <v>45792.565092592595</v>
      </c>
      <c r="AK3033" t="s">
        <v>1999</v>
      </c>
      <c r="AL3033" t="s">
        <v>65</v>
      </c>
      <c r="AM3033" s="3">
        <v>1.75</v>
      </c>
      <c r="AN3033" t="s">
        <v>66</v>
      </c>
      <c r="AO3033" t="s">
        <v>67</v>
      </c>
    </row>
    <row r="3034" spans="1:41" x14ac:dyDescent="0.2">
      <c r="A3034">
        <v>372847</v>
      </c>
      <c r="B3034" t="s">
        <v>18348</v>
      </c>
      <c r="C3034" t="s">
        <v>309</v>
      </c>
      <c r="D3034" t="s">
        <v>8539</v>
      </c>
      <c r="E3034" t="s">
        <v>18349</v>
      </c>
      <c r="G3034" s="1">
        <v>45827</v>
      </c>
      <c r="J3034" t="s">
        <v>45</v>
      </c>
      <c r="K3034" t="s">
        <v>45</v>
      </c>
      <c r="L3034" t="s">
        <v>46</v>
      </c>
      <c r="N3034" t="s">
        <v>89</v>
      </c>
      <c r="O3034" t="s">
        <v>48</v>
      </c>
      <c r="P3034" t="s">
        <v>49</v>
      </c>
      <c r="Q3034" t="s">
        <v>18350</v>
      </c>
      <c r="R3034" t="s">
        <v>18351</v>
      </c>
      <c r="S3034">
        <v>364</v>
      </c>
      <c r="T3034" t="s">
        <v>92</v>
      </c>
      <c r="U3034" t="s">
        <v>313</v>
      </c>
      <c r="V3034" t="s">
        <v>314</v>
      </c>
      <c r="W3034" t="s">
        <v>315</v>
      </c>
      <c r="X3034" t="s">
        <v>92</v>
      </c>
      <c r="Y3034" t="s">
        <v>96</v>
      </c>
      <c r="Z3034">
        <v>12315</v>
      </c>
      <c r="AA3034">
        <v>2</v>
      </c>
      <c r="AB3034">
        <v>44</v>
      </c>
      <c r="AC3034" t="s">
        <v>316</v>
      </c>
      <c r="AD3034" t="s">
        <v>317</v>
      </c>
      <c r="AE3034" t="s">
        <v>318</v>
      </c>
      <c r="AF3034" t="s">
        <v>10022</v>
      </c>
      <c r="AG3034" t="s">
        <v>10023</v>
      </c>
      <c r="AH3034" t="s">
        <v>10024</v>
      </c>
      <c r="AJ3034" s="2">
        <v>45854.842905092592</v>
      </c>
      <c r="AK3034" t="s">
        <v>100</v>
      </c>
      <c r="AL3034" t="s">
        <v>65</v>
      </c>
      <c r="AM3034" s="3">
        <v>1.2395833333333333</v>
      </c>
      <c r="AN3034" t="s">
        <v>66</v>
      </c>
      <c r="AO3034" t="s">
        <v>67</v>
      </c>
    </row>
    <row r="3035" spans="1:41" x14ac:dyDescent="0.2">
      <c r="A3035">
        <v>371818</v>
      </c>
      <c r="B3035" t="s">
        <v>18352</v>
      </c>
      <c r="C3035" t="s">
        <v>134</v>
      </c>
      <c r="D3035" t="s">
        <v>2341</v>
      </c>
      <c r="E3035">
        <v>83756204</v>
      </c>
      <c r="F3035">
        <v>452918</v>
      </c>
      <c r="G3035" s="1">
        <v>37411</v>
      </c>
      <c r="H3035" s="1">
        <v>45815</v>
      </c>
      <c r="I3035" s="1">
        <v>46174</v>
      </c>
      <c r="J3035" t="s">
        <v>45</v>
      </c>
      <c r="K3035" t="s">
        <v>45</v>
      </c>
      <c r="L3035" t="s">
        <v>429</v>
      </c>
      <c r="N3035" t="s">
        <v>47</v>
      </c>
      <c r="O3035" t="s">
        <v>48</v>
      </c>
      <c r="P3035" t="s">
        <v>49</v>
      </c>
      <c r="Q3035" t="s">
        <v>18353</v>
      </c>
      <c r="R3035" t="s">
        <v>18354</v>
      </c>
      <c r="S3035">
        <v>2240</v>
      </c>
      <c r="T3035" t="s">
        <v>296</v>
      </c>
      <c r="U3035" t="s">
        <v>2267</v>
      </c>
      <c r="V3035" t="s">
        <v>18355</v>
      </c>
      <c r="W3035" t="s">
        <v>299</v>
      </c>
      <c r="X3035" t="s">
        <v>76</v>
      </c>
      <c r="Y3035" t="s">
        <v>56</v>
      </c>
      <c r="Z3035">
        <v>1333</v>
      </c>
      <c r="AA3035">
        <v>36</v>
      </c>
      <c r="AB3035">
        <v>160</v>
      </c>
      <c r="AC3035" t="s">
        <v>18356</v>
      </c>
      <c r="AD3035" t="s">
        <v>18357</v>
      </c>
      <c r="AE3035" t="s">
        <v>18358</v>
      </c>
      <c r="AF3035" t="s">
        <v>18359</v>
      </c>
      <c r="AG3035" t="s">
        <v>18360</v>
      </c>
      <c r="AH3035" t="s">
        <v>18361</v>
      </c>
      <c r="AI3035" t="s">
        <v>2274</v>
      </c>
      <c r="AJ3035" s="2">
        <v>45820.122233796297</v>
      </c>
      <c r="AK3035" t="s">
        <v>717</v>
      </c>
      <c r="AL3035" t="s">
        <v>65</v>
      </c>
      <c r="AM3035" s="4">
        <v>0.35416666666666669</v>
      </c>
      <c r="AN3035" t="s">
        <v>66</v>
      </c>
      <c r="AO3035" t="s">
        <v>67</v>
      </c>
    </row>
    <row r="3036" spans="1:41" x14ac:dyDescent="0.2">
      <c r="A3036">
        <v>370565</v>
      </c>
      <c r="B3036" t="s">
        <v>18362</v>
      </c>
      <c r="C3036" t="s">
        <v>86</v>
      </c>
      <c r="D3036" t="s">
        <v>9198</v>
      </c>
      <c r="E3036">
        <v>33314338</v>
      </c>
      <c r="F3036">
        <v>203101</v>
      </c>
      <c r="G3036" s="1">
        <v>38099</v>
      </c>
      <c r="H3036" s="1">
        <v>45775</v>
      </c>
      <c r="I3036" s="1">
        <v>46157</v>
      </c>
      <c r="J3036" t="s">
        <v>45</v>
      </c>
      <c r="K3036" t="s">
        <v>45</v>
      </c>
      <c r="L3036" t="s">
        <v>72</v>
      </c>
      <c r="M3036" s="1">
        <v>44306</v>
      </c>
      <c r="N3036" t="s">
        <v>47</v>
      </c>
      <c r="O3036" t="s">
        <v>48</v>
      </c>
      <c r="P3036" t="s">
        <v>49</v>
      </c>
      <c r="Q3036" t="s">
        <v>18363</v>
      </c>
      <c r="R3036" t="s">
        <v>18364</v>
      </c>
      <c r="S3036">
        <v>796</v>
      </c>
      <c r="T3036" t="s">
        <v>52</v>
      </c>
      <c r="U3036">
        <v>9</v>
      </c>
      <c r="V3036" t="s">
        <v>1631</v>
      </c>
      <c r="W3036" t="s">
        <v>54</v>
      </c>
      <c r="X3036" t="s">
        <v>76</v>
      </c>
      <c r="Y3036" t="s">
        <v>56</v>
      </c>
      <c r="Z3036">
        <v>2109</v>
      </c>
      <c r="AA3036">
        <v>49</v>
      </c>
      <c r="AB3036">
        <v>37</v>
      </c>
      <c r="AC3036" t="s">
        <v>1632</v>
      </c>
      <c r="AD3036" t="s">
        <v>1633</v>
      </c>
      <c r="AE3036" t="s">
        <v>1634</v>
      </c>
      <c r="AF3036" t="s">
        <v>18365</v>
      </c>
      <c r="AG3036" t="s">
        <v>1636</v>
      </c>
      <c r="AH3036" t="s">
        <v>1637</v>
      </c>
      <c r="AI3036" t="s">
        <v>1638</v>
      </c>
      <c r="AJ3036" s="2">
        <v>45777.963958333334</v>
      </c>
      <c r="AK3036" t="s">
        <v>540</v>
      </c>
      <c r="AL3036" t="s">
        <v>65</v>
      </c>
      <c r="AM3036" s="4">
        <v>0.99305555555555558</v>
      </c>
      <c r="AN3036" t="s">
        <v>66</v>
      </c>
      <c r="AO3036" t="s">
        <v>101</v>
      </c>
    </row>
    <row r="3037" spans="1:41" x14ac:dyDescent="0.2">
      <c r="A3037">
        <v>372176</v>
      </c>
      <c r="B3037" t="s">
        <v>18366</v>
      </c>
      <c r="C3037" t="s">
        <v>735</v>
      </c>
      <c r="D3037" t="s">
        <v>2559</v>
      </c>
      <c r="E3037" s="5" t="s">
        <v>18367</v>
      </c>
      <c r="F3037">
        <v>242907</v>
      </c>
      <c r="G3037" s="1">
        <v>39213</v>
      </c>
      <c r="H3037" s="1">
        <v>45832</v>
      </c>
      <c r="I3037" s="1">
        <v>46204</v>
      </c>
      <c r="J3037" t="s">
        <v>45</v>
      </c>
      <c r="K3037" t="s">
        <v>45</v>
      </c>
      <c r="L3037" t="s">
        <v>46</v>
      </c>
      <c r="M3037" s="1">
        <v>44988</v>
      </c>
      <c r="N3037" t="s">
        <v>47</v>
      </c>
      <c r="O3037" t="s">
        <v>48</v>
      </c>
      <c r="P3037" t="s">
        <v>49</v>
      </c>
      <c r="Q3037" t="s">
        <v>18368</v>
      </c>
      <c r="R3037" t="s">
        <v>18369</v>
      </c>
      <c r="S3037">
        <v>4420</v>
      </c>
      <c r="T3037" t="s">
        <v>52</v>
      </c>
      <c r="U3037">
        <v>1</v>
      </c>
      <c r="V3037" t="s">
        <v>2563</v>
      </c>
      <c r="W3037" t="s">
        <v>54</v>
      </c>
      <c r="X3037" t="s">
        <v>76</v>
      </c>
      <c r="Y3037" t="s">
        <v>56</v>
      </c>
      <c r="Z3037">
        <v>1012</v>
      </c>
      <c r="AA3037">
        <v>54</v>
      </c>
      <c r="AB3037">
        <v>166</v>
      </c>
      <c r="AC3037" t="s">
        <v>2564</v>
      </c>
      <c r="AD3037" t="s">
        <v>2565</v>
      </c>
      <c r="AE3037" t="s">
        <v>17462</v>
      </c>
      <c r="AF3037" t="s">
        <v>2582</v>
      </c>
      <c r="AG3037" t="s">
        <v>2583</v>
      </c>
      <c r="AH3037" t="s">
        <v>2584</v>
      </c>
      <c r="AI3037" t="s">
        <v>6132</v>
      </c>
      <c r="AJ3037" s="2">
        <v>45833.028946759259</v>
      </c>
      <c r="AK3037" t="s">
        <v>568</v>
      </c>
      <c r="AL3037" t="s">
        <v>65</v>
      </c>
      <c r="AM3037" s="4">
        <v>0.60416666666666663</v>
      </c>
      <c r="AN3037" t="s">
        <v>66</v>
      </c>
      <c r="AO3037" t="s">
        <v>67</v>
      </c>
    </row>
    <row r="3038" spans="1:41" x14ac:dyDescent="0.2">
      <c r="A3038">
        <v>363469</v>
      </c>
      <c r="B3038" t="s">
        <v>18370</v>
      </c>
      <c r="C3038" t="s">
        <v>735</v>
      </c>
      <c r="D3038" t="s">
        <v>2790</v>
      </c>
      <c r="E3038" t="s">
        <v>18371</v>
      </c>
      <c r="F3038">
        <v>240207</v>
      </c>
      <c r="G3038" s="1">
        <v>37640</v>
      </c>
      <c r="H3038" s="1">
        <v>45505</v>
      </c>
      <c r="I3038" s="1">
        <v>46218</v>
      </c>
      <c r="J3038" t="s">
        <v>45</v>
      </c>
      <c r="K3038" t="s">
        <v>45</v>
      </c>
      <c r="L3038" t="s">
        <v>72</v>
      </c>
      <c r="M3038" s="1">
        <v>44306</v>
      </c>
      <c r="N3038" t="s">
        <v>47</v>
      </c>
      <c r="O3038" t="s">
        <v>48</v>
      </c>
      <c r="P3038" t="s">
        <v>49</v>
      </c>
      <c r="Q3038" t="s">
        <v>18372</v>
      </c>
      <c r="R3038" t="s">
        <v>18373</v>
      </c>
      <c r="S3038">
        <v>3165</v>
      </c>
      <c r="T3038" t="s">
        <v>257</v>
      </c>
      <c r="U3038" t="s">
        <v>283</v>
      </c>
      <c r="V3038" t="s">
        <v>7378</v>
      </c>
      <c r="W3038" t="s">
        <v>260</v>
      </c>
      <c r="X3038" t="s">
        <v>257</v>
      </c>
      <c r="Y3038" t="s">
        <v>110</v>
      </c>
      <c r="Z3038">
        <v>1888</v>
      </c>
      <c r="AA3038">
        <v>46</v>
      </c>
      <c r="AB3038">
        <v>160</v>
      </c>
      <c r="AC3038" t="s">
        <v>7379</v>
      </c>
      <c r="AD3038" t="s">
        <v>7380</v>
      </c>
      <c r="AE3038" t="s">
        <v>7381</v>
      </c>
      <c r="AI3038" t="s">
        <v>7380</v>
      </c>
      <c r="AJ3038" s="2">
        <v>45512.754791666666</v>
      </c>
      <c r="AK3038" t="s">
        <v>7382</v>
      </c>
      <c r="AL3038" t="s">
        <v>65</v>
      </c>
      <c r="AM3038" s="4">
        <v>0.52083333333333337</v>
      </c>
      <c r="AN3038" t="s">
        <v>66</v>
      </c>
      <c r="AO3038" t="s">
        <v>67</v>
      </c>
    </row>
    <row r="3039" spans="1:41" x14ac:dyDescent="0.2">
      <c r="A3039">
        <v>368555</v>
      </c>
      <c r="B3039" t="s">
        <v>18374</v>
      </c>
      <c r="C3039" t="s">
        <v>167</v>
      </c>
      <c r="D3039" t="s">
        <v>1336</v>
      </c>
      <c r="E3039" t="s">
        <v>18375</v>
      </c>
      <c r="G3039" s="1">
        <v>43971</v>
      </c>
      <c r="H3039" s="1">
        <v>45714</v>
      </c>
      <c r="I3039" s="1">
        <v>46054</v>
      </c>
      <c r="J3039" t="s">
        <v>326</v>
      </c>
      <c r="K3039" t="s">
        <v>45</v>
      </c>
      <c r="L3039" t="s">
        <v>72</v>
      </c>
      <c r="M3039" s="1">
        <v>43531</v>
      </c>
      <c r="N3039" t="s">
        <v>47</v>
      </c>
      <c r="O3039" t="s">
        <v>121</v>
      </c>
      <c r="P3039" t="s">
        <v>49</v>
      </c>
      <c r="Q3039" t="s">
        <v>18376</v>
      </c>
      <c r="R3039" t="s">
        <v>18377</v>
      </c>
      <c r="S3039">
        <v>227</v>
      </c>
      <c r="T3039" t="s">
        <v>156</v>
      </c>
      <c r="U3039" t="s">
        <v>4608</v>
      </c>
      <c r="V3039" t="s">
        <v>18378</v>
      </c>
      <c r="W3039" t="s">
        <v>159</v>
      </c>
      <c r="X3039" t="s">
        <v>156</v>
      </c>
      <c r="Y3039" t="s">
        <v>110</v>
      </c>
      <c r="Z3039">
        <v>2866</v>
      </c>
      <c r="AA3039">
        <v>43</v>
      </c>
      <c r="AB3039">
        <v>166</v>
      </c>
      <c r="AC3039" t="s">
        <v>5584</v>
      </c>
      <c r="AD3039" t="s">
        <v>5582</v>
      </c>
      <c r="AE3039" t="s">
        <v>18379</v>
      </c>
      <c r="AF3039" t="s">
        <v>4613</v>
      </c>
      <c r="AG3039" t="s">
        <v>4614</v>
      </c>
      <c r="AH3039" t="s">
        <v>4615</v>
      </c>
      <c r="AI3039" t="s">
        <v>18380</v>
      </c>
      <c r="AJ3039" s="2">
        <v>45714.979155092595</v>
      </c>
      <c r="AK3039" t="s">
        <v>5584</v>
      </c>
      <c r="AL3039" t="s">
        <v>65</v>
      </c>
      <c r="AM3039" s="3">
        <v>1.9236111111111112</v>
      </c>
      <c r="AN3039" t="s">
        <v>66</v>
      </c>
      <c r="AO3039" t="s">
        <v>67</v>
      </c>
    </row>
    <row r="3040" spans="1:41" x14ac:dyDescent="0.2">
      <c r="A3040">
        <v>368095</v>
      </c>
      <c r="B3040" t="s">
        <v>18381</v>
      </c>
      <c r="C3040" t="s">
        <v>182</v>
      </c>
      <c r="D3040" t="s">
        <v>468</v>
      </c>
      <c r="E3040" t="s">
        <v>18382</v>
      </c>
      <c r="F3040">
        <v>40428</v>
      </c>
      <c r="G3040" s="1">
        <v>41860</v>
      </c>
      <c r="H3040" s="1">
        <v>45440</v>
      </c>
      <c r="I3040" s="1">
        <v>46174</v>
      </c>
      <c r="J3040" t="s">
        <v>45</v>
      </c>
      <c r="K3040" t="s">
        <v>45</v>
      </c>
      <c r="L3040" t="s">
        <v>72</v>
      </c>
      <c r="M3040" s="1">
        <v>44956</v>
      </c>
      <c r="N3040" t="s">
        <v>47</v>
      </c>
      <c r="O3040" t="s">
        <v>48</v>
      </c>
      <c r="P3040" t="s">
        <v>49</v>
      </c>
      <c r="Q3040" t="s">
        <v>18383</v>
      </c>
      <c r="R3040" t="s">
        <v>18384</v>
      </c>
      <c r="S3040">
        <v>1287</v>
      </c>
      <c r="T3040" t="s">
        <v>257</v>
      </c>
      <c r="U3040" t="s">
        <v>640</v>
      </c>
      <c r="V3040" t="s">
        <v>15689</v>
      </c>
      <c r="W3040" t="s">
        <v>260</v>
      </c>
      <c r="X3040" t="s">
        <v>493</v>
      </c>
      <c r="Y3040" t="s">
        <v>56</v>
      </c>
      <c r="Z3040">
        <v>2532</v>
      </c>
      <c r="AA3040">
        <v>47</v>
      </c>
      <c r="AB3040">
        <v>160</v>
      </c>
      <c r="AC3040" t="s">
        <v>5793</v>
      </c>
      <c r="AD3040" t="s">
        <v>5794</v>
      </c>
      <c r="AE3040" t="s">
        <v>15690</v>
      </c>
      <c r="AF3040" t="s">
        <v>15691</v>
      </c>
      <c r="AH3040" t="s">
        <v>18385</v>
      </c>
      <c r="AI3040" t="s">
        <v>15693</v>
      </c>
      <c r="AJ3040" s="2">
        <v>45700.752928240741</v>
      </c>
      <c r="AK3040" t="s">
        <v>149</v>
      </c>
      <c r="AL3040" t="s">
        <v>65</v>
      </c>
      <c r="AM3040" s="3">
        <v>1.8194444444444444</v>
      </c>
      <c r="AN3040" t="s">
        <v>66</v>
      </c>
      <c r="AO3040" t="s">
        <v>67</v>
      </c>
    </row>
    <row r="3041" spans="1:41" x14ac:dyDescent="0.2">
      <c r="A3041">
        <v>363198</v>
      </c>
      <c r="B3041" t="s">
        <v>18386</v>
      </c>
      <c r="C3041" t="s">
        <v>182</v>
      </c>
      <c r="D3041" t="s">
        <v>2295</v>
      </c>
      <c r="E3041" t="s">
        <v>18387</v>
      </c>
      <c r="F3041">
        <v>40719</v>
      </c>
      <c r="G3041" s="1">
        <v>32509</v>
      </c>
      <c r="H3041" s="1">
        <v>45499</v>
      </c>
      <c r="J3041" t="s">
        <v>45</v>
      </c>
      <c r="K3041" t="s">
        <v>45</v>
      </c>
      <c r="L3041" t="s">
        <v>72</v>
      </c>
      <c r="N3041" t="s">
        <v>47</v>
      </c>
      <c r="O3041" t="s">
        <v>48</v>
      </c>
      <c r="P3041" t="s">
        <v>49</v>
      </c>
      <c r="Q3041" t="s">
        <v>18388</v>
      </c>
      <c r="R3041" t="s">
        <v>18389</v>
      </c>
      <c r="S3041">
        <v>6155</v>
      </c>
      <c r="T3041" t="s">
        <v>92</v>
      </c>
      <c r="U3041" t="s">
        <v>187</v>
      </c>
      <c r="V3041" t="s">
        <v>447</v>
      </c>
      <c r="W3041" t="s">
        <v>448</v>
      </c>
      <c r="X3041" t="s">
        <v>92</v>
      </c>
      <c r="Y3041" t="s">
        <v>450</v>
      </c>
      <c r="Z3041">
        <v>1281</v>
      </c>
      <c r="AA3041">
        <v>44</v>
      </c>
      <c r="AB3041">
        <v>142</v>
      </c>
      <c r="AC3041" t="s">
        <v>451</v>
      </c>
      <c r="AD3041" t="s">
        <v>452</v>
      </c>
      <c r="AE3041" t="s">
        <v>453</v>
      </c>
      <c r="AF3041" t="s">
        <v>1747</v>
      </c>
      <c r="AG3041" t="s">
        <v>4052</v>
      </c>
      <c r="AI3041" t="s">
        <v>6290</v>
      </c>
      <c r="AJ3041" s="2">
        <v>45506.698194444441</v>
      </c>
      <c r="AK3041" t="s">
        <v>526</v>
      </c>
      <c r="AL3041" t="s">
        <v>65</v>
      </c>
      <c r="AM3041" s="3">
        <v>2.34375</v>
      </c>
      <c r="AN3041" t="s">
        <v>66</v>
      </c>
      <c r="AO3041" t="s">
        <v>67</v>
      </c>
    </row>
    <row r="3042" spans="1:41" x14ac:dyDescent="0.2">
      <c r="A3042">
        <v>369491</v>
      </c>
      <c r="B3042" t="s">
        <v>18390</v>
      </c>
      <c r="C3042" t="s">
        <v>662</v>
      </c>
      <c r="D3042" t="s">
        <v>3381</v>
      </c>
      <c r="E3042" t="s">
        <v>18391</v>
      </c>
      <c r="F3042">
        <v>418802</v>
      </c>
      <c r="G3042" s="1">
        <v>41611</v>
      </c>
      <c r="H3042" s="1">
        <v>45572</v>
      </c>
      <c r="I3042" s="1">
        <v>45931</v>
      </c>
      <c r="J3042" t="s">
        <v>45</v>
      </c>
      <c r="K3042" t="s">
        <v>45</v>
      </c>
      <c r="L3042" t="s">
        <v>72</v>
      </c>
      <c r="M3042" s="1">
        <v>45741</v>
      </c>
      <c r="N3042" t="s">
        <v>47</v>
      </c>
      <c r="O3042" t="s">
        <v>48</v>
      </c>
      <c r="P3042" t="s">
        <v>49</v>
      </c>
      <c r="Q3042" t="s">
        <v>18392</v>
      </c>
      <c r="R3042" t="s">
        <v>18393</v>
      </c>
      <c r="S3042">
        <v>2375</v>
      </c>
      <c r="T3042" t="s">
        <v>92</v>
      </c>
      <c r="U3042" t="s">
        <v>1197</v>
      </c>
      <c r="V3042" t="s">
        <v>1198</v>
      </c>
      <c r="W3042" t="s">
        <v>1199</v>
      </c>
      <c r="X3042" t="s">
        <v>92</v>
      </c>
      <c r="Y3042" t="s">
        <v>110</v>
      </c>
      <c r="Z3042">
        <v>6426</v>
      </c>
      <c r="AA3042">
        <v>23</v>
      </c>
      <c r="AB3042">
        <v>28</v>
      </c>
      <c r="AC3042" t="s">
        <v>1200</v>
      </c>
      <c r="AD3042" t="s">
        <v>1201</v>
      </c>
      <c r="AE3042" t="s">
        <v>1202</v>
      </c>
      <c r="AF3042" t="s">
        <v>1727</v>
      </c>
      <c r="AG3042" t="s">
        <v>1728</v>
      </c>
      <c r="AH3042" t="s">
        <v>1729</v>
      </c>
      <c r="AJ3042" s="2">
        <v>45742.640659722223</v>
      </c>
      <c r="AK3042" t="s">
        <v>4740</v>
      </c>
      <c r="AL3042" t="s">
        <v>65</v>
      </c>
      <c r="AM3042" s="3">
        <v>2.1805555555555554</v>
      </c>
      <c r="AN3042" t="s">
        <v>66</v>
      </c>
      <c r="AO3042" t="s">
        <v>67</v>
      </c>
    </row>
    <row r="3043" spans="1:41" x14ac:dyDescent="0.2">
      <c r="A3043">
        <v>356601</v>
      </c>
      <c r="B3043" t="s">
        <v>18394</v>
      </c>
      <c r="C3043" t="s">
        <v>134</v>
      </c>
      <c r="D3043" t="s">
        <v>13857</v>
      </c>
      <c r="E3043" t="s">
        <v>18395</v>
      </c>
      <c r="J3043" t="s">
        <v>326</v>
      </c>
      <c r="K3043" t="s">
        <v>45</v>
      </c>
      <c r="L3043" t="s">
        <v>72</v>
      </c>
      <c r="N3043" t="s">
        <v>89</v>
      </c>
      <c r="O3043" t="s">
        <v>48</v>
      </c>
      <c r="P3043" t="s">
        <v>49</v>
      </c>
      <c r="Q3043" t="s">
        <v>18396</v>
      </c>
      <c r="R3043" t="s">
        <v>18397</v>
      </c>
      <c r="S3043">
        <v>2692</v>
      </c>
      <c r="T3043" t="s">
        <v>52</v>
      </c>
      <c r="U3043">
        <v>6</v>
      </c>
      <c r="V3043" t="s">
        <v>4158</v>
      </c>
      <c r="W3043" t="s">
        <v>54</v>
      </c>
      <c r="X3043" t="s">
        <v>52</v>
      </c>
      <c r="Y3043" t="s">
        <v>410</v>
      </c>
      <c r="Z3043">
        <v>8786</v>
      </c>
      <c r="AA3043">
        <v>1</v>
      </c>
      <c r="AB3043">
        <v>78</v>
      </c>
      <c r="AC3043" t="s">
        <v>4159</v>
      </c>
      <c r="AD3043" t="s">
        <v>4160</v>
      </c>
      <c r="AE3043" t="s">
        <v>4161</v>
      </c>
      <c r="AF3043" t="s">
        <v>18398</v>
      </c>
      <c r="AG3043" t="s">
        <v>18399</v>
      </c>
      <c r="AH3043" t="s">
        <v>18400</v>
      </c>
      <c r="AI3043" t="s">
        <v>179</v>
      </c>
      <c r="AJ3043" s="2">
        <v>45313.659861111111</v>
      </c>
      <c r="AK3043" t="s">
        <v>149</v>
      </c>
      <c r="AL3043" t="s">
        <v>65</v>
      </c>
      <c r="AM3043" s="3">
        <v>1.5</v>
      </c>
      <c r="AN3043" t="s">
        <v>66</v>
      </c>
      <c r="AO3043" t="s">
        <v>67</v>
      </c>
    </row>
    <row r="3044" spans="1:41" x14ac:dyDescent="0.2">
      <c r="A3044">
        <v>360250</v>
      </c>
      <c r="B3044" t="s">
        <v>18401</v>
      </c>
      <c r="C3044" t="s">
        <v>182</v>
      </c>
      <c r="D3044" t="s">
        <v>894</v>
      </c>
      <c r="E3044" t="s">
        <v>18402</v>
      </c>
      <c r="F3044">
        <v>40629</v>
      </c>
      <c r="G3044" s="1">
        <v>37104</v>
      </c>
      <c r="H3044" s="1">
        <v>45413</v>
      </c>
      <c r="I3044" s="1">
        <v>46113</v>
      </c>
      <c r="J3044" t="s">
        <v>45</v>
      </c>
      <c r="K3044" t="s">
        <v>326</v>
      </c>
      <c r="L3044" t="s">
        <v>72</v>
      </c>
      <c r="M3044" s="1">
        <v>42136</v>
      </c>
      <c r="N3044" t="s">
        <v>47</v>
      </c>
      <c r="O3044" t="s">
        <v>48</v>
      </c>
      <c r="P3044" t="s">
        <v>49</v>
      </c>
      <c r="Q3044" t="s">
        <v>18403</v>
      </c>
      <c r="R3044" t="s">
        <v>18404</v>
      </c>
      <c r="S3044">
        <v>1360</v>
      </c>
      <c r="T3044" t="s">
        <v>257</v>
      </c>
      <c r="U3044" t="s">
        <v>640</v>
      </c>
      <c r="V3044" t="s">
        <v>12676</v>
      </c>
      <c r="W3044" t="s">
        <v>260</v>
      </c>
      <c r="X3044" t="s">
        <v>257</v>
      </c>
      <c r="Y3044" t="s">
        <v>110</v>
      </c>
      <c r="Z3044">
        <v>1929</v>
      </c>
      <c r="AA3044">
        <v>43</v>
      </c>
      <c r="AB3044">
        <v>34</v>
      </c>
      <c r="AC3044" t="s">
        <v>18405</v>
      </c>
      <c r="AD3044" t="s">
        <v>12681</v>
      </c>
      <c r="AE3044" t="s">
        <v>18406</v>
      </c>
      <c r="AF3044" t="s">
        <v>18407</v>
      </c>
      <c r="AG3044" t="s">
        <v>18408</v>
      </c>
      <c r="AH3044" t="s">
        <v>18409</v>
      </c>
      <c r="AI3044" t="s">
        <v>12681</v>
      </c>
      <c r="AJ3044" s="2">
        <v>45413.715277777781</v>
      </c>
      <c r="AK3044" t="s">
        <v>12680</v>
      </c>
      <c r="AL3044" t="s">
        <v>65</v>
      </c>
      <c r="AM3044" s="4">
        <v>2.7777777777777776E-2</v>
      </c>
      <c r="AN3044" t="s">
        <v>66</v>
      </c>
      <c r="AO3044" t="s">
        <v>67</v>
      </c>
    </row>
    <row r="3045" spans="1:41" x14ac:dyDescent="0.2">
      <c r="A3045">
        <v>370554</v>
      </c>
      <c r="B3045" t="s">
        <v>18410</v>
      </c>
      <c r="C3045" t="s">
        <v>182</v>
      </c>
      <c r="D3045" t="s">
        <v>183</v>
      </c>
      <c r="E3045" t="s">
        <v>18411</v>
      </c>
      <c r="F3045">
        <v>45448</v>
      </c>
      <c r="G3045" s="1">
        <v>36445</v>
      </c>
      <c r="H3045" s="1">
        <v>45322</v>
      </c>
      <c r="I3045" s="1">
        <v>46082</v>
      </c>
      <c r="J3045" t="s">
        <v>45</v>
      </c>
      <c r="K3045" t="s">
        <v>45</v>
      </c>
      <c r="L3045" t="s">
        <v>72</v>
      </c>
      <c r="M3045" s="1">
        <v>43199</v>
      </c>
      <c r="N3045" t="s">
        <v>47</v>
      </c>
      <c r="O3045" t="s">
        <v>48</v>
      </c>
      <c r="P3045" t="s">
        <v>49</v>
      </c>
      <c r="Q3045" t="s">
        <v>18412</v>
      </c>
      <c r="R3045" t="s">
        <v>18413</v>
      </c>
      <c r="S3045">
        <v>4120</v>
      </c>
      <c r="T3045" t="s">
        <v>92</v>
      </c>
      <c r="U3045" t="s">
        <v>187</v>
      </c>
      <c r="V3045" t="s">
        <v>188</v>
      </c>
      <c r="W3045" t="s">
        <v>189</v>
      </c>
      <c r="X3045" t="s">
        <v>92</v>
      </c>
      <c r="Y3045" t="s">
        <v>110</v>
      </c>
      <c r="Z3045">
        <v>1726</v>
      </c>
      <c r="AA3045">
        <v>52</v>
      </c>
      <c r="AB3045">
        <v>38</v>
      </c>
      <c r="AC3045" t="s">
        <v>190</v>
      </c>
      <c r="AD3045" t="s">
        <v>191</v>
      </c>
      <c r="AE3045" t="s">
        <v>192</v>
      </c>
      <c r="AF3045" t="s">
        <v>193</v>
      </c>
      <c r="AG3045" t="s">
        <v>194</v>
      </c>
      <c r="AH3045" t="s">
        <v>195</v>
      </c>
      <c r="AJ3045" s="2">
        <v>45777.806550925925</v>
      </c>
      <c r="AK3045" t="s">
        <v>193</v>
      </c>
      <c r="AL3045" t="s">
        <v>65</v>
      </c>
      <c r="AM3045" s="3">
        <v>2.3958333333333335</v>
      </c>
      <c r="AN3045" t="s">
        <v>66</v>
      </c>
      <c r="AO3045" t="s">
        <v>67</v>
      </c>
    </row>
    <row r="3046" spans="1:41" x14ac:dyDescent="0.2">
      <c r="A3046">
        <v>372682</v>
      </c>
      <c r="B3046" t="s">
        <v>18414</v>
      </c>
      <c r="C3046" t="s">
        <v>182</v>
      </c>
      <c r="D3046" t="s">
        <v>558</v>
      </c>
      <c r="E3046" s="5">
        <v>324950000000</v>
      </c>
      <c r="F3046">
        <v>41806</v>
      </c>
      <c r="G3046" s="1">
        <v>36318</v>
      </c>
      <c r="H3046" s="1">
        <v>45848</v>
      </c>
      <c r="I3046" s="1">
        <v>46143</v>
      </c>
      <c r="J3046" t="s">
        <v>45</v>
      </c>
      <c r="K3046" t="s">
        <v>45</v>
      </c>
      <c r="L3046" t="s">
        <v>429</v>
      </c>
      <c r="M3046" s="1">
        <v>41783</v>
      </c>
      <c r="N3046" t="s">
        <v>47</v>
      </c>
      <c r="O3046" t="s">
        <v>48</v>
      </c>
      <c r="P3046" t="s">
        <v>49</v>
      </c>
      <c r="Q3046" t="s">
        <v>18415</v>
      </c>
      <c r="R3046" t="s">
        <v>18416</v>
      </c>
      <c r="S3046">
        <v>4302</v>
      </c>
      <c r="T3046" t="s">
        <v>52</v>
      </c>
      <c r="U3046">
        <v>5</v>
      </c>
      <c r="V3046" t="s">
        <v>4389</v>
      </c>
      <c r="W3046" t="s">
        <v>54</v>
      </c>
      <c r="X3046" t="s">
        <v>493</v>
      </c>
      <c r="Y3046" t="s">
        <v>434</v>
      </c>
      <c r="Z3046">
        <v>747</v>
      </c>
      <c r="AA3046">
        <v>62</v>
      </c>
      <c r="AB3046">
        <v>34</v>
      </c>
      <c r="AC3046" t="s">
        <v>15276</v>
      </c>
      <c r="AD3046" t="s">
        <v>15277</v>
      </c>
      <c r="AE3046" t="s">
        <v>15278</v>
      </c>
      <c r="AF3046" t="s">
        <v>18417</v>
      </c>
      <c r="AG3046" t="s">
        <v>18418</v>
      </c>
      <c r="AH3046" t="s">
        <v>18419</v>
      </c>
      <c r="AI3046" t="s">
        <v>14891</v>
      </c>
      <c r="AJ3046" s="2">
        <v>45849.862893518519</v>
      </c>
      <c r="AK3046" t="s">
        <v>501</v>
      </c>
      <c r="AL3046" t="s">
        <v>65</v>
      </c>
      <c r="AM3046" s="3">
        <v>1.3958333333333333</v>
      </c>
      <c r="AN3046" t="s">
        <v>66</v>
      </c>
      <c r="AO3046" t="s">
        <v>67</v>
      </c>
    </row>
    <row r="3047" spans="1:41" x14ac:dyDescent="0.2">
      <c r="A3047">
        <v>370745</v>
      </c>
      <c r="B3047" t="s">
        <v>18420</v>
      </c>
      <c r="C3047" t="s">
        <v>1911</v>
      </c>
      <c r="D3047" t="s">
        <v>18421</v>
      </c>
      <c r="E3047" t="s">
        <v>18422</v>
      </c>
      <c r="F3047">
        <v>270301</v>
      </c>
      <c r="G3047" s="1">
        <v>36069</v>
      </c>
      <c r="H3047" s="1">
        <v>45780</v>
      </c>
      <c r="I3047" s="1">
        <v>46143</v>
      </c>
      <c r="J3047" t="s">
        <v>45</v>
      </c>
      <c r="K3047" t="s">
        <v>45</v>
      </c>
      <c r="L3047" t="s">
        <v>46</v>
      </c>
      <c r="M3047" s="1">
        <v>45237</v>
      </c>
      <c r="N3047" t="s">
        <v>47</v>
      </c>
      <c r="O3047" t="s">
        <v>48</v>
      </c>
      <c r="P3047" t="s">
        <v>49</v>
      </c>
      <c r="Q3047" t="s">
        <v>18423</v>
      </c>
      <c r="R3047" t="s">
        <v>18424</v>
      </c>
      <c r="S3047">
        <v>482</v>
      </c>
      <c r="T3047" t="s">
        <v>52</v>
      </c>
      <c r="U3047">
        <v>9</v>
      </c>
      <c r="V3047" t="s">
        <v>16498</v>
      </c>
      <c r="W3047" t="s">
        <v>54</v>
      </c>
      <c r="X3047" t="s">
        <v>76</v>
      </c>
      <c r="Y3047" t="s">
        <v>56</v>
      </c>
      <c r="Z3047">
        <v>1829</v>
      </c>
      <c r="AA3047">
        <v>46</v>
      </c>
      <c r="AB3047">
        <v>45</v>
      </c>
      <c r="AC3047" t="s">
        <v>18425</v>
      </c>
      <c r="AD3047" t="s">
        <v>18426</v>
      </c>
      <c r="AE3047" t="s">
        <v>18427</v>
      </c>
      <c r="AF3047" t="s">
        <v>18428</v>
      </c>
      <c r="AG3047" t="s">
        <v>18429</v>
      </c>
      <c r="AH3047" t="s">
        <v>18430</v>
      </c>
      <c r="AI3047" t="s">
        <v>18431</v>
      </c>
      <c r="AJ3047" s="2">
        <v>45783.797233796293</v>
      </c>
      <c r="AK3047" t="s">
        <v>717</v>
      </c>
      <c r="AL3047" t="s">
        <v>65</v>
      </c>
      <c r="AM3047" s="4">
        <v>0.5625</v>
      </c>
      <c r="AN3047" t="s">
        <v>66</v>
      </c>
      <c r="AO3047" t="s">
        <v>101</v>
      </c>
    </row>
    <row r="3048" spans="1:41" x14ac:dyDescent="0.2">
      <c r="A3048">
        <v>370991</v>
      </c>
      <c r="B3048" t="s">
        <v>18432</v>
      </c>
      <c r="C3048" t="s">
        <v>278</v>
      </c>
      <c r="D3048" t="s">
        <v>134</v>
      </c>
      <c r="E3048" t="s">
        <v>18433</v>
      </c>
      <c r="F3048">
        <v>422805</v>
      </c>
      <c r="G3048" s="1">
        <v>32021</v>
      </c>
      <c r="H3048" s="1">
        <v>45786</v>
      </c>
      <c r="I3048" s="1">
        <v>46113</v>
      </c>
      <c r="J3048" t="s">
        <v>45</v>
      </c>
      <c r="K3048" t="s">
        <v>45</v>
      </c>
      <c r="L3048" t="s">
        <v>429</v>
      </c>
      <c r="M3048" s="1">
        <v>41822</v>
      </c>
      <c r="N3048" t="s">
        <v>47</v>
      </c>
      <c r="O3048" t="s">
        <v>48</v>
      </c>
      <c r="P3048" t="s">
        <v>49</v>
      </c>
      <c r="Q3048" t="s">
        <v>18434</v>
      </c>
      <c r="R3048" t="s">
        <v>18435</v>
      </c>
      <c r="S3048">
        <v>3440</v>
      </c>
      <c r="T3048" t="s">
        <v>52</v>
      </c>
      <c r="U3048">
        <v>4</v>
      </c>
      <c r="V3048" t="s">
        <v>1185</v>
      </c>
      <c r="W3048" t="s">
        <v>54</v>
      </c>
      <c r="X3048" t="s">
        <v>52</v>
      </c>
      <c r="Y3048" t="s">
        <v>56</v>
      </c>
      <c r="Z3048">
        <v>342</v>
      </c>
      <c r="AA3048">
        <v>43</v>
      </c>
      <c r="AB3048">
        <v>152</v>
      </c>
      <c r="AC3048" t="s">
        <v>1186</v>
      </c>
      <c r="AD3048" t="s">
        <v>1187</v>
      </c>
      <c r="AE3048" t="s">
        <v>1188</v>
      </c>
      <c r="AF3048" t="s">
        <v>1189</v>
      </c>
      <c r="AG3048" t="s">
        <v>1190</v>
      </c>
      <c r="AH3048" t="s">
        <v>1191</v>
      </c>
      <c r="AI3048" t="s">
        <v>6427</v>
      </c>
      <c r="AJ3048" s="2">
        <v>45792.696273148147</v>
      </c>
      <c r="AK3048" t="s">
        <v>307</v>
      </c>
      <c r="AL3048" t="s">
        <v>65</v>
      </c>
      <c r="AM3048" s="4">
        <v>0.2013888888888889</v>
      </c>
      <c r="AN3048" t="s">
        <v>66</v>
      </c>
      <c r="AO3048" t="s">
        <v>67</v>
      </c>
    </row>
    <row r="3049" spans="1:41" x14ac:dyDescent="0.2">
      <c r="A3049">
        <v>373037</v>
      </c>
      <c r="B3049" t="s">
        <v>18436</v>
      </c>
      <c r="C3049" t="s">
        <v>735</v>
      </c>
      <c r="D3049" t="s">
        <v>10923</v>
      </c>
      <c r="E3049" s="5" t="s">
        <v>18437</v>
      </c>
      <c r="F3049">
        <v>243403</v>
      </c>
      <c r="G3049" s="1">
        <v>34881</v>
      </c>
      <c r="H3049" s="1">
        <v>45524</v>
      </c>
      <c r="I3049" s="1">
        <v>46249</v>
      </c>
      <c r="J3049" t="s">
        <v>45</v>
      </c>
      <c r="K3049" t="s">
        <v>326</v>
      </c>
      <c r="L3049" t="s">
        <v>4306</v>
      </c>
      <c r="M3049" s="1">
        <v>41540</v>
      </c>
      <c r="N3049" t="s">
        <v>47</v>
      </c>
      <c r="O3049" t="s">
        <v>48</v>
      </c>
      <c r="P3049" t="s">
        <v>49</v>
      </c>
      <c r="Q3049" t="s">
        <v>18438</v>
      </c>
      <c r="R3049" t="s">
        <v>18439</v>
      </c>
      <c r="S3049">
        <v>5060</v>
      </c>
      <c r="T3049" t="s">
        <v>52</v>
      </c>
      <c r="U3049">
        <v>1</v>
      </c>
      <c r="V3049" t="s">
        <v>2162</v>
      </c>
      <c r="W3049" t="s">
        <v>54</v>
      </c>
      <c r="X3049" t="s">
        <v>76</v>
      </c>
      <c r="Y3049" t="s">
        <v>56</v>
      </c>
      <c r="Z3049">
        <v>1003</v>
      </c>
      <c r="AA3049">
        <v>43</v>
      </c>
      <c r="AB3049">
        <v>166</v>
      </c>
      <c r="AC3049" t="s">
        <v>14233</v>
      </c>
      <c r="AD3049" t="s">
        <v>10927</v>
      </c>
      <c r="AE3049" t="s">
        <v>14234</v>
      </c>
      <c r="AI3049" t="s">
        <v>12896</v>
      </c>
      <c r="AJ3049" s="2">
        <v>45856.046354166669</v>
      </c>
      <c r="AK3049" t="s">
        <v>556</v>
      </c>
      <c r="AL3049" t="s">
        <v>475</v>
      </c>
      <c r="AM3049" s="3">
        <v>2.4097222222222223</v>
      </c>
      <c r="AN3049" t="s">
        <v>66</v>
      </c>
      <c r="AO3049" t="s">
        <v>67</v>
      </c>
    </row>
    <row r="3050" spans="1:41" x14ac:dyDescent="0.2">
      <c r="A3050">
        <v>365119</v>
      </c>
      <c r="B3050" t="s">
        <v>18440</v>
      </c>
      <c r="C3050" t="s">
        <v>735</v>
      </c>
      <c r="D3050" t="s">
        <v>1050</v>
      </c>
      <c r="E3050" t="s">
        <v>18441</v>
      </c>
      <c r="F3050">
        <v>243204</v>
      </c>
      <c r="G3050" s="1">
        <v>37027</v>
      </c>
      <c r="H3050" s="1">
        <v>45568</v>
      </c>
      <c r="I3050" s="1">
        <v>46280</v>
      </c>
      <c r="J3050" t="s">
        <v>45</v>
      </c>
      <c r="K3050" t="s">
        <v>45</v>
      </c>
      <c r="L3050" t="s">
        <v>72</v>
      </c>
      <c r="M3050" s="1">
        <v>42671</v>
      </c>
      <c r="N3050" t="s">
        <v>47</v>
      </c>
      <c r="O3050" t="s">
        <v>48</v>
      </c>
      <c r="P3050" t="s">
        <v>49</v>
      </c>
      <c r="Q3050" t="s">
        <v>18442</v>
      </c>
      <c r="R3050" t="s">
        <v>18443</v>
      </c>
      <c r="S3050">
        <v>4390</v>
      </c>
      <c r="T3050" t="s">
        <v>52</v>
      </c>
      <c r="U3050">
        <v>1</v>
      </c>
      <c r="V3050" t="s">
        <v>740</v>
      </c>
      <c r="W3050" t="s">
        <v>54</v>
      </c>
      <c r="X3050" t="s">
        <v>76</v>
      </c>
      <c r="Y3050" t="s">
        <v>56</v>
      </c>
      <c r="Z3050">
        <v>1134</v>
      </c>
      <c r="AA3050">
        <v>47</v>
      </c>
      <c r="AB3050">
        <v>166</v>
      </c>
      <c r="AC3050" t="s">
        <v>7818</v>
      </c>
      <c r="AD3050" t="s">
        <v>7819</v>
      </c>
      <c r="AE3050" t="s">
        <v>7820</v>
      </c>
      <c r="AF3050" t="s">
        <v>2064</v>
      </c>
      <c r="AG3050" t="s">
        <v>2065</v>
      </c>
      <c r="AH3050" t="s">
        <v>2066</v>
      </c>
      <c r="AI3050" t="s">
        <v>18444</v>
      </c>
      <c r="AJ3050" s="2">
        <v>45569.178229166668</v>
      </c>
      <c r="AK3050" t="s">
        <v>704</v>
      </c>
      <c r="AL3050" t="s">
        <v>65</v>
      </c>
      <c r="AM3050" s="4">
        <v>0.65972222222222221</v>
      </c>
      <c r="AN3050" t="s">
        <v>66</v>
      </c>
      <c r="AO3050" t="s">
        <v>67</v>
      </c>
    </row>
    <row r="3051" spans="1:41" x14ac:dyDescent="0.2">
      <c r="A3051">
        <v>370786</v>
      </c>
      <c r="B3051" t="s">
        <v>18445</v>
      </c>
      <c r="C3051" t="s">
        <v>1565</v>
      </c>
      <c r="D3051" t="s">
        <v>1566</v>
      </c>
      <c r="E3051" t="s">
        <v>18446</v>
      </c>
      <c r="F3051">
        <v>392607</v>
      </c>
      <c r="G3051" s="1">
        <v>40421</v>
      </c>
      <c r="H3051" s="1">
        <v>45548</v>
      </c>
      <c r="I3051" s="1">
        <v>46266</v>
      </c>
      <c r="J3051" t="s">
        <v>45</v>
      </c>
      <c r="K3051" t="s">
        <v>45</v>
      </c>
      <c r="L3051" t="s">
        <v>72</v>
      </c>
      <c r="M3051" s="1">
        <v>44754</v>
      </c>
      <c r="N3051" t="s">
        <v>47</v>
      </c>
      <c r="O3051" t="s">
        <v>48</v>
      </c>
      <c r="P3051" t="s">
        <v>49</v>
      </c>
      <c r="Q3051" t="s">
        <v>18447</v>
      </c>
      <c r="R3051" t="s">
        <v>18448</v>
      </c>
      <c r="S3051">
        <v>6848</v>
      </c>
      <c r="T3051" t="s">
        <v>52</v>
      </c>
      <c r="U3051">
        <v>2</v>
      </c>
      <c r="V3051" t="s">
        <v>1569</v>
      </c>
      <c r="W3051" t="s">
        <v>54</v>
      </c>
      <c r="X3051" t="s">
        <v>76</v>
      </c>
      <c r="Y3051" t="s">
        <v>56</v>
      </c>
      <c r="Z3051">
        <v>3686</v>
      </c>
      <c r="AA3051">
        <v>30</v>
      </c>
      <c r="AB3051">
        <v>30</v>
      </c>
      <c r="AC3051" t="s">
        <v>1570</v>
      </c>
      <c r="AD3051" t="s">
        <v>1571</v>
      </c>
      <c r="AE3051" t="s">
        <v>1572</v>
      </c>
      <c r="AF3051" t="s">
        <v>1573</v>
      </c>
      <c r="AG3051" t="s">
        <v>1574</v>
      </c>
      <c r="AH3051" t="s">
        <v>1575</v>
      </c>
      <c r="AI3051" t="s">
        <v>1576</v>
      </c>
      <c r="AJ3051" s="2">
        <v>45784.677256944444</v>
      </c>
      <c r="AK3051" t="s">
        <v>1577</v>
      </c>
      <c r="AL3051" t="s">
        <v>65</v>
      </c>
      <c r="AM3051" s="4">
        <v>0.3611111111111111</v>
      </c>
      <c r="AN3051" t="s">
        <v>66</v>
      </c>
      <c r="AO3051" t="s">
        <v>67</v>
      </c>
    </row>
    <row r="3052" spans="1:41" x14ac:dyDescent="0.2">
      <c r="A3052">
        <v>371063</v>
      </c>
      <c r="B3052" t="s">
        <v>18449</v>
      </c>
      <c r="C3052" t="s">
        <v>103</v>
      </c>
      <c r="D3052" t="s">
        <v>18450</v>
      </c>
      <c r="E3052" t="s">
        <v>18451</v>
      </c>
      <c r="F3052">
        <v>319701</v>
      </c>
      <c r="G3052" s="1">
        <v>36413</v>
      </c>
      <c r="H3052" s="1">
        <v>45327</v>
      </c>
      <c r="I3052" s="1">
        <v>46327</v>
      </c>
      <c r="J3052" t="s">
        <v>45</v>
      </c>
      <c r="K3052" t="s">
        <v>45</v>
      </c>
      <c r="L3052" t="s">
        <v>72</v>
      </c>
      <c r="M3052" s="1">
        <v>42529</v>
      </c>
      <c r="N3052" t="s">
        <v>47</v>
      </c>
      <c r="O3052" t="s">
        <v>48</v>
      </c>
      <c r="P3052" t="s">
        <v>49</v>
      </c>
      <c r="Q3052" t="s">
        <v>18452</v>
      </c>
      <c r="R3052" t="s">
        <v>18453</v>
      </c>
      <c r="S3052">
        <v>100</v>
      </c>
      <c r="T3052" t="s">
        <v>92</v>
      </c>
      <c r="U3052" t="s">
        <v>107</v>
      </c>
      <c r="V3052" t="s">
        <v>108</v>
      </c>
      <c r="W3052" t="s">
        <v>109</v>
      </c>
      <c r="X3052" t="s">
        <v>52</v>
      </c>
      <c r="Y3052" t="s">
        <v>110</v>
      </c>
      <c r="Z3052">
        <v>1634</v>
      </c>
      <c r="AA3052">
        <v>45</v>
      </c>
      <c r="AB3052">
        <v>160</v>
      </c>
      <c r="AC3052" t="s">
        <v>1461</v>
      </c>
      <c r="AD3052" t="s">
        <v>1462</v>
      </c>
      <c r="AE3052" t="s">
        <v>1463</v>
      </c>
      <c r="AF3052" t="s">
        <v>1464</v>
      </c>
      <c r="AG3052" t="s">
        <v>1462</v>
      </c>
      <c r="AH3052" t="s">
        <v>1465</v>
      </c>
      <c r="AI3052" t="s">
        <v>1462</v>
      </c>
      <c r="AJ3052" s="2">
        <v>45818.719537037039</v>
      </c>
      <c r="AK3052" t="s">
        <v>100</v>
      </c>
      <c r="AL3052" t="s">
        <v>65</v>
      </c>
      <c r="AM3052" s="4">
        <v>0.76388888888888884</v>
      </c>
      <c r="AN3052" t="s">
        <v>66</v>
      </c>
      <c r="AO3052" t="s">
        <v>67</v>
      </c>
    </row>
    <row r="3053" spans="1:41" x14ac:dyDescent="0.2">
      <c r="A3053">
        <v>368874</v>
      </c>
      <c r="B3053" t="s">
        <v>18454</v>
      </c>
      <c r="C3053" t="s">
        <v>182</v>
      </c>
      <c r="D3053" t="s">
        <v>779</v>
      </c>
      <c r="E3053" t="s">
        <v>18455</v>
      </c>
      <c r="F3053">
        <v>45628</v>
      </c>
      <c r="G3053" s="1">
        <v>39868</v>
      </c>
      <c r="H3053" s="1">
        <v>45712</v>
      </c>
      <c r="I3053" s="1">
        <v>46068</v>
      </c>
      <c r="J3053" t="s">
        <v>45</v>
      </c>
      <c r="K3053" t="s">
        <v>45</v>
      </c>
      <c r="L3053" t="s">
        <v>429</v>
      </c>
      <c r="M3053" s="1">
        <v>43076</v>
      </c>
      <c r="N3053" t="s">
        <v>47</v>
      </c>
      <c r="O3053" t="s">
        <v>48</v>
      </c>
      <c r="P3053" t="s">
        <v>49</v>
      </c>
      <c r="Q3053" t="s">
        <v>18456</v>
      </c>
      <c r="R3053" t="s">
        <v>18457</v>
      </c>
      <c r="S3053">
        <v>2546</v>
      </c>
      <c r="T3053" t="s">
        <v>365</v>
      </c>
      <c r="U3053" t="s">
        <v>815</v>
      </c>
      <c r="V3053" t="s">
        <v>816</v>
      </c>
      <c r="W3053" t="s">
        <v>367</v>
      </c>
      <c r="X3053" t="s">
        <v>493</v>
      </c>
      <c r="Y3053" t="s">
        <v>434</v>
      </c>
      <c r="Z3053">
        <v>1757</v>
      </c>
      <c r="AA3053">
        <v>56</v>
      </c>
      <c r="AB3053">
        <v>66</v>
      </c>
      <c r="AC3053" t="s">
        <v>817</v>
      </c>
      <c r="AD3053" t="s">
        <v>818</v>
      </c>
      <c r="AE3053" t="s">
        <v>819</v>
      </c>
      <c r="AI3053" t="s">
        <v>179</v>
      </c>
      <c r="AJ3053" s="2">
        <v>45722.885717592595</v>
      </c>
      <c r="AK3053" t="s">
        <v>1472</v>
      </c>
      <c r="AL3053" t="s">
        <v>65</v>
      </c>
      <c r="AM3053" s="3">
        <v>2.0972222222222223</v>
      </c>
      <c r="AN3053" t="s">
        <v>66</v>
      </c>
      <c r="AO3053" t="s">
        <v>67</v>
      </c>
    </row>
    <row r="3054" spans="1:41" x14ac:dyDescent="0.2">
      <c r="A3054">
        <v>372968</v>
      </c>
      <c r="B3054" t="s">
        <v>18458</v>
      </c>
      <c r="C3054" t="s">
        <v>151</v>
      </c>
      <c r="D3054" t="s">
        <v>3344</v>
      </c>
      <c r="E3054" t="s">
        <v>18459</v>
      </c>
      <c r="F3054">
        <v>380902</v>
      </c>
      <c r="G3054" s="1">
        <v>42256</v>
      </c>
      <c r="H3054" s="1">
        <v>45693</v>
      </c>
      <c r="I3054" s="1">
        <v>46082</v>
      </c>
      <c r="J3054" t="s">
        <v>45</v>
      </c>
      <c r="K3054" t="s">
        <v>45</v>
      </c>
      <c r="L3054" t="s">
        <v>46</v>
      </c>
      <c r="M3054" s="1">
        <v>42076</v>
      </c>
      <c r="N3054" t="s">
        <v>47</v>
      </c>
      <c r="O3054" t="s">
        <v>48</v>
      </c>
      <c r="P3054" t="s">
        <v>49</v>
      </c>
      <c r="Q3054" t="s">
        <v>18460</v>
      </c>
      <c r="R3054" t="s">
        <v>18461</v>
      </c>
      <c r="S3054">
        <v>383</v>
      </c>
      <c r="T3054" t="s">
        <v>52</v>
      </c>
      <c r="U3054">
        <v>8</v>
      </c>
      <c r="V3054" t="s">
        <v>710</v>
      </c>
      <c r="W3054" t="s">
        <v>54</v>
      </c>
      <c r="X3054" t="s">
        <v>76</v>
      </c>
      <c r="Y3054" t="s">
        <v>56</v>
      </c>
      <c r="Z3054">
        <v>1074</v>
      </c>
      <c r="AA3054">
        <v>51</v>
      </c>
      <c r="AB3054">
        <v>45</v>
      </c>
      <c r="AC3054" t="s">
        <v>11310</v>
      </c>
      <c r="AD3054" t="s">
        <v>11311</v>
      </c>
      <c r="AE3054" t="s">
        <v>11312</v>
      </c>
      <c r="AF3054" t="s">
        <v>18462</v>
      </c>
      <c r="AG3054" t="s">
        <v>18463</v>
      </c>
      <c r="AH3054" t="s">
        <v>18464</v>
      </c>
      <c r="AJ3054" s="2">
        <v>45855.964849537035</v>
      </c>
      <c r="AK3054" t="s">
        <v>556</v>
      </c>
      <c r="AL3054" t="s">
        <v>65</v>
      </c>
      <c r="AM3054" s="3">
        <v>2.4305555555555554</v>
      </c>
      <c r="AN3054" t="s">
        <v>66</v>
      </c>
      <c r="AO3054" t="s">
        <v>101</v>
      </c>
    </row>
    <row r="3055" spans="1:41" x14ac:dyDescent="0.2">
      <c r="A3055">
        <v>356480</v>
      </c>
      <c r="B3055" t="s">
        <v>18465</v>
      </c>
      <c r="C3055" t="s">
        <v>151</v>
      </c>
      <c r="D3055" t="s">
        <v>3344</v>
      </c>
      <c r="H3055" s="1">
        <v>45098</v>
      </c>
      <c r="I3055" s="1">
        <v>46188</v>
      </c>
      <c r="J3055" t="s">
        <v>326</v>
      </c>
      <c r="K3055" t="s">
        <v>72</v>
      </c>
      <c r="L3055" t="s">
        <v>72</v>
      </c>
      <c r="N3055" t="s">
        <v>89</v>
      </c>
      <c r="O3055" t="s">
        <v>121</v>
      </c>
      <c r="P3055" t="s">
        <v>49</v>
      </c>
      <c r="Q3055" t="s">
        <v>18466</v>
      </c>
      <c r="R3055" t="s">
        <v>18467</v>
      </c>
      <c r="S3055">
        <v>350</v>
      </c>
      <c r="T3055" t="s">
        <v>52</v>
      </c>
      <c r="U3055">
        <v>8</v>
      </c>
      <c r="V3055" t="s">
        <v>710</v>
      </c>
      <c r="W3055" t="s">
        <v>54</v>
      </c>
      <c r="X3055" t="s">
        <v>52</v>
      </c>
      <c r="Y3055" t="s">
        <v>125</v>
      </c>
      <c r="Z3055">
        <v>2524</v>
      </c>
      <c r="AA3055">
        <v>20</v>
      </c>
      <c r="AB3055">
        <v>158</v>
      </c>
      <c r="AC3055" t="s">
        <v>18468</v>
      </c>
      <c r="AD3055" t="s">
        <v>18469</v>
      </c>
      <c r="AE3055" t="s">
        <v>18470</v>
      </c>
      <c r="AF3055" t="s">
        <v>18471</v>
      </c>
      <c r="AG3055" t="s">
        <v>18472</v>
      </c>
      <c r="AH3055" t="s">
        <v>18473</v>
      </c>
      <c r="AI3055" t="s">
        <v>18474</v>
      </c>
      <c r="AJ3055" s="2">
        <v>45313.599016203705</v>
      </c>
      <c r="AK3055" t="s">
        <v>149</v>
      </c>
      <c r="AL3055" t="s">
        <v>65</v>
      </c>
      <c r="AM3055" s="3">
        <v>2.2430555555555554</v>
      </c>
      <c r="AN3055" t="s">
        <v>66</v>
      </c>
      <c r="AO3055" t="s">
        <v>67</v>
      </c>
    </row>
    <row r="3056" spans="1:41" x14ac:dyDescent="0.2">
      <c r="A3056">
        <v>371966</v>
      </c>
      <c r="B3056" t="s">
        <v>18475</v>
      </c>
      <c r="C3056" t="s">
        <v>182</v>
      </c>
      <c r="D3056" t="s">
        <v>894</v>
      </c>
      <c r="E3056" t="s">
        <v>18476</v>
      </c>
      <c r="F3056">
        <v>40615</v>
      </c>
      <c r="G3056" s="1">
        <v>32509</v>
      </c>
      <c r="H3056" s="1">
        <v>45821</v>
      </c>
      <c r="J3056" t="s">
        <v>45</v>
      </c>
      <c r="K3056" t="s">
        <v>72</v>
      </c>
      <c r="L3056" t="s">
        <v>72</v>
      </c>
      <c r="M3056" s="1">
        <v>37480</v>
      </c>
      <c r="N3056" t="s">
        <v>47</v>
      </c>
      <c r="O3056" t="s">
        <v>48</v>
      </c>
      <c r="P3056" t="s">
        <v>49</v>
      </c>
      <c r="Q3056" t="s">
        <v>18477</v>
      </c>
      <c r="R3056" t="s">
        <v>18478</v>
      </c>
      <c r="S3056">
        <v>2499</v>
      </c>
      <c r="T3056" t="s">
        <v>92</v>
      </c>
      <c r="U3056" t="s">
        <v>187</v>
      </c>
      <c r="V3056" t="s">
        <v>447</v>
      </c>
      <c r="W3056" t="s">
        <v>448</v>
      </c>
      <c r="X3056" t="s">
        <v>92</v>
      </c>
      <c r="Y3056" t="s">
        <v>450</v>
      </c>
      <c r="Z3056">
        <v>1282</v>
      </c>
      <c r="AA3056">
        <v>50</v>
      </c>
      <c r="AB3056">
        <v>28</v>
      </c>
      <c r="AC3056" t="s">
        <v>451</v>
      </c>
      <c r="AD3056" t="s">
        <v>452</v>
      </c>
      <c r="AE3056" t="s">
        <v>453</v>
      </c>
      <c r="AF3056" t="s">
        <v>454</v>
      </c>
      <c r="AG3056" t="s">
        <v>473</v>
      </c>
      <c r="AH3056" t="s">
        <v>474</v>
      </c>
      <c r="AJ3056" s="2">
        <v>45825.77144675926</v>
      </c>
      <c r="AK3056" t="s">
        <v>456</v>
      </c>
      <c r="AL3056" t="s">
        <v>475</v>
      </c>
      <c r="AM3056" s="3">
        <v>1.0625</v>
      </c>
      <c r="AN3056" t="s">
        <v>66</v>
      </c>
      <c r="AO3056" t="s">
        <v>67</v>
      </c>
    </row>
    <row r="3057" spans="1:41" x14ac:dyDescent="0.2">
      <c r="A3057">
        <v>370778</v>
      </c>
      <c r="B3057" t="s">
        <v>18479</v>
      </c>
      <c r="C3057" t="s">
        <v>182</v>
      </c>
      <c r="D3057" t="s">
        <v>183</v>
      </c>
      <c r="E3057" t="s">
        <v>18480</v>
      </c>
      <c r="F3057">
        <v>45446</v>
      </c>
      <c r="G3057" s="1">
        <v>36287</v>
      </c>
      <c r="H3057" s="1">
        <v>45779</v>
      </c>
      <c r="I3057" s="1">
        <v>46068</v>
      </c>
      <c r="J3057" t="s">
        <v>45</v>
      </c>
      <c r="K3057" t="s">
        <v>45</v>
      </c>
      <c r="L3057" t="s">
        <v>72</v>
      </c>
      <c r="M3057" s="1">
        <v>42467</v>
      </c>
      <c r="N3057" t="s">
        <v>47</v>
      </c>
      <c r="O3057" t="s">
        <v>48</v>
      </c>
      <c r="P3057" t="s">
        <v>49</v>
      </c>
      <c r="Q3057" t="s">
        <v>18481</v>
      </c>
      <c r="R3057" t="s">
        <v>18482</v>
      </c>
      <c r="S3057">
        <v>950</v>
      </c>
      <c r="T3057" t="s">
        <v>92</v>
      </c>
      <c r="U3057" t="s">
        <v>187</v>
      </c>
      <c r="V3057" t="s">
        <v>188</v>
      </c>
      <c r="W3057" t="s">
        <v>189</v>
      </c>
      <c r="X3057" t="s">
        <v>92</v>
      </c>
      <c r="Y3057" t="s">
        <v>110</v>
      </c>
      <c r="Z3057">
        <v>1605</v>
      </c>
      <c r="AA3057">
        <v>64</v>
      </c>
      <c r="AB3057">
        <v>38</v>
      </c>
      <c r="AC3057" t="s">
        <v>190</v>
      </c>
      <c r="AD3057" t="s">
        <v>191</v>
      </c>
      <c r="AE3057" t="s">
        <v>192</v>
      </c>
      <c r="AF3057" t="s">
        <v>4170</v>
      </c>
      <c r="AG3057" t="s">
        <v>4171</v>
      </c>
      <c r="AH3057" t="s">
        <v>4172</v>
      </c>
      <c r="AJ3057" s="2">
        <v>45784.657824074071</v>
      </c>
      <c r="AK3057" t="s">
        <v>190</v>
      </c>
      <c r="AL3057" t="s">
        <v>65</v>
      </c>
      <c r="AM3057" s="3">
        <v>2.4027777777777777</v>
      </c>
      <c r="AN3057" t="s">
        <v>66</v>
      </c>
      <c r="AO3057" t="s">
        <v>67</v>
      </c>
    </row>
    <row r="3058" spans="1:41" x14ac:dyDescent="0.2">
      <c r="A3058">
        <v>368700</v>
      </c>
      <c r="B3058" t="s">
        <v>18483</v>
      </c>
      <c r="C3058" t="s">
        <v>1565</v>
      </c>
      <c r="D3058" t="s">
        <v>3131</v>
      </c>
      <c r="E3058" t="s">
        <v>18484</v>
      </c>
      <c r="F3058">
        <v>393505</v>
      </c>
      <c r="G3058" s="1">
        <v>38475</v>
      </c>
      <c r="H3058" s="1">
        <v>45719</v>
      </c>
      <c r="I3058" s="1">
        <v>46068</v>
      </c>
      <c r="J3058" t="s">
        <v>45</v>
      </c>
      <c r="K3058" t="s">
        <v>45</v>
      </c>
      <c r="L3058" t="s">
        <v>72</v>
      </c>
      <c r="M3058" s="1">
        <v>44873</v>
      </c>
      <c r="N3058" t="s">
        <v>47</v>
      </c>
      <c r="O3058" t="s">
        <v>48</v>
      </c>
      <c r="P3058" t="s">
        <v>49</v>
      </c>
      <c r="Q3058" t="s">
        <v>18485</v>
      </c>
      <c r="R3058" t="s">
        <v>18486</v>
      </c>
      <c r="S3058">
        <v>4233</v>
      </c>
      <c r="T3058" t="s">
        <v>257</v>
      </c>
      <c r="U3058" t="s">
        <v>258</v>
      </c>
      <c r="V3058" t="s">
        <v>12906</v>
      </c>
      <c r="W3058" t="s">
        <v>260</v>
      </c>
      <c r="X3058" t="s">
        <v>257</v>
      </c>
      <c r="Y3058" t="s">
        <v>110</v>
      </c>
      <c r="Z3058">
        <v>1349</v>
      </c>
      <c r="AA3058">
        <v>41</v>
      </c>
      <c r="AB3058">
        <v>158</v>
      </c>
      <c r="AC3058" t="s">
        <v>261</v>
      </c>
      <c r="AD3058" t="s">
        <v>262</v>
      </c>
      <c r="AE3058" t="s">
        <v>263</v>
      </c>
      <c r="AF3058" t="s">
        <v>264</v>
      </c>
      <c r="AG3058" t="s">
        <v>265</v>
      </c>
      <c r="AH3058" t="s">
        <v>266</v>
      </c>
      <c r="AJ3058" s="2">
        <v>45719.946550925924</v>
      </c>
      <c r="AK3058" t="s">
        <v>6321</v>
      </c>
      <c r="AL3058" t="s">
        <v>65</v>
      </c>
      <c r="AM3058" s="4">
        <v>0.54166666666666663</v>
      </c>
      <c r="AN3058" t="s">
        <v>66</v>
      </c>
      <c r="AO3058" t="s">
        <v>67</v>
      </c>
    </row>
    <row r="3059" spans="1:41" x14ac:dyDescent="0.2">
      <c r="A3059">
        <v>372951</v>
      </c>
      <c r="B3059" t="s">
        <v>18487</v>
      </c>
      <c r="C3059" t="s">
        <v>3441</v>
      </c>
      <c r="D3059" t="s">
        <v>5436</v>
      </c>
      <c r="E3059">
        <v>83713742</v>
      </c>
      <c r="F3059">
        <v>345801</v>
      </c>
      <c r="G3059" s="1">
        <v>33681</v>
      </c>
      <c r="H3059" s="1">
        <v>45730</v>
      </c>
      <c r="I3059" s="1">
        <v>46113</v>
      </c>
      <c r="J3059" t="s">
        <v>45</v>
      </c>
      <c r="K3059" t="s">
        <v>45</v>
      </c>
      <c r="L3059" t="s">
        <v>429</v>
      </c>
      <c r="M3059" s="1">
        <v>35887</v>
      </c>
      <c r="N3059" t="s">
        <v>47</v>
      </c>
      <c r="O3059" t="s">
        <v>48</v>
      </c>
      <c r="P3059" t="s">
        <v>49</v>
      </c>
      <c r="Q3059" t="s">
        <v>18488</v>
      </c>
      <c r="R3059" t="s">
        <v>18489</v>
      </c>
      <c r="S3059">
        <v>1832</v>
      </c>
      <c r="T3059" t="s">
        <v>156</v>
      </c>
      <c r="U3059" t="s">
        <v>667</v>
      </c>
      <c r="V3059" t="s">
        <v>18490</v>
      </c>
      <c r="W3059" t="s">
        <v>159</v>
      </c>
      <c r="X3059" t="s">
        <v>76</v>
      </c>
      <c r="Y3059" t="s">
        <v>56</v>
      </c>
      <c r="Z3059">
        <v>479</v>
      </c>
      <c r="AA3059">
        <v>49</v>
      </c>
      <c r="AB3059">
        <v>210</v>
      </c>
      <c r="AC3059" t="s">
        <v>18491</v>
      </c>
      <c r="AD3059" t="s">
        <v>18492</v>
      </c>
      <c r="AE3059" t="s">
        <v>18493</v>
      </c>
      <c r="AF3059" t="s">
        <v>18494</v>
      </c>
      <c r="AG3059" t="s">
        <v>18495</v>
      </c>
      <c r="AH3059" t="s">
        <v>18496</v>
      </c>
      <c r="AI3059" t="s">
        <v>179</v>
      </c>
      <c r="AJ3059" s="2">
        <v>45855.949456018519</v>
      </c>
      <c r="AK3059" t="s">
        <v>556</v>
      </c>
      <c r="AL3059" t="s">
        <v>65</v>
      </c>
      <c r="AM3059" s="3">
        <v>1.2152777777777777</v>
      </c>
      <c r="AN3059" t="s">
        <v>66</v>
      </c>
      <c r="AO3059" t="s">
        <v>67</v>
      </c>
    </row>
    <row r="3060" spans="1:41" x14ac:dyDescent="0.2">
      <c r="A3060">
        <v>363398</v>
      </c>
      <c r="B3060" t="s">
        <v>18497</v>
      </c>
      <c r="C3060" t="s">
        <v>735</v>
      </c>
      <c r="D3060" t="s">
        <v>3845</v>
      </c>
      <c r="E3060" t="s">
        <v>18498</v>
      </c>
      <c r="F3060">
        <v>244706</v>
      </c>
      <c r="G3060" s="1">
        <v>37461</v>
      </c>
      <c r="H3060" s="1">
        <v>45510</v>
      </c>
      <c r="I3060" s="1">
        <v>46235</v>
      </c>
      <c r="J3060" t="s">
        <v>45</v>
      </c>
      <c r="K3060" t="s">
        <v>45</v>
      </c>
      <c r="L3060" t="s">
        <v>46</v>
      </c>
      <c r="M3060" s="1">
        <v>45134</v>
      </c>
      <c r="N3060" t="s">
        <v>47</v>
      </c>
      <c r="O3060" t="s">
        <v>48</v>
      </c>
      <c r="P3060" t="s">
        <v>49</v>
      </c>
      <c r="Q3060" t="s">
        <v>18499</v>
      </c>
      <c r="R3060" t="s">
        <v>18500</v>
      </c>
      <c r="S3060">
        <v>7604</v>
      </c>
      <c r="T3060" t="s">
        <v>52</v>
      </c>
      <c r="U3060">
        <v>1</v>
      </c>
      <c r="V3060" t="s">
        <v>1122</v>
      </c>
      <c r="W3060" t="s">
        <v>54</v>
      </c>
      <c r="X3060" t="s">
        <v>76</v>
      </c>
      <c r="Y3060" t="s">
        <v>56</v>
      </c>
      <c r="Z3060">
        <v>1806</v>
      </c>
      <c r="AA3060">
        <v>38</v>
      </c>
      <c r="AB3060">
        <v>38</v>
      </c>
      <c r="AC3060" t="s">
        <v>5818</v>
      </c>
      <c r="AD3060" t="s">
        <v>5819</v>
      </c>
      <c r="AE3060" t="s">
        <v>5820</v>
      </c>
      <c r="AF3060" t="s">
        <v>1832</v>
      </c>
      <c r="AG3060" t="s">
        <v>1833</v>
      </c>
      <c r="AH3060" t="s">
        <v>5821</v>
      </c>
      <c r="AI3060" t="s">
        <v>5822</v>
      </c>
      <c r="AJ3060" s="2">
        <v>45511.169548611113</v>
      </c>
      <c r="AK3060" t="s">
        <v>717</v>
      </c>
      <c r="AL3060" t="s">
        <v>65</v>
      </c>
      <c r="AM3060" s="4">
        <v>0.29166666666666669</v>
      </c>
      <c r="AN3060" t="s">
        <v>66</v>
      </c>
      <c r="AO3060" t="s">
        <v>67</v>
      </c>
    </row>
    <row r="3061" spans="1:41" x14ac:dyDescent="0.2">
      <c r="A3061">
        <v>372086</v>
      </c>
      <c r="B3061" t="s">
        <v>18501</v>
      </c>
      <c r="C3061" t="s">
        <v>323</v>
      </c>
      <c r="E3061" t="s">
        <v>18502</v>
      </c>
      <c r="G3061" s="1">
        <v>37854</v>
      </c>
      <c r="H3061" s="1">
        <v>45827</v>
      </c>
      <c r="J3061" t="s">
        <v>72</v>
      </c>
      <c r="K3061" t="s">
        <v>72</v>
      </c>
      <c r="L3061" t="s">
        <v>72</v>
      </c>
      <c r="N3061" t="s">
        <v>47</v>
      </c>
      <c r="O3061" t="s">
        <v>48</v>
      </c>
      <c r="P3061" t="s">
        <v>406</v>
      </c>
      <c r="Q3061" t="s">
        <v>18503</v>
      </c>
      <c r="R3061" t="s">
        <v>18504</v>
      </c>
      <c r="S3061">
        <v>1782</v>
      </c>
      <c r="T3061" t="s">
        <v>257</v>
      </c>
      <c r="U3061" t="s">
        <v>329</v>
      </c>
      <c r="V3061" t="s">
        <v>6178</v>
      </c>
      <c r="W3061" t="s">
        <v>3303</v>
      </c>
      <c r="X3061" t="s">
        <v>257</v>
      </c>
      <c r="Y3061" t="s">
        <v>642</v>
      </c>
      <c r="Z3061">
        <v>2614</v>
      </c>
      <c r="AA3061">
        <v>28</v>
      </c>
      <c r="AB3061">
        <v>172</v>
      </c>
      <c r="AC3061" t="s">
        <v>5079</v>
      </c>
      <c r="AD3061" t="s">
        <v>1165</v>
      </c>
      <c r="AE3061" t="s">
        <v>1166</v>
      </c>
      <c r="AF3061" t="s">
        <v>4983</v>
      </c>
      <c r="AG3061" t="s">
        <v>4984</v>
      </c>
      <c r="AH3061" t="s">
        <v>4985</v>
      </c>
      <c r="AJ3061" s="2">
        <v>45828.992615740739</v>
      </c>
      <c r="AK3061" t="s">
        <v>1164</v>
      </c>
      <c r="AL3061" t="s">
        <v>11496</v>
      </c>
      <c r="AM3061" s="3">
        <v>1.3541666666666667</v>
      </c>
      <c r="AN3061" t="s">
        <v>66</v>
      </c>
      <c r="AO3061" t="s">
        <v>67</v>
      </c>
    </row>
    <row r="3062" spans="1:41" x14ac:dyDescent="0.2">
      <c r="A3062">
        <v>364959</v>
      </c>
      <c r="B3062" t="s">
        <v>18505</v>
      </c>
      <c r="C3062" t="s">
        <v>735</v>
      </c>
      <c r="D3062" t="s">
        <v>2245</v>
      </c>
      <c r="E3062" t="s">
        <v>18506</v>
      </c>
      <c r="F3062">
        <v>245109</v>
      </c>
      <c r="G3062" s="1">
        <v>38910</v>
      </c>
      <c r="H3062" s="1">
        <v>45562</v>
      </c>
      <c r="I3062" s="1">
        <v>46113</v>
      </c>
      <c r="J3062" t="s">
        <v>45</v>
      </c>
      <c r="K3062" t="s">
        <v>45</v>
      </c>
      <c r="L3062" t="s">
        <v>429</v>
      </c>
      <c r="M3062" s="1">
        <v>44519</v>
      </c>
      <c r="N3062" t="s">
        <v>47</v>
      </c>
      <c r="O3062" t="s">
        <v>48</v>
      </c>
      <c r="P3062" t="s">
        <v>49</v>
      </c>
      <c r="Q3062" t="s">
        <v>18507</v>
      </c>
      <c r="R3062" t="s">
        <v>18508</v>
      </c>
      <c r="S3062">
        <v>8150</v>
      </c>
      <c r="T3062" t="s">
        <v>365</v>
      </c>
      <c r="U3062" t="s">
        <v>969</v>
      </c>
      <c r="V3062" t="s">
        <v>2523</v>
      </c>
      <c r="W3062" t="s">
        <v>367</v>
      </c>
      <c r="X3062" t="s">
        <v>76</v>
      </c>
      <c r="Y3062" t="s">
        <v>434</v>
      </c>
      <c r="Z3062">
        <v>151</v>
      </c>
      <c r="AA3062">
        <v>63</v>
      </c>
      <c r="AB3062">
        <v>160</v>
      </c>
      <c r="AC3062" t="s">
        <v>2532</v>
      </c>
      <c r="AD3062" t="s">
        <v>2525</v>
      </c>
      <c r="AE3062" t="s">
        <v>2526</v>
      </c>
      <c r="AF3062" t="s">
        <v>7513</v>
      </c>
      <c r="AH3062" t="s">
        <v>7514</v>
      </c>
      <c r="AI3062" t="s">
        <v>179</v>
      </c>
      <c r="AJ3062" s="2">
        <v>45566.510555555556</v>
      </c>
      <c r="AK3062" t="s">
        <v>568</v>
      </c>
      <c r="AL3062" t="s">
        <v>65</v>
      </c>
      <c r="AM3062" s="3">
        <v>2.0138888888888888</v>
      </c>
      <c r="AN3062" t="s">
        <v>66</v>
      </c>
      <c r="AO3062" t="s">
        <v>67</v>
      </c>
    </row>
    <row r="3063" spans="1:41" x14ac:dyDescent="0.2">
      <c r="A3063">
        <v>371663</v>
      </c>
      <c r="B3063" t="s">
        <v>18509</v>
      </c>
      <c r="C3063" t="s">
        <v>42</v>
      </c>
      <c r="E3063" t="s">
        <v>18510</v>
      </c>
      <c r="F3063">
        <v>290307</v>
      </c>
      <c r="G3063" s="1">
        <v>39308</v>
      </c>
      <c r="H3063" s="1">
        <v>45813</v>
      </c>
      <c r="I3063" s="1">
        <v>46218</v>
      </c>
      <c r="J3063" t="s">
        <v>45</v>
      </c>
      <c r="K3063" t="s">
        <v>45</v>
      </c>
      <c r="L3063" t="s">
        <v>46</v>
      </c>
      <c r="M3063" s="1">
        <v>41037</v>
      </c>
      <c r="N3063" t="s">
        <v>47</v>
      </c>
      <c r="O3063" t="s">
        <v>48</v>
      </c>
      <c r="P3063" t="s">
        <v>49</v>
      </c>
      <c r="Q3063" t="s">
        <v>18511</v>
      </c>
      <c r="R3063" t="s">
        <v>18512</v>
      </c>
      <c r="S3063">
        <v>7530</v>
      </c>
      <c r="T3063" t="s">
        <v>365</v>
      </c>
      <c r="U3063" t="s">
        <v>432</v>
      </c>
      <c r="V3063" t="s">
        <v>17362</v>
      </c>
      <c r="W3063" t="s">
        <v>367</v>
      </c>
      <c r="X3063" t="s">
        <v>55</v>
      </c>
      <c r="Y3063" t="s">
        <v>434</v>
      </c>
      <c r="Z3063">
        <v>2887</v>
      </c>
      <c r="AA3063">
        <v>40</v>
      </c>
      <c r="AB3063">
        <v>166</v>
      </c>
      <c r="AC3063" t="s">
        <v>7306</v>
      </c>
      <c r="AD3063" t="s">
        <v>7307</v>
      </c>
      <c r="AE3063" t="s">
        <v>7308</v>
      </c>
      <c r="AI3063" t="s">
        <v>179</v>
      </c>
      <c r="AJ3063" s="2">
        <v>45817.856620370374</v>
      </c>
      <c r="AK3063" t="s">
        <v>609</v>
      </c>
      <c r="AL3063" t="s">
        <v>65</v>
      </c>
      <c r="AM3063" s="3">
        <v>2.0763888888888888</v>
      </c>
      <c r="AN3063" t="s">
        <v>66</v>
      </c>
      <c r="AO3063" t="s">
        <v>67</v>
      </c>
    </row>
    <row r="3064" spans="1:41" x14ac:dyDescent="0.2">
      <c r="A3064">
        <v>363293</v>
      </c>
      <c r="B3064" t="s">
        <v>18513</v>
      </c>
      <c r="C3064" t="s">
        <v>278</v>
      </c>
      <c r="D3064" t="s">
        <v>6358</v>
      </c>
      <c r="E3064" t="s">
        <v>18514</v>
      </c>
      <c r="F3064">
        <v>421416</v>
      </c>
      <c r="G3064" s="1">
        <v>35206</v>
      </c>
      <c r="H3064" s="1">
        <v>45485</v>
      </c>
      <c r="I3064" s="1">
        <v>46235</v>
      </c>
      <c r="J3064" t="s">
        <v>45</v>
      </c>
      <c r="K3064" t="s">
        <v>45</v>
      </c>
      <c r="L3064" t="s">
        <v>429</v>
      </c>
      <c r="M3064" s="1">
        <v>38307</v>
      </c>
      <c r="N3064" t="s">
        <v>47</v>
      </c>
      <c r="O3064" t="s">
        <v>48</v>
      </c>
      <c r="P3064" t="s">
        <v>49</v>
      </c>
      <c r="Q3064" t="s">
        <v>18515</v>
      </c>
      <c r="R3064" t="s">
        <v>18516</v>
      </c>
      <c r="S3064">
        <v>8157</v>
      </c>
      <c r="T3064" t="s">
        <v>296</v>
      </c>
      <c r="U3064" t="s">
        <v>297</v>
      </c>
      <c r="V3064" t="s">
        <v>2783</v>
      </c>
      <c r="W3064" t="s">
        <v>299</v>
      </c>
      <c r="X3064" t="s">
        <v>55</v>
      </c>
      <c r="Y3064" t="s">
        <v>56</v>
      </c>
      <c r="Z3064">
        <v>1022</v>
      </c>
      <c r="AA3064">
        <v>65</v>
      </c>
      <c r="AB3064">
        <v>160</v>
      </c>
      <c r="AC3064" t="s">
        <v>2784</v>
      </c>
      <c r="AD3064" t="s">
        <v>2785</v>
      </c>
      <c r="AE3064" t="s">
        <v>2786</v>
      </c>
      <c r="AF3064" t="s">
        <v>2787</v>
      </c>
      <c r="AG3064" t="s">
        <v>2788</v>
      </c>
      <c r="AH3064" t="s">
        <v>2789</v>
      </c>
      <c r="AI3064" t="s">
        <v>306</v>
      </c>
      <c r="AJ3064" s="2">
        <v>45509.774652777778</v>
      </c>
      <c r="AK3064" t="s">
        <v>609</v>
      </c>
      <c r="AL3064" t="s">
        <v>65</v>
      </c>
      <c r="AM3064" s="3">
        <v>2.0277777777777777</v>
      </c>
      <c r="AN3064" t="s">
        <v>66</v>
      </c>
      <c r="AO3064" t="s">
        <v>67</v>
      </c>
    </row>
    <row r="3065" spans="1:41" x14ac:dyDescent="0.2">
      <c r="A3065">
        <v>362407</v>
      </c>
      <c r="B3065" t="s">
        <v>18517</v>
      </c>
      <c r="C3065" t="s">
        <v>182</v>
      </c>
      <c r="D3065" t="s">
        <v>4517</v>
      </c>
      <c r="E3065" t="s">
        <v>18518</v>
      </c>
      <c r="F3065">
        <v>45335</v>
      </c>
      <c r="G3065" s="1">
        <v>40266</v>
      </c>
      <c r="H3065" s="1">
        <v>45414</v>
      </c>
      <c r="I3065" s="1">
        <v>46068</v>
      </c>
      <c r="J3065" t="s">
        <v>45</v>
      </c>
      <c r="K3065" t="s">
        <v>45</v>
      </c>
      <c r="L3065" t="s">
        <v>72</v>
      </c>
      <c r="M3065" s="1">
        <v>43585</v>
      </c>
      <c r="N3065" t="s">
        <v>47</v>
      </c>
      <c r="O3065" t="s">
        <v>48</v>
      </c>
      <c r="P3065" t="s">
        <v>49</v>
      </c>
      <c r="Q3065" t="s">
        <v>18519</v>
      </c>
      <c r="R3065" t="s">
        <v>18520</v>
      </c>
      <c r="S3065">
        <v>1625</v>
      </c>
      <c r="T3065" t="s">
        <v>92</v>
      </c>
      <c r="U3065" t="s">
        <v>187</v>
      </c>
      <c r="V3065" t="s">
        <v>8597</v>
      </c>
      <c r="W3065" t="s">
        <v>8598</v>
      </c>
      <c r="X3065" t="s">
        <v>92</v>
      </c>
      <c r="Y3065" t="s">
        <v>110</v>
      </c>
      <c r="Z3065">
        <v>2342</v>
      </c>
      <c r="AA3065">
        <v>43</v>
      </c>
      <c r="AB3065">
        <v>38</v>
      </c>
      <c r="AC3065" t="s">
        <v>8605</v>
      </c>
      <c r="AD3065" t="s">
        <v>8603</v>
      </c>
      <c r="AE3065" t="s">
        <v>12167</v>
      </c>
      <c r="AF3065" t="s">
        <v>8602</v>
      </c>
      <c r="AG3065" t="s">
        <v>8603</v>
      </c>
      <c r="AH3065" t="s">
        <v>12168</v>
      </c>
      <c r="AI3065" t="s">
        <v>8603</v>
      </c>
      <c r="AJ3065" s="2">
        <v>45485.694178240738</v>
      </c>
      <c r="AK3065" t="s">
        <v>8605</v>
      </c>
      <c r="AL3065" t="s">
        <v>65</v>
      </c>
      <c r="AM3065" s="3">
        <v>2.0625</v>
      </c>
      <c r="AN3065" t="s">
        <v>66</v>
      </c>
      <c r="AO3065" t="s">
        <v>67</v>
      </c>
    </row>
    <row r="3066" spans="1:41" x14ac:dyDescent="0.2">
      <c r="A3066">
        <v>370894</v>
      </c>
      <c r="B3066" t="s">
        <v>18521</v>
      </c>
      <c r="C3066" t="s">
        <v>167</v>
      </c>
      <c r="D3066" t="s">
        <v>4132</v>
      </c>
      <c r="E3066" t="s">
        <v>18522</v>
      </c>
      <c r="F3066">
        <v>351811</v>
      </c>
      <c r="G3066" s="1">
        <v>33331</v>
      </c>
      <c r="H3066" s="1">
        <v>45762</v>
      </c>
      <c r="I3066" s="1">
        <v>46113</v>
      </c>
      <c r="J3066" t="s">
        <v>45</v>
      </c>
      <c r="K3066" t="s">
        <v>45</v>
      </c>
      <c r="L3066" t="s">
        <v>72</v>
      </c>
      <c r="M3066" s="1">
        <v>43340</v>
      </c>
      <c r="N3066" t="s">
        <v>47</v>
      </c>
      <c r="O3066" t="s">
        <v>48</v>
      </c>
      <c r="P3066" t="s">
        <v>49</v>
      </c>
      <c r="Q3066" t="s">
        <v>18523</v>
      </c>
      <c r="R3066" t="s">
        <v>18524</v>
      </c>
      <c r="S3066">
        <v>1346</v>
      </c>
      <c r="T3066" t="s">
        <v>92</v>
      </c>
      <c r="U3066" t="s">
        <v>3030</v>
      </c>
      <c r="V3066" t="s">
        <v>3031</v>
      </c>
      <c r="W3066" t="s">
        <v>3032</v>
      </c>
      <c r="X3066" t="s">
        <v>92</v>
      </c>
      <c r="Y3066" t="s">
        <v>110</v>
      </c>
      <c r="Z3066">
        <v>324</v>
      </c>
      <c r="AA3066">
        <v>69</v>
      </c>
      <c r="AB3066">
        <v>146</v>
      </c>
      <c r="AC3066" t="s">
        <v>4828</v>
      </c>
      <c r="AD3066" t="s">
        <v>18525</v>
      </c>
      <c r="AE3066" t="s">
        <v>4830</v>
      </c>
      <c r="AF3066" t="s">
        <v>7888</v>
      </c>
      <c r="AG3066" t="s">
        <v>4832</v>
      </c>
      <c r="AH3066" t="s">
        <v>4833</v>
      </c>
      <c r="AJ3066" s="2">
        <v>45789.764189814814</v>
      </c>
      <c r="AK3066" t="s">
        <v>4828</v>
      </c>
      <c r="AL3066" t="s">
        <v>65</v>
      </c>
      <c r="AM3066" s="3">
        <v>2.3847222222222224</v>
      </c>
      <c r="AN3066" t="s">
        <v>66</v>
      </c>
      <c r="AO3066" t="s">
        <v>67</v>
      </c>
    </row>
    <row r="3067" spans="1:41" x14ac:dyDescent="0.2">
      <c r="A3067">
        <v>370227</v>
      </c>
      <c r="B3067" t="s">
        <v>18526</v>
      </c>
      <c r="C3067" t="s">
        <v>1013</v>
      </c>
      <c r="D3067" t="s">
        <v>18527</v>
      </c>
      <c r="E3067" t="s">
        <v>18528</v>
      </c>
      <c r="F3067">
        <v>324101</v>
      </c>
      <c r="G3067" s="1">
        <v>43657</v>
      </c>
      <c r="H3067" s="1">
        <v>45765</v>
      </c>
      <c r="I3067" s="1">
        <v>46082</v>
      </c>
      <c r="J3067" t="s">
        <v>45</v>
      </c>
      <c r="K3067" t="s">
        <v>45</v>
      </c>
      <c r="L3067" t="s">
        <v>72</v>
      </c>
      <c r="M3067" s="1">
        <v>44007</v>
      </c>
      <c r="N3067" t="s">
        <v>47</v>
      </c>
      <c r="O3067" t="s">
        <v>48</v>
      </c>
      <c r="P3067" t="s">
        <v>49</v>
      </c>
      <c r="Q3067" t="s">
        <v>18529</v>
      </c>
      <c r="R3067" t="s">
        <v>18530</v>
      </c>
      <c r="S3067">
        <v>2375</v>
      </c>
      <c r="T3067" t="s">
        <v>257</v>
      </c>
      <c r="U3067" t="s">
        <v>258</v>
      </c>
      <c r="V3067" t="s">
        <v>13663</v>
      </c>
      <c r="W3067" t="s">
        <v>260</v>
      </c>
      <c r="X3067" t="s">
        <v>257</v>
      </c>
      <c r="Y3067" t="s">
        <v>110</v>
      </c>
      <c r="Z3067">
        <v>10326</v>
      </c>
      <c r="AA3067">
        <v>16</v>
      </c>
      <c r="AB3067">
        <v>174</v>
      </c>
      <c r="AC3067" t="s">
        <v>10422</v>
      </c>
      <c r="AD3067" t="s">
        <v>18531</v>
      </c>
      <c r="AE3067" t="s">
        <v>10424</v>
      </c>
      <c r="AF3067" t="s">
        <v>9937</v>
      </c>
      <c r="AG3067" t="s">
        <v>10425</v>
      </c>
      <c r="AH3067" t="s">
        <v>9939</v>
      </c>
      <c r="AI3067" t="s">
        <v>18532</v>
      </c>
      <c r="AJ3067" s="2">
        <v>45766.685486111113</v>
      </c>
      <c r="AK3067" t="s">
        <v>10427</v>
      </c>
      <c r="AL3067" t="s">
        <v>65</v>
      </c>
      <c r="AM3067" s="4">
        <v>0.49305555555555558</v>
      </c>
      <c r="AN3067" t="s">
        <v>66</v>
      </c>
      <c r="AO3067" t="s">
        <v>67</v>
      </c>
    </row>
    <row r="3068" spans="1:41" x14ac:dyDescent="0.2">
      <c r="A3068">
        <v>372407</v>
      </c>
      <c r="B3068" t="s">
        <v>18533</v>
      </c>
      <c r="C3068" t="s">
        <v>345</v>
      </c>
      <c r="E3068" t="s">
        <v>18534</v>
      </c>
      <c r="F3068">
        <v>54801</v>
      </c>
      <c r="G3068" s="1">
        <v>32840</v>
      </c>
      <c r="H3068" s="1">
        <v>45833</v>
      </c>
      <c r="I3068" s="1">
        <v>46235</v>
      </c>
      <c r="J3068" t="s">
        <v>45</v>
      </c>
      <c r="K3068" t="s">
        <v>45</v>
      </c>
      <c r="L3068" t="s">
        <v>429</v>
      </c>
      <c r="M3068" s="1">
        <v>43291</v>
      </c>
      <c r="N3068" t="s">
        <v>47</v>
      </c>
      <c r="O3068" t="s">
        <v>48</v>
      </c>
      <c r="P3068" t="s">
        <v>49</v>
      </c>
      <c r="Q3068" t="s">
        <v>18535</v>
      </c>
      <c r="R3068" t="s">
        <v>18536</v>
      </c>
      <c r="S3068">
        <v>9053</v>
      </c>
      <c r="T3068" t="s">
        <v>52</v>
      </c>
      <c r="U3068">
        <v>2</v>
      </c>
      <c r="V3068" t="s">
        <v>1522</v>
      </c>
      <c r="W3068" t="s">
        <v>54</v>
      </c>
      <c r="X3068" t="s">
        <v>55</v>
      </c>
      <c r="Y3068" t="s">
        <v>56</v>
      </c>
      <c r="Z3068">
        <v>590</v>
      </c>
      <c r="AA3068">
        <v>64</v>
      </c>
      <c r="AB3068">
        <v>160</v>
      </c>
      <c r="AC3068" t="s">
        <v>2688</v>
      </c>
      <c r="AD3068" t="s">
        <v>2689</v>
      </c>
      <c r="AE3068" t="s">
        <v>2690</v>
      </c>
      <c r="AF3068" t="s">
        <v>18537</v>
      </c>
      <c r="AG3068" t="s">
        <v>1527</v>
      </c>
      <c r="AH3068" t="s">
        <v>1528</v>
      </c>
      <c r="AI3068" t="s">
        <v>2691</v>
      </c>
      <c r="AJ3068" s="2">
        <v>45838.907731481479</v>
      </c>
      <c r="AK3068" t="s">
        <v>609</v>
      </c>
      <c r="AL3068" t="s">
        <v>65</v>
      </c>
      <c r="AM3068" s="3">
        <v>2.3680555555555554</v>
      </c>
      <c r="AN3068" t="s">
        <v>809</v>
      </c>
      <c r="AO3068" t="s">
        <v>67</v>
      </c>
    </row>
    <row r="3069" spans="1:41" x14ac:dyDescent="0.2">
      <c r="A3069">
        <v>370639</v>
      </c>
      <c r="B3069" t="s">
        <v>18538</v>
      </c>
      <c r="C3069" t="s">
        <v>323</v>
      </c>
      <c r="D3069" t="s">
        <v>2171</v>
      </c>
      <c r="E3069" t="s">
        <v>18539</v>
      </c>
      <c r="F3069">
        <v>500971</v>
      </c>
      <c r="G3069" s="1">
        <v>39213</v>
      </c>
      <c r="H3069" s="1">
        <v>45779</v>
      </c>
      <c r="I3069" s="1">
        <v>46037</v>
      </c>
      <c r="J3069" t="s">
        <v>45</v>
      </c>
      <c r="K3069" t="s">
        <v>45</v>
      </c>
      <c r="L3069" t="s">
        <v>72</v>
      </c>
      <c r="M3069" s="1">
        <v>45476</v>
      </c>
      <c r="N3069" t="s">
        <v>47</v>
      </c>
      <c r="O3069" t="s">
        <v>48</v>
      </c>
      <c r="P3069" t="s">
        <v>586</v>
      </c>
      <c r="Q3069" t="s">
        <v>18540</v>
      </c>
      <c r="R3069" t="s">
        <v>18541</v>
      </c>
      <c r="S3069">
        <v>200</v>
      </c>
      <c r="T3069" t="s">
        <v>92</v>
      </c>
      <c r="U3069" t="s">
        <v>329</v>
      </c>
      <c r="V3069" t="s">
        <v>722</v>
      </c>
      <c r="W3069" t="s">
        <v>723</v>
      </c>
      <c r="X3069" t="s">
        <v>92</v>
      </c>
      <c r="Y3069" t="s">
        <v>110</v>
      </c>
      <c r="Z3069">
        <v>890</v>
      </c>
      <c r="AA3069">
        <v>44</v>
      </c>
      <c r="AB3069">
        <v>166</v>
      </c>
      <c r="AC3069" t="s">
        <v>18542</v>
      </c>
      <c r="AD3069" t="s">
        <v>2408</v>
      </c>
      <c r="AE3069" t="s">
        <v>2177</v>
      </c>
      <c r="AJ3069" s="2">
        <v>45782.703287037039</v>
      </c>
      <c r="AK3069" t="s">
        <v>331</v>
      </c>
      <c r="AL3069" t="s">
        <v>65</v>
      </c>
      <c r="AM3069" s="3">
        <v>2.4305555555555554</v>
      </c>
      <c r="AN3069" t="s">
        <v>66</v>
      </c>
      <c r="AO3069" t="s">
        <v>67</v>
      </c>
    </row>
    <row r="3070" spans="1:41" x14ac:dyDescent="0.2">
      <c r="A3070">
        <v>368163</v>
      </c>
      <c r="B3070" t="s">
        <v>18543</v>
      </c>
      <c r="C3070" t="s">
        <v>167</v>
      </c>
      <c r="D3070" t="s">
        <v>3504</v>
      </c>
      <c r="E3070" t="s">
        <v>18544</v>
      </c>
      <c r="F3070">
        <v>352561</v>
      </c>
      <c r="G3070" s="1">
        <v>38510</v>
      </c>
      <c r="H3070" s="1">
        <v>45699</v>
      </c>
      <c r="I3070" s="1">
        <v>46054</v>
      </c>
      <c r="J3070" t="s">
        <v>45</v>
      </c>
      <c r="K3070" t="s">
        <v>45</v>
      </c>
      <c r="L3070" t="s">
        <v>72</v>
      </c>
      <c r="M3070" s="1">
        <v>43003</v>
      </c>
      <c r="N3070" t="s">
        <v>47</v>
      </c>
      <c r="O3070" t="s">
        <v>48</v>
      </c>
      <c r="P3070" t="s">
        <v>49</v>
      </c>
      <c r="Q3070" t="s">
        <v>18545</v>
      </c>
      <c r="R3070" t="s">
        <v>18546</v>
      </c>
      <c r="S3070">
        <v>451</v>
      </c>
      <c r="T3070" t="s">
        <v>365</v>
      </c>
      <c r="U3070" t="s">
        <v>532</v>
      </c>
      <c r="V3070" t="s">
        <v>3508</v>
      </c>
      <c r="W3070" t="s">
        <v>367</v>
      </c>
      <c r="X3070" t="s">
        <v>76</v>
      </c>
      <c r="Y3070" t="s">
        <v>434</v>
      </c>
      <c r="Z3070">
        <v>301</v>
      </c>
      <c r="AA3070">
        <v>98</v>
      </c>
      <c r="AB3070">
        <v>38</v>
      </c>
      <c r="AC3070" t="s">
        <v>3254</v>
      </c>
      <c r="AD3070" t="s">
        <v>3255</v>
      </c>
      <c r="AE3070" t="s">
        <v>3256</v>
      </c>
      <c r="AI3070" t="s">
        <v>179</v>
      </c>
      <c r="AJ3070" s="2">
        <v>45702.614641203705</v>
      </c>
      <c r="AK3070" t="s">
        <v>180</v>
      </c>
      <c r="AL3070" t="s">
        <v>65</v>
      </c>
      <c r="AM3070" s="3">
        <v>2.25</v>
      </c>
      <c r="AN3070" t="s">
        <v>66</v>
      </c>
      <c r="AO3070" t="s">
        <v>67</v>
      </c>
    </row>
    <row r="3071" spans="1:41" x14ac:dyDescent="0.2">
      <c r="A3071">
        <v>365456</v>
      </c>
      <c r="B3071" t="s">
        <v>18543</v>
      </c>
      <c r="C3071" t="s">
        <v>692</v>
      </c>
      <c r="D3071" t="s">
        <v>2245</v>
      </c>
      <c r="E3071" t="s">
        <v>18547</v>
      </c>
      <c r="F3071">
        <v>480302</v>
      </c>
      <c r="G3071" s="1">
        <v>44019</v>
      </c>
      <c r="H3071" s="1">
        <v>45561</v>
      </c>
      <c r="I3071" s="1">
        <v>45931</v>
      </c>
      <c r="J3071" t="s">
        <v>45</v>
      </c>
      <c r="K3071" t="s">
        <v>45</v>
      </c>
      <c r="L3071" t="s">
        <v>429</v>
      </c>
      <c r="N3071" t="s">
        <v>47</v>
      </c>
      <c r="O3071" t="s">
        <v>48</v>
      </c>
      <c r="P3071" t="s">
        <v>49</v>
      </c>
      <c r="Q3071" t="s">
        <v>18548</v>
      </c>
      <c r="R3071" t="s">
        <v>18549</v>
      </c>
      <c r="S3071">
        <v>4310</v>
      </c>
      <c r="T3071" t="s">
        <v>365</v>
      </c>
      <c r="U3071" t="s">
        <v>432</v>
      </c>
      <c r="V3071" t="s">
        <v>4190</v>
      </c>
      <c r="W3071" t="s">
        <v>367</v>
      </c>
      <c r="X3071" t="s">
        <v>76</v>
      </c>
      <c r="Y3071" t="s">
        <v>434</v>
      </c>
      <c r="Z3071">
        <v>11126</v>
      </c>
      <c r="AA3071">
        <v>23</v>
      </c>
      <c r="AB3071">
        <v>78</v>
      </c>
      <c r="AC3071" t="s">
        <v>6643</v>
      </c>
      <c r="AD3071" t="s">
        <v>6644</v>
      </c>
      <c r="AE3071" t="s">
        <v>6645</v>
      </c>
      <c r="AF3071" t="s">
        <v>6646</v>
      </c>
      <c r="AG3071" t="s">
        <v>6647</v>
      </c>
      <c r="AH3071" t="s">
        <v>6648</v>
      </c>
      <c r="AI3071" t="s">
        <v>6649</v>
      </c>
      <c r="AJ3071" s="2">
        <v>45582.744895833333</v>
      </c>
      <c r="AK3071" t="s">
        <v>6650</v>
      </c>
      <c r="AL3071" t="s">
        <v>65</v>
      </c>
      <c r="AM3071" s="3">
        <v>2.0763888888888888</v>
      </c>
      <c r="AN3071" t="s">
        <v>66</v>
      </c>
      <c r="AO3071" t="s">
        <v>67</v>
      </c>
    </row>
    <row r="3072" spans="1:41" x14ac:dyDescent="0.2">
      <c r="A3072">
        <v>364700</v>
      </c>
      <c r="B3072" t="s">
        <v>18543</v>
      </c>
      <c r="C3072" t="s">
        <v>345</v>
      </c>
      <c r="D3072" t="s">
        <v>168</v>
      </c>
      <c r="E3072" t="s">
        <v>18550</v>
      </c>
      <c r="F3072">
        <v>50304</v>
      </c>
      <c r="G3072" s="1">
        <v>40073</v>
      </c>
      <c r="H3072" s="1">
        <v>45557</v>
      </c>
      <c r="I3072" s="1">
        <v>45915</v>
      </c>
      <c r="J3072" t="s">
        <v>45</v>
      </c>
      <c r="K3072" t="s">
        <v>45</v>
      </c>
      <c r="L3072" t="s">
        <v>72</v>
      </c>
      <c r="M3072" s="1">
        <v>41964</v>
      </c>
      <c r="N3072" t="s">
        <v>47</v>
      </c>
      <c r="O3072" t="s">
        <v>48</v>
      </c>
      <c r="P3072" t="s">
        <v>49</v>
      </c>
      <c r="Q3072" t="s">
        <v>18551</v>
      </c>
      <c r="R3072" t="s">
        <v>18552</v>
      </c>
      <c r="S3072">
        <v>9750</v>
      </c>
      <c r="T3072" t="s">
        <v>52</v>
      </c>
      <c r="U3072">
        <v>2</v>
      </c>
      <c r="V3072" t="s">
        <v>6673</v>
      </c>
      <c r="W3072" t="s">
        <v>54</v>
      </c>
      <c r="X3072" t="s">
        <v>55</v>
      </c>
      <c r="Y3072" t="s">
        <v>56</v>
      </c>
      <c r="Z3072">
        <v>589</v>
      </c>
      <c r="AA3072">
        <v>51</v>
      </c>
      <c r="AB3072">
        <v>38</v>
      </c>
      <c r="AC3072" t="s">
        <v>6674</v>
      </c>
      <c r="AD3072" t="s">
        <v>6675</v>
      </c>
      <c r="AE3072" t="s">
        <v>6676</v>
      </c>
      <c r="AF3072" t="s">
        <v>6677</v>
      </c>
      <c r="AG3072" t="s">
        <v>6678</v>
      </c>
      <c r="AH3072" t="s">
        <v>6679</v>
      </c>
      <c r="AI3072" t="s">
        <v>179</v>
      </c>
      <c r="AJ3072" s="2">
        <v>45558.067256944443</v>
      </c>
      <c r="AK3072" t="s">
        <v>4471</v>
      </c>
      <c r="AL3072" t="s">
        <v>65</v>
      </c>
      <c r="AM3072" s="3">
        <v>2.1597222222222223</v>
      </c>
      <c r="AN3072" t="s">
        <v>66</v>
      </c>
      <c r="AO3072" t="s">
        <v>67</v>
      </c>
    </row>
    <row r="3073" spans="1:41" x14ac:dyDescent="0.2">
      <c r="A3073">
        <v>339387</v>
      </c>
      <c r="B3073" t="s">
        <v>18553</v>
      </c>
      <c r="C3073" t="s">
        <v>278</v>
      </c>
      <c r="D3073" t="s">
        <v>279</v>
      </c>
      <c r="E3073" t="s">
        <v>18554</v>
      </c>
      <c r="G3073" s="1">
        <v>36060</v>
      </c>
      <c r="H3073" s="1">
        <v>43395</v>
      </c>
      <c r="J3073" t="s">
        <v>326</v>
      </c>
      <c r="K3073" t="s">
        <v>45</v>
      </c>
      <c r="L3073" t="s">
        <v>72</v>
      </c>
      <c r="M3073" s="1">
        <v>43033</v>
      </c>
      <c r="N3073" t="s">
        <v>47</v>
      </c>
      <c r="O3073" t="s">
        <v>48</v>
      </c>
      <c r="P3073" t="s">
        <v>1752</v>
      </c>
      <c r="Q3073" t="s">
        <v>18555</v>
      </c>
      <c r="R3073" t="s">
        <v>18556</v>
      </c>
      <c r="S3073">
        <v>6717</v>
      </c>
      <c r="T3073" t="s">
        <v>365</v>
      </c>
      <c r="U3073" t="s">
        <v>432</v>
      </c>
      <c r="V3073" t="s">
        <v>2214</v>
      </c>
      <c r="W3073" t="s">
        <v>409</v>
      </c>
      <c r="X3073" t="s">
        <v>76</v>
      </c>
      <c r="Y3073" t="s">
        <v>642</v>
      </c>
      <c r="Z3073">
        <v>8886</v>
      </c>
      <c r="AA3073">
        <v>14</v>
      </c>
      <c r="AB3073">
        <v>78</v>
      </c>
      <c r="AC3073" t="s">
        <v>18557</v>
      </c>
      <c r="AD3073" t="s">
        <v>2216</v>
      </c>
      <c r="AE3073" t="s">
        <v>2217</v>
      </c>
      <c r="AJ3073" s="2">
        <v>44686.578368055554</v>
      </c>
      <c r="AK3073" t="s">
        <v>149</v>
      </c>
      <c r="AL3073" t="s">
        <v>1168</v>
      </c>
      <c r="AM3073" s="3">
        <v>1.5416666666666667</v>
      </c>
      <c r="AN3073" t="s">
        <v>66</v>
      </c>
      <c r="AO3073" t="s">
        <v>67</v>
      </c>
    </row>
    <row r="3074" spans="1:41" x14ac:dyDescent="0.2">
      <c r="A3074">
        <v>371716</v>
      </c>
      <c r="B3074" t="s">
        <v>18558</v>
      </c>
      <c r="C3074" t="s">
        <v>323</v>
      </c>
      <c r="D3074" t="s">
        <v>324</v>
      </c>
      <c r="E3074" t="s">
        <v>18559</v>
      </c>
      <c r="F3074">
        <v>500757</v>
      </c>
      <c r="G3074" s="1">
        <v>42859</v>
      </c>
      <c r="H3074" s="1">
        <v>45765</v>
      </c>
      <c r="I3074" s="1">
        <v>46037</v>
      </c>
      <c r="J3074" t="s">
        <v>45</v>
      </c>
      <c r="K3074" t="s">
        <v>45</v>
      </c>
      <c r="L3074" t="s">
        <v>72</v>
      </c>
      <c r="M3074" s="1">
        <v>42856</v>
      </c>
      <c r="N3074" t="s">
        <v>47</v>
      </c>
      <c r="O3074" t="s">
        <v>48</v>
      </c>
      <c r="P3074" t="s">
        <v>586</v>
      </c>
      <c r="Q3074" t="s">
        <v>18560</v>
      </c>
      <c r="R3074" t="s">
        <v>18561</v>
      </c>
      <c r="S3074">
        <v>1250</v>
      </c>
      <c r="T3074" t="s">
        <v>1328</v>
      </c>
      <c r="U3074" t="s">
        <v>3114</v>
      </c>
      <c r="V3074" t="s">
        <v>3115</v>
      </c>
      <c r="W3074" t="s">
        <v>3116</v>
      </c>
      <c r="X3074" t="s">
        <v>1328</v>
      </c>
      <c r="Y3074" t="s">
        <v>110</v>
      </c>
      <c r="Z3074">
        <v>8828</v>
      </c>
      <c r="AA3074">
        <v>15</v>
      </c>
      <c r="AB3074">
        <v>78</v>
      </c>
      <c r="AC3074" t="s">
        <v>2833</v>
      </c>
      <c r="AD3074" t="s">
        <v>2834</v>
      </c>
      <c r="AE3074" t="s">
        <v>2835</v>
      </c>
      <c r="AF3074" t="s">
        <v>368</v>
      </c>
      <c r="AG3074" t="s">
        <v>369</v>
      </c>
      <c r="AH3074" t="s">
        <v>370</v>
      </c>
      <c r="AJ3074" s="2">
        <v>45818.72556712963</v>
      </c>
      <c r="AK3074" t="s">
        <v>727</v>
      </c>
      <c r="AL3074" t="s">
        <v>65</v>
      </c>
      <c r="AM3074" s="4">
        <v>0.40972222222222221</v>
      </c>
      <c r="AN3074" t="s">
        <v>66</v>
      </c>
      <c r="AO3074" t="s">
        <v>67</v>
      </c>
    </row>
    <row r="3075" spans="1:41" x14ac:dyDescent="0.2">
      <c r="A3075">
        <v>373004</v>
      </c>
      <c r="B3075" t="s">
        <v>18562</v>
      </c>
      <c r="C3075" t="s">
        <v>788</v>
      </c>
      <c r="D3075" t="s">
        <v>789</v>
      </c>
      <c r="E3075" t="s">
        <v>18563</v>
      </c>
      <c r="F3075">
        <v>82001</v>
      </c>
      <c r="G3075" s="1">
        <v>34170</v>
      </c>
      <c r="H3075" s="1">
        <v>45617</v>
      </c>
      <c r="I3075" s="1">
        <v>45992</v>
      </c>
      <c r="J3075" t="s">
        <v>45</v>
      </c>
      <c r="K3075" t="s">
        <v>45</v>
      </c>
      <c r="L3075" t="s">
        <v>545</v>
      </c>
      <c r="M3075" s="1">
        <v>44943</v>
      </c>
      <c r="N3075" t="s">
        <v>47</v>
      </c>
      <c r="O3075" t="s">
        <v>48</v>
      </c>
      <c r="P3075" t="s">
        <v>49</v>
      </c>
      <c r="Q3075" t="s">
        <v>18564</v>
      </c>
      <c r="R3075" t="s">
        <v>18565</v>
      </c>
      <c r="S3075">
        <v>65</v>
      </c>
      <c r="T3075" t="s">
        <v>52</v>
      </c>
      <c r="U3075">
        <v>8</v>
      </c>
      <c r="V3075" t="s">
        <v>793</v>
      </c>
      <c r="W3075" t="s">
        <v>54</v>
      </c>
      <c r="X3075" t="s">
        <v>76</v>
      </c>
      <c r="Y3075" t="s">
        <v>56</v>
      </c>
      <c r="Z3075">
        <v>1055</v>
      </c>
      <c r="AA3075">
        <v>53</v>
      </c>
      <c r="AB3075">
        <v>45</v>
      </c>
      <c r="AC3075" t="s">
        <v>797</v>
      </c>
      <c r="AD3075" t="s">
        <v>2864</v>
      </c>
      <c r="AE3075" t="s">
        <v>6891</v>
      </c>
      <c r="AF3075" t="s">
        <v>794</v>
      </c>
      <c r="AG3075" t="s">
        <v>795</v>
      </c>
      <c r="AH3075" t="s">
        <v>17146</v>
      </c>
      <c r="AI3075" t="s">
        <v>795</v>
      </c>
      <c r="AJ3075" s="2">
        <v>45855.996134259258</v>
      </c>
      <c r="AK3075" t="s">
        <v>556</v>
      </c>
      <c r="AL3075" t="s">
        <v>65</v>
      </c>
      <c r="AM3075" s="3">
        <v>1.9930555555555556</v>
      </c>
      <c r="AN3075" t="s">
        <v>66</v>
      </c>
      <c r="AO3075" t="s">
        <v>101</v>
      </c>
    </row>
    <row r="3076" spans="1:41" x14ac:dyDescent="0.2">
      <c r="A3076">
        <v>369656</v>
      </c>
      <c r="B3076" t="s">
        <v>18566</v>
      </c>
      <c r="C3076" t="s">
        <v>182</v>
      </c>
      <c r="D3076" t="s">
        <v>779</v>
      </c>
      <c r="E3076" t="s">
        <v>18567</v>
      </c>
      <c r="G3076" s="1">
        <v>41403</v>
      </c>
      <c r="H3076" s="1">
        <v>45742</v>
      </c>
      <c r="J3076" t="s">
        <v>45</v>
      </c>
      <c r="K3076" t="s">
        <v>45</v>
      </c>
      <c r="L3076" t="s">
        <v>72</v>
      </c>
      <c r="N3076" t="s">
        <v>47</v>
      </c>
      <c r="O3076" t="s">
        <v>48</v>
      </c>
      <c r="P3076" t="s">
        <v>406</v>
      </c>
      <c r="Q3076" t="s">
        <v>18568</v>
      </c>
      <c r="R3076" t="s">
        <v>18569</v>
      </c>
      <c r="S3076">
        <v>3375</v>
      </c>
      <c r="T3076" t="s">
        <v>257</v>
      </c>
      <c r="U3076" t="s">
        <v>640</v>
      </c>
      <c r="V3076" t="s">
        <v>11384</v>
      </c>
      <c r="W3076" t="s">
        <v>260</v>
      </c>
      <c r="X3076" t="s">
        <v>257</v>
      </c>
      <c r="Y3076" t="s">
        <v>642</v>
      </c>
      <c r="Z3076">
        <v>6069</v>
      </c>
      <c r="AA3076">
        <v>15</v>
      </c>
      <c r="AB3076">
        <v>28</v>
      </c>
      <c r="AC3076" t="s">
        <v>6100</v>
      </c>
      <c r="AD3076" t="s">
        <v>6101</v>
      </c>
      <c r="AE3076" t="s">
        <v>6102</v>
      </c>
      <c r="AF3076" t="s">
        <v>6103</v>
      </c>
      <c r="AG3076" t="s">
        <v>7179</v>
      </c>
      <c r="AH3076" t="s">
        <v>6105</v>
      </c>
      <c r="AI3076" t="s">
        <v>6106</v>
      </c>
      <c r="AJ3076" s="2">
        <v>45748.009942129633</v>
      </c>
      <c r="AK3076" t="s">
        <v>6107</v>
      </c>
      <c r="AL3076" t="s">
        <v>1168</v>
      </c>
      <c r="AM3076" s="3">
        <v>1.4513888888888888</v>
      </c>
      <c r="AN3076" t="s">
        <v>66</v>
      </c>
      <c r="AO3076" t="s">
        <v>67</v>
      </c>
    </row>
    <row r="3077" spans="1:41" x14ac:dyDescent="0.2">
      <c r="A3077">
        <v>362559</v>
      </c>
      <c r="B3077" t="s">
        <v>18570</v>
      </c>
      <c r="C3077" t="s">
        <v>1107</v>
      </c>
      <c r="D3077" t="s">
        <v>6780</v>
      </c>
      <c r="E3077" t="s">
        <v>18571</v>
      </c>
      <c r="F3077">
        <v>237001</v>
      </c>
      <c r="G3077" s="1">
        <v>44357</v>
      </c>
      <c r="H3077" s="1">
        <v>45489</v>
      </c>
      <c r="I3077" s="1">
        <v>46174</v>
      </c>
      <c r="J3077" t="s">
        <v>45</v>
      </c>
      <c r="K3077" t="s">
        <v>45</v>
      </c>
      <c r="L3077" t="s">
        <v>72</v>
      </c>
      <c r="N3077" t="s">
        <v>47</v>
      </c>
      <c r="O3077" t="s">
        <v>48</v>
      </c>
      <c r="P3077" t="s">
        <v>49</v>
      </c>
      <c r="Q3077" t="s">
        <v>18572</v>
      </c>
      <c r="R3077" t="s">
        <v>18573</v>
      </c>
      <c r="S3077">
        <v>1215</v>
      </c>
      <c r="T3077" t="s">
        <v>257</v>
      </c>
      <c r="U3077" t="s">
        <v>258</v>
      </c>
      <c r="V3077" t="s">
        <v>18574</v>
      </c>
      <c r="W3077" t="s">
        <v>260</v>
      </c>
      <c r="X3077" t="s">
        <v>257</v>
      </c>
      <c r="Y3077" t="s">
        <v>110</v>
      </c>
      <c r="Z3077">
        <v>10586</v>
      </c>
      <c r="AA3077">
        <v>16</v>
      </c>
      <c r="AB3077">
        <v>166</v>
      </c>
      <c r="AC3077" t="s">
        <v>2484</v>
      </c>
      <c r="AD3077" t="s">
        <v>18575</v>
      </c>
      <c r="AE3077" t="s">
        <v>2486</v>
      </c>
      <c r="AF3077" t="s">
        <v>264</v>
      </c>
      <c r="AG3077" t="s">
        <v>1540</v>
      </c>
      <c r="AH3077" t="s">
        <v>17743</v>
      </c>
      <c r="AJ3077" s="2">
        <v>45490.584166666667</v>
      </c>
      <c r="AK3077" t="s">
        <v>2484</v>
      </c>
      <c r="AL3077" t="s">
        <v>65</v>
      </c>
      <c r="AM3077" s="3">
        <v>2.25</v>
      </c>
      <c r="AN3077" t="s">
        <v>66</v>
      </c>
      <c r="AO3077" t="s">
        <v>67</v>
      </c>
    </row>
    <row r="3078" spans="1:41" x14ac:dyDescent="0.2">
      <c r="A3078">
        <v>368348</v>
      </c>
      <c r="B3078" t="s">
        <v>18576</v>
      </c>
      <c r="C3078" t="s">
        <v>662</v>
      </c>
      <c r="D3078" t="s">
        <v>6607</v>
      </c>
      <c r="E3078" t="s">
        <v>18577</v>
      </c>
      <c r="G3078" s="1">
        <v>42968</v>
      </c>
      <c r="H3078" s="1">
        <v>45609</v>
      </c>
      <c r="I3078" s="1">
        <v>45931</v>
      </c>
      <c r="J3078" t="s">
        <v>45</v>
      </c>
      <c r="K3078" t="s">
        <v>45</v>
      </c>
      <c r="L3078" t="s">
        <v>72</v>
      </c>
      <c r="M3078" s="1">
        <v>43634</v>
      </c>
      <c r="N3078" t="s">
        <v>47</v>
      </c>
      <c r="O3078" t="s">
        <v>121</v>
      </c>
      <c r="P3078" t="s">
        <v>586</v>
      </c>
      <c r="Q3078" t="s">
        <v>18578</v>
      </c>
      <c r="R3078" t="s">
        <v>18579</v>
      </c>
      <c r="S3078">
        <v>1248</v>
      </c>
      <c r="T3078" t="s">
        <v>92</v>
      </c>
      <c r="U3078" t="s">
        <v>1197</v>
      </c>
      <c r="V3078" t="s">
        <v>6611</v>
      </c>
      <c r="W3078" t="s">
        <v>6612</v>
      </c>
      <c r="X3078" t="s">
        <v>92</v>
      </c>
      <c r="Y3078" t="s">
        <v>110</v>
      </c>
      <c r="Z3078">
        <v>9186</v>
      </c>
      <c r="AA3078">
        <v>16</v>
      </c>
      <c r="AB3078">
        <v>28</v>
      </c>
      <c r="AC3078" t="s">
        <v>6613</v>
      </c>
      <c r="AD3078" t="s">
        <v>6614</v>
      </c>
      <c r="AE3078" t="s">
        <v>6615</v>
      </c>
      <c r="AF3078" t="s">
        <v>6616</v>
      </c>
      <c r="AG3078" t="s">
        <v>6617</v>
      </c>
      <c r="AH3078" t="s">
        <v>6618</v>
      </c>
      <c r="AJ3078" s="2">
        <v>45707.704756944448</v>
      </c>
      <c r="AK3078" t="s">
        <v>6613</v>
      </c>
      <c r="AL3078" t="s">
        <v>65</v>
      </c>
      <c r="AM3078" s="4">
        <v>1.3888888888888888E-2</v>
      </c>
      <c r="AN3078" t="s">
        <v>66</v>
      </c>
      <c r="AO3078" t="s">
        <v>67</v>
      </c>
    </row>
    <row r="3079" spans="1:41" x14ac:dyDescent="0.2">
      <c r="A3079">
        <v>372993</v>
      </c>
      <c r="B3079" t="s">
        <v>18580</v>
      </c>
      <c r="C3079" t="s">
        <v>2298</v>
      </c>
      <c r="D3079" t="s">
        <v>237</v>
      </c>
      <c r="E3079" t="s">
        <v>18581</v>
      </c>
      <c r="F3079">
        <v>220202</v>
      </c>
      <c r="G3079" s="1">
        <v>37343</v>
      </c>
      <c r="H3079" s="1">
        <v>45672</v>
      </c>
      <c r="I3079" s="1">
        <v>46037</v>
      </c>
      <c r="J3079" t="s">
        <v>45</v>
      </c>
      <c r="K3079" t="s">
        <v>45</v>
      </c>
      <c r="L3079" t="s">
        <v>545</v>
      </c>
      <c r="M3079" s="1">
        <v>41277</v>
      </c>
      <c r="N3079" t="s">
        <v>47</v>
      </c>
      <c r="O3079" t="s">
        <v>48</v>
      </c>
      <c r="P3079" t="s">
        <v>49</v>
      </c>
      <c r="Q3079" t="s">
        <v>18582</v>
      </c>
      <c r="R3079" t="s">
        <v>18583</v>
      </c>
      <c r="S3079">
        <v>500</v>
      </c>
      <c r="T3079" t="s">
        <v>52</v>
      </c>
      <c r="U3079">
        <v>8</v>
      </c>
      <c r="V3079" t="s">
        <v>2302</v>
      </c>
      <c r="W3079" t="s">
        <v>54</v>
      </c>
      <c r="X3079" t="s">
        <v>76</v>
      </c>
      <c r="Y3079" t="s">
        <v>56</v>
      </c>
      <c r="Z3079">
        <v>1469</v>
      </c>
      <c r="AA3079">
        <v>41</v>
      </c>
      <c r="AB3079">
        <v>15</v>
      </c>
      <c r="AC3079" t="s">
        <v>3653</v>
      </c>
      <c r="AD3079" t="s">
        <v>2304</v>
      </c>
      <c r="AE3079" t="s">
        <v>2305</v>
      </c>
      <c r="AF3079" t="s">
        <v>18584</v>
      </c>
      <c r="AG3079" t="s">
        <v>18585</v>
      </c>
      <c r="AH3079" t="s">
        <v>18586</v>
      </c>
      <c r="AI3079" t="s">
        <v>2304</v>
      </c>
      <c r="AJ3079" s="2">
        <v>45855.988761574074</v>
      </c>
      <c r="AK3079" t="s">
        <v>556</v>
      </c>
      <c r="AL3079" t="s">
        <v>65</v>
      </c>
      <c r="AM3079" s="4">
        <v>0.21180555555555555</v>
      </c>
      <c r="AN3079" t="s">
        <v>809</v>
      </c>
      <c r="AO3079" t="s">
        <v>101</v>
      </c>
    </row>
    <row r="3080" spans="1:41" x14ac:dyDescent="0.2">
      <c r="A3080">
        <v>373048</v>
      </c>
      <c r="B3080" t="s">
        <v>18587</v>
      </c>
      <c r="C3080" t="s">
        <v>692</v>
      </c>
      <c r="D3080" t="s">
        <v>1927</v>
      </c>
      <c r="E3080">
        <v>52117480</v>
      </c>
      <c r="F3080">
        <v>481411</v>
      </c>
      <c r="G3080" s="1">
        <v>33429</v>
      </c>
      <c r="H3080" s="1">
        <v>45491</v>
      </c>
      <c r="I3080" s="1">
        <v>46204</v>
      </c>
      <c r="J3080" t="s">
        <v>45</v>
      </c>
      <c r="K3080" t="s">
        <v>45</v>
      </c>
      <c r="L3080" t="s">
        <v>429</v>
      </c>
      <c r="M3080" s="1">
        <v>37910</v>
      </c>
      <c r="N3080" t="s">
        <v>47</v>
      </c>
      <c r="O3080" t="s">
        <v>48</v>
      </c>
      <c r="P3080" t="s">
        <v>49</v>
      </c>
      <c r="Q3080" t="s">
        <v>18588</v>
      </c>
      <c r="R3080" t="s">
        <v>18589</v>
      </c>
      <c r="S3080">
        <v>9235</v>
      </c>
      <c r="T3080" t="s">
        <v>296</v>
      </c>
      <c r="U3080" t="s">
        <v>1487</v>
      </c>
      <c r="V3080" t="s">
        <v>15875</v>
      </c>
      <c r="W3080" t="s">
        <v>299</v>
      </c>
      <c r="X3080" t="s">
        <v>76</v>
      </c>
      <c r="Y3080" t="s">
        <v>56</v>
      </c>
      <c r="Z3080">
        <v>26</v>
      </c>
      <c r="AA3080">
        <v>55</v>
      </c>
      <c r="AB3080">
        <v>146</v>
      </c>
      <c r="AC3080" t="s">
        <v>12661</v>
      </c>
      <c r="AD3080" t="s">
        <v>6117</v>
      </c>
      <c r="AE3080" t="s">
        <v>6118</v>
      </c>
      <c r="AI3080" t="s">
        <v>1494</v>
      </c>
      <c r="AJ3080" s="2">
        <v>45856.062743055554</v>
      </c>
      <c r="AK3080" t="s">
        <v>556</v>
      </c>
      <c r="AL3080" t="s">
        <v>65</v>
      </c>
      <c r="AM3080" s="4">
        <v>6.9444444444444448E-2</v>
      </c>
      <c r="AN3080" t="s">
        <v>809</v>
      </c>
      <c r="AO3080" t="s">
        <v>67</v>
      </c>
    </row>
    <row r="3081" spans="1:41" x14ac:dyDescent="0.2">
      <c r="A3081">
        <v>362260</v>
      </c>
      <c r="B3081" t="s">
        <v>18590</v>
      </c>
      <c r="C3081" t="s">
        <v>86</v>
      </c>
      <c r="D3081" t="s">
        <v>13381</v>
      </c>
      <c r="E3081" t="s">
        <v>18591</v>
      </c>
      <c r="F3081">
        <v>200403</v>
      </c>
      <c r="G3081" s="1">
        <v>37173</v>
      </c>
      <c r="H3081" s="1">
        <v>44685</v>
      </c>
      <c r="I3081" s="1">
        <v>46143</v>
      </c>
      <c r="J3081" t="s">
        <v>45</v>
      </c>
      <c r="K3081" t="s">
        <v>45</v>
      </c>
      <c r="L3081" t="s">
        <v>72</v>
      </c>
      <c r="M3081" s="1">
        <v>45050</v>
      </c>
      <c r="N3081" t="s">
        <v>47</v>
      </c>
      <c r="O3081" t="s">
        <v>48</v>
      </c>
      <c r="P3081" t="s">
        <v>49</v>
      </c>
      <c r="Q3081" t="s">
        <v>18592</v>
      </c>
      <c r="R3081" t="s">
        <v>18593</v>
      </c>
      <c r="S3081">
        <v>962</v>
      </c>
      <c r="T3081" t="s">
        <v>257</v>
      </c>
      <c r="U3081" t="s">
        <v>258</v>
      </c>
      <c r="V3081" t="s">
        <v>13385</v>
      </c>
      <c r="W3081" t="s">
        <v>260</v>
      </c>
      <c r="X3081" t="s">
        <v>257</v>
      </c>
      <c r="Y3081" t="s">
        <v>110</v>
      </c>
      <c r="Z3081">
        <v>1399</v>
      </c>
      <c r="AA3081">
        <v>51</v>
      </c>
      <c r="AB3081">
        <v>158</v>
      </c>
      <c r="AC3081" t="s">
        <v>13386</v>
      </c>
      <c r="AD3081" t="s">
        <v>13387</v>
      </c>
      <c r="AE3081" t="s">
        <v>13388</v>
      </c>
      <c r="AF3081" t="s">
        <v>264</v>
      </c>
      <c r="AG3081" t="s">
        <v>1540</v>
      </c>
      <c r="AH3081" t="s">
        <v>266</v>
      </c>
      <c r="AJ3081" s="2">
        <v>45481.845694444448</v>
      </c>
      <c r="AK3081" t="s">
        <v>2854</v>
      </c>
      <c r="AL3081" t="s">
        <v>65</v>
      </c>
      <c r="AM3081" s="3">
        <v>1.0347222222222223</v>
      </c>
      <c r="AN3081" t="s">
        <v>66</v>
      </c>
      <c r="AO3081" t="s">
        <v>67</v>
      </c>
    </row>
    <row r="3082" spans="1:41" x14ac:dyDescent="0.2">
      <c r="A3082">
        <v>361722</v>
      </c>
      <c r="B3082" t="s">
        <v>18594</v>
      </c>
      <c r="C3082" t="s">
        <v>278</v>
      </c>
      <c r="D3082" t="s">
        <v>6358</v>
      </c>
      <c r="E3082" t="s">
        <v>18595</v>
      </c>
      <c r="F3082">
        <v>421407</v>
      </c>
      <c r="G3082" s="1">
        <v>31631</v>
      </c>
      <c r="H3082" s="1">
        <v>45462</v>
      </c>
      <c r="I3082" s="1">
        <v>46235</v>
      </c>
      <c r="J3082" t="s">
        <v>45</v>
      </c>
      <c r="K3082" t="s">
        <v>45</v>
      </c>
      <c r="L3082" t="s">
        <v>72</v>
      </c>
      <c r="M3082" s="1">
        <v>41453</v>
      </c>
      <c r="N3082" t="s">
        <v>47</v>
      </c>
      <c r="O3082" t="s">
        <v>48</v>
      </c>
      <c r="P3082" t="s">
        <v>49</v>
      </c>
      <c r="Q3082" t="s">
        <v>18596</v>
      </c>
      <c r="R3082" t="s">
        <v>18597</v>
      </c>
      <c r="S3082">
        <v>7378</v>
      </c>
      <c r="T3082" t="s">
        <v>365</v>
      </c>
      <c r="U3082" t="s">
        <v>432</v>
      </c>
      <c r="V3082" t="s">
        <v>6362</v>
      </c>
      <c r="W3082" t="s">
        <v>367</v>
      </c>
      <c r="X3082" t="s">
        <v>55</v>
      </c>
      <c r="Y3082" t="s">
        <v>434</v>
      </c>
      <c r="Z3082">
        <v>363</v>
      </c>
      <c r="AA3082">
        <v>55</v>
      </c>
      <c r="AB3082">
        <v>78</v>
      </c>
      <c r="AC3082" t="s">
        <v>3498</v>
      </c>
      <c r="AD3082" t="s">
        <v>2393</v>
      </c>
      <c r="AE3082" t="s">
        <v>2394</v>
      </c>
      <c r="AI3082" t="s">
        <v>179</v>
      </c>
      <c r="AJ3082" s="2">
        <v>45463.115081018521</v>
      </c>
      <c r="AK3082" t="s">
        <v>4471</v>
      </c>
      <c r="AL3082" t="s">
        <v>65</v>
      </c>
      <c r="AM3082" s="3">
        <v>1.1597222222222223</v>
      </c>
      <c r="AN3082" t="s">
        <v>66</v>
      </c>
      <c r="AO3082" t="s">
        <v>67</v>
      </c>
    </row>
    <row r="3083" spans="1:41" x14ac:dyDescent="0.2">
      <c r="A3083">
        <v>366424</v>
      </c>
      <c r="B3083" t="s">
        <v>18598</v>
      </c>
      <c r="C3083" t="s">
        <v>167</v>
      </c>
      <c r="D3083" t="s">
        <v>1628</v>
      </c>
      <c r="E3083" t="s">
        <v>18599</v>
      </c>
      <c r="G3083" s="1">
        <v>45617</v>
      </c>
      <c r="H3083" s="1">
        <v>45352</v>
      </c>
      <c r="I3083" s="1">
        <v>46113</v>
      </c>
      <c r="J3083" t="s">
        <v>45</v>
      </c>
      <c r="K3083" t="s">
        <v>45</v>
      </c>
      <c r="L3083" t="s">
        <v>72</v>
      </c>
      <c r="M3083" s="1">
        <v>44266</v>
      </c>
      <c r="N3083" t="s">
        <v>89</v>
      </c>
      <c r="O3083" t="s">
        <v>121</v>
      </c>
      <c r="P3083" t="s">
        <v>49</v>
      </c>
      <c r="Q3083" t="s">
        <v>18600</v>
      </c>
      <c r="R3083" t="s">
        <v>18601</v>
      </c>
      <c r="S3083">
        <v>4150</v>
      </c>
      <c r="T3083" t="s">
        <v>52</v>
      </c>
      <c r="U3083">
        <v>6</v>
      </c>
      <c r="V3083" t="s">
        <v>3013</v>
      </c>
      <c r="W3083" t="s">
        <v>54</v>
      </c>
      <c r="X3083" t="s">
        <v>52</v>
      </c>
      <c r="Y3083" t="s">
        <v>125</v>
      </c>
      <c r="Z3083">
        <v>6346</v>
      </c>
      <c r="AA3083">
        <v>76</v>
      </c>
      <c r="AB3083">
        <v>78</v>
      </c>
      <c r="AC3083" t="s">
        <v>18602</v>
      </c>
      <c r="AD3083" t="s">
        <v>18603</v>
      </c>
      <c r="AE3083" t="s">
        <v>18604</v>
      </c>
      <c r="AF3083" t="s">
        <v>18605</v>
      </c>
      <c r="AG3083" t="s">
        <v>18606</v>
      </c>
      <c r="AH3083" t="s">
        <v>18607</v>
      </c>
      <c r="AI3083" t="s">
        <v>18608</v>
      </c>
      <c r="AJ3083" s="2">
        <v>45618.497094907405</v>
      </c>
      <c r="AK3083" t="s">
        <v>132</v>
      </c>
      <c r="AL3083" t="s">
        <v>65</v>
      </c>
      <c r="AM3083" s="4">
        <v>0.90277777777777779</v>
      </c>
      <c r="AN3083" t="s">
        <v>66</v>
      </c>
      <c r="AO3083" t="s">
        <v>67</v>
      </c>
    </row>
    <row r="3084" spans="1:41" x14ac:dyDescent="0.2">
      <c r="A3084">
        <v>368897</v>
      </c>
      <c r="B3084" t="s">
        <v>18609</v>
      </c>
      <c r="C3084" t="s">
        <v>182</v>
      </c>
      <c r="D3084" t="s">
        <v>610</v>
      </c>
      <c r="E3084" t="s">
        <v>18610</v>
      </c>
      <c r="F3084">
        <v>45749</v>
      </c>
      <c r="G3084" s="1">
        <v>41758</v>
      </c>
      <c r="H3084" s="1">
        <v>45636</v>
      </c>
      <c r="I3084" s="1">
        <v>45992</v>
      </c>
      <c r="J3084" t="s">
        <v>45</v>
      </c>
      <c r="K3084" t="s">
        <v>45</v>
      </c>
      <c r="L3084" t="s">
        <v>429</v>
      </c>
      <c r="M3084" s="1">
        <v>45435</v>
      </c>
      <c r="N3084" t="s">
        <v>47</v>
      </c>
      <c r="O3084" t="s">
        <v>48</v>
      </c>
      <c r="P3084" t="s">
        <v>49</v>
      </c>
      <c r="Q3084" t="s">
        <v>18611</v>
      </c>
      <c r="R3084" t="s">
        <v>18612</v>
      </c>
      <c r="S3084">
        <v>245</v>
      </c>
      <c r="T3084" t="s">
        <v>1328</v>
      </c>
      <c r="U3084" t="s">
        <v>1583</v>
      </c>
      <c r="V3084" t="s">
        <v>4498</v>
      </c>
      <c r="W3084" t="s">
        <v>4499</v>
      </c>
      <c r="X3084" t="s">
        <v>493</v>
      </c>
      <c r="Y3084" t="s">
        <v>434</v>
      </c>
      <c r="Z3084">
        <v>7007</v>
      </c>
      <c r="AA3084">
        <v>34</v>
      </c>
      <c r="AB3084">
        <v>24</v>
      </c>
      <c r="AC3084" t="s">
        <v>4500</v>
      </c>
      <c r="AD3084" t="s">
        <v>4501</v>
      </c>
      <c r="AE3084" t="s">
        <v>4502</v>
      </c>
      <c r="AF3084" t="s">
        <v>10823</v>
      </c>
      <c r="AG3084" t="s">
        <v>4504</v>
      </c>
      <c r="AH3084" t="s">
        <v>18613</v>
      </c>
      <c r="AJ3084" s="2">
        <v>45722.897245370368</v>
      </c>
      <c r="AK3084" t="s">
        <v>501</v>
      </c>
      <c r="AL3084" t="s">
        <v>65</v>
      </c>
      <c r="AM3084" s="4">
        <v>0.95833333333333337</v>
      </c>
      <c r="AN3084" t="s">
        <v>66</v>
      </c>
      <c r="AO3084" t="s">
        <v>67</v>
      </c>
    </row>
    <row r="3085" spans="1:41" x14ac:dyDescent="0.2">
      <c r="A3085">
        <v>339988</v>
      </c>
      <c r="B3085" t="s">
        <v>18614</v>
      </c>
      <c r="C3085" t="s">
        <v>763</v>
      </c>
      <c r="D3085" t="s">
        <v>1315</v>
      </c>
      <c r="E3085" t="s">
        <v>18615</v>
      </c>
      <c r="J3085" t="s">
        <v>45</v>
      </c>
      <c r="K3085" t="s">
        <v>45</v>
      </c>
      <c r="L3085" t="s">
        <v>72</v>
      </c>
      <c r="N3085" t="s">
        <v>89</v>
      </c>
      <c r="O3085" t="s">
        <v>121</v>
      </c>
      <c r="P3085" t="s">
        <v>49</v>
      </c>
      <c r="T3085" t="s">
        <v>92</v>
      </c>
      <c r="U3085" t="s">
        <v>767</v>
      </c>
      <c r="V3085" t="s">
        <v>768</v>
      </c>
      <c r="W3085" t="s">
        <v>769</v>
      </c>
      <c r="X3085" t="s">
        <v>92</v>
      </c>
      <c r="Y3085" t="s">
        <v>96</v>
      </c>
      <c r="Z3085">
        <v>12126</v>
      </c>
      <c r="AA3085">
        <v>6</v>
      </c>
      <c r="AB3085">
        <v>189</v>
      </c>
      <c r="AC3085" t="s">
        <v>774</v>
      </c>
      <c r="AD3085" t="s">
        <v>775</v>
      </c>
      <c r="AE3085" t="s">
        <v>776</v>
      </c>
      <c r="AJ3085" s="2">
        <v>44701.743900462963</v>
      </c>
      <c r="AK3085" t="s">
        <v>100</v>
      </c>
      <c r="AL3085" t="s">
        <v>65</v>
      </c>
      <c r="AM3085" s="3">
        <v>1.59375</v>
      </c>
      <c r="AN3085" t="s">
        <v>66</v>
      </c>
      <c r="AO3085" t="s">
        <v>101</v>
      </c>
    </row>
    <row r="3086" spans="1:41" x14ac:dyDescent="0.2">
      <c r="A3086">
        <v>370110</v>
      </c>
      <c r="B3086" t="s">
        <v>18616</v>
      </c>
      <c r="C3086" t="s">
        <v>735</v>
      </c>
      <c r="D3086" t="s">
        <v>736</v>
      </c>
      <c r="E3086" t="s">
        <v>18617</v>
      </c>
      <c r="F3086">
        <v>245405</v>
      </c>
      <c r="G3086" s="1">
        <v>35012</v>
      </c>
      <c r="H3086" s="1">
        <v>45567</v>
      </c>
      <c r="I3086" s="1">
        <v>46280</v>
      </c>
      <c r="J3086" t="s">
        <v>45</v>
      </c>
      <c r="K3086" t="s">
        <v>45</v>
      </c>
      <c r="L3086" t="s">
        <v>72</v>
      </c>
      <c r="M3086" s="1">
        <v>43717</v>
      </c>
      <c r="N3086" t="s">
        <v>47</v>
      </c>
      <c r="O3086" t="s">
        <v>48</v>
      </c>
      <c r="P3086" t="s">
        <v>49</v>
      </c>
      <c r="Q3086" t="s">
        <v>18618</v>
      </c>
      <c r="R3086" t="s">
        <v>18619</v>
      </c>
      <c r="S3086">
        <v>5794</v>
      </c>
      <c r="T3086" t="s">
        <v>52</v>
      </c>
      <c r="U3086">
        <v>1</v>
      </c>
      <c r="V3086" t="s">
        <v>740</v>
      </c>
      <c r="W3086" t="s">
        <v>54</v>
      </c>
      <c r="X3086" t="s">
        <v>76</v>
      </c>
      <c r="Y3086" t="s">
        <v>56</v>
      </c>
      <c r="Z3086">
        <v>1135</v>
      </c>
      <c r="AA3086">
        <v>45</v>
      </c>
      <c r="AB3086">
        <v>166</v>
      </c>
      <c r="AC3086" t="s">
        <v>16983</v>
      </c>
      <c r="AD3086" t="s">
        <v>16984</v>
      </c>
      <c r="AE3086" t="s">
        <v>16985</v>
      </c>
      <c r="AF3086" t="s">
        <v>2072</v>
      </c>
      <c r="AG3086" t="s">
        <v>742</v>
      </c>
      <c r="AH3086" t="s">
        <v>2073</v>
      </c>
      <c r="AI3086" t="s">
        <v>16987</v>
      </c>
      <c r="AJ3086" s="2">
        <v>45763.675046296295</v>
      </c>
      <c r="AK3086" t="s">
        <v>132</v>
      </c>
      <c r="AL3086" t="s">
        <v>65</v>
      </c>
      <c r="AM3086" s="4">
        <v>0.67361111111111116</v>
      </c>
      <c r="AN3086" t="s">
        <v>66</v>
      </c>
      <c r="AO3086" t="s">
        <v>67</v>
      </c>
    </row>
    <row r="3087" spans="1:41" x14ac:dyDescent="0.2">
      <c r="A3087">
        <v>372970</v>
      </c>
      <c r="B3087" t="s">
        <v>18620</v>
      </c>
      <c r="C3087" t="s">
        <v>151</v>
      </c>
      <c r="D3087" t="s">
        <v>18621</v>
      </c>
      <c r="E3087" t="s">
        <v>18622</v>
      </c>
      <c r="F3087">
        <v>384002</v>
      </c>
      <c r="G3087" s="1">
        <v>33848</v>
      </c>
      <c r="H3087" s="1">
        <v>45692</v>
      </c>
      <c r="I3087" s="1">
        <v>46082</v>
      </c>
      <c r="J3087" t="s">
        <v>45</v>
      </c>
      <c r="K3087" t="s">
        <v>45</v>
      </c>
      <c r="L3087" t="s">
        <v>3920</v>
      </c>
      <c r="M3087" s="1">
        <v>45349</v>
      </c>
      <c r="N3087" t="s">
        <v>47</v>
      </c>
      <c r="O3087" t="s">
        <v>48</v>
      </c>
      <c r="P3087" t="s">
        <v>49</v>
      </c>
      <c r="Q3087" t="s">
        <v>18623</v>
      </c>
      <c r="R3087" t="s">
        <v>18624</v>
      </c>
      <c r="S3087">
        <v>51</v>
      </c>
      <c r="T3087" t="s">
        <v>52</v>
      </c>
      <c r="U3087">
        <v>8</v>
      </c>
      <c r="V3087" t="s">
        <v>710</v>
      </c>
      <c r="W3087" t="s">
        <v>54</v>
      </c>
      <c r="X3087" t="s">
        <v>76</v>
      </c>
      <c r="Y3087" t="s">
        <v>56</v>
      </c>
      <c r="Z3087">
        <v>1075</v>
      </c>
      <c r="AA3087">
        <v>55</v>
      </c>
      <c r="AB3087">
        <v>45</v>
      </c>
      <c r="AC3087" t="s">
        <v>11310</v>
      </c>
      <c r="AD3087" t="s">
        <v>11311</v>
      </c>
      <c r="AE3087" t="s">
        <v>11312</v>
      </c>
      <c r="AF3087" t="s">
        <v>18625</v>
      </c>
      <c r="AG3087" t="s">
        <v>18626</v>
      </c>
      <c r="AH3087" t="s">
        <v>18627</v>
      </c>
      <c r="AJ3087" s="2">
        <v>45855.965914351851</v>
      </c>
      <c r="AK3087" t="s">
        <v>556</v>
      </c>
      <c r="AL3087" t="s">
        <v>65</v>
      </c>
      <c r="AM3087" s="4">
        <v>0.54166666666666663</v>
      </c>
      <c r="AN3087" t="s">
        <v>66</v>
      </c>
      <c r="AO3087" t="s">
        <v>101</v>
      </c>
    </row>
    <row r="3088" spans="1:41" x14ac:dyDescent="0.2">
      <c r="A3088">
        <v>360422</v>
      </c>
      <c r="B3088" t="s">
        <v>18628</v>
      </c>
      <c r="C3088" t="s">
        <v>182</v>
      </c>
      <c r="D3088" t="s">
        <v>468</v>
      </c>
      <c r="E3088" t="s">
        <v>18629</v>
      </c>
      <c r="G3088" s="1">
        <v>45147</v>
      </c>
      <c r="H3088" s="1">
        <v>45148</v>
      </c>
      <c r="I3088" s="1">
        <v>46235</v>
      </c>
      <c r="J3088" t="s">
        <v>45</v>
      </c>
      <c r="K3088" t="s">
        <v>45</v>
      </c>
      <c r="L3088" t="s">
        <v>72</v>
      </c>
      <c r="M3088" s="1">
        <v>43705</v>
      </c>
      <c r="N3088" t="s">
        <v>89</v>
      </c>
      <c r="O3088" t="s">
        <v>121</v>
      </c>
      <c r="P3088" t="s">
        <v>49</v>
      </c>
      <c r="Q3088" t="s">
        <v>18630</v>
      </c>
      <c r="R3088" t="s">
        <v>18631</v>
      </c>
      <c r="S3088">
        <v>768</v>
      </c>
      <c r="T3088" t="s">
        <v>296</v>
      </c>
      <c r="U3088" t="s">
        <v>2366</v>
      </c>
      <c r="W3088" t="s">
        <v>299</v>
      </c>
      <c r="X3088" t="s">
        <v>296</v>
      </c>
      <c r="Y3088" t="s">
        <v>125</v>
      </c>
      <c r="Z3088">
        <v>7926</v>
      </c>
      <c r="AA3088">
        <v>28</v>
      </c>
      <c r="AB3088">
        <v>34</v>
      </c>
      <c r="AC3088" t="s">
        <v>18632</v>
      </c>
      <c r="AD3088" t="s">
        <v>18633</v>
      </c>
      <c r="AE3088" t="s">
        <v>18634</v>
      </c>
      <c r="AF3088" t="s">
        <v>18635</v>
      </c>
      <c r="AG3088" t="s">
        <v>18636</v>
      </c>
      <c r="AH3088" t="s">
        <v>18637</v>
      </c>
      <c r="AI3088" t="s">
        <v>1404</v>
      </c>
      <c r="AJ3088" s="2">
        <v>45421.515902777777</v>
      </c>
      <c r="AK3088" t="s">
        <v>132</v>
      </c>
      <c r="AL3088" t="s">
        <v>65</v>
      </c>
      <c r="AM3088" s="4">
        <v>0.10416666666666667</v>
      </c>
      <c r="AN3088" t="s">
        <v>66</v>
      </c>
      <c r="AO3088" t="s">
        <v>67</v>
      </c>
    </row>
    <row r="3089" spans="1:41" x14ac:dyDescent="0.2">
      <c r="A3089">
        <v>368888</v>
      </c>
      <c r="B3089" t="s">
        <v>18638</v>
      </c>
      <c r="C3089" t="s">
        <v>182</v>
      </c>
      <c r="D3089" t="s">
        <v>2901</v>
      </c>
      <c r="E3089" t="s">
        <v>18639</v>
      </c>
      <c r="F3089">
        <v>44190</v>
      </c>
      <c r="G3089" s="1">
        <v>37197</v>
      </c>
      <c r="H3089" s="1">
        <v>45643</v>
      </c>
      <c r="I3089" s="1">
        <v>45915</v>
      </c>
      <c r="J3089" t="s">
        <v>45</v>
      </c>
      <c r="K3089" t="s">
        <v>45</v>
      </c>
      <c r="L3089" t="s">
        <v>429</v>
      </c>
      <c r="M3089" s="1">
        <v>44482</v>
      </c>
      <c r="N3089" t="s">
        <v>47</v>
      </c>
      <c r="O3089" t="s">
        <v>48</v>
      </c>
      <c r="P3089" t="s">
        <v>49</v>
      </c>
      <c r="Q3089" t="s">
        <v>18640</v>
      </c>
      <c r="R3089" t="s">
        <v>18641</v>
      </c>
      <c r="S3089">
        <v>3935</v>
      </c>
      <c r="T3089" t="s">
        <v>365</v>
      </c>
      <c r="U3089" t="s">
        <v>562</v>
      </c>
      <c r="V3089" t="s">
        <v>1980</v>
      </c>
      <c r="W3089" t="s">
        <v>367</v>
      </c>
      <c r="X3089" t="s">
        <v>493</v>
      </c>
      <c r="Y3089" t="s">
        <v>434</v>
      </c>
      <c r="Z3089">
        <v>83</v>
      </c>
      <c r="AA3089">
        <v>61</v>
      </c>
      <c r="AB3089">
        <v>176</v>
      </c>
      <c r="AC3089" t="s">
        <v>18642</v>
      </c>
      <c r="AD3089" t="s">
        <v>1982</v>
      </c>
      <c r="AE3089" t="s">
        <v>1983</v>
      </c>
      <c r="AF3089" t="s">
        <v>18643</v>
      </c>
      <c r="AG3089" t="s">
        <v>18644</v>
      </c>
      <c r="AH3089" t="s">
        <v>18645</v>
      </c>
      <c r="AI3089" t="s">
        <v>500</v>
      </c>
      <c r="AJ3089" s="2">
        <v>45722.892754629633</v>
      </c>
      <c r="AK3089" t="s">
        <v>501</v>
      </c>
      <c r="AL3089" t="s">
        <v>65</v>
      </c>
      <c r="AM3089" s="4">
        <v>2.0833333333333332E-2</v>
      </c>
      <c r="AN3089" t="s">
        <v>66</v>
      </c>
      <c r="AO3089" t="s">
        <v>67</v>
      </c>
    </row>
    <row r="3090" spans="1:41" x14ac:dyDescent="0.2">
      <c r="A3090">
        <v>370585</v>
      </c>
      <c r="B3090" t="s">
        <v>18646</v>
      </c>
      <c r="C3090" t="s">
        <v>662</v>
      </c>
      <c r="D3090" t="s">
        <v>7625</v>
      </c>
      <c r="E3090" t="s">
        <v>18647</v>
      </c>
      <c r="F3090">
        <v>417202</v>
      </c>
      <c r="G3090" s="1">
        <v>43578</v>
      </c>
      <c r="H3090" s="1">
        <v>45776</v>
      </c>
      <c r="I3090" s="1">
        <v>46127</v>
      </c>
      <c r="J3090" t="s">
        <v>45</v>
      </c>
      <c r="K3090" t="s">
        <v>45</v>
      </c>
      <c r="L3090" t="s">
        <v>72</v>
      </c>
      <c r="M3090" s="1">
        <v>44069</v>
      </c>
      <c r="N3090" t="s">
        <v>47</v>
      </c>
      <c r="O3090" t="s">
        <v>48</v>
      </c>
      <c r="P3090" t="s">
        <v>49</v>
      </c>
      <c r="Q3090" t="s">
        <v>18648</v>
      </c>
      <c r="R3090" t="s">
        <v>18649</v>
      </c>
      <c r="S3090">
        <v>7064</v>
      </c>
      <c r="T3090" t="s">
        <v>92</v>
      </c>
      <c r="U3090" t="s">
        <v>1197</v>
      </c>
      <c r="V3090" t="s">
        <v>1198</v>
      </c>
      <c r="W3090" t="s">
        <v>1199</v>
      </c>
      <c r="X3090" t="s">
        <v>92</v>
      </c>
      <c r="Y3090" t="s">
        <v>110</v>
      </c>
      <c r="Z3090">
        <v>9666</v>
      </c>
      <c r="AA3090">
        <v>18</v>
      </c>
      <c r="AB3090">
        <v>30</v>
      </c>
      <c r="AC3090" t="s">
        <v>1200</v>
      </c>
      <c r="AD3090" t="s">
        <v>1201</v>
      </c>
      <c r="AE3090" t="s">
        <v>1202</v>
      </c>
      <c r="AF3090" t="s">
        <v>4740</v>
      </c>
      <c r="AG3090" t="s">
        <v>4741</v>
      </c>
      <c r="AH3090" t="s">
        <v>4742</v>
      </c>
      <c r="AJ3090" s="2">
        <v>45778.792557870373</v>
      </c>
      <c r="AK3090" t="s">
        <v>4740</v>
      </c>
      <c r="AL3090" t="s">
        <v>65</v>
      </c>
      <c r="AM3090" s="3">
        <v>2.4513888888888888</v>
      </c>
      <c r="AN3090" t="s">
        <v>66</v>
      </c>
      <c r="AO3090" t="s">
        <v>67</v>
      </c>
    </row>
    <row r="3091" spans="1:41" x14ac:dyDescent="0.2">
      <c r="A3091">
        <v>365276</v>
      </c>
      <c r="B3091" t="s">
        <v>18650</v>
      </c>
      <c r="C3091" t="s">
        <v>735</v>
      </c>
      <c r="D3091" t="s">
        <v>2245</v>
      </c>
      <c r="E3091" t="s">
        <v>18651</v>
      </c>
      <c r="F3091">
        <v>245105</v>
      </c>
      <c r="G3091" s="1">
        <v>38654</v>
      </c>
      <c r="H3091" s="1">
        <v>45574</v>
      </c>
      <c r="I3091" s="1">
        <v>45931</v>
      </c>
      <c r="J3091" t="s">
        <v>45</v>
      </c>
      <c r="K3091" t="s">
        <v>45</v>
      </c>
      <c r="L3091" t="s">
        <v>72</v>
      </c>
      <c r="M3091" s="1">
        <v>38654</v>
      </c>
      <c r="N3091" t="s">
        <v>47</v>
      </c>
      <c r="O3091" t="s">
        <v>48</v>
      </c>
      <c r="P3091" t="s">
        <v>49</v>
      </c>
      <c r="Q3091" t="s">
        <v>18652</v>
      </c>
      <c r="R3091" t="s">
        <v>18653</v>
      </c>
      <c r="S3091">
        <v>4886</v>
      </c>
      <c r="T3091" t="s">
        <v>296</v>
      </c>
      <c r="U3091" t="s">
        <v>1487</v>
      </c>
      <c r="V3091" t="s">
        <v>2510</v>
      </c>
      <c r="W3091" t="s">
        <v>299</v>
      </c>
      <c r="X3091" t="s">
        <v>76</v>
      </c>
      <c r="Y3091" t="s">
        <v>56</v>
      </c>
      <c r="Z3091">
        <v>7</v>
      </c>
      <c r="AA3091">
        <v>55</v>
      </c>
      <c r="AB3091">
        <v>144</v>
      </c>
      <c r="AC3091" t="s">
        <v>2511</v>
      </c>
      <c r="AD3091" t="s">
        <v>2512</v>
      </c>
      <c r="AE3091" t="s">
        <v>2513</v>
      </c>
      <c r="AF3091" t="s">
        <v>2514</v>
      </c>
      <c r="AG3091" t="s">
        <v>11052</v>
      </c>
      <c r="AH3091" t="s">
        <v>2516</v>
      </c>
      <c r="AI3091" t="s">
        <v>1494</v>
      </c>
      <c r="AJ3091" s="2">
        <v>45575.08829861111</v>
      </c>
      <c r="AK3091" t="s">
        <v>704</v>
      </c>
      <c r="AL3091" t="s">
        <v>65</v>
      </c>
      <c r="AM3091" s="4">
        <v>0.77083333333333337</v>
      </c>
      <c r="AN3091" t="s">
        <v>66</v>
      </c>
      <c r="AO3091" t="s">
        <v>67</v>
      </c>
    </row>
    <row r="3092" spans="1:41" x14ac:dyDescent="0.2">
      <c r="A3092">
        <v>372631</v>
      </c>
      <c r="B3092" t="s">
        <v>18654</v>
      </c>
      <c r="C3092" t="s">
        <v>182</v>
      </c>
      <c r="D3092" t="s">
        <v>1086</v>
      </c>
      <c r="E3092" t="s">
        <v>18655</v>
      </c>
      <c r="F3092">
        <v>44732</v>
      </c>
      <c r="G3092" s="1">
        <v>34492</v>
      </c>
      <c r="H3092" s="1">
        <v>45827</v>
      </c>
      <c r="I3092" s="1">
        <v>46188</v>
      </c>
      <c r="J3092" t="s">
        <v>45</v>
      </c>
      <c r="K3092" t="s">
        <v>45</v>
      </c>
      <c r="L3092" t="s">
        <v>72</v>
      </c>
      <c r="M3092" s="1">
        <v>41110</v>
      </c>
      <c r="N3092" t="s">
        <v>47</v>
      </c>
      <c r="O3092" t="s">
        <v>48</v>
      </c>
      <c r="P3092" t="s">
        <v>49</v>
      </c>
      <c r="Q3092" t="s">
        <v>18656</v>
      </c>
      <c r="R3092" t="s">
        <v>18657</v>
      </c>
      <c r="S3092">
        <v>5240</v>
      </c>
      <c r="T3092" t="s">
        <v>257</v>
      </c>
      <c r="U3092" t="s">
        <v>640</v>
      </c>
      <c r="V3092" t="s">
        <v>1090</v>
      </c>
      <c r="W3092" t="s">
        <v>260</v>
      </c>
      <c r="X3092" t="s">
        <v>257</v>
      </c>
      <c r="Y3092" t="s">
        <v>110</v>
      </c>
      <c r="Z3092">
        <v>484</v>
      </c>
      <c r="AA3092">
        <v>64</v>
      </c>
      <c r="AB3092">
        <v>28</v>
      </c>
      <c r="AC3092" t="s">
        <v>1091</v>
      </c>
      <c r="AD3092" t="s">
        <v>1092</v>
      </c>
      <c r="AE3092" t="s">
        <v>1093</v>
      </c>
      <c r="AF3092" t="s">
        <v>1094</v>
      </c>
      <c r="AG3092" t="s">
        <v>1095</v>
      </c>
      <c r="AH3092" t="s">
        <v>1096</v>
      </c>
      <c r="AI3092" t="s">
        <v>1092</v>
      </c>
      <c r="AJ3092" s="2">
        <v>45847.944988425923</v>
      </c>
      <c r="AK3092" t="s">
        <v>1097</v>
      </c>
      <c r="AL3092" t="s">
        <v>65</v>
      </c>
      <c r="AM3092" s="3">
        <v>1.0208333333333333</v>
      </c>
      <c r="AN3092" t="s">
        <v>66</v>
      </c>
      <c r="AO3092" t="s">
        <v>67</v>
      </c>
    </row>
    <row r="3093" spans="1:41" x14ac:dyDescent="0.2">
      <c r="A3093">
        <v>371354</v>
      </c>
      <c r="B3093" t="s">
        <v>18658</v>
      </c>
      <c r="C3093" t="s">
        <v>323</v>
      </c>
      <c r="D3093" t="s">
        <v>6174</v>
      </c>
      <c r="E3093" t="s">
        <v>18659</v>
      </c>
      <c r="F3093">
        <v>500710</v>
      </c>
      <c r="G3093" s="1">
        <v>34899</v>
      </c>
      <c r="H3093" s="1">
        <v>45800</v>
      </c>
      <c r="I3093" s="1">
        <v>46037</v>
      </c>
      <c r="J3093" t="s">
        <v>45</v>
      </c>
      <c r="K3093" t="s">
        <v>45</v>
      </c>
      <c r="L3093" t="s">
        <v>72</v>
      </c>
      <c r="M3093" s="1">
        <v>45089</v>
      </c>
      <c r="N3093" t="s">
        <v>47</v>
      </c>
      <c r="O3093" t="s">
        <v>48</v>
      </c>
      <c r="P3093" t="s">
        <v>49</v>
      </c>
      <c r="Q3093" t="s">
        <v>18660</v>
      </c>
      <c r="R3093" t="s">
        <v>18661</v>
      </c>
      <c r="S3093">
        <v>2050</v>
      </c>
      <c r="T3093" t="s">
        <v>257</v>
      </c>
      <c r="U3093" t="s">
        <v>329</v>
      </c>
      <c r="V3093" t="s">
        <v>6178</v>
      </c>
      <c r="W3093" t="s">
        <v>260</v>
      </c>
      <c r="X3093" t="s">
        <v>257</v>
      </c>
      <c r="Y3093" t="s">
        <v>110</v>
      </c>
      <c r="Z3093">
        <v>1021</v>
      </c>
      <c r="AA3093">
        <v>44</v>
      </c>
      <c r="AB3093">
        <v>158</v>
      </c>
      <c r="AC3093" t="s">
        <v>18662</v>
      </c>
      <c r="AD3093" t="s">
        <v>18663</v>
      </c>
      <c r="AE3093" t="s">
        <v>6180</v>
      </c>
      <c r="AF3093" t="s">
        <v>334</v>
      </c>
      <c r="AG3093" t="s">
        <v>335</v>
      </c>
      <c r="AH3093" t="s">
        <v>336</v>
      </c>
      <c r="AI3093" t="s">
        <v>332</v>
      </c>
      <c r="AJ3093" s="2">
        <v>45806.085162037038</v>
      </c>
      <c r="AK3093" t="s">
        <v>10722</v>
      </c>
      <c r="AL3093" t="s">
        <v>65</v>
      </c>
      <c r="AM3093" s="3">
        <v>1.1388888888888888</v>
      </c>
      <c r="AN3093" t="s">
        <v>66</v>
      </c>
      <c r="AO3093" t="s">
        <v>67</v>
      </c>
    </row>
    <row r="3094" spans="1:41" x14ac:dyDescent="0.2">
      <c r="A3094">
        <v>368677</v>
      </c>
      <c r="B3094" t="s">
        <v>18664</v>
      </c>
      <c r="C3094" t="s">
        <v>182</v>
      </c>
      <c r="D3094" t="s">
        <v>1702</v>
      </c>
      <c r="E3094" t="s">
        <v>18665</v>
      </c>
      <c r="F3094">
        <v>42309</v>
      </c>
      <c r="G3094" s="1">
        <v>37764</v>
      </c>
      <c r="H3094" s="1">
        <v>45714</v>
      </c>
      <c r="I3094" s="1">
        <v>46054</v>
      </c>
      <c r="J3094" t="s">
        <v>45</v>
      </c>
      <c r="K3094" t="s">
        <v>326</v>
      </c>
      <c r="L3094" t="s">
        <v>429</v>
      </c>
      <c r="M3094" s="1">
        <v>42811</v>
      </c>
      <c r="N3094" t="s">
        <v>47</v>
      </c>
      <c r="O3094" t="s">
        <v>48</v>
      </c>
      <c r="P3094" t="s">
        <v>49</v>
      </c>
      <c r="Q3094" t="s">
        <v>18666</v>
      </c>
      <c r="R3094" t="s">
        <v>18667</v>
      </c>
      <c r="S3094">
        <v>1400</v>
      </c>
      <c r="T3094" t="s">
        <v>92</v>
      </c>
      <c r="U3094" t="s">
        <v>187</v>
      </c>
      <c r="V3094" t="s">
        <v>12085</v>
      </c>
      <c r="W3094" t="s">
        <v>448</v>
      </c>
      <c r="X3094" t="s">
        <v>493</v>
      </c>
      <c r="Y3094" t="s">
        <v>434</v>
      </c>
      <c r="Z3094">
        <v>2373</v>
      </c>
      <c r="AA3094">
        <v>36</v>
      </c>
      <c r="AB3094">
        <v>210</v>
      </c>
      <c r="AC3094" t="s">
        <v>12086</v>
      </c>
      <c r="AD3094" t="s">
        <v>12087</v>
      </c>
      <c r="AE3094" t="s">
        <v>12088</v>
      </c>
      <c r="AI3094" t="s">
        <v>12089</v>
      </c>
      <c r="AJ3094" s="2">
        <v>45719.831157407411</v>
      </c>
      <c r="AK3094" t="s">
        <v>501</v>
      </c>
      <c r="AL3094" t="s">
        <v>65</v>
      </c>
      <c r="AM3094" s="3">
        <v>2.1388888888888888</v>
      </c>
      <c r="AN3094" t="s">
        <v>66</v>
      </c>
      <c r="AO3094" t="s">
        <v>67</v>
      </c>
    </row>
    <row r="3095" spans="1:41" x14ac:dyDescent="0.2">
      <c r="A3095">
        <v>367102</v>
      </c>
      <c r="B3095" t="s">
        <v>18668</v>
      </c>
      <c r="C3095" t="s">
        <v>676</v>
      </c>
      <c r="D3095" t="s">
        <v>18669</v>
      </c>
      <c r="E3095" t="s">
        <v>18670</v>
      </c>
      <c r="F3095">
        <v>280091</v>
      </c>
      <c r="G3095" s="1">
        <v>38812</v>
      </c>
      <c r="H3095" s="1">
        <v>45594</v>
      </c>
      <c r="I3095" s="1">
        <v>45931</v>
      </c>
      <c r="J3095" t="s">
        <v>45</v>
      </c>
      <c r="K3095" t="s">
        <v>45</v>
      </c>
      <c r="L3095" t="s">
        <v>72</v>
      </c>
      <c r="M3095" s="1">
        <v>45132</v>
      </c>
      <c r="N3095" t="s">
        <v>47</v>
      </c>
      <c r="O3095" t="s">
        <v>48</v>
      </c>
      <c r="P3095" t="s">
        <v>49</v>
      </c>
      <c r="Q3095" t="s">
        <v>18671</v>
      </c>
      <c r="R3095" t="s">
        <v>18672</v>
      </c>
      <c r="S3095">
        <v>43</v>
      </c>
      <c r="T3095" t="s">
        <v>92</v>
      </c>
      <c r="U3095" t="s">
        <v>681</v>
      </c>
      <c r="V3095" t="s">
        <v>682</v>
      </c>
      <c r="W3095" t="s">
        <v>683</v>
      </c>
      <c r="X3095" t="s">
        <v>52</v>
      </c>
      <c r="Y3095" t="s">
        <v>110</v>
      </c>
      <c r="Z3095">
        <v>2407</v>
      </c>
      <c r="AA3095">
        <v>46</v>
      </c>
      <c r="AB3095">
        <v>39</v>
      </c>
      <c r="AC3095" t="s">
        <v>684</v>
      </c>
      <c r="AD3095" t="s">
        <v>685</v>
      </c>
      <c r="AE3095" t="s">
        <v>686</v>
      </c>
      <c r="AF3095" t="s">
        <v>687</v>
      </c>
      <c r="AG3095" t="s">
        <v>688</v>
      </c>
      <c r="AH3095" t="s">
        <v>689</v>
      </c>
      <c r="AI3095" t="s">
        <v>690</v>
      </c>
      <c r="AJ3095" s="2">
        <v>45660.793668981481</v>
      </c>
      <c r="AK3095" t="s">
        <v>684</v>
      </c>
      <c r="AL3095" t="s">
        <v>65</v>
      </c>
      <c r="AM3095" s="3">
        <v>2.1215277777777777</v>
      </c>
      <c r="AN3095" t="s">
        <v>66</v>
      </c>
      <c r="AO3095" t="s">
        <v>101</v>
      </c>
    </row>
    <row r="3096" spans="1:41" x14ac:dyDescent="0.2">
      <c r="A3096">
        <v>372944</v>
      </c>
      <c r="B3096" t="s">
        <v>18673</v>
      </c>
      <c r="C3096" t="s">
        <v>7022</v>
      </c>
      <c r="D3096" t="s">
        <v>18674</v>
      </c>
      <c r="E3096" t="s">
        <v>18675</v>
      </c>
      <c r="F3096">
        <v>431303</v>
      </c>
      <c r="G3096" s="1">
        <v>41485</v>
      </c>
      <c r="H3096" s="1">
        <v>45778</v>
      </c>
      <c r="I3096" s="1">
        <v>46143</v>
      </c>
      <c r="J3096" t="s">
        <v>45</v>
      </c>
      <c r="K3096" t="s">
        <v>326</v>
      </c>
      <c r="L3096" t="s">
        <v>46</v>
      </c>
      <c r="M3096" s="1">
        <v>45280</v>
      </c>
      <c r="N3096" t="s">
        <v>47</v>
      </c>
      <c r="O3096" t="s">
        <v>48</v>
      </c>
      <c r="P3096" t="s">
        <v>49</v>
      </c>
      <c r="Q3096" t="s">
        <v>18676</v>
      </c>
      <c r="R3096" t="s">
        <v>18677</v>
      </c>
      <c r="S3096">
        <v>2317</v>
      </c>
      <c r="T3096" t="s">
        <v>52</v>
      </c>
      <c r="U3096">
        <v>9</v>
      </c>
      <c r="V3096" t="s">
        <v>3122</v>
      </c>
      <c r="W3096" t="s">
        <v>54</v>
      </c>
      <c r="X3096" t="s">
        <v>76</v>
      </c>
      <c r="Y3096" t="s">
        <v>56</v>
      </c>
      <c r="Z3096">
        <v>2352</v>
      </c>
      <c r="AA3096">
        <v>53</v>
      </c>
      <c r="AB3096">
        <v>37</v>
      </c>
      <c r="AC3096" t="s">
        <v>7027</v>
      </c>
      <c r="AD3096" t="s">
        <v>7028</v>
      </c>
      <c r="AE3096" t="s">
        <v>7029</v>
      </c>
      <c r="AF3096" t="s">
        <v>18678</v>
      </c>
      <c r="AG3096" t="s">
        <v>18679</v>
      </c>
      <c r="AH3096" t="s">
        <v>18680</v>
      </c>
      <c r="AI3096" t="s">
        <v>18681</v>
      </c>
      <c r="AJ3096" s="2">
        <v>45855.935312499998</v>
      </c>
      <c r="AK3096" t="s">
        <v>556</v>
      </c>
      <c r="AL3096" t="s">
        <v>65</v>
      </c>
      <c r="AM3096" s="3">
        <v>1.3090277777777777</v>
      </c>
      <c r="AN3096" t="s">
        <v>66</v>
      </c>
      <c r="AO3096" t="s">
        <v>101</v>
      </c>
    </row>
    <row r="3097" spans="1:41" x14ac:dyDescent="0.2">
      <c r="A3097">
        <v>361020</v>
      </c>
      <c r="B3097" t="s">
        <v>18682</v>
      </c>
      <c r="C3097" t="s">
        <v>763</v>
      </c>
      <c r="D3097" t="s">
        <v>7573</v>
      </c>
      <c r="E3097" t="s">
        <v>18683</v>
      </c>
      <c r="F3097">
        <v>471002</v>
      </c>
      <c r="G3097" s="1">
        <v>38295</v>
      </c>
      <c r="H3097" s="1">
        <v>45441</v>
      </c>
      <c r="J3097" t="s">
        <v>45</v>
      </c>
      <c r="K3097" t="s">
        <v>45</v>
      </c>
      <c r="L3097" t="s">
        <v>72</v>
      </c>
      <c r="M3097" s="1">
        <v>44043</v>
      </c>
      <c r="N3097" t="s">
        <v>47</v>
      </c>
      <c r="O3097" t="s">
        <v>48</v>
      </c>
      <c r="P3097" t="s">
        <v>49</v>
      </c>
      <c r="Q3097" t="s">
        <v>18684</v>
      </c>
      <c r="R3097" t="s">
        <v>18685</v>
      </c>
      <c r="S3097">
        <v>1619</v>
      </c>
      <c r="T3097" t="s">
        <v>92</v>
      </c>
      <c r="U3097" t="s">
        <v>767</v>
      </c>
      <c r="V3097" t="s">
        <v>768</v>
      </c>
      <c r="W3097" t="s">
        <v>769</v>
      </c>
      <c r="X3097" t="s">
        <v>92</v>
      </c>
      <c r="Y3097" t="s">
        <v>770</v>
      </c>
      <c r="Z3097">
        <v>2622</v>
      </c>
      <c r="AA3097">
        <v>48</v>
      </c>
      <c r="AB3097">
        <v>176</v>
      </c>
      <c r="AC3097" t="s">
        <v>771</v>
      </c>
      <c r="AD3097" t="s">
        <v>772</v>
      </c>
      <c r="AE3097" t="s">
        <v>11944</v>
      </c>
      <c r="AF3097" t="s">
        <v>774</v>
      </c>
      <c r="AG3097" t="s">
        <v>775</v>
      </c>
      <c r="AH3097" t="s">
        <v>776</v>
      </c>
      <c r="AI3097" t="s">
        <v>17653</v>
      </c>
      <c r="AJ3097" s="2">
        <v>45443.702245370368</v>
      </c>
      <c r="AK3097" t="s">
        <v>18686</v>
      </c>
      <c r="AL3097" t="s">
        <v>65</v>
      </c>
      <c r="AM3097" s="4">
        <v>0.41666666666666669</v>
      </c>
      <c r="AN3097" t="s">
        <v>66</v>
      </c>
      <c r="AO3097" t="s">
        <v>67</v>
      </c>
    </row>
    <row r="3098" spans="1:41" x14ac:dyDescent="0.2">
      <c r="A3098">
        <v>370440</v>
      </c>
      <c r="B3098" t="s">
        <v>18687</v>
      </c>
      <c r="C3098" t="s">
        <v>662</v>
      </c>
      <c r="D3098" t="s">
        <v>5465</v>
      </c>
      <c r="E3098" t="s">
        <v>18688</v>
      </c>
      <c r="F3098">
        <v>414402</v>
      </c>
      <c r="G3098" s="1">
        <v>37630</v>
      </c>
      <c r="H3098" s="1">
        <v>45538</v>
      </c>
      <c r="I3098" s="1">
        <v>46266</v>
      </c>
      <c r="J3098" t="s">
        <v>45</v>
      </c>
      <c r="K3098" t="s">
        <v>45</v>
      </c>
      <c r="L3098" t="s">
        <v>72</v>
      </c>
      <c r="M3098" s="1">
        <v>43593</v>
      </c>
      <c r="N3098" t="s">
        <v>47</v>
      </c>
      <c r="O3098" t="s">
        <v>48</v>
      </c>
      <c r="P3098" t="s">
        <v>49</v>
      </c>
      <c r="Q3098" t="s">
        <v>18689</v>
      </c>
      <c r="R3098" t="s">
        <v>18690</v>
      </c>
      <c r="S3098">
        <v>264</v>
      </c>
      <c r="T3098" t="s">
        <v>92</v>
      </c>
      <c r="U3098" t="s">
        <v>1197</v>
      </c>
      <c r="V3098" t="s">
        <v>1198</v>
      </c>
      <c r="W3098" t="s">
        <v>1199</v>
      </c>
      <c r="X3098" t="s">
        <v>52</v>
      </c>
      <c r="Y3098" t="s">
        <v>110</v>
      </c>
      <c r="Z3098">
        <v>2086</v>
      </c>
      <c r="AA3098">
        <v>41</v>
      </c>
      <c r="AB3098">
        <v>158</v>
      </c>
      <c r="AC3098" t="s">
        <v>1200</v>
      </c>
      <c r="AD3098" t="s">
        <v>1201</v>
      </c>
      <c r="AE3098" t="s">
        <v>1202</v>
      </c>
      <c r="AF3098" t="s">
        <v>1203</v>
      </c>
      <c r="AG3098" t="s">
        <v>1204</v>
      </c>
      <c r="AH3098" t="s">
        <v>1205</v>
      </c>
      <c r="AJ3098" s="2">
        <v>45775.766689814816</v>
      </c>
      <c r="AK3098" t="s">
        <v>650</v>
      </c>
      <c r="AL3098" t="s">
        <v>65</v>
      </c>
      <c r="AM3098" s="4">
        <v>0.18055555555555555</v>
      </c>
      <c r="AN3098" t="s">
        <v>66</v>
      </c>
      <c r="AO3098" t="s">
        <v>67</v>
      </c>
    </row>
    <row r="3099" spans="1:41" x14ac:dyDescent="0.2">
      <c r="A3099">
        <v>353384</v>
      </c>
      <c r="B3099" t="s">
        <v>18691</v>
      </c>
      <c r="C3099" t="s">
        <v>182</v>
      </c>
      <c r="D3099" t="s">
        <v>2901</v>
      </c>
      <c r="E3099" t="s">
        <v>18692</v>
      </c>
      <c r="F3099">
        <v>45020</v>
      </c>
      <c r="G3099" s="1">
        <v>40207</v>
      </c>
      <c r="H3099" s="1">
        <v>45201</v>
      </c>
      <c r="J3099" t="s">
        <v>45</v>
      </c>
      <c r="K3099" t="s">
        <v>45</v>
      </c>
      <c r="L3099" t="s">
        <v>72</v>
      </c>
      <c r="N3099" t="s">
        <v>47</v>
      </c>
      <c r="O3099" t="s">
        <v>48</v>
      </c>
      <c r="P3099" t="s">
        <v>49</v>
      </c>
      <c r="Q3099" t="s">
        <v>18693</v>
      </c>
      <c r="R3099" t="s">
        <v>18051</v>
      </c>
      <c r="S3099">
        <v>1591</v>
      </c>
      <c r="T3099" t="s">
        <v>92</v>
      </c>
      <c r="U3099" t="s">
        <v>187</v>
      </c>
      <c r="V3099" t="s">
        <v>8218</v>
      </c>
      <c r="W3099" t="s">
        <v>448</v>
      </c>
      <c r="X3099" t="s">
        <v>92</v>
      </c>
      <c r="Y3099" t="s">
        <v>770</v>
      </c>
      <c r="Z3099">
        <v>2897</v>
      </c>
      <c r="AA3099">
        <v>22</v>
      </c>
      <c r="AB3099">
        <v>166</v>
      </c>
      <c r="AC3099" t="s">
        <v>10515</v>
      </c>
      <c r="AD3099" t="s">
        <v>8220</v>
      </c>
      <c r="AE3099" t="s">
        <v>8221</v>
      </c>
      <c r="AJ3099" s="2">
        <v>45203.777094907404</v>
      </c>
      <c r="AK3099" t="s">
        <v>526</v>
      </c>
      <c r="AL3099" t="s">
        <v>65</v>
      </c>
      <c r="AM3099" s="4">
        <v>0.54861111111111116</v>
      </c>
      <c r="AN3099" t="s">
        <v>66</v>
      </c>
      <c r="AO3099" t="s">
        <v>67</v>
      </c>
    </row>
    <row r="3100" spans="1:41" x14ac:dyDescent="0.2">
      <c r="A3100">
        <v>370070</v>
      </c>
      <c r="B3100" t="s">
        <v>18694</v>
      </c>
      <c r="C3100" t="s">
        <v>692</v>
      </c>
      <c r="D3100" t="s">
        <v>2245</v>
      </c>
      <c r="E3100" t="s">
        <v>18695</v>
      </c>
      <c r="G3100" s="1">
        <v>45723</v>
      </c>
      <c r="H3100" s="1">
        <v>45623</v>
      </c>
      <c r="I3100" s="1">
        <v>45976</v>
      </c>
      <c r="J3100" t="s">
        <v>45</v>
      </c>
      <c r="K3100" t="s">
        <v>45</v>
      </c>
      <c r="L3100" t="s">
        <v>72</v>
      </c>
      <c r="M3100" s="1">
        <v>43237</v>
      </c>
      <c r="N3100" t="s">
        <v>89</v>
      </c>
      <c r="O3100" t="s">
        <v>121</v>
      </c>
      <c r="P3100" t="s">
        <v>49</v>
      </c>
      <c r="Q3100" t="s">
        <v>18696</v>
      </c>
      <c r="R3100" t="s">
        <v>18697</v>
      </c>
      <c r="S3100">
        <v>5480</v>
      </c>
      <c r="T3100" t="s">
        <v>365</v>
      </c>
      <c r="U3100" t="s">
        <v>432</v>
      </c>
      <c r="V3100" t="s">
        <v>4190</v>
      </c>
      <c r="W3100" t="s">
        <v>367</v>
      </c>
      <c r="X3100" t="s">
        <v>76</v>
      </c>
      <c r="Y3100" t="s">
        <v>125</v>
      </c>
      <c r="Z3100">
        <v>9166</v>
      </c>
      <c r="AA3100">
        <v>83</v>
      </c>
      <c r="AB3100">
        <v>28</v>
      </c>
      <c r="AC3100" t="s">
        <v>6643</v>
      </c>
      <c r="AD3100" t="s">
        <v>6644</v>
      </c>
      <c r="AE3100" t="s">
        <v>6645</v>
      </c>
      <c r="AF3100" t="s">
        <v>6646</v>
      </c>
      <c r="AG3100" t="s">
        <v>6647</v>
      </c>
      <c r="AH3100" t="s">
        <v>6648</v>
      </c>
      <c r="AI3100" t="s">
        <v>18698</v>
      </c>
      <c r="AJ3100" s="2">
        <v>45762.842499999999</v>
      </c>
      <c r="AK3100" t="s">
        <v>276</v>
      </c>
      <c r="AL3100" t="s">
        <v>65</v>
      </c>
      <c r="AM3100" s="4">
        <v>6.9444444444444441E-3</v>
      </c>
      <c r="AN3100" t="s">
        <v>66</v>
      </c>
      <c r="AO3100" t="s">
        <v>67</v>
      </c>
    </row>
    <row r="3101" spans="1:41" x14ac:dyDescent="0.2">
      <c r="A3101">
        <v>365838</v>
      </c>
      <c r="B3101" t="s">
        <v>18699</v>
      </c>
      <c r="C3101" t="s">
        <v>692</v>
      </c>
      <c r="D3101" t="s">
        <v>2245</v>
      </c>
      <c r="E3101" t="s">
        <v>18700</v>
      </c>
      <c r="G3101" s="1">
        <v>45593</v>
      </c>
      <c r="H3101" s="1">
        <v>45594</v>
      </c>
      <c r="I3101" s="1">
        <v>45962</v>
      </c>
      <c r="J3101" t="s">
        <v>45</v>
      </c>
      <c r="K3101" t="s">
        <v>45</v>
      </c>
      <c r="L3101" t="s">
        <v>72</v>
      </c>
      <c r="M3101" s="1">
        <v>42838</v>
      </c>
      <c r="N3101" t="s">
        <v>89</v>
      </c>
      <c r="O3101" t="s">
        <v>121</v>
      </c>
      <c r="P3101" t="s">
        <v>49</v>
      </c>
      <c r="Q3101" t="s">
        <v>18701</v>
      </c>
      <c r="R3101" t="s">
        <v>18702</v>
      </c>
      <c r="S3101">
        <v>6176</v>
      </c>
      <c r="T3101" t="s">
        <v>365</v>
      </c>
      <c r="U3101" t="s">
        <v>432</v>
      </c>
      <c r="V3101" t="s">
        <v>4190</v>
      </c>
      <c r="W3101" t="s">
        <v>367</v>
      </c>
      <c r="X3101" t="s">
        <v>76</v>
      </c>
      <c r="Y3101" t="s">
        <v>125</v>
      </c>
      <c r="Z3101">
        <v>2779</v>
      </c>
      <c r="AA3101">
        <v>113</v>
      </c>
      <c r="AB3101">
        <v>158</v>
      </c>
      <c r="AC3101" t="s">
        <v>8231</v>
      </c>
      <c r="AD3101" t="s">
        <v>8232</v>
      </c>
      <c r="AE3101" t="s">
        <v>8233</v>
      </c>
      <c r="AF3101" t="s">
        <v>8234</v>
      </c>
      <c r="AG3101" t="s">
        <v>8235</v>
      </c>
      <c r="AH3101" t="s">
        <v>8236</v>
      </c>
      <c r="AI3101" t="s">
        <v>18703</v>
      </c>
      <c r="AJ3101" s="2">
        <v>45594.449305555558</v>
      </c>
      <c r="AK3101" t="s">
        <v>132</v>
      </c>
      <c r="AL3101" t="s">
        <v>65</v>
      </c>
      <c r="AM3101" s="3">
        <v>1.4166666666666667</v>
      </c>
      <c r="AN3101" t="s">
        <v>66</v>
      </c>
      <c r="AO3101" t="s">
        <v>67</v>
      </c>
    </row>
    <row r="3102" spans="1:41" x14ac:dyDescent="0.2">
      <c r="A3102">
        <v>372515</v>
      </c>
      <c r="B3102" t="s">
        <v>18704</v>
      </c>
      <c r="C3102" t="s">
        <v>118</v>
      </c>
      <c r="D3102" t="s">
        <v>1410</v>
      </c>
      <c r="E3102" t="s">
        <v>18705</v>
      </c>
      <c r="F3102">
        <v>20222</v>
      </c>
      <c r="G3102" s="1">
        <v>39037</v>
      </c>
      <c r="H3102" s="1">
        <v>41344</v>
      </c>
      <c r="J3102" t="s">
        <v>45</v>
      </c>
      <c r="K3102" t="s">
        <v>72</v>
      </c>
      <c r="L3102" t="s">
        <v>72</v>
      </c>
      <c r="N3102" t="s">
        <v>89</v>
      </c>
      <c r="O3102" t="s">
        <v>48</v>
      </c>
      <c r="P3102" t="s">
        <v>1752</v>
      </c>
      <c r="Q3102" t="s">
        <v>18706</v>
      </c>
      <c r="R3102" t="s">
        <v>18707</v>
      </c>
      <c r="S3102">
        <v>5658</v>
      </c>
      <c r="T3102" t="s">
        <v>257</v>
      </c>
      <c r="U3102" t="s">
        <v>283</v>
      </c>
      <c r="V3102" t="s">
        <v>18708</v>
      </c>
      <c r="W3102" t="s">
        <v>260</v>
      </c>
      <c r="X3102" t="s">
        <v>257</v>
      </c>
      <c r="Y3102" t="s">
        <v>770</v>
      </c>
      <c r="Z3102">
        <v>1531</v>
      </c>
      <c r="AA3102">
        <v>16</v>
      </c>
      <c r="AB3102">
        <v>158</v>
      </c>
      <c r="AC3102" t="s">
        <v>18709</v>
      </c>
      <c r="AD3102" t="s">
        <v>18710</v>
      </c>
      <c r="AE3102" t="s">
        <v>18711</v>
      </c>
      <c r="AF3102" t="s">
        <v>18709</v>
      </c>
      <c r="AH3102" t="s">
        <v>18712</v>
      </c>
      <c r="AJ3102" s="2">
        <v>45841.659363425926</v>
      </c>
      <c r="AK3102" t="s">
        <v>100</v>
      </c>
      <c r="AL3102" t="s">
        <v>475</v>
      </c>
      <c r="AM3102" s="4">
        <v>0.50694444444444442</v>
      </c>
      <c r="AN3102" t="s">
        <v>809</v>
      </c>
      <c r="AO3102" t="s">
        <v>67</v>
      </c>
    </row>
    <row r="3103" spans="1:41" x14ac:dyDescent="0.2">
      <c r="A3103">
        <v>370879</v>
      </c>
      <c r="B3103" t="s">
        <v>18713</v>
      </c>
      <c r="C3103" t="s">
        <v>1244</v>
      </c>
      <c r="D3103" t="s">
        <v>18714</v>
      </c>
      <c r="E3103" t="s">
        <v>18715</v>
      </c>
      <c r="F3103">
        <v>462701</v>
      </c>
      <c r="G3103" s="1">
        <v>45716</v>
      </c>
      <c r="H3103" s="1">
        <v>45637</v>
      </c>
      <c r="I3103" s="1">
        <v>46006</v>
      </c>
      <c r="J3103" t="s">
        <v>45</v>
      </c>
      <c r="K3103" t="s">
        <v>45</v>
      </c>
      <c r="L3103" t="s">
        <v>72</v>
      </c>
      <c r="M3103" s="1">
        <v>43781</v>
      </c>
      <c r="N3103" t="s">
        <v>89</v>
      </c>
      <c r="O3103" t="s">
        <v>121</v>
      </c>
      <c r="P3103" t="s">
        <v>49</v>
      </c>
      <c r="Q3103" t="s">
        <v>18716</v>
      </c>
      <c r="R3103" t="s">
        <v>18717</v>
      </c>
      <c r="S3103">
        <v>2840</v>
      </c>
      <c r="T3103" t="s">
        <v>52</v>
      </c>
      <c r="U3103">
        <v>9</v>
      </c>
      <c r="V3103" t="s">
        <v>6027</v>
      </c>
      <c r="W3103" t="s">
        <v>54</v>
      </c>
      <c r="X3103" t="s">
        <v>76</v>
      </c>
      <c r="Y3103" t="s">
        <v>125</v>
      </c>
      <c r="Z3103">
        <v>10566</v>
      </c>
      <c r="AA3103">
        <v>51</v>
      </c>
      <c r="AB3103">
        <v>45</v>
      </c>
      <c r="AC3103" t="s">
        <v>6028</v>
      </c>
      <c r="AD3103" t="s">
        <v>6029</v>
      </c>
      <c r="AE3103" t="s">
        <v>6030</v>
      </c>
      <c r="AI3103" t="s">
        <v>6029</v>
      </c>
      <c r="AJ3103" s="2">
        <v>45788.522083333337</v>
      </c>
      <c r="AK3103" t="s">
        <v>132</v>
      </c>
      <c r="AL3103" t="s">
        <v>65</v>
      </c>
      <c r="AM3103" s="3">
        <v>1.8680555555555556</v>
      </c>
      <c r="AN3103" t="s">
        <v>66</v>
      </c>
      <c r="AO3103" t="s">
        <v>101</v>
      </c>
    </row>
    <row r="3104" spans="1:41" x14ac:dyDescent="0.2">
      <c r="A3104">
        <v>371212</v>
      </c>
      <c r="B3104" t="s">
        <v>18718</v>
      </c>
      <c r="C3104" t="s">
        <v>1244</v>
      </c>
      <c r="D3104" t="s">
        <v>11760</v>
      </c>
      <c r="E3104" t="s">
        <v>18719</v>
      </c>
      <c r="G3104" s="1">
        <v>45754</v>
      </c>
      <c r="H3104" s="1">
        <v>45644</v>
      </c>
      <c r="I3104" s="1">
        <v>46006</v>
      </c>
      <c r="J3104" t="s">
        <v>45</v>
      </c>
      <c r="K3104" t="s">
        <v>45</v>
      </c>
      <c r="L3104" t="s">
        <v>72</v>
      </c>
      <c r="M3104" s="1">
        <v>44272</v>
      </c>
      <c r="N3104" t="s">
        <v>89</v>
      </c>
      <c r="O3104" t="s">
        <v>121</v>
      </c>
      <c r="P3104" t="s">
        <v>49</v>
      </c>
      <c r="Q3104" t="s">
        <v>18720</v>
      </c>
      <c r="R3104" t="s">
        <v>18721</v>
      </c>
      <c r="S3104">
        <v>3655</v>
      </c>
      <c r="T3104" t="s">
        <v>52</v>
      </c>
      <c r="U3104">
        <v>9</v>
      </c>
      <c r="V3104" t="s">
        <v>6027</v>
      </c>
      <c r="W3104" t="s">
        <v>54</v>
      </c>
      <c r="Y3104" t="s">
        <v>125</v>
      </c>
      <c r="Z3104">
        <v>10567</v>
      </c>
      <c r="AA3104">
        <v>68</v>
      </c>
      <c r="AB3104">
        <v>45</v>
      </c>
      <c r="AC3104" t="s">
        <v>6028</v>
      </c>
      <c r="AD3104" t="s">
        <v>6029</v>
      </c>
      <c r="AE3104" t="s">
        <v>6030</v>
      </c>
      <c r="AF3104" t="s">
        <v>11763</v>
      </c>
      <c r="AG3104" t="s">
        <v>11764</v>
      </c>
      <c r="AH3104" t="s">
        <v>11765</v>
      </c>
      <c r="AJ3104" s="2">
        <v>45798.851574074077</v>
      </c>
      <c r="AK3104" t="s">
        <v>650</v>
      </c>
      <c r="AL3104" t="s">
        <v>65</v>
      </c>
      <c r="AM3104" s="3">
        <v>1.875</v>
      </c>
      <c r="AN3104" t="s">
        <v>66</v>
      </c>
      <c r="AO3104" t="s">
        <v>101</v>
      </c>
    </row>
    <row r="3105" spans="1:41" x14ac:dyDescent="0.2">
      <c r="A3105">
        <v>370579</v>
      </c>
      <c r="B3105" t="s">
        <v>18722</v>
      </c>
      <c r="C3105" t="s">
        <v>1244</v>
      </c>
      <c r="D3105" t="s">
        <v>10301</v>
      </c>
      <c r="E3105" t="s">
        <v>18723</v>
      </c>
      <c r="F3105">
        <v>460902</v>
      </c>
      <c r="G3105" s="1">
        <v>40995</v>
      </c>
      <c r="H3105" s="1">
        <v>45631</v>
      </c>
      <c r="J3105" t="s">
        <v>45</v>
      </c>
      <c r="K3105" t="s">
        <v>45</v>
      </c>
      <c r="L3105" t="s">
        <v>46</v>
      </c>
      <c r="M3105" s="1">
        <v>45778</v>
      </c>
      <c r="N3105" t="s">
        <v>47</v>
      </c>
      <c r="O3105" t="s">
        <v>48</v>
      </c>
      <c r="P3105" t="s">
        <v>49</v>
      </c>
      <c r="Q3105" t="s">
        <v>18724</v>
      </c>
      <c r="R3105" t="s">
        <v>18725</v>
      </c>
      <c r="S3105">
        <v>2279</v>
      </c>
      <c r="T3105" t="s">
        <v>92</v>
      </c>
      <c r="U3105" t="s">
        <v>1249</v>
      </c>
      <c r="V3105" t="s">
        <v>1250</v>
      </c>
      <c r="W3105" t="s">
        <v>1251</v>
      </c>
      <c r="X3105" t="s">
        <v>3098</v>
      </c>
      <c r="Y3105" t="s">
        <v>770</v>
      </c>
      <c r="Z3105">
        <v>5446</v>
      </c>
      <c r="AA3105">
        <v>26</v>
      </c>
      <c r="AB3105">
        <v>45</v>
      </c>
      <c r="AC3105" t="s">
        <v>1252</v>
      </c>
      <c r="AD3105" t="s">
        <v>1253</v>
      </c>
      <c r="AE3105" t="s">
        <v>1254</v>
      </c>
      <c r="AF3105" t="s">
        <v>1255</v>
      </c>
      <c r="AG3105" t="s">
        <v>1256</v>
      </c>
      <c r="AH3105" t="s">
        <v>1257</v>
      </c>
      <c r="AI3105" t="s">
        <v>1258</v>
      </c>
      <c r="AJ3105" s="2">
        <v>45778.695347222223</v>
      </c>
      <c r="AK3105" t="s">
        <v>800</v>
      </c>
      <c r="AL3105" t="s">
        <v>65</v>
      </c>
      <c r="AM3105" s="4">
        <v>0.5</v>
      </c>
      <c r="AN3105" t="s">
        <v>66</v>
      </c>
      <c r="AO3105" t="s">
        <v>101</v>
      </c>
    </row>
    <row r="3106" spans="1:41" x14ac:dyDescent="0.2">
      <c r="A3106">
        <v>368938</v>
      </c>
      <c r="B3106" t="s">
        <v>18726</v>
      </c>
      <c r="C3106" t="s">
        <v>182</v>
      </c>
      <c r="D3106" t="s">
        <v>3983</v>
      </c>
      <c r="E3106" t="s">
        <v>18727</v>
      </c>
      <c r="F3106">
        <v>43612</v>
      </c>
      <c r="G3106" s="1">
        <v>33004</v>
      </c>
      <c r="H3106" s="1">
        <v>45544</v>
      </c>
      <c r="I3106" s="1">
        <v>46174</v>
      </c>
      <c r="J3106" t="s">
        <v>45</v>
      </c>
      <c r="K3106" t="s">
        <v>45</v>
      </c>
      <c r="L3106" t="s">
        <v>46</v>
      </c>
      <c r="M3106" s="1">
        <v>45197</v>
      </c>
      <c r="N3106" t="s">
        <v>47</v>
      </c>
      <c r="O3106" t="s">
        <v>48</v>
      </c>
      <c r="P3106" t="s">
        <v>49</v>
      </c>
      <c r="Q3106" t="s">
        <v>18728</v>
      </c>
      <c r="R3106" t="s">
        <v>18729</v>
      </c>
      <c r="S3106">
        <v>8038</v>
      </c>
      <c r="T3106" t="s">
        <v>257</v>
      </c>
      <c r="U3106" t="s">
        <v>640</v>
      </c>
      <c r="V3106" t="s">
        <v>5789</v>
      </c>
      <c r="W3106" t="s">
        <v>260</v>
      </c>
      <c r="X3106" t="s">
        <v>493</v>
      </c>
      <c r="Y3106" t="s">
        <v>56</v>
      </c>
      <c r="Z3106">
        <v>486</v>
      </c>
      <c r="AA3106">
        <v>71</v>
      </c>
      <c r="AB3106">
        <v>66</v>
      </c>
      <c r="AC3106" t="s">
        <v>5790</v>
      </c>
      <c r="AD3106" t="s">
        <v>5791</v>
      </c>
      <c r="AE3106" t="s">
        <v>5792</v>
      </c>
      <c r="AF3106" t="s">
        <v>5793</v>
      </c>
      <c r="AG3106" t="s">
        <v>5794</v>
      </c>
      <c r="AH3106" t="s">
        <v>5795</v>
      </c>
      <c r="AI3106" t="s">
        <v>5796</v>
      </c>
      <c r="AJ3106" s="2">
        <v>45722.917557870373</v>
      </c>
      <c r="AK3106" t="s">
        <v>501</v>
      </c>
      <c r="AL3106" t="s">
        <v>65</v>
      </c>
      <c r="AM3106" s="3">
        <v>2.2083333333333335</v>
      </c>
      <c r="AN3106" t="s">
        <v>66</v>
      </c>
      <c r="AO3106" t="s">
        <v>67</v>
      </c>
    </row>
    <row r="3107" spans="1:41" x14ac:dyDescent="0.2">
      <c r="A3107">
        <v>370321</v>
      </c>
      <c r="B3107" t="s">
        <v>18730</v>
      </c>
      <c r="C3107" t="s">
        <v>735</v>
      </c>
      <c r="D3107" t="s">
        <v>1849</v>
      </c>
      <c r="E3107" t="s">
        <v>18731</v>
      </c>
      <c r="F3107">
        <v>240120</v>
      </c>
      <c r="G3107" s="1">
        <v>37027</v>
      </c>
      <c r="H3107" s="1">
        <v>45520</v>
      </c>
      <c r="I3107" s="1">
        <v>46235</v>
      </c>
      <c r="J3107" t="s">
        <v>45</v>
      </c>
      <c r="K3107" t="s">
        <v>45</v>
      </c>
      <c r="L3107" t="s">
        <v>429</v>
      </c>
      <c r="M3107" s="1">
        <v>45161</v>
      </c>
      <c r="N3107" t="s">
        <v>47</v>
      </c>
      <c r="O3107" t="s">
        <v>48</v>
      </c>
      <c r="P3107" t="s">
        <v>49</v>
      </c>
      <c r="Q3107" t="s">
        <v>18732</v>
      </c>
      <c r="R3107" t="s">
        <v>18733</v>
      </c>
      <c r="S3107">
        <v>3000</v>
      </c>
      <c r="T3107" t="s">
        <v>52</v>
      </c>
      <c r="U3107">
        <v>1</v>
      </c>
      <c r="V3107" t="s">
        <v>1853</v>
      </c>
      <c r="W3107" t="s">
        <v>54</v>
      </c>
      <c r="X3107" t="s">
        <v>76</v>
      </c>
      <c r="Y3107" t="s">
        <v>56</v>
      </c>
      <c r="Z3107">
        <v>1790</v>
      </c>
      <c r="AA3107">
        <v>41</v>
      </c>
      <c r="AB3107">
        <v>146</v>
      </c>
      <c r="AC3107" t="s">
        <v>1857</v>
      </c>
      <c r="AD3107" t="s">
        <v>1858</v>
      </c>
      <c r="AE3107" t="s">
        <v>1859</v>
      </c>
      <c r="AF3107" t="s">
        <v>3865</v>
      </c>
      <c r="AG3107" t="s">
        <v>3866</v>
      </c>
      <c r="AH3107" t="s">
        <v>10392</v>
      </c>
      <c r="AI3107" t="s">
        <v>179</v>
      </c>
      <c r="AJ3107" s="2">
        <v>45770.6641087963</v>
      </c>
      <c r="AK3107" t="s">
        <v>18734</v>
      </c>
      <c r="AL3107" t="s">
        <v>65</v>
      </c>
      <c r="AM3107" s="4">
        <v>0.27777777777777779</v>
      </c>
      <c r="AN3107" t="s">
        <v>66</v>
      </c>
      <c r="AO3107" t="s">
        <v>67</v>
      </c>
    </row>
    <row r="3108" spans="1:41" x14ac:dyDescent="0.2">
      <c r="A3108">
        <v>366875</v>
      </c>
      <c r="B3108" t="s">
        <v>18735</v>
      </c>
      <c r="C3108" t="s">
        <v>134</v>
      </c>
      <c r="D3108" t="s">
        <v>8818</v>
      </c>
      <c r="E3108" t="s">
        <v>18736</v>
      </c>
      <c r="G3108" s="1">
        <v>45642</v>
      </c>
      <c r="H3108" s="1">
        <v>45643</v>
      </c>
      <c r="I3108" s="1">
        <v>45962</v>
      </c>
      <c r="J3108" t="s">
        <v>45</v>
      </c>
      <c r="K3108" t="s">
        <v>326</v>
      </c>
      <c r="L3108" t="s">
        <v>72</v>
      </c>
      <c r="N3108" t="s">
        <v>89</v>
      </c>
      <c r="O3108" t="s">
        <v>121</v>
      </c>
      <c r="P3108" t="s">
        <v>49</v>
      </c>
      <c r="Q3108" t="s">
        <v>18737</v>
      </c>
      <c r="R3108" t="s">
        <v>18738</v>
      </c>
      <c r="S3108">
        <v>3337</v>
      </c>
      <c r="T3108" t="s">
        <v>296</v>
      </c>
      <c r="U3108" t="s">
        <v>2267</v>
      </c>
      <c r="V3108" t="s">
        <v>8821</v>
      </c>
      <c r="W3108" t="s">
        <v>299</v>
      </c>
      <c r="X3108" t="s">
        <v>296</v>
      </c>
      <c r="Y3108" t="s">
        <v>125</v>
      </c>
      <c r="Z3108">
        <v>3081</v>
      </c>
      <c r="AA3108">
        <v>64</v>
      </c>
      <c r="AB3108">
        <v>38</v>
      </c>
      <c r="AC3108" t="s">
        <v>8822</v>
      </c>
      <c r="AD3108" t="s">
        <v>18739</v>
      </c>
      <c r="AE3108" t="s">
        <v>8824</v>
      </c>
      <c r="AF3108" t="s">
        <v>18740</v>
      </c>
      <c r="AG3108" t="s">
        <v>8826</v>
      </c>
      <c r="AH3108" t="s">
        <v>18741</v>
      </c>
      <c r="AI3108" t="s">
        <v>2274</v>
      </c>
      <c r="AJ3108" s="2">
        <v>45643.513819444444</v>
      </c>
      <c r="AK3108" t="s">
        <v>132</v>
      </c>
      <c r="AL3108" t="s">
        <v>65</v>
      </c>
      <c r="AM3108" s="3">
        <v>1.9930555555555556</v>
      </c>
      <c r="AN3108" t="s">
        <v>66</v>
      </c>
      <c r="AO3108" t="s">
        <v>67</v>
      </c>
    </row>
    <row r="3109" spans="1:41" x14ac:dyDescent="0.2">
      <c r="A3109">
        <v>368753</v>
      </c>
      <c r="B3109" t="s">
        <v>18742</v>
      </c>
      <c r="C3109" t="s">
        <v>2298</v>
      </c>
      <c r="D3109" t="s">
        <v>18743</v>
      </c>
      <c r="E3109" t="s">
        <v>18744</v>
      </c>
      <c r="F3109">
        <v>222101</v>
      </c>
      <c r="G3109" s="1">
        <v>39380</v>
      </c>
      <c r="H3109" s="1">
        <v>45706</v>
      </c>
      <c r="J3109" t="s">
        <v>45</v>
      </c>
      <c r="K3109" t="s">
        <v>45</v>
      </c>
      <c r="L3109" t="s">
        <v>72</v>
      </c>
      <c r="N3109" t="s">
        <v>47</v>
      </c>
      <c r="O3109" t="s">
        <v>48</v>
      </c>
      <c r="P3109" t="s">
        <v>49</v>
      </c>
      <c r="Q3109" t="s">
        <v>18745</v>
      </c>
      <c r="R3109" t="s">
        <v>18746</v>
      </c>
      <c r="S3109">
        <v>370</v>
      </c>
      <c r="T3109" t="s">
        <v>92</v>
      </c>
      <c r="U3109" t="s">
        <v>5509</v>
      </c>
      <c r="V3109" t="s">
        <v>5510</v>
      </c>
      <c r="W3109" t="s">
        <v>5511</v>
      </c>
      <c r="X3109" t="s">
        <v>52</v>
      </c>
      <c r="Y3109" t="s">
        <v>770</v>
      </c>
      <c r="Z3109">
        <v>2607</v>
      </c>
      <c r="AA3109">
        <v>30</v>
      </c>
      <c r="AB3109">
        <v>176</v>
      </c>
      <c r="AC3109" t="s">
        <v>5512</v>
      </c>
      <c r="AD3109" t="s">
        <v>13933</v>
      </c>
      <c r="AE3109" t="s">
        <v>5514</v>
      </c>
      <c r="AF3109" t="s">
        <v>5515</v>
      </c>
      <c r="AG3109" t="s">
        <v>5516</v>
      </c>
      <c r="AH3109" t="s">
        <v>5517</v>
      </c>
      <c r="AI3109" t="s">
        <v>13934</v>
      </c>
      <c r="AJ3109" s="2">
        <v>45824.58525462963</v>
      </c>
      <c r="AK3109" t="s">
        <v>5519</v>
      </c>
      <c r="AL3109" t="s">
        <v>65</v>
      </c>
      <c r="AM3109" s="4">
        <v>0.38194444444444442</v>
      </c>
      <c r="AN3109" t="s">
        <v>66</v>
      </c>
      <c r="AO3109" t="s">
        <v>67</v>
      </c>
    </row>
    <row r="3110" spans="1:41" x14ac:dyDescent="0.2">
      <c r="A3110">
        <v>362317</v>
      </c>
      <c r="B3110" t="s">
        <v>18747</v>
      </c>
      <c r="C3110" t="s">
        <v>278</v>
      </c>
      <c r="D3110" t="s">
        <v>6358</v>
      </c>
      <c r="E3110" t="s">
        <v>18748</v>
      </c>
      <c r="F3110">
        <v>421412</v>
      </c>
      <c r="G3110" s="1">
        <v>34575</v>
      </c>
      <c r="H3110" s="1">
        <v>45482</v>
      </c>
      <c r="I3110" s="1">
        <v>46235</v>
      </c>
      <c r="J3110" t="s">
        <v>45</v>
      </c>
      <c r="K3110" t="s">
        <v>45</v>
      </c>
      <c r="L3110" t="s">
        <v>72</v>
      </c>
      <c r="M3110" s="1">
        <v>36019</v>
      </c>
      <c r="N3110" t="s">
        <v>47</v>
      </c>
      <c r="O3110" t="s">
        <v>48</v>
      </c>
      <c r="P3110" t="s">
        <v>49</v>
      </c>
      <c r="Q3110" t="s">
        <v>18749</v>
      </c>
      <c r="R3110" t="s">
        <v>18750</v>
      </c>
      <c r="S3110">
        <v>5240</v>
      </c>
      <c r="T3110" t="s">
        <v>365</v>
      </c>
      <c r="U3110" t="s">
        <v>432</v>
      </c>
      <c r="V3110" t="s">
        <v>6362</v>
      </c>
      <c r="W3110" t="s">
        <v>367</v>
      </c>
      <c r="X3110" t="s">
        <v>55</v>
      </c>
      <c r="Y3110" t="s">
        <v>434</v>
      </c>
      <c r="Z3110">
        <v>360</v>
      </c>
      <c r="AA3110">
        <v>59</v>
      </c>
      <c r="AB3110">
        <v>78</v>
      </c>
      <c r="AC3110" t="s">
        <v>6363</v>
      </c>
      <c r="AD3110" t="s">
        <v>6364</v>
      </c>
      <c r="AE3110" t="s">
        <v>6365</v>
      </c>
      <c r="AF3110" t="s">
        <v>3498</v>
      </c>
      <c r="AG3110" t="s">
        <v>2393</v>
      </c>
      <c r="AH3110" t="s">
        <v>2394</v>
      </c>
      <c r="AI3110" t="s">
        <v>179</v>
      </c>
      <c r="AJ3110" s="2">
        <v>45483.116886574076</v>
      </c>
      <c r="AK3110" t="s">
        <v>4471</v>
      </c>
      <c r="AL3110" t="s">
        <v>65</v>
      </c>
      <c r="AM3110" s="3">
        <v>1.1319444444444444</v>
      </c>
      <c r="AN3110" t="s">
        <v>66</v>
      </c>
      <c r="AO3110" t="s">
        <v>67</v>
      </c>
    </row>
    <row r="3111" spans="1:41" x14ac:dyDescent="0.2">
      <c r="A3111">
        <v>367191</v>
      </c>
      <c r="B3111" t="s">
        <v>18751</v>
      </c>
      <c r="C3111" t="s">
        <v>735</v>
      </c>
      <c r="D3111" t="s">
        <v>18752</v>
      </c>
      <c r="E3111" t="s">
        <v>18753</v>
      </c>
      <c r="F3111">
        <v>244403</v>
      </c>
      <c r="G3111" s="1">
        <v>41613</v>
      </c>
      <c r="H3111" s="1">
        <v>45575</v>
      </c>
      <c r="I3111" s="1">
        <v>45945</v>
      </c>
      <c r="J3111" t="s">
        <v>45</v>
      </c>
      <c r="K3111" t="s">
        <v>45</v>
      </c>
      <c r="L3111" t="s">
        <v>72</v>
      </c>
      <c r="M3111" s="1">
        <v>42809</v>
      </c>
      <c r="N3111" t="s">
        <v>47</v>
      </c>
      <c r="O3111" t="s">
        <v>48</v>
      </c>
      <c r="P3111" t="s">
        <v>49</v>
      </c>
      <c r="Q3111" t="s">
        <v>18754</v>
      </c>
      <c r="R3111" t="s">
        <v>18755</v>
      </c>
      <c r="S3111">
        <v>6000</v>
      </c>
      <c r="T3111" t="s">
        <v>92</v>
      </c>
      <c r="U3111" t="s">
        <v>3192</v>
      </c>
      <c r="V3111" t="s">
        <v>3193</v>
      </c>
      <c r="W3111" t="s">
        <v>3194</v>
      </c>
      <c r="X3111" t="s">
        <v>92</v>
      </c>
      <c r="Y3111" t="s">
        <v>110</v>
      </c>
      <c r="Z3111">
        <v>6608</v>
      </c>
      <c r="AA3111">
        <v>33</v>
      </c>
      <c r="AB3111">
        <v>14</v>
      </c>
      <c r="AC3111" t="s">
        <v>18756</v>
      </c>
      <c r="AD3111" t="s">
        <v>18757</v>
      </c>
      <c r="AE3111" t="s">
        <v>18758</v>
      </c>
      <c r="AF3111" t="s">
        <v>3198</v>
      </c>
      <c r="AG3111" t="s">
        <v>3199</v>
      </c>
      <c r="AH3111" t="s">
        <v>3200</v>
      </c>
      <c r="AJ3111" s="2">
        <v>45664.737743055557</v>
      </c>
      <c r="AK3111" t="s">
        <v>3198</v>
      </c>
      <c r="AL3111" t="s">
        <v>65</v>
      </c>
      <c r="AM3111" s="3">
        <v>1.6944444444444444</v>
      </c>
      <c r="AN3111" t="s">
        <v>66</v>
      </c>
      <c r="AO3111" t="s">
        <v>67</v>
      </c>
    </row>
    <row r="3112" spans="1:41" x14ac:dyDescent="0.2">
      <c r="A3112">
        <v>360860</v>
      </c>
      <c r="B3112" t="s">
        <v>18759</v>
      </c>
      <c r="C3112" t="s">
        <v>323</v>
      </c>
      <c r="E3112" t="s">
        <v>18760</v>
      </c>
      <c r="G3112" s="1">
        <v>38070</v>
      </c>
      <c r="H3112" s="1">
        <v>45426</v>
      </c>
      <c r="I3112" s="1">
        <v>46037</v>
      </c>
      <c r="J3112" t="s">
        <v>72</v>
      </c>
      <c r="K3112" t="s">
        <v>45</v>
      </c>
      <c r="L3112" t="s">
        <v>72</v>
      </c>
      <c r="M3112" s="1">
        <v>42263</v>
      </c>
      <c r="N3112" t="s">
        <v>47</v>
      </c>
      <c r="O3112" t="s">
        <v>48</v>
      </c>
      <c r="P3112" t="s">
        <v>49</v>
      </c>
      <c r="Q3112" t="s">
        <v>18761</v>
      </c>
      <c r="R3112" t="s">
        <v>18762</v>
      </c>
      <c r="S3112">
        <v>96</v>
      </c>
      <c r="T3112" t="s">
        <v>156</v>
      </c>
      <c r="U3112" t="s">
        <v>460</v>
      </c>
      <c r="W3112" t="s">
        <v>159</v>
      </c>
      <c r="X3112" t="s">
        <v>156</v>
      </c>
      <c r="Y3112" t="s">
        <v>110</v>
      </c>
      <c r="Z3112">
        <v>2186</v>
      </c>
      <c r="AA3112">
        <v>43</v>
      </c>
      <c r="AB3112">
        <v>80</v>
      </c>
      <c r="AC3112" t="s">
        <v>461</v>
      </c>
      <c r="AD3112" t="s">
        <v>5071</v>
      </c>
      <c r="AE3112" t="s">
        <v>5647</v>
      </c>
      <c r="AF3112" t="s">
        <v>5645</v>
      </c>
      <c r="AG3112" t="s">
        <v>5646</v>
      </c>
      <c r="AH3112" t="s">
        <v>5647</v>
      </c>
      <c r="AJ3112" s="2">
        <v>45435.916875000003</v>
      </c>
      <c r="AK3112" t="s">
        <v>461</v>
      </c>
      <c r="AL3112" t="s">
        <v>65</v>
      </c>
      <c r="AM3112" s="4">
        <v>0.59027777777777779</v>
      </c>
      <c r="AN3112" t="s">
        <v>66</v>
      </c>
      <c r="AO3112" t="s">
        <v>67</v>
      </c>
    </row>
    <row r="3113" spans="1:41" x14ac:dyDescent="0.2">
      <c r="A3113">
        <v>372730</v>
      </c>
      <c r="B3113" t="s">
        <v>18763</v>
      </c>
      <c r="C3113" t="s">
        <v>583</v>
      </c>
      <c r="E3113" t="s">
        <v>18764</v>
      </c>
      <c r="F3113">
        <v>159801</v>
      </c>
      <c r="G3113" s="1">
        <v>37293</v>
      </c>
      <c r="H3113" s="1">
        <v>45844</v>
      </c>
      <c r="I3113" s="1">
        <v>46204</v>
      </c>
      <c r="J3113" t="s">
        <v>45</v>
      </c>
      <c r="K3113" t="s">
        <v>45</v>
      </c>
      <c r="L3113" t="s">
        <v>72</v>
      </c>
      <c r="M3113" s="1">
        <v>42434</v>
      </c>
      <c r="N3113" t="s">
        <v>47</v>
      </c>
      <c r="O3113" t="s">
        <v>48</v>
      </c>
      <c r="P3113" t="s">
        <v>49</v>
      </c>
      <c r="Q3113" t="s">
        <v>18765</v>
      </c>
      <c r="R3113" t="s">
        <v>18766</v>
      </c>
      <c r="S3113">
        <v>1090</v>
      </c>
      <c r="T3113" t="s">
        <v>257</v>
      </c>
      <c r="U3113" t="s">
        <v>1691</v>
      </c>
      <c r="V3113" t="s">
        <v>18767</v>
      </c>
      <c r="W3113" t="s">
        <v>260</v>
      </c>
      <c r="X3113" t="s">
        <v>257</v>
      </c>
      <c r="Y3113" t="s">
        <v>110</v>
      </c>
      <c r="Z3113">
        <v>2097</v>
      </c>
      <c r="AA3113">
        <v>28</v>
      </c>
      <c r="AB3113">
        <v>30</v>
      </c>
      <c r="AC3113" t="s">
        <v>18768</v>
      </c>
      <c r="AD3113" t="s">
        <v>18769</v>
      </c>
      <c r="AE3113" t="s">
        <v>18770</v>
      </c>
      <c r="AJ3113" s="2">
        <v>45852.673888888887</v>
      </c>
      <c r="AK3113" t="s">
        <v>18768</v>
      </c>
      <c r="AL3113" t="s">
        <v>65</v>
      </c>
      <c r="AM3113" s="3">
        <v>1.1180555555555556</v>
      </c>
      <c r="AN3113" t="s">
        <v>66</v>
      </c>
      <c r="AO3113" t="s">
        <v>67</v>
      </c>
    </row>
    <row r="3114" spans="1:41" x14ac:dyDescent="0.2">
      <c r="A3114">
        <v>365555</v>
      </c>
      <c r="B3114" t="s">
        <v>18771</v>
      </c>
      <c r="C3114" t="s">
        <v>542</v>
      </c>
      <c r="D3114" t="s">
        <v>1531</v>
      </c>
      <c r="E3114" t="s">
        <v>18772</v>
      </c>
      <c r="F3114">
        <v>360631</v>
      </c>
      <c r="G3114" s="1">
        <v>43859</v>
      </c>
      <c r="H3114" s="1">
        <v>45586</v>
      </c>
      <c r="J3114" t="s">
        <v>45</v>
      </c>
      <c r="K3114" t="s">
        <v>45</v>
      </c>
      <c r="L3114" t="s">
        <v>72</v>
      </c>
      <c r="M3114" s="1">
        <v>44370</v>
      </c>
      <c r="N3114" t="s">
        <v>47</v>
      </c>
      <c r="O3114" t="s">
        <v>48</v>
      </c>
      <c r="P3114" t="s">
        <v>49</v>
      </c>
      <c r="Q3114" t="s">
        <v>18773</v>
      </c>
      <c r="R3114" t="s">
        <v>18774</v>
      </c>
      <c r="S3114">
        <v>1397</v>
      </c>
      <c r="T3114" t="s">
        <v>92</v>
      </c>
      <c r="U3114" t="s">
        <v>1133</v>
      </c>
      <c r="V3114" t="s">
        <v>1134</v>
      </c>
      <c r="W3114" t="s">
        <v>1135</v>
      </c>
      <c r="X3114" t="s">
        <v>92</v>
      </c>
      <c r="Y3114" t="s">
        <v>770</v>
      </c>
      <c r="Z3114">
        <v>10806</v>
      </c>
      <c r="AA3114">
        <v>11</v>
      </c>
      <c r="AB3114">
        <v>45</v>
      </c>
      <c r="AC3114" t="s">
        <v>1136</v>
      </c>
      <c r="AD3114" t="s">
        <v>1137</v>
      </c>
      <c r="AE3114" t="s">
        <v>1138</v>
      </c>
      <c r="AJ3114" s="2">
        <v>45586.963495370372</v>
      </c>
      <c r="AK3114" t="s">
        <v>1136</v>
      </c>
      <c r="AL3114" t="s">
        <v>65</v>
      </c>
      <c r="AM3114" s="3">
        <v>1.8125</v>
      </c>
      <c r="AN3114" t="s">
        <v>66</v>
      </c>
      <c r="AO3114" t="s">
        <v>101</v>
      </c>
    </row>
    <row r="3115" spans="1:41" x14ac:dyDescent="0.2">
      <c r="A3115">
        <v>372578</v>
      </c>
      <c r="B3115" t="s">
        <v>18775</v>
      </c>
      <c r="C3115" t="s">
        <v>86</v>
      </c>
      <c r="D3115" t="s">
        <v>8438</v>
      </c>
      <c r="E3115" t="s">
        <v>18776</v>
      </c>
      <c r="F3115">
        <v>200701</v>
      </c>
      <c r="G3115" s="1">
        <v>45399</v>
      </c>
      <c r="H3115" s="1">
        <v>45840</v>
      </c>
      <c r="I3115" s="1">
        <v>46143</v>
      </c>
      <c r="J3115" t="s">
        <v>45</v>
      </c>
      <c r="K3115" t="s">
        <v>45</v>
      </c>
      <c r="L3115" t="s">
        <v>72</v>
      </c>
      <c r="M3115" s="1">
        <v>45399</v>
      </c>
      <c r="N3115" t="s">
        <v>47</v>
      </c>
      <c r="O3115" t="s">
        <v>48</v>
      </c>
      <c r="P3115" t="s">
        <v>49</v>
      </c>
      <c r="Q3115" t="s">
        <v>18777</v>
      </c>
      <c r="R3115" t="s">
        <v>18778</v>
      </c>
      <c r="S3115">
        <v>1480</v>
      </c>
      <c r="T3115" t="s">
        <v>92</v>
      </c>
      <c r="U3115" t="s">
        <v>93</v>
      </c>
      <c r="V3115" t="s">
        <v>506</v>
      </c>
      <c r="W3115" t="s">
        <v>507</v>
      </c>
      <c r="X3115" t="s">
        <v>92</v>
      </c>
      <c r="Y3115" t="s">
        <v>110</v>
      </c>
      <c r="Z3115">
        <v>12197</v>
      </c>
      <c r="AA3115">
        <v>9</v>
      </c>
      <c r="AB3115">
        <v>48</v>
      </c>
      <c r="AC3115" t="s">
        <v>508</v>
      </c>
      <c r="AD3115" t="s">
        <v>509</v>
      </c>
      <c r="AE3115" t="s">
        <v>2361</v>
      </c>
      <c r="AF3115" t="s">
        <v>8441</v>
      </c>
      <c r="AG3115" t="s">
        <v>18779</v>
      </c>
      <c r="AH3115" t="s">
        <v>18780</v>
      </c>
      <c r="AJ3115" s="2">
        <v>45845.93037037037</v>
      </c>
      <c r="AK3115" t="s">
        <v>508</v>
      </c>
      <c r="AL3115" t="s">
        <v>65</v>
      </c>
      <c r="AM3115" s="4">
        <v>0.56597222222222221</v>
      </c>
      <c r="AN3115" t="s">
        <v>66</v>
      </c>
      <c r="AO3115" t="s">
        <v>67</v>
      </c>
    </row>
    <row r="3116" spans="1:41" x14ac:dyDescent="0.2">
      <c r="A3116">
        <v>369309</v>
      </c>
      <c r="B3116" t="s">
        <v>18781</v>
      </c>
      <c r="C3116" t="s">
        <v>118</v>
      </c>
      <c r="D3116" t="s">
        <v>1410</v>
      </c>
      <c r="E3116" t="s">
        <v>18782</v>
      </c>
      <c r="F3116">
        <v>20217</v>
      </c>
      <c r="G3116" s="1">
        <v>32120</v>
      </c>
      <c r="H3116" s="1">
        <v>45567</v>
      </c>
      <c r="I3116" s="1">
        <v>46249</v>
      </c>
      <c r="J3116" t="s">
        <v>45</v>
      </c>
      <c r="K3116" t="s">
        <v>45</v>
      </c>
      <c r="L3116" t="s">
        <v>429</v>
      </c>
      <c r="M3116" s="1">
        <v>43747</v>
      </c>
      <c r="N3116" t="s">
        <v>47</v>
      </c>
      <c r="O3116" t="s">
        <v>48</v>
      </c>
      <c r="P3116" t="s">
        <v>49</v>
      </c>
      <c r="Q3116" t="s">
        <v>18783</v>
      </c>
      <c r="R3116" t="s">
        <v>18784</v>
      </c>
      <c r="S3116">
        <v>6160</v>
      </c>
      <c r="T3116" t="s">
        <v>365</v>
      </c>
      <c r="U3116" t="s">
        <v>815</v>
      </c>
      <c r="V3116" t="s">
        <v>958</v>
      </c>
      <c r="W3116" t="s">
        <v>367</v>
      </c>
      <c r="X3116" t="s">
        <v>55</v>
      </c>
      <c r="Y3116" t="s">
        <v>434</v>
      </c>
      <c r="Z3116">
        <v>54</v>
      </c>
      <c r="AA3116">
        <v>51</v>
      </c>
      <c r="AB3116">
        <v>166</v>
      </c>
      <c r="AC3116" t="s">
        <v>2717</v>
      </c>
      <c r="AD3116" t="s">
        <v>2718</v>
      </c>
      <c r="AE3116" t="s">
        <v>2719</v>
      </c>
      <c r="AF3116" t="s">
        <v>2720</v>
      </c>
      <c r="AG3116" t="s">
        <v>963</v>
      </c>
      <c r="AH3116" t="s">
        <v>2721</v>
      </c>
      <c r="AI3116" t="s">
        <v>179</v>
      </c>
      <c r="AJ3116" s="2">
        <v>45734.536944444444</v>
      </c>
      <c r="AK3116" t="s">
        <v>2717</v>
      </c>
      <c r="AL3116" t="s">
        <v>65</v>
      </c>
      <c r="AM3116" s="3">
        <v>2.0972222222222223</v>
      </c>
      <c r="AN3116" t="s">
        <v>66</v>
      </c>
      <c r="AO3116" t="s">
        <v>67</v>
      </c>
    </row>
    <row r="3117" spans="1:41" x14ac:dyDescent="0.2">
      <c r="A3117">
        <v>373031</v>
      </c>
      <c r="B3117" t="s">
        <v>18785</v>
      </c>
      <c r="C3117" t="s">
        <v>735</v>
      </c>
      <c r="D3117" t="s">
        <v>1825</v>
      </c>
      <c r="E3117" t="s">
        <v>18786</v>
      </c>
      <c r="F3117">
        <v>244606</v>
      </c>
      <c r="G3117" s="1">
        <v>37040</v>
      </c>
      <c r="H3117" s="1">
        <v>45527</v>
      </c>
      <c r="I3117" s="1">
        <v>46235</v>
      </c>
      <c r="J3117" t="s">
        <v>45</v>
      </c>
      <c r="K3117" t="s">
        <v>45</v>
      </c>
      <c r="L3117" t="s">
        <v>545</v>
      </c>
      <c r="M3117" s="1">
        <v>37539</v>
      </c>
      <c r="N3117" t="s">
        <v>47</v>
      </c>
      <c r="O3117" t="s">
        <v>48</v>
      </c>
      <c r="P3117" t="s">
        <v>49</v>
      </c>
      <c r="Q3117" t="s">
        <v>18787</v>
      </c>
      <c r="R3117" t="s">
        <v>18788</v>
      </c>
      <c r="S3117">
        <v>9200</v>
      </c>
      <c r="T3117" t="s">
        <v>52</v>
      </c>
      <c r="U3117">
        <v>1</v>
      </c>
      <c r="V3117" t="s">
        <v>1122</v>
      </c>
      <c r="W3117" t="s">
        <v>54</v>
      </c>
      <c r="X3117" t="s">
        <v>76</v>
      </c>
      <c r="Y3117" t="s">
        <v>56</v>
      </c>
      <c r="Z3117">
        <v>1187</v>
      </c>
      <c r="AA3117">
        <v>45</v>
      </c>
      <c r="AB3117">
        <v>160</v>
      </c>
      <c r="AC3117" t="s">
        <v>8703</v>
      </c>
      <c r="AD3117" t="s">
        <v>8704</v>
      </c>
      <c r="AE3117" t="s">
        <v>8705</v>
      </c>
      <c r="AF3117" t="s">
        <v>1832</v>
      </c>
      <c r="AG3117" t="s">
        <v>1833</v>
      </c>
      <c r="AH3117" t="s">
        <v>5821</v>
      </c>
      <c r="AI3117" t="s">
        <v>15913</v>
      </c>
      <c r="AJ3117" s="2">
        <v>45856.039074074077</v>
      </c>
      <c r="AK3117" t="s">
        <v>556</v>
      </c>
      <c r="AL3117" t="s">
        <v>65</v>
      </c>
      <c r="AM3117" s="4">
        <v>0.1736111111111111</v>
      </c>
      <c r="AN3117" t="s">
        <v>809</v>
      </c>
      <c r="AO3117" t="s">
        <v>67</v>
      </c>
    </row>
    <row r="3118" spans="1:41" x14ac:dyDescent="0.2">
      <c r="A3118">
        <v>366154</v>
      </c>
      <c r="B3118" t="s">
        <v>18789</v>
      </c>
      <c r="C3118" t="s">
        <v>4770</v>
      </c>
      <c r="D3118" t="s">
        <v>18790</v>
      </c>
      <c r="E3118" t="s">
        <v>18791</v>
      </c>
      <c r="F3118">
        <v>131101</v>
      </c>
      <c r="G3118" s="1">
        <v>38652</v>
      </c>
      <c r="H3118" s="1">
        <v>45601</v>
      </c>
      <c r="I3118" s="1">
        <v>45976</v>
      </c>
      <c r="J3118" t="s">
        <v>45</v>
      </c>
      <c r="K3118" t="s">
        <v>45</v>
      </c>
      <c r="L3118" t="s">
        <v>72</v>
      </c>
      <c r="N3118" t="s">
        <v>47</v>
      </c>
      <c r="O3118" t="s">
        <v>48</v>
      </c>
      <c r="P3118" t="s">
        <v>49</v>
      </c>
      <c r="Q3118" t="s">
        <v>6125</v>
      </c>
      <c r="R3118" t="s">
        <v>18792</v>
      </c>
      <c r="S3118">
        <v>652</v>
      </c>
      <c r="T3118" t="s">
        <v>92</v>
      </c>
      <c r="U3118" t="s">
        <v>11203</v>
      </c>
      <c r="V3118" t="s">
        <v>768</v>
      </c>
      <c r="W3118" t="s">
        <v>11204</v>
      </c>
      <c r="X3118" t="s">
        <v>92</v>
      </c>
      <c r="Y3118" t="s">
        <v>110</v>
      </c>
      <c r="Z3118">
        <v>2768</v>
      </c>
      <c r="AA3118">
        <v>34</v>
      </c>
      <c r="AB3118">
        <v>146</v>
      </c>
      <c r="AC3118" t="s">
        <v>11212</v>
      </c>
      <c r="AD3118" t="s">
        <v>11213</v>
      </c>
      <c r="AE3118" t="s">
        <v>11214</v>
      </c>
      <c r="AF3118" t="s">
        <v>15996</v>
      </c>
      <c r="AH3118" t="s">
        <v>15997</v>
      </c>
      <c r="AJ3118" s="2">
        <v>45604.675543981481</v>
      </c>
      <c r="AK3118" t="s">
        <v>11212</v>
      </c>
      <c r="AL3118" t="s">
        <v>65</v>
      </c>
      <c r="AM3118" s="4">
        <v>0.3125</v>
      </c>
      <c r="AN3118" t="s">
        <v>66</v>
      </c>
      <c r="AO3118" t="s">
        <v>67</v>
      </c>
    </row>
    <row r="3119" spans="1:41" x14ac:dyDescent="0.2">
      <c r="A3119">
        <v>371274</v>
      </c>
      <c r="B3119" t="s">
        <v>18793</v>
      </c>
      <c r="C3119" t="s">
        <v>167</v>
      </c>
      <c r="D3119" t="s">
        <v>2871</v>
      </c>
      <c r="E3119" s="5" t="s">
        <v>18794</v>
      </c>
      <c r="F3119">
        <v>352124</v>
      </c>
      <c r="G3119" s="1">
        <v>39204</v>
      </c>
      <c r="H3119" s="1">
        <v>45799</v>
      </c>
      <c r="I3119" s="1">
        <v>46143</v>
      </c>
      <c r="J3119" t="s">
        <v>45</v>
      </c>
      <c r="K3119" t="s">
        <v>45</v>
      </c>
      <c r="L3119" t="s">
        <v>429</v>
      </c>
      <c r="M3119" s="1">
        <v>42159</v>
      </c>
      <c r="N3119" t="s">
        <v>47</v>
      </c>
      <c r="O3119" t="s">
        <v>48</v>
      </c>
      <c r="P3119" t="s">
        <v>49</v>
      </c>
      <c r="Q3119" t="s">
        <v>18795</v>
      </c>
      <c r="R3119" t="s">
        <v>18796</v>
      </c>
      <c r="S3119">
        <v>4600</v>
      </c>
      <c r="T3119" t="s">
        <v>52</v>
      </c>
      <c r="U3119">
        <v>6</v>
      </c>
      <c r="V3119" t="s">
        <v>2875</v>
      </c>
      <c r="W3119" t="s">
        <v>54</v>
      </c>
      <c r="X3119" t="s">
        <v>76</v>
      </c>
      <c r="Y3119" t="s">
        <v>56</v>
      </c>
      <c r="Z3119">
        <v>1585</v>
      </c>
      <c r="AA3119">
        <v>49</v>
      </c>
      <c r="AB3119">
        <v>78</v>
      </c>
      <c r="AC3119" t="s">
        <v>2876</v>
      </c>
      <c r="AD3119" t="s">
        <v>2877</v>
      </c>
      <c r="AE3119" t="s">
        <v>2878</v>
      </c>
      <c r="AF3119" t="s">
        <v>2879</v>
      </c>
      <c r="AG3119" t="s">
        <v>2880</v>
      </c>
      <c r="AH3119" t="s">
        <v>2881</v>
      </c>
      <c r="AI3119" t="s">
        <v>2882</v>
      </c>
      <c r="AJ3119" s="2">
        <v>45804.636655092596</v>
      </c>
      <c r="AK3119" t="s">
        <v>568</v>
      </c>
      <c r="AL3119" t="s">
        <v>65</v>
      </c>
      <c r="AM3119" s="4">
        <v>0</v>
      </c>
      <c r="AN3119" t="s">
        <v>66</v>
      </c>
      <c r="AO3119" t="s">
        <v>67</v>
      </c>
    </row>
    <row r="3120" spans="1:41" x14ac:dyDescent="0.2">
      <c r="A3120">
        <v>363159</v>
      </c>
      <c r="B3120" t="s">
        <v>18797</v>
      </c>
      <c r="C3120" t="s">
        <v>278</v>
      </c>
      <c r="D3120" t="s">
        <v>1140</v>
      </c>
      <c r="E3120" t="s">
        <v>18798</v>
      </c>
      <c r="F3120">
        <v>421301</v>
      </c>
      <c r="G3120" s="1">
        <v>35556</v>
      </c>
      <c r="H3120" s="1">
        <v>45483</v>
      </c>
      <c r="I3120" s="1">
        <v>46235</v>
      </c>
      <c r="J3120" t="s">
        <v>45</v>
      </c>
      <c r="K3120" t="s">
        <v>45</v>
      </c>
      <c r="L3120" t="s">
        <v>429</v>
      </c>
      <c r="M3120" s="1">
        <v>41299</v>
      </c>
      <c r="N3120" t="s">
        <v>47</v>
      </c>
      <c r="O3120" t="s">
        <v>48</v>
      </c>
      <c r="P3120" t="s">
        <v>49</v>
      </c>
      <c r="Q3120" t="s">
        <v>18799</v>
      </c>
      <c r="R3120" t="s">
        <v>18800</v>
      </c>
      <c r="S3120">
        <v>7753</v>
      </c>
      <c r="T3120" t="s">
        <v>52</v>
      </c>
      <c r="U3120">
        <v>4</v>
      </c>
      <c r="V3120" t="s">
        <v>1143</v>
      </c>
      <c r="W3120" t="s">
        <v>54</v>
      </c>
      <c r="X3120" t="s">
        <v>55</v>
      </c>
      <c r="Y3120" t="s">
        <v>56</v>
      </c>
      <c r="Z3120">
        <v>639</v>
      </c>
      <c r="AA3120">
        <v>69</v>
      </c>
      <c r="AB3120">
        <v>66</v>
      </c>
      <c r="AC3120" t="s">
        <v>1144</v>
      </c>
      <c r="AD3120" t="s">
        <v>1145</v>
      </c>
      <c r="AE3120" t="s">
        <v>1146</v>
      </c>
      <c r="AF3120" t="s">
        <v>1147</v>
      </c>
      <c r="AG3120" t="s">
        <v>1148</v>
      </c>
      <c r="AH3120" t="s">
        <v>1149</v>
      </c>
      <c r="AI3120" t="s">
        <v>4470</v>
      </c>
      <c r="AJ3120" s="2">
        <v>45505.89402777778</v>
      </c>
      <c r="AK3120" t="s">
        <v>609</v>
      </c>
      <c r="AL3120" t="s">
        <v>65</v>
      </c>
      <c r="AM3120" s="4">
        <v>0.54166666666666663</v>
      </c>
      <c r="AN3120" t="s">
        <v>809</v>
      </c>
      <c r="AO3120" t="s">
        <v>67</v>
      </c>
    </row>
    <row r="3121" spans="1:41" x14ac:dyDescent="0.2">
      <c r="A3121">
        <v>372881</v>
      </c>
      <c r="B3121" t="s">
        <v>18801</v>
      </c>
      <c r="C3121" t="s">
        <v>167</v>
      </c>
      <c r="D3121" t="s">
        <v>9866</v>
      </c>
      <c r="E3121" s="5" t="s">
        <v>18802</v>
      </c>
      <c r="F3121">
        <v>352024</v>
      </c>
      <c r="G3121" s="1">
        <v>31524</v>
      </c>
      <c r="H3121" s="1">
        <v>45854</v>
      </c>
      <c r="I3121" s="1">
        <v>46218</v>
      </c>
      <c r="J3121" t="s">
        <v>45</v>
      </c>
      <c r="K3121" t="s">
        <v>45</v>
      </c>
      <c r="L3121" t="s">
        <v>429</v>
      </c>
      <c r="M3121" s="1">
        <v>44502</v>
      </c>
      <c r="N3121" t="s">
        <v>47</v>
      </c>
      <c r="O3121" t="s">
        <v>48</v>
      </c>
      <c r="P3121" t="s">
        <v>49</v>
      </c>
      <c r="Q3121" t="s">
        <v>18803</v>
      </c>
      <c r="R3121" t="s">
        <v>18804</v>
      </c>
      <c r="S3121">
        <v>3119</v>
      </c>
      <c r="T3121" t="s">
        <v>365</v>
      </c>
      <c r="U3121" t="s">
        <v>532</v>
      </c>
      <c r="V3121" t="s">
        <v>9040</v>
      </c>
      <c r="W3121" t="s">
        <v>367</v>
      </c>
      <c r="X3121" t="s">
        <v>76</v>
      </c>
      <c r="Y3121" t="s">
        <v>434</v>
      </c>
      <c r="Z3121">
        <v>326</v>
      </c>
      <c r="AA3121">
        <v>79</v>
      </c>
      <c r="AB3121">
        <v>160</v>
      </c>
      <c r="AC3121" t="s">
        <v>3254</v>
      </c>
      <c r="AD3121" t="s">
        <v>3255</v>
      </c>
      <c r="AE3121" t="s">
        <v>3256</v>
      </c>
      <c r="AI3121" t="s">
        <v>18805</v>
      </c>
      <c r="AJ3121" s="2">
        <v>45855.743206018517</v>
      </c>
      <c r="AK3121" t="s">
        <v>501</v>
      </c>
      <c r="AL3121" t="s">
        <v>65</v>
      </c>
      <c r="AM3121" s="4">
        <v>0.72916666666666663</v>
      </c>
      <c r="AN3121" t="s">
        <v>66</v>
      </c>
      <c r="AO3121" t="s">
        <v>67</v>
      </c>
    </row>
    <row r="3122" spans="1:41" x14ac:dyDescent="0.2">
      <c r="A3122">
        <v>363813</v>
      </c>
      <c r="B3122" t="s">
        <v>18806</v>
      </c>
      <c r="C3122" t="s">
        <v>182</v>
      </c>
      <c r="D3122" t="s">
        <v>4083</v>
      </c>
      <c r="E3122" t="s">
        <v>18807</v>
      </c>
      <c r="G3122" s="1">
        <v>44299</v>
      </c>
      <c r="H3122" s="1">
        <v>45523</v>
      </c>
      <c r="I3122" s="1">
        <v>45945</v>
      </c>
      <c r="J3122" t="s">
        <v>72</v>
      </c>
      <c r="K3122" t="s">
        <v>326</v>
      </c>
      <c r="L3122" t="s">
        <v>72</v>
      </c>
      <c r="M3122" s="1">
        <v>44308</v>
      </c>
      <c r="N3122" t="s">
        <v>47</v>
      </c>
      <c r="O3122" t="s">
        <v>121</v>
      </c>
      <c r="P3122" t="s">
        <v>49</v>
      </c>
      <c r="Q3122" t="s">
        <v>18808</v>
      </c>
      <c r="R3122" t="s">
        <v>18809</v>
      </c>
      <c r="S3122">
        <v>3633</v>
      </c>
      <c r="T3122" t="s">
        <v>257</v>
      </c>
      <c r="U3122" t="s">
        <v>640</v>
      </c>
      <c r="V3122" t="s">
        <v>5789</v>
      </c>
      <c r="W3122" t="s">
        <v>260</v>
      </c>
      <c r="X3122" t="s">
        <v>257</v>
      </c>
      <c r="Y3122" t="s">
        <v>110</v>
      </c>
      <c r="Z3122">
        <v>4986</v>
      </c>
      <c r="AA3122">
        <v>47</v>
      </c>
      <c r="AB3122">
        <v>34</v>
      </c>
      <c r="AC3122" t="s">
        <v>18810</v>
      </c>
      <c r="AD3122" t="s">
        <v>18811</v>
      </c>
      <c r="AE3122" t="s">
        <v>18812</v>
      </c>
      <c r="AI3122" t="s">
        <v>18813</v>
      </c>
      <c r="AJ3122" s="2">
        <v>45524.014143518521</v>
      </c>
      <c r="AK3122" t="s">
        <v>5790</v>
      </c>
      <c r="AL3122" t="s">
        <v>65</v>
      </c>
      <c r="AM3122" s="4">
        <v>8.3333333333333329E-2</v>
      </c>
      <c r="AN3122" t="s">
        <v>66</v>
      </c>
      <c r="AO3122" t="s">
        <v>67</v>
      </c>
    </row>
    <row r="3123" spans="1:41" x14ac:dyDescent="0.2">
      <c r="A3123">
        <v>371023</v>
      </c>
      <c r="B3123" t="s">
        <v>18814</v>
      </c>
      <c r="C3123" t="s">
        <v>182</v>
      </c>
      <c r="D3123" t="s">
        <v>1467</v>
      </c>
      <c r="E3123" t="s">
        <v>18815</v>
      </c>
      <c r="F3123">
        <v>40511</v>
      </c>
      <c r="G3123" s="1">
        <v>32638</v>
      </c>
      <c r="H3123" s="1">
        <v>45787</v>
      </c>
      <c r="I3123" s="1">
        <v>46113</v>
      </c>
      <c r="J3123" t="s">
        <v>45</v>
      </c>
      <c r="K3123" t="s">
        <v>45</v>
      </c>
      <c r="L3123" t="s">
        <v>429</v>
      </c>
      <c r="M3123" s="1">
        <v>41053</v>
      </c>
      <c r="N3123" t="s">
        <v>47</v>
      </c>
      <c r="O3123" t="s">
        <v>48</v>
      </c>
      <c r="P3123" t="s">
        <v>49</v>
      </c>
      <c r="Q3123" t="s">
        <v>18816</v>
      </c>
      <c r="R3123" t="s">
        <v>18817</v>
      </c>
      <c r="S3123">
        <v>4481</v>
      </c>
      <c r="T3123" t="s">
        <v>52</v>
      </c>
      <c r="U3123">
        <v>5</v>
      </c>
      <c r="V3123" t="s">
        <v>1068</v>
      </c>
      <c r="W3123" t="s">
        <v>54</v>
      </c>
      <c r="X3123" t="s">
        <v>493</v>
      </c>
      <c r="Y3123" t="s">
        <v>434</v>
      </c>
      <c r="Z3123">
        <v>730</v>
      </c>
      <c r="AA3123">
        <v>55</v>
      </c>
      <c r="AB3123">
        <v>34</v>
      </c>
      <c r="AC3123" t="s">
        <v>1069</v>
      </c>
      <c r="AD3123" t="s">
        <v>1070</v>
      </c>
      <c r="AE3123" t="s">
        <v>1071</v>
      </c>
      <c r="AF3123" t="s">
        <v>1072</v>
      </c>
      <c r="AG3123" t="s">
        <v>1073</v>
      </c>
      <c r="AH3123" t="s">
        <v>1071</v>
      </c>
      <c r="AI3123" t="s">
        <v>13772</v>
      </c>
      <c r="AJ3123" s="2">
        <v>45792.79146990741</v>
      </c>
      <c r="AK3123" t="s">
        <v>1472</v>
      </c>
      <c r="AL3123" t="s">
        <v>65</v>
      </c>
      <c r="AM3123" s="3">
        <v>1.4861111111111112</v>
      </c>
      <c r="AN3123" t="s">
        <v>66</v>
      </c>
      <c r="AO3123" t="s">
        <v>67</v>
      </c>
    </row>
    <row r="3124" spans="1:41" x14ac:dyDescent="0.2">
      <c r="A3124">
        <v>351767</v>
      </c>
      <c r="B3124" t="s">
        <v>18818</v>
      </c>
      <c r="C3124" t="s">
        <v>134</v>
      </c>
      <c r="D3124" t="s">
        <v>8818</v>
      </c>
      <c r="E3124" t="s">
        <v>18819</v>
      </c>
      <c r="F3124">
        <v>452319</v>
      </c>
      <c r="G3124" s="1">
        <v>40352</v>
      </c>
      <c r="H3124" s="1">
        <v>45170</v>
      </c>
      <c r="J3124" t="s">
        <v>45</v>
      </c>
      <c r="K3124" t="s">
        <v>45</v>
      </c>
      <c r="L3124" t="s">
        <v>72</v>
      </c>
      <c r="N3124" t="s">
        <v>47</v>
      </c>
      <c r="O3124" t="s">
        <v>48</v>
      </c>
      <c r="P3124" t="s">
        <v>49</v>
      </c>
      <c r="Q3124" t="s">
        <v>18820</v>
      </c>
      <c r="R3124" t="s">
        <v>18821</v>
      </c>
      <c r="S3124">
        <v>2011</v>
      </c>
      <c r="T3124" t="s">
        <v>1328</v>
      </c>
      <c r="U3124" t="s">
        <v>3114</v>
      </c>
      <c r="V3124" t="s">
        <v>18822</v>
      </c>
      <c r="W3124" t="s">
        <v>3116</v>
      </c>
      <c r="X3124" t="s">
        <v>449</v>
      </c>
      <c r="Y3124" t="s">
        <v>450</v>
      </c>
      <c r="Z3124">
        <v>3586</v>
      </c>
      <c r="AA3124">
        <v>20</v>
      </c>
      <c r="AB3124">
        <v>30</v>
      </c>
      <c r="AC3124" t="s">
        <v>18823</v>
      </c>
      <c r="AD3124" t="s">
        <v>18824</v>
      </c>
      <c r="AE3124" t="s">
        <v>18825</v>
      </c>
      <c r="AF3124" t="s">
        <v>18826</v>
      </c>
      <c r="AG3124" t="s">
        <v>18827</v>
      </c>
      <c r="AH3124" t="s">
        <v>18828</v>
      </c>
      <c r="AJ3124" s="2">
        <v>45176.765428240738</v>
      </c>
      <c r="AK3124" t="s">
        <v>526</v>
      </c>
      <c r="AL3124" t="s">
        <v>65</v>
      </c>
      <c r="AM3124" s="4">
        <v>0.31944444444444442</v>
      </c>
      <c r="AN3124" t="s">
        <v>66</v>
      </c>
      <c r="AO3124" t="s">
        <v>67</v>
      </c>
    </row>
    <row r="3125" spans="1:41" x14ac:dyDescent="0.2">
      <c r="A3125">
        <v>366459</v>
      </c>
      <c r="B3125" t="s">
        <v>18829</v>
      </c>
      <c r="C3125" t="s">
        <v>182</v>
      </c>
      <c r="D3125" t="s">
        <v>811</v>
      </c>
      <c r="E3125" t="s">
        <v>18830</v>
      </c>
      <c r="F3125">
        <v>45112</v>
      </c>
      <c r="G3125" s="1">
        <v>32509</v>
      </c>
      <c r="H3125" s="1">
        <v>45616</v>
      </c>
      <c r="J3125" t="s">
        <v>45</v>
      </c>
      <c r="K3125" t="s">
        <v>45</v>
      </c>
      <c r="L3125" t="s">
        <v>72</v>
      </c>
      <c r="N3125" t="s">
        <v>47</v>
      </c>
      <c r="O3125" t="s">
        <v>48</v>
      </c>
      <c r="P3125" t="s">
        <v>49</v>
      </c>
      <c r="Q3125" t="s">
        <v>18831</v>
      </c>
      <c r="R3125" t="s">
        <v>18832</v>
      </c>
      <c r="S3125">
        <v>3246</v>
      </c>
      <c r="T3125" t="s">
        <v>92</v>
      </c>
      <c r="U3125" t="s">
        <v>187</v>
      </c>
      <c r="V3125" t="s">
        <v>447</v>
      </c>
      <c r="W3125" t="s">
        <v>448</v>
      </c>
      <c r="X3125" t="s">
        <v>92</v>
      </c>
      <c r="Y3125" t="s">
        <v>450</v>
      </c>
      <c r="Z3125">
        <v>1283</v>
      </c>
      <c r="AA3125">
        <v>46</v>
      </c>
      <c r="AB3125">
        <v>142</v>
      </c>
      <c r="AC3125" t="s">
        <v>451</v>
      </c>
      <c r="AD3125" t="s">
        <v>452</v>
      </c>
      <c r="AE3125" t="s">
        <v>453</v>
      </c>
      <c r="AF3125" t="s">
        <v>454</v>
      </c>
      <c r="AG3125" t="s">
        <v>473</v>
      </c>
      <c r="AH3125" t="s">
        <v>474</v>
      </c>
      <c r="AJ3125" s="2">
        <v>45622.6641087963</v>
      </c>
      <c r="AK3125" t="s">
        <v>456</v>
      </c>
      <c r="AL3125" t="s">
        <v>65</v>
      </c>
      <c r="AM3125" s="3">
        <v>2.3506944444444446</v>
      </c>
      <c r="AN3125" t="s">
        <v>66</v>
      </c>
      <c r="AO3125" t="s">
        <v>67</v>
      </c>
    </row>
    <row r="3126" spans="1:41" x14ac:dyDescent="0.2">
      <c r="A3126">
        <v>371384</v>
      </c>
      <c r="B3126" t="s">
        <v>18833</v>
      </c>
      <c r="C3126" t="s">
        <v>118</v>
      </c>
      <c r="E3126" t="s">
        <v>18834</v>
      </c>
      <c r="G3126" s="1">
        <v>45638</v>
      </c>
      <c r="H3126" s="1">
        <v>45807</v>
      </c>
      <c r="I3126" s="1">
        <v>46054</v>
      </c>
      <c r="J3126" t="s">
        <v>45</v>
      </c>
      <c r="K3126" t="s">
        <v>45</v>
      </c>
      <c r="L3126" t="s">
        <v>72</v>
      </c>
      <c r="N3126" t="s">
        <v>89</v>
      </c>
      <c r="O3126" t="s">
        <v>121</v>
      </c>
      <c r="P3126" t="s">
        <v>49</v>
      </c>
      <c r="Q3126" t="s">
        <v>18835</v>
      </c>
      <c r="R3126" t="s">
        <v>18836</v>
      </c>
      <c r="S3126">
        <v>5040</v>
      </c>
      <c r="T3126" t="s">
        <v>365</v>
      </c>
      <c r="U3126" t="s">
        <v>815</v>
      </c>
      <c r="V3126" t="s">
        <v>18837</v>
      </c>
      <c r="W3126" t="s">
        <v>367</v>
      </c>
      <c r="X3126" t="s">
        <v>76</v>
      </c>
      <c r="Y3126" t="s">
        <v>125</v>
      </c>
      <c r="Z3126">
        <v>2874</v>
      </c>
      <c r="AA3126">
        <v>54</v>
      </c>
      <c r="AB3126">
        <v>166</v>
      </c>
      <c r="AC3126" t="s">
        <v>18838</v>
      </c>
      <c r="AD3126" t="s">
        <v>15807</v>
      </c>
      <c r="AE3126" t="s">
        <v>15808</v>
      </c>
      <c r="AF3126" t="s">
        <v>18839</v>
      </c>
      <c r="AG3126" t="s">
        <v>8069</v>
      </c>
      <c r="AH3126" t="s">
        <v>8070</v>
      </c>
      <c r="AJ3126" s="2">
        <v>45807.480555555558</v>
      </c>
      <c r="AK3126" t="s">
        <v>800</v>
      </c>
      <c r="AL3126" t="s">
        <v>65</v>
      </c>
      <c r="AM3126" s="3">
        <v>2</v>
      </c>
      <c r="AN3126" t="s">
        <v>66</v>
      </c>
      <c r="AO3126" t="s">
        <v>67</v>
      </c>
    </row>
    <row r="3127" spans="1:41" x14ac:dyDescent="0.2">
      <c r="A3127">
        <v>365833</v>
      </c>
      <c r="B3127" t="s">
        <v>18840</v>
      </c>
      <c r="C3127" t="s">
        <v>2962</v>
      </c>
      <c r="D3127" t="s">
        <v>18036</v>
      </c>
      <c r="E3127">
        <v>61401366</v>
      </c>
      <c r="F3127">
        <v>338403</v>
      </c>
      <c r="G3127" s="1">
        <v>37523</v>
      </c>
      <c r="H3127" s="1">
        <v>45593</v>
      </c>
      <c r="I3127" s="1">
        <v>45945</v>
      </c>
      <c r="J3127" t="s">
        <v>45</v>
      </c>
      <c r="K3127" t="s">
        <v>45</v>
      </c>
      <c r="L3127" t="s">
        <v>72</v>
      </c>
      <c r="M3127" s="1">
        <v>44853</v>
      </c>
      <c r="N3127" t="s">
        <v>47</v>
      </c>
      <c r="O3127" t="s">
        <v>48</v>
      </c>
      <c r="P3127" t="s">
        <v>49</v>
      </c>
      <c r="Q3127" t="s">
        <v>18841</v>
      </c>
      <c r="R3127" t="s">
        <v>18842</v>
      </c>
      <c r="S3127">
        <v>730</v>
      </c>
      <c r="T3127" t="s">
        <v>92</v>
      </c>
      <c r="U3127" t="s">
        <v>2967</v>
      </c>
      <c r="V3127" t="s">
        <v>2968</v>
      </c>
      <c r="W3127" t="s">
        <v>2969</v>
      </c>
      <c r="X3127" t="s">
        <v>76</v>
      </c>
      <c r="Y3127" t="s">
        <v>56</v>
      </c>
      <c r="Z3127">
        <v>2301</v>
      </c>
      <c r="AA3127">
        <v>36</v>
      </c>
      <c r="AB3127">
        <v>45</v>
      </c>
      <c r="AC3127" t="s">
        <v>2970</v>
      </c>
      <c r="AD3127" t="s">
        <v>2971</v>
      </c>
      <c r="AE3127" t="s">
        <v>2972</v>
      </c>
      <c r="AF3127" t="s">
        <v>2973</v>
      </c>
      <c r="AG3127" t="s">
        <v>2974</v>
      </c>
      <c r="AH3127" t="s">
        <v>2975</v>
      </c>
      <c r="AI3127" t="s">
        <v>2976</v>
      </c>
      <c r="AJ3127" s="2">
        <v>45594.022696759261</v>
      </c>
      <c r="AK3127" t="s">
        <v>3738</v>
      </c>
      <c r="AL3127" t="s">
        <v>65</v>
      </c>
      <c r="AM3127" s="3">
        <v>2.1319444444444446</v>
      </c>
      <c r="AN3127" t="s">
        <v>66</v>
      </c>
      <c r="AO3127" t="s">
        <v>101</v>
      </c>
    </row>
    <row r="3128" spans="1:41" x14ac:dyDescent="0.2">
      <c r="A3128">
        <v>364287</v>
      </c>
      <c r="B3128" t="s">
        <v>18843</v>
      </c>
      <c r="C3128" t="s">
        <v>323</v>
      </c>
      <c r="D3128" t="s">
        <v>9987</v>
      </c>
      <c r="E3128">
        <v>32492676</v>
      </c>
      <c r="F3128">
        <v>501028</v>
      </c>
      <c r="G3128" s="1">
        <v>31499</v>
      </c>
      <c r="H3128" s="1">
        <v>45530</v>
      </c>
      <c r="I3128" s="1">
        <v>46174</v>
      </c>
      <c r="J3128" t="s">
        <v>45</v>
      </c>
      <c r="K3128" t="s">
        <v>45</v>
      </c>
      <c r="L3128" t="s">
        <v>72</v>
      </c>
      <c r="M3128" s="1">
        <v>44817</v>
      </c>
      <c r="N3128" t="s">
        <v>89</v>
      </c>
      <c r="O3128" t="s">
        <v>48</v>
      </c>
      <c r="P3128" t="s">
        <v>49</v>
      </c>
      <c r="S3128">
        <v>900</v>
      </c>
      <c r="T3128" t="s">
        <v>52</v>
      </c>
      <c r="U3128">
        <v>10</v>
      </c>
      <c r="V3128" t="s">
        <v>2192</v>
      </c>
      <c r="W3128" t="s">
        <v>54</v>
      </c>
      <c r="X3128" t="s">
        <v>76</v>
      </c>
      <c r="Y3128" t="s">
        <v>56</v>
      </c>
      <c r="Z3128">
        <v>893</v>
      </c>
      <c r="AA3128">
        <v>57</v>
      </c>
      <c r="AB3128">
        <v>66</v>
      </c>
      <c r="AC3128" t="s">
        <v>8495</v>
      </c>
      <c r="AD3128" t="s">
        <v>8496</v>
      </c>
      <c r="AE3128" t="s">
        <v>9991</v>
      </c>
      <c r="AF3128" t="s">
        <v>2193</v>
      </c>
      <c r="AG3128" t="s">
        <v>2194</v>
      </c>
      <c r="AH3128" t="s">
        <v>2195</v>
      </c>
      <c r="AI3128" t="s">
        <v>9992</v>
      </c>
      <c r="AJ3128" s="2">
        <v>45539.799942129626</v>
      </c>
      <c r="AK3128" t="s">
        <v>717</v>
      </c>
      <c r="AL3128" t="s">
        <v>65</v>
      </c>
      <c r="AM3128" s="3">
        <v>2.3055555555555554</v>
      </c>
      <c r="AN3128" t="s">
        <v>66</v>
      </c>
      <c r="AO3128" t="s">
        <v>67</v>
      </c>
    </row>
    <row r="3129" spans="1:41" x14ac:dyDescent="0.2">
      <c r="A3129">
        <v>372980</v>
      </c>
      <c r="B3129" t="s">
        <v>18844</v>
      </c>
      <c r="C3129" t="s">
        <v>662</v>
      </c>
      <c r="D3129" t="s">
        <v>11519</v>
      </c>
      <c r="E3129">
        <v>32888010</v>
      </c>
      <c r="F3129">
        <v>413503</v>
      </c>
      <c r="G3129" s="1">
        <v>37515</v>
      </c>
      <c r="H3129" s="1">
        <v>45684</v>
      </c>
      <c r="I3129" s="1">
        <v>46054</v>
      </c>
      <c r="J3129" t="s">
        <v>45</v>
      </c>
      <c r="K3129" t="s">
        <v>45</v>
      </c>
      <c r="L3129" t="s">
        <v>46</v>
      </c>
      <c r="M3129" s="1">
        <v>43529</v>
      </c>
      <c r="N3129" t="s">
        <v>47</v>
      </c>
      <c r="O3129" t="s">
        <v>48</v>
      </c>
      <c r="P3129" t="s">
        <v>49</v>
      </c>
      <c r="Q3129" t="s">
        <v>18845</v>
      </c>
      <c r="R3129" t="s">
        <v>18846</v>
      </c>
      <c r="S3129">
        <v>127</v>
      </c>
      <c r="T3129" t="s">
        <v>52</v>
      </c>
      <c r="U3129">
        <v>8</v>
      </c>
      <c r="V3129" t="s">
        <v>3914</v>
      </c>
      <c r="W3129" t="s">
        <v>54</v>
      </c>
      <c r="X3129" t="s">
        <v>76</v>
      </c>
      <c r="Y3129" t="s">
        <v>56</v>
      </c>
      <c r="Z3129">
        <v>2288</v>
      </c>
      <c r="AA3129">
        <v>30</v>
      </c>
      <c r="AB3129">
        <v>176</v>
      </c>
      <c r="AC3129" t="s">
        <v>15235</v>
      </c>
      <c r="AD3129" t="s">
        <v>15236</v>
      </c>
      <c r="AE3129" t="s">
        <v>15237</v>
      </c>
      <c r="AI3129" t="s">
        <v>15236</v>
      </c>
      <c r="AJ3129" s="2">
        <v>45855.97619212963</v>
      </c>
      <c r="AK3129" t="s">
        <v>556</v>
      </c>
      <c r="AL3129" t="s">
        <v>65</v>
      </c>
      <c r="AM3129" s="4">
        <v>9.7222222222222224E-2</v>
      </c>
      <c r="AN3129" t="s">
        <v>66</v>
      </c>
      <c r="AO3129" t="s">
        <v>67</v>
      </c>
    </row>
    <row r="3130" spans="1:41" x14ac:dyDescent="0.2">
      <c r="A3130">
        <v>372136</v>
      </c>
      <c r="B3130" t="s">
        <v>18847</v>
      </c>
      <c r="C3130" t="s">
        <v>167</v>
      </c>
      <c r="D3130" t="s">
        <v>168</v>
      </c>
      <c r="E3130" t="s">
        <v>18848</v>
      </c>
      <c r="F3130">
        <v>353227</v>
      </c>
      <c r="G3130" s="1">
        <v>40141</v>
      </c>
      <c r="H3130" s="1">
        <v>45831</v>
      </c>
      <c r="I3130" s="1">
        <v>46157</v>
      </c>
      <c r="J3130" t="s">
        <v>45</v>
      </c>
      <c r="K3130" t="s">
        <v>45</v>
      </c>
      <c r="L3130" t="s">
        <v>72</v>
      </c>
      <c r="M3130" s="1">
        <v>44879</v>
      </c>
      <c r="N3130" t="s">
        <v>47</v>
      </c>
      <c r="O3130" t="s">
        <v>48</v>
      </c>
      <c r="P3130" t="s">
        <v>49</v>
      </c>
      <c r="Q3130" t="s">
        <v>18849</v>
      </c>
      <c r="R3130" t="s">
        <v>18850</v>
      </c>
      <c r="S3130">
        <v>4089</v>
      </c>
      <c r="T3130" t="s">
        <v>52</v>
      </c>
      <c r="U3130">
        <v>6</v>
      </c>
      <c r="V3130" t="s">
        <v>172</v>
      </c>
      <c r="W3130" t="s">
        <v>54</v>
      </c>
      <c r="X3130" t="s">
        <v>76</v>
      </c>
      <c r="Y3130" t="s">
        <v>56</v>
      </c>
      <c r="Z3130">
        <v>821</v>
      </c>
      <c r="AA3130">
        <v>51</v>
      </c>
      <c r="AB3130">
        <v>80</v>
      </c>
      <c r="AC3130" t="s">
        <v>173</v>
      </c>
      <c r="AD3130" t="s">
        <v>174</v>
      </c>
      <c r="AE3130" t="s">
        <v>175</v>
      </c>
      <c r="AF3130" t="s">
        <v>18851</v>
      </c>
      <c r="AG3130" t="s">
        <v>18852</v>
      </c>
      <c r="AH3130" t="s">
        <v>175</v>
      </c>
      <c r="AI3130" t="s">
        <v>18853</v>
      </c>
      <c r="AJ3130" s="2">
        <v>45832.052291666667</v>
      </c>
      <c r="AK3130" t="s">
        <v>276</v>
      </c>
      <c r="AL3130" t="s">
        <v>65</v>
      </c>
      <c r="AM3130" s="3">
        <v>1.6597222222222223</v>
      </c>
      <c r="AN3130" t="s">
        <v>66</v>
      </c>
      <c r="AO3130" t="s">
        <v>67</v>
      </c>
    </row>
    <row r="3131" spans="1:41" x14ac:dyDescent="0.2">
      <c r="A3131">
        <v>370960</v>
      </c>
      <c r="B3131" t="s">
        <v>18854</v>
      </c>
      <c r="C3131" t="s">
        <v>278</v>
      </c>
      <c r="D3131" t="s">
        <v>134</v>
      </c>
      <c r="E3131" t="s">
        <v>18855</v>
      </c>
      <c r="F3131">
        <v>422808</v>
      </c>
      <c r="G3131" s="1">
        <v>37560</v>
      </c>
      <c r="H3131" s="1">
        <v>45789</v>
      </c>
      <c r="I3131" s="1">
        <v>46113</v>
      </c>
      <c r="J3131" t="s">
        <v>45</v>
      </c>
      <c r="K3131" t="s">
        <v>45</v>
      </c>
      <c r="L3131" t="s">
        <v>72</v>
      </c>
      <c r="N3131" t="s">
        <v>47</v>
      </c>
      <c r="O3131" t="s">
        <v>48</v>
      </c>
      <c r="P3131" t="s">
        <v>49</v>
      </c>
      <c r="Q3131" t="s">
        <v>18856</v>
      </c>
      <c r="R3131" t="s">
        <v>18857</v>
      </c>
      <c r="S3131">
        <v>3999</v>
      </c>
      <c r="T3131" t="s">
        <v>257</v>
      </c>
      <c r="U3131" t="s">
        <v>283</v>
      </c>
      <c r="V3131" t="s">
        <v>10858</v>
      </c>
      <c r="W3131" t="s">
        <v>260</v>
      </c>
      <c r="X3131" t="s">
        <v>257</v>
      </c>
      <c r="Y3131" t="s">
        <v>110</v>
      </c>
      <c r="Z3131">
        <v>2190</v>
      </c>
      <c r="AA3131">
        <v>55</v>
      </c>
      <c r="AB3131">
        <v>38</v>
      </c>
      <c r="AC3131" t="s">
        <v>285</v>
      </c>
      <c r="AD3131" t="s">
        <v>286</v>
      </c>
      <c r="AE3131" t="s">
        <v>287</v>
      </c>
      <c r="AF3131" t="s">
        <v>288</v>
      </c>
      <c r="AG3131" t="s">
        <v>10859</v>
      </c>
      <c r="AH3131" t="s">
        <v>10860</v>
      </c>
      <c r="AI3131" t="s">
        <v>286</v>
      </c>
      <c r="AJ3131" s="2">
        <v>45791.693020833336</v>
      </c>
      <c r="AK3131" t="s">
        <v>288</v>
      </c>
      <c r="AL3131" t="s">
        <v>65</v>
      </c>
      <c r="AM3131" s="3">
        <v>1.1736111111111112</v>
      </c>
      <c r="AN3131" t="s">
        <v>66</v>
      </c>
      <c r="AO3131" t="s">
        <v>67</v>
      </c>
    </row>
    <row r="3132" spans="1:41" x14ac:dyDescent="0.2">
      <c r="A3132">
        <v>371856</v>
      </c>
      <c r="B3132" t="s">
        <v>18858</v>
      </c>
      <c r="C3132" t="s">
        <v>735</v>
      </c>
      <c r="D3132" t="s">
        <v>10316</v>
      </c>
      <c r="E3132" t="s">
        <v>18859</v>
      </c>
      <c r="F3132">
        <v>240807</v>
      </c>
      <c r="G3132" s="1">
        <v>42506</v>
      </c>
      <c r="H3132" s="1">
        <v>45813</v>
      </c>
      <c r="I3132" s="1">
        <v>46174</v>
      </c>
      <c r="J3132" t="s">
        <v>45</v>
      </c>
      <c r="K3132" t="s">
        <v>45</v>
      </c>
      <c r="L3132" t="s">
        <v>429</v>
      </c>
      <c r="M3132" s="1">
        <v>36944</v>
      </c>
      <c r="N3132" t="s">
        <v>47</v>
      </c>
      <c r="O3132" t="s">
        <v>48</v>
      </c>
      <c r="P3132" t="s">
        <v>49</v>
      </c>
      <c r="Q3132" t="s">
        <v>18860</v>
      </c>
      <c r="R3132" t="s">
        <v>18861</v>
      </c>
      <c r="S3132">
        <v>3980</v>
      </c>
      <c r="T3132" t="s">
        <v>365</v>
      </c>
      <c r="U3132" t="s">
        <v>969</v>
      </c>
      <c r="V3132" t="s">
        <v>970</v>
      </c>
      <c r="W3132" t="s">
        <v>367</v>
      </c>
      <c r="X3132" t="s">
        <v>76</v>
      </c>
      <c r="Y3132" t="s">
        <v>434</v>
      </c>
      <c r="Z3132">
        <v>201</v>
      </c>
      <c r="AA3132">
        <v>59</v>
      </c>
      <c r="AB3132">
        <v>78</v>
      </c>
      <c r="AC3132" t="s">
        <v>971</v>
      </c>
      <c r="AD3132" t="s">
        <v>972</v>
      </c>
      <c r="AE3132" t="s">
        <v>973</v>
      </c>
      <c r="AF3132" t="s">
        <v>974</v>
      </c>
      <c r="AG3132" t="s">
        <v>975</v>
      </c>
      <c r="AH3132" t="s">
        <v>976</v>
      </c>
      <c r="AI3132" t="s">
        <v>3008</v>
      </c>
      <c r="AJ3132" s="2">
        <v>45821.58525462963</v>
      </c>
      <c r="AK3132" t="s">
        <v>568</v>
      </c>
      <c r="AL3132" t="s">
        <v>65</v>
      </c>
      <c r="AM3132" s="3">
        <v>1.3402777777777777</v>
      </c>
      <c r="AN3132" t="s">
        <v>66</v>
      </c>
      <c r="AO3132" t="s">
        <v>67</v>
      </c>
    </row>
    <row r="3133" spans="1:41" x14ac:dyDescent="0.2">
      <c r="A3133">
        <v>365302</v>
      </c>
      <c r="B3133" t="s">
        <v>18862</v>
      </c>
      <c r="C3133" t="s">
        <v>42</v>
      </c>
      <c r="D3133" t="s">
        <v>18863</v>
      </c>
      <c r="E3133" t="s">
        <v>18864</v>
      </c>
      <c r="F3133">
        <v>290603</v>
      </c>
      <c r="G3133" s="1">
        <v>38811</v>
      </c>
      <c r="H3133" s="1">
        <v>45574</v>
      </c>
      <c r="I3133" s="1">
        <v>46249</v>
      </c>
      <c r="J3133" t="s">
        <v>45</v>
      </c>
      <c r="K3133" t="s">
        <v>45</v>
      </c>
      <c r="L3133" t="s">
        <v>46</v>
      </c>
      <c r="N3133" t="s">
        <v>47</v>
      </c>
      <c r="O3133" t="s">
        <v>48</v>
      </c>
      <c r="P3133" t="s">
        <v>49</v>
      </c>
      <c r="Q3133" t="s">
        <v>18865</v>
      </c>
      <c r="R3133" t="s">
        <v>18866</v>
      </c>
      <c r="S3133">
        <v>6649</v>
      </c>
      <c r="T3133" t="s">
        <v>296</v>
      </c>
      <c r="U3133" t="s">
        <v>2674</v>
      </c>
      <c r="V3133" t="s">
        <v>18867</v>
      </c>
      <c r="W3133" t="s">
        <v>299</v>
      </c>
      <c r="X3133" t="s">
        <v>55</v>
      </c>
      <c r="Y3133" t="s">
        <v>56</v>
      </c>
      <c r="Z3133">
        <v>1329</v>
      </c>
      <c r="AA3133">
        <v>40</v>
      </c>
      <c r="AB3133">
        <v>160</v>
      </c>
      <c r="AC3133" t="s">
        <v>14619</v>
      </c>
      <c r="AD3133" t="s">
        <v>14620</v>
      </c>
      <c r="AE3133" t="s">
        <v>14621</v>
      </c>
      <c r="AF3133" t="s">
        <v>18868</v>
      </c>
      <c r="AG3133" t="s">
        <v>18869</v>
      </c>
      <c r="AH3133" t="s">
        <v>18870</v>
      </c>
      <c r="AI3133" t="s">
        <v>2682</v>
      </c>
      <c r="AJ3133" s="2">
        <v>45576.573912037034</v>
      </c>
      <c r="AK3133" t="s">
        <v>609</v>
      </c>
      <c r="AL3133" t="s">
        <v>65</v>
      </c>
      <c r="AM3133" s="3">
        <v>1.7847222222222223</v>
      </c>
      <c r="AN3133" t="s">
        <v>66</v>
      </c>
      <c r="AO3133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Hirschi, Jonathon</cp:lastModifiedBy>
  <dcterms:created xsi:type="dcterms:W3CDTF">2025-07-19T06:43:45Z</dcterms:created>
  <dcterms:modified xsi:type="dcterms:W3CDTF">2025-08-12T16:48:21Z</dcterms:modified>
</cp:coreProperties>
</file>